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420"/>
  </bookViews>
  <sheets>
    <sheet name="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刘卓</author>
  </authors>
  <commentList>
    <comment ref="X7" authorId="0">
      <text>
        <r>
          <rPr>
            <b/>
            <sz val="9"/>
            <rFont val="宋体"/>
            <charset val="134"/>
          </rPr>
          <t>刘卓:</t>
        </r>
        <r>
          <rPr>
            <sz val="9"/>
            <rFont val="宋体"/>
            <charset val="134"/>
          </rPr>
          <t xml:space="preserve">
2025年合作政策目标，银担分险业务占比16.75%</t>
        </r>
      </text>
    </comment>
    <comment ref="X24" authorId="0">
      <text>
        <r>
          <rPr>
            <b/>
            <sz val="9"/>
            <rFont val="宋体"/>
            <charset val="134"/>
          </rPr>
          <t>刘卓:</t>
        </r>
        <r>
          <rPr>
            <sz val="9"/>
            <rFont val="宋体"/>
            <charset val="134"/>
          </rPr>
          <t xml:space="preserve">
本年政策目标中，分险业务占比为29.19%</t>
        </r>
      </text>
    </comment>
  </commentList>
</comments>
</file>

<file path=xl/sharedStrings.xml><?xml version="1.0" encoding="utf-8"?>
<sst xmlns="http://schemas.openxmlformats.org/spreadsheetml/2006/main" count="153" uniqueCount="86">
  <si>
    <t>附件</t>
  </si>
  <si>
    <t>陕西省信用再担保有限责任公司2025年度合作担保机构再担保业务授信情况统计表</t>
  </si>
  <si>
    <t>单位：亿元</t>
  </si>
  <si>
    <t>序号</t>
  </si>
  <si>
    <t>机构名称</t>
  </si>
  <si>
    <t>2024年度备案规模（不含“总对总）</t>
  </si>
  <si>
    <t>担保放大倍数
（10%）</t>
  </si>
  <si>
    <t>业务备案率
（15%）</t>
  </si>
  <si>
    <t>分险业务占比
（15%）</t>
  </si>
  <si>
    <t>支小支农占比
（10%）</t>
  </si>
  <si>
    <t>担保代偿率
（10%）</t>
  </si>
  <si>
    <t>代偿返还率
（15%）</t>
  </si>
  <si>
    <t>政策目标完成
（20%）</t>
  </si>
  <si>
    <t>机构评价
（5%）</t>
  </si>
  <si>
    <t>额度
系数</t>
  </si>
  <si>
    <t>再担保增长率</t>
  </si>
  <si>
    <t>2025年总授信额度</t>
  </si>
  <si>
    <t>2025年
非分险额度</t>
  </si>
  <si>
    <t>2025年
分险额度</t>
  </si>
  <si>
    <t>担保放大
倍数</t>
  </si>
  <si>
    <t>担保放大倍系数</t>
  </si>
  <si>
    <t>比例再担保备案率</t>
  </si>
  <si>
    <t>再担保备案率系数</t>
  </si>
  <si>
    <t>银担分险业务规模占比</t>
  </si>
  <si>
    <t>银担分险业务占比系数</t>
  </si>
  <si>
    <t>支小支农业务金额占比</t>
  </si>
  <si>
    <t>支小支农业务占比系数</t>
  </si>
  <si>
    <t>担保代偿率</t>
  </si>
  <si>
    <t>担保代偿率系数</t>
  </si>
  <si>
    <t>代偿返还率</t>
  </si>
  <si>
    <t>代偿返还率系数</t>
  </si>
  <si>
    <t>政策目标
打分</t>
  </si>
  <si>
    <t>政策目标
完成系数</t>
  </si>
  <si>
    <t>机构评价</t>
  </si>
  <si>
    <t>评价系数</t>
  </si>
  <si>
    <t>测算
额度</t>
  </si>
  <si>
    <t>其中：国企额度</t>
  </si>
  <si>
    <t>陕西循环发展融资担保有限公司</t>
  </si>
  <si>
    <t>陕西文化产业融资担保有限公司</t>
  </si>
  <si>
    <t>暂不设置</t>
  </si>
  <si>
    <t>D</t>
  </si>
  <si>
    <t>西安投融资担保有限公司</t>
  </si>
  <si>
    <t>A</t>
  </si>
  <si>
    <t>西安小微企业融资担保有限公司</t>
  </si>
  <si>
    <t>铜川财创融资担保集团有限公司</t>
  </si>
  <si>
    <t>宝鸡市中小企业融资担保有限公司</t>
  </si>
  <si>
    <t>B</t>
  </si>
  <si>
    <t>咸阳市融资担保股份有限公司</t>
  </si>
  <si>
    <t>渭南市公信融资担保有限公司</t>
  </si>
  <si>
    <t>汉中市资信融资担保有限公司</t>
  </si>
  <si>
    <t>C</t>
  </si>
  <si>
    <t>安康市财信融资担保有限公司</t>
  </si>
  <si>
    <t>商洛市融资担保有限公司</t>
  </si>
  <si>
    <t>延安市中小企业融资担保有限责任公司</t>
  </si>
  <si>
    <t>榆林市中小企业融资担保有限责任公司</t>
  </si>
  <si>
    <t>杨凌农科融资担保有限公司</t>
  </si>
  <si>
    <t>西安财金融资担保有限公司</t>
  </si>
  <si>
    <t>西安创新融资担保有限公司</t>
  </si>
  <si>
    <t>西安航天基地融资担保有限公司</t>
  </si>
  <si>
    <t>西安曲江文化产业融资担保有限公司</t>
  </si>
  <si>
    <t>西安市高陵区三阳融资担保有限公司</t>
  </si>
  <si>
    <t>西咸新区融资担保有限公司</t>
  </si>
  <si>
    <t>西安沣东融资担保有限公司</t>
  </si>
  <si>
    <t>西安浐灞融资担保有限公司</t>
  </si>
  <si>
    <t>陕西长安融资担保股份有限公司</t>
  </si>
  <si>
    <t>E</t>
  </si>
  <si>
    <t>大荔县启成融资担保有限责任公司</t>
  </si>
  <si>
    <t>澄城县华冠融资担保有限公司</t>
  </si>
  <si>
    <t>未代偿</t>
  </si>
  <si>
    <t>白水县裕昆融资担保有限公司</t>
  </si>
  <si>
    <t>蒲城县金财融资担保有限公司</t>
  </si>
  <si>
    <t>商洛市商州区兴商融资担保有限公司</t>
  </si>
  <si>
    <t>黄陵县中小企业融资担保有限责任公司</t>
  </si>
  <si>
    <t>吴起县中小企业融资担保有限责任公司</t>
  </si>
  <si>
    <t>安塞金诚融资担保有限责任公司</t>
  </si>
  <si>
    <t>子长市中小企业融资担保有限责任公司</t>
  </si>
  <si>
    <t>陕西榆正融资担保有限公司</t>
  </si>
  <si>
    <t>清涧县财信融资担保有限责任公司</t>
  </si>
  <si>
    <t>神木市融资担保集团有限公司</t>
  </si>
  <si>
    <t>佳县中小企业融资担保有限责任公司</t>
  </si>
  <si>
    <t>吴堡县政信融资担保有限责任公司</t>
  </si>
  <si>
    <t>靖边县中小企业融资担保有限责任公司</t>
  </si>
  <si>
    <t>绥德县融资担保有限责任公司</t>
  </si>
  <si>
    <t>子洲县起航融资担保有限责任公司</t>
  </si>
  <si>
    <t>米脂县中小企业融资担保有限责任公司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</si>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</sst>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黑体"/>
      <charset val="134"/>
    </font>
    <font>
      <sz val="20"/>
      <name val="黑体"/>
      <charset val="134"/>
    </font>
    <font>
      <sz val="11"/>
      <name val="仿宋"/>
      <charset val="134"/>
    </font>
    <font>
      <b/>
      <sz val="11"/>
      <name val="仿宋"/>
      <charset val="134"/>
    </font>
    <font>
      <b/>
      <sz val="12"/>
      <name val="仿宋"/>
      <charset val="134"/>
    </font>
    <font>
      <b/>
      <sz val="14"/>
      <name val="仿宋"/>
      <charset val="134"/>
    </font>
    <font>
      <sz val="11"/>
      <color theme="1"/>
      <name val="仿宋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49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protection locked="0"/>
    </xf>
    <xf numFmtId="0" fontId="3" fillId="0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4" fillId="0" borderId="5" xfId="49" applyFont="1" applyFill="1" applyBorder="1" applyAlignment="1" applyProtection="1">
      <alignment horizontal="left" vertical="center" wrapText="1" shrinkToFit="1"/>
      <protection locked="0"/>
    </xf>
    <xf numFmtId="176" fontId="4" fillId="0" borderId="5" xfId="0" applyNumberFormat="1" applyFont="1" applyFill="1" applyBorder="1" applyAlignment="1" applyProtection="1">
      <alignment horizontal="center" vertical="center" wrapText="1"/>
      <protection locked="0"/>
    </xf>
    <xf numFmtId="10" fontId="4" fillId="0" borderId="5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  <protection locked="0"/>
    </xf>
    <xf numFmtId="176" fontId="4" fillId="0" borderId="5" xfId="49" applyNumberFormat="1" applyFont="1" applyFill="1" applyBorder="1" applyAlignment="1" applyProtection="1">
      <alignment horizontal="center" vertical="center" wrapText="1" shrinkToFit="1"/>
      <protection locked="0"/>
    </xf>
    <xf numFmtId="10" fontId="4" fillId="0" borderId="5" xfId="3" applyNumberFormat="1" applyFont="1" applyFill="1" applyBorder="1" applyAlignment="1" applyProtection="1">
      <alignment horizontal="center" vertical="center" wrapText="1" shrinkToFit="1"/>
      <protection locked="0"/>
    </xf>
    <xf numFmtId="176" fontId="4" fillId="0" borderId="5" xfId="3" applyNumberFormat="1" applyFont="1" applyFill="1" applyBorder="1" applyAlignment="1" applyProtection="1">
      <alignment horizontal="center" vertical="center" wrapText="1" shrinkToFit="1"/>
      <protection locked="0"/>
    </xf>
    <xf numFmtId="10" fontId="4" fillId="0" borderId="5" xfId="3" applyNumberFormat="1" applyFont="1" applyFill="1" applyBorder="1" applyAlignment="1" applyProtection="1">
      <alignment horizontal="center" vertical="center" wrapText="1" shrinkToFit="1"/>
    </xf>
    <xf numFmtId="176" fontId="4" fillId="0" borderId="5" xfId="3" applyNumberFormat="1" applyFont="1" applyFill="1" applyBorder="1" applyAlignment="1" applyProtection="1">
      <alignment horizontal="center" vertical="center" wrapText="1" shrinkToFit="1"/>
    </xf>
    <xf numFmtId="10" fontId="4" fillId="0" borderId="5" xfId="3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176" fontId="4" fillId="0" borderId="5" xfId="3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 applyProtection="1">
      <alignment horizontal="center" vertical="center"/>
      <protection locked="0"/>
    </xf>
    <xf numFmtId="176" fontId="5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8" xfId="0" applyFont="1" applyFill="1" applyBorder="1" applyAlignment="1" applyProtection="1">
      <alignment horizontal="center" vertical="center"/>
      <protection locked="0"/>
    </xf>
    <xf numFmtId="10" fontId="4" fillId="0" borderId="8" xfId="3" applyNumberFormat="1" applyFont="1" applyFill="1" applyBorder="1" applyAlignment="1" applyProtection="1">
      <alignment horizontal="center" vertical="center" wrapText="1" shrinkToFit="1"/>
    </xf>
    <xf numFmtId="0" fontId="4" fillId="0" borderId="8" xfId="0" applyFont="1" applyFill="1" applyBorder="1" applyAlignment="1">
      <alignment horizontal="center" vertical="center"/>
    </xf>
    <xf numFmtId="176" fontId="5" fillId="0" borderId="8" xfId="0" applyNumberFormat="1" applyFont="1" applyFill="1" applyBorder="1" applyAlignment="1">
      <alignment horizontal="center" vertical="center"/>
    </xf>
    <xf numFmtId="10" fontId="5" fillId="0" borderId="8" xfId="0" applyNumberFormat="1" applyFont="1" applyFill="1" applyBorder="1" applyAlignment="1">
      <alignment horizontal="center" vertical="center"/>
    </xf>
    <xf numFmtId="177" fontId="4" fillId="0" borderId="8" xfId="0" applyNumberFormat="1" applyFont="1" applyFill="1" applyBorder="1" applyAlignment="1">
      <alignment horizontal="center" vertical="center"/>
    </xf>
    <xf numFmtId="176" fontId="5" fillId="0" borderId="8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Y51"/>
  <sheetViews>
    <sheetView tabSelected="1" zoomScale="148" zoomScaleNormal="148" topLeftCell="H3" workbookViewId="0">
      <selection activeCell="R10" sqref="R10"/>
    </sheetView>
  </sheetViews>
  <sheetFormatPr defaultColWidth="8.625" defaultRowHeight="16.8"/>
  <cols>
    <col min="1" max="1" width="6.75" style="2" customWidth="1"/>
    <col min="2" max="2" width="39.5961538461538" style="2" customWidth="1"/>
    <col min="3" max="3" width="12.125" style="2" customWidth="1"/>
    <col min="4" max="9" width="10.7788461538462" style="2" customWidth="1"/>
    <col min="10" max="16" width="10.7788461538462" style="1" customWidth="1"/>
    <col min="17" max="17" width="12.8846153846154" style="1" customWidth="1"/>
    <col min="18" max="19" width="10.1153846153846" style="1" customWidth="1"/>
    <col min="20" max="22" width="10.7788461538462" style="1" customWidth="1"/>
    <col min="23" max="23" width="10.4423076923077" style="1" customWidth="1"/>
    <col min="24" max="24" width="8" style="1" customWidth="1"/>
    <col min="25" max="25" width="9.14423076923077" style="1" customWidth="1"/>
    <col min="26" max="16384" width="8.625" style="1"/>
  </cols>
  <sheetData>
    <row r="1" s="1" customFormat="1" ht="17.6" spans="1:25">
      <c r="A1" s="3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60" customHeight="1" spans="1:25">
      <c r="A2" s="4" t="s">
        <v>1</v>
      </c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="1" customFormat="1" ht="22" customHeight="1" spans="1:25">
      <c r="A3" s="4"/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X3" s="6" t="s">
        <v>2</v>
      </c>
      <c r="Y3" s="6"/>
    </row>
    <row r="4" s="1" customFormat="1" ht="42" customHeight="1" spans="1:25">
      <c r="A4" s="7" t="s">
        <v>3</v>
      </c>
      <c r="B4" s="8" t="s">
        <v>4</v>
      </c>
      <c r="C4" s="9" t="s">
        <v>5</v>
      </c>
      <c r="D4" s="10" t="s">
        <v>6</v>
      </c>
      <c r="E4" s="10"/>
      <c r="F4" s="10" t="s">
        <v>7</v>
      </c>
      <c r="G4" s="10"/>
      <c r="H4" s="10" t="s">
        <v>8</v>
      </c>
      <c r="I4" s="10"/>
      <c r="J4" s="11" t="s">
        <v>9</v>
      </c>
      <c r="K4" s="11"/>
      <c r="L4" s="11" t="s">
        <v>10</v>
      </c>
      <c r="M4" s="11"/>
      <c r="N4" s="11" t="s">
        <v>11</v>
      </c>
      <c r="O4" s="11"/>
      <c r="P4" s="11" t="s">
        <v>12</v>
      </c>
      <c r="Q4" s="11"/>
      <c r="R4" s="11" t="s">
        <v>13</v>
      </c>
      <c r="S4" s="11"/>
      <c r="T4" s="12" t="s">
        <v>14</v>
      </c>
      <c r="U4" s="12" t="s">
        <v>15</v>
      </c>
      <c r="V4" s="11" t="s">
        <v>16</v>
      </c>
      <c r="W4" s="11"/>
      <c r="X4" s="11" t="s">
        <v>17</v>
      </c>
      <c r="Y4" s="13" t="s">
        <v>18</v>
      </c>
    </row>
    <row r="5" s="1" customFormat="1" ht="45" customHeight="1" spans="1:25">
      <c r="A5" s="14"/>
      <c r="B5" s="15"/>
      <c r="C5" s="16"/>
      <c r="D5" s="17" t="s">
        <v>19</v>
      </c>
      <c r="E5" s="17" t="s">
        <v>20</v>
      </c>
      <c r="F5" s="17" t="s">
        <v>21</v>
      </c>
      <c r="G5" s="17" t="s">
        <v>22</v>
      </c>
      <c r="H5" s="17" t="s">
        <v>23</v>
      </c>
      <c r="I5" s="17" t="s">
        <v>24</v>
      </c>
      <c r="J5" s="18" t="s">
        <v>25</v>
      </c>
      <c r="K5" s="18" t="s">
        <v>26</v>
      </c>
      <c r="L5" s="18" t="s">
        <v>27</v>
      </c>
      <c r="M5" s="18" t="s">
        <v>28</v>
      </c>
      <c r="N5" s="18" t="s">
        <v>29</v>
      </c>
      <c r="O5" s="18" t="s">
        <v>30</v>
      </c>
      <c r="P5" s="18" t="s">
        <v>31</v>
      </c>
      <c r="Q5" s="18" t="s">
        <v>32</v>
      </c>
      <c r="R5" s="18" t="s">
        <v>33</v>
      </c>
      <c r="S5" s="18" t="s">
        <v>34</v>
      </c>
      <c r="T5" s="19"/>
      <c r="U5" s="19"/>
      <c r="V5" s="20" t="s">
        <v>35</v>
      </c>
      <c r="W5" s="20" t="s">
        <v>36</v>
      </c>
      <c r="X5" s="20"/>
      <c r="Y5" s="21"/>
    </row>
    <row r="6" s="1" customFormat="1" ht="20.4" spans="1:25">
      <c r="A6" s="22">
        <v>1</v>
      </c>
      <c r="B6" s="23" t="s">
        <v>37</v>
      </c>
      <c r="C6" s="16"/>
      <c r="D6" s="17"/>
      <c r="E6" s="24"/>
      <c r="F6" s="17"/>
      <c r="G6" s="17"/>
      <c r="H6" s="17"/>
      <c r="I6" s="17"/>
      <c r="J6" s="18"/>
      <c r="K6" s="18"/>
      <c r="L6" s="18"/>
      <c r="M6" s="25"/>
      <c r="N6" s="18"/>
      <c r="O6" s="25"/>
      <c r="P6" s="25"/>
      <c r="Q6" s="18"/>
      <c r="R6" s="18"/>
      <c r="S6" s="18"/>
      <c r="T6" s="19"/>
      <c r="U6" s="19"/>
      <c r="V6" s="26">
        <v>5</v>
      </c>
      <c r="W6" s="27">
        <v>0</v>
      </c>
      <c r="X6" s="27">
        <v>0</v>
      </c>
      <c r="Y6" s="28">
        <v>5</v>
      </c>
    </row>
    <row r="7" s="1" customFormat="1" ht="18" customHeight="1" spans="1:25">
      <c r="A7" s="29">
        <v>2</v>
      </c>
      <c r="B7" s="23" t="s">
        <v>38</v>
      </c>
      <c r="C7" s="30">
        <v>4.81</v>
      </c>
      <c r="D7" s="30">
        <v>4.21441750558379</v>
      </c>
      <c r="E7" s="24">
        <v>1.25</v>
      </c>
      <c r="F7" s="31">
        <v>0.186186608631611</v>
      </c>
      <c r="G7" s="30">
        <v>0.355388065331024</v>
      </c>
      <c r="H7" s="31">
        <v>0</v>
      </c>
      <c r="I7" s="32">
        <v>0</v>
      </c>
      <c r="J7" s="33">
        <v>1</v>
      </c>
      <c r="K7" s="34">
        <v>1.05988341282459</v>
      </c>
      <c r="L7" s="35">
        <v>0.0225415610030995</v>
      </c>
      <c r="M7" s="36">
        <v>0.709799999999999</v>
      </c>
      <c r="N7" s="35" t="s">
        <v>39</v>
      </c>
      <c r="O7" s="36">
        <v>1</v>
      </c>
      <c r="P7" s="36">
        <v>70</v>
      </c>
      <c r="Q7" s="36">
        <v>0.875</v>
      </c>
      <c r="R7" s="36" t="s">
        <v>40</v>
      </c>
      <c r="S7" s="36">
        <v>0.75</v>
      </c>
      <c r="T7" s="37">
        <v>0.717776551082113</v>
      </c>
      <c r="U7" s="35">
        <v>0.155555555555556</v>
      </c>
      <c r="V7" s="26">
        <v>4</v>
      </c>
      <c r="W7" s="27">
        <v>0.353</v>
      </c>
      <c r="X7" s="26">
        <v>3</v>
      </c>
      <c r="Y7" s="28">
        <v>1</v>
      </c>
    </row>
    <row r="8" s="1" customFormat="1" ht="18" customHeight="1" spans="1:25">
      <c r="A8" s="22">
        <v>3</v>
      </c>
      <c r="B8" s="23" t="s">
        <v>41</v>
      </c>
      <c r="C8" s="30">
        <v>32.511983243</v>
      </c>
      <c r="D8" s="30">
        <v>3.73</v>
      </c>
      <c r="E8" s="24">
        <v>1.25</v>
      </c>
      <c r="F8" s="31">
        <v>0.426553146121739</v>
      </c>
      <c r="G8" s="30">
        <v>0.814193343308628</v>
      </c>
      <c r="H8" s="31">
        <v>0.858836515117607</v>
      </c>
      <c r="I8" s="32">
        <v>1.04583111923722</v>
      </c>
      <c r="J8" s="33">
        <v>0.894762904578762</v>
      </c>
      <c r="K8" s="34">
        <v>0.94834436097378</v>
      </c>
      <c r="L8" s="35">
        <v>0.0138479804771784</v>
      </c>
      <c r="M8" s="36">
        <v>1.15540313090188</v>
      </c>
      <c r="N8" s="35">
        <v>0.0985553950827859</v>
      </c>
      <c r="O8" s="36">
        <v>0.848253917807103</v>
      </c>
      <c r="P8" s="36">
        <v>90</v>
      </c>
      <c r="Q8" s="36">
        <v>1.125</v>
      </c>
      <c r="R8" s="36" t="s">
        <v>42</v>
      </c>
      <c r="S8" s="36">
        <v>1.25</v>
      </c>
      <c r="T8" s="37">
        <v>1.02911650624051</v>
      </c>
      <c r="U8" s="35">
        <v>0.107275792813652</v>
      </c>
      <c r="V8" s="26">
        <v>25</v>
      </c>
      <c r="W8" s="27">
        <v>0.304</v>
      </c>
      <c r="X8" s="26">
        <v>8.920773</v>
      </c>
      <c r="Y8" s="28">
        <v>16.079227</v>
      </c>
    </row>
    <row r="9" s="1" customFormat="1" ht="18" customHeight="1" spans="1:25">
      <c r="A9" s="29">
        <v>4</v>
      </c>
      <c r="B9" s="23" t="s">
        <v>43</v>
      </c>
      <c r="C9" s="30">
        <v>65.8424744656</v>
      </c>
      <c r="D9" s="30">
        <v>10.24</v>
      </c>
      <c r="E9" s="24">
        <v>1.25</v>
      </c>
      <c r="F9" s="31">
        <v>0.426553146121739</v>
      </c>
      <c r="G9" s="30">
        <v>0.814193343308628</v>
      </c>
      <c r="H9" s="31">
        <v>0.858836515117607</v>
      </c>
      <c r="I9" s="32">
        <v>1.04583111923722</v>
      </c>
      <c r="J9" s="33">
        <v>0.894762904578762</v>
      </c>
      <c r="K9" s="34">
        <v>0.94834436097378</v>
      </c>
      <c r="L9" s="35">
        <v>0.0138479804771784</v>
      </c>
      <c r="M9" s="36">
        <v>1.15540313090188</v>
      </c>
      <c r="N9" s="35">
        <v>0.0985553950827859</v>
      </c>
      <c r="O9" s="36">
        <v>0.848253917807103</v>
      </c>
      <c r="P9" s="36">
        <v>90</v>
      </c>
      <c r="Q9" s="36">
        <v>1.125</v>
      </c>
      <c r="R9" s="36" t="s">
        <v>42</v>
      </c>
      <c r="S9" s="36">
        <v>1.25</v>
      </c>
      <c r="T9" s="37">
        <v>1.02911650624051</v>
      </c>
      <c r="U9" s="35">
        <v>0.107275792813652</v>
      </c>
      <c r="V9" s="26">
        <v>100</v>
      </c>
      <c r="W9" s="27">
        <v>0</v>
      </c>
      <c r="X9" s="26">
        <v>7.49830283999999</v>
      </c>
      <c r="Y9" s="28">
        <v>92.50169716</v>
      </c>
    </row>
    <row r="10" s="1" customFormat="1" ht="18" customHeight="1" spans="1:25">
      <c r="A10" s="22">
        <v>5</v>
      </c>
      <c r="B10" s="23" t="s">
        <v>44</v>
      </c>
      <c r="C10" s="30">
        <v>6.020882</v>
      </c>
      <c r="D10" s="30">
        <v>2.59</v>
      </c>
      <c r="E10" s="24">
        <v>1.125</v>
      </c>
      <c r="F10" s="31">
        <v>0.876907501224645</v>
      </c>
      <c r="G10" s="30">
        <v>1.67381780368053</v>
      </c>
      <c r="H10" s="31">
        <v>0.992716592197538</v>
      </c>
      <c r="I10" s="32">
        <v>1.21034613979542</v>
      </c>
      <c r="J10" s="33">
        <v>0.965044005449817</v>
      </c>
      <c r="K10" s="34">
        <v>1.02283413402206</v>
      </c>
      <c r="L10" s="35">
        <v>0.00773366807269113</v>
      </c>
      <c r="M10" s="36">
        <v>2.06887596540362</v>
      </c>
      <c r="N10" s="35" t="s">
        <v>39</v>
      </c>
      <c r="O10" s="36">
        <v>1</v>
      </c>
      <c r="P10" s="36">
        <v>100</v>
      </c>
      <c r="Q10" s="36">
        <v>1.25</v>
      </c>
      <c r="R10" s="36" t="s">
        <v>42</v>
      </c>
      <c r="S10" s="36">
        <v>1.25</v>
      </c>
      <c r="T10" s="37">
        <v>1.31679560146396</v>
      </c>
      <c r="U10" s="35">
        <v>0.333333333333333</v>
      </c>
      <c r="V10" s="26">
        <v>8</v>
      </c>
      <c r="W10" s="27">
        <v>0.0652</v>
      </c>
      <c r="X10" s="26">
        <v>0.043659</v>
      </c>
      <c r="Y10" s="28">
        <v>7.956341</v>
      </c>
    </row>
    <row r="11" s="1" customFormat="1" ht="18" customHeight="1" spans="1:25">
      <c r="A11" s="29">
        <v>6</v>
      </c>
      <c r="B11" s="23" t="s">
        <v>45</v>
      </c>
      <c r="C11" s="30">
        <v>29.046395104</v>
      </c>
      <c r="D11" s="30">
        <v>6.41</v>
      </c>
      <c r="E11" s="24">
        <v>1.25</v>
      </c>
      <c r="F11" s="31">
        <v>0.68559897797909</v>
      </c>
      <c r="G11" s="30">
        <v>1.30865316344533</v>
      </c>
      <c r="H11" s="31">
        <v>0.886760296451208</v>
      </c>
      <c r="I11" s="32">
        <v>1.09517169995129</v>
      </c>
      <c r="J11" s="33">
        <v>0.981737229198256</v>
      </c>
      <c r="K11" s="34">
        <v>1.0405270049796</v>
      </c>
      <c r="L11" s="35">
        <v>0.012322573558238</v>
      </c>
      <c r="M11" s="36">
        <v>1.29843006612069</v>
      </c>
      <c r="N11" s="35">
        <v>0.0101098114117993</v>
      </c>
      <c r="O11" s="36">
        <v>8.26919480440845</v>
      </c>
      <c r="P11" s="36">
        <v>90</v>
      </c>
      <c r="Q11" s="36">
        <v>1.125</v>
      </c>
      <c r="R11" s="36" t="s">
        <v>46</v>
      </c>
      <c r="S11" s="36">
        <v>1</v>
      </c>
      <c r="T11" s="37">
        <v>2.23484865728079</v>
      </c>
      <c r="U11" s="35">
        <v>0.2</v>
      </c>
      <c r="V11" s="26">
        <v>30</v>
      </c>
      <c r="W11" s="27">
        <v>0.082</v>
      </c>
      <c r="X11" s="26">
        <v>3.260898</v>
      </c>
      <c r="Y11" s="28">
        <v>26.739102</v>
      </c>
    </row>
    <row r="12" s="1" customFormat="1" ht="18" customHeight="1" spans="1:25">
      <c r="A12" s="22">
        <v>7</v>
      </c>
      <c r="B12" s="23" t="s">
        <v>47</v>
      </c>
      <c r="C12" s="30">
        <v>18.2764843</v>
      </c>
      <c r="D12" s="30">
        <v>3.95</v>
      </c>
      <c r="E12" s="24">
        <v>1.25</v>
      </c>
      <c r="F12" s="31">
        <v>0.457096463773276</v>
      </c>
      <c r="G12" s="30">
        <v>0.8724936187621</v>
      </c>
      <c r="H12" s="31">
        <v>0.66667971727425</v>
      </c>
      <c r="I12" s="32">
        <v>0.890976035463444</v>
      </c>
      <c r="J12" s="33">
        <v>0.932735311556388</v>
      </c>
      <c r="K12" s="34">
        <v>0.988590685274391</v>
      </c>
      <c r="L12" s="35">
        <v>0.0144629264244549</v>
      </c>
      <c r="M12" s="36">
        <v>1.10627680252498</v>
      </c>
      <c r="N12" s="35">
        <v>0.0438615776448909</v>
      </c>
      <c r="O12" s="36">
        <v>1.90599619276891</v>
      </c>
      <c r="P12" s="36">
        <v>90</v>
      </c>
      <c r="Q12" s="36">
        <v>1.125</v>
      </c>
      <c r="R12" s="36" t="s">
        <v>46</v>
      </c>
      <c r="S12" s="36">
        <v>1</v>
      </c>
      <c r="T12" s="37">
        <v>1.15990662582911</v>
      </c>
      <c r="U12" s="35">
        <v>0.0333333333333333</v>
      </c>
      <c r="V12" s="26">
        <v>31</v>
      </c>
      <c r="W12" s="27">
        <v>0.08</v>
      </c>
      <c r="X12" s="26">
        <v>7.486420383</v>
      </c>
      <c r="Y12" s="28">
        <v>23.513579617</v>
      </c>
    </row>
    <row r="13" s="1" customFormat="1" ht="18" customHeight="1" spans="1:25">
      <c r="A13" s="29">
        <v>8</v>
      </c>
      <c r="B13" s="23" t="s">
        <v>48</v>
      </c>
      <c r="C13" s="30">
        <v>0.48068</v>
      </c>
      <c r="D13" s="30">
        <v>1.18</v>
      </c>
      <c r="E13" s="24">
        <v>0.875</v>
      </c>
      <c r="F13" s="31">
        <v>0.954016508201834</v>
      </c>
      <c r="G13" s="30">
        <v>1.82100143310814</v>
      </c>
      <c r="H13" s="31">
        <v>0.989729934227197</v>
      </c>
      <c r="I13" s="32">
        <v>1.20786653677545</v>
      </c>
      <c r="J13" s="33">
        <v>1</v>
      </c>
      <c r="K13" s="34">
        <v>1.05988341282459</v>
      </c>
      <c r="L13" s="35">
        <v>0.0129283970805447</v>
      </c>
      <c r="M13" s="36">
        <v>1.23758575021475</v>
      </c>
      <c r="N13" s="35">
        <v>0.0276949195297621</v>
      </c>
      <c r="O13" s="36">
        <v>3.01860418515244</v>
      </c>
      <c r="P13" s="36">
        <v>90</v>
      </c>
      <c r="Q13" s="36">
        <v>1.125</v>
      </c>
      <c r="R13" s="36" t="s">
        <v>40</v>
      </c>
      <c r="S13" s="36">
        <v>0.75</v>
      </c>
      <c r="T13" s="37">
        <v>1.48686773955934</v>
      </c>
      <c r="U13" s="35">
        <v>0.0380622837370242</v>
      </c>
      <c r="V13" s="26">
        <v>1</v>
      </c>
      <c r="W13" s="27">
        <v>0.036</v>
      </c>
      <c r="X13" s="26">
        <v>0.04374</v>
      </c>
      <c r="Y13" s="28">
        <v>0.95626</v>
      </c>
    </row>
    <row r="14" s="1" customFormat="1" ht="18" customHeight="1" spans="1:25">
      <c r="A14" s="22">
        <v>9</v>
      </c>
      <c r="B14" s="23" t="s">
        <v>49</v>
      </c>
      <c r="C14" s="30">
        <v>8.05543</v>
      </c>
      <c r="D14" s="30">
        <v>4.92</v>
      </c>
      <c r="E14" s="24">
        <v>1.125</v>
      </c>
      <c r="F14" s="31">
        <v>0.551911650186012</v>
      </c>
      <c r="G14" s="30">
        <v>1.05347433435102</v>
      </c>
      <c r="H14" s="31">
        <v>0.932711689893702</v>
      </c>
      <c r="I14" s="32">
        <v>1.15140091912154</v>
      </c>
      <c r="J14" s="33">
        <v>0.949550087109074</v>
      </c>
      <c r="K14" s="34">
        <v>1.00641238697305</v>
      </c>
      <c r="L14" s="35">
        <v>0.0297442554332933</v>
      </c>
      <c r="M14" s="36">
        <v>0.537918995346271</v>
      </c>
      <c r="N14" s="35">
        <v>0.140984150724435</v>
      </c>
      <c r="O14" s="36">
        <v>0.592974455429412</v>
      </c>
      <c r="P14" s="36">
        <v>70</v>
      </c>
      <c r="Q14" s="36">
        <v>0.875</v>
      </c>
      <c r="R14" s="36" t="s">
        <v>50</v>
      </c>
      <c r="S14" s="36">
        <v>0.75</v>
      </c>
      <c r="T14" s="37">
        <v>0.899110594567228</v>
      </c>
      <c r="U14" s="35">
        <v>0.15</v>
      </c>
      <c r="V14" s="26">
        <v>11.5</v>
      </c>
      <c r="W14" s="27">
        <v>0.106</v>
      </c>
      <c r="X14" s="26">
        <v>0.56376</v>
      </c>
      <c r="Y14" s="28">
        <v>10.93624</v>
      </c>
    </row>
    <row r="15" s="1" customFormat="1" ht="18" customHeight="1" spans="1:25">
      <c r="A15" s="29">
        <v>10</v>
      </c>
      <c r="B15" s="23" t="s">
        <v>51</v>
      </c>
      <c r="C15" s="30">
        <v>20.3769322222</v>
      </c>
      <c r="D15" s="30">
        <v>3.2</v>
      </c>
      <c r="E15" s="24">
        <v>1.125</v>
      </c>
      <c r="F15" s="31">
        <v>0.421770731243819</v>
      </c>
      <c r="G15" s="30">
        <v>0.80506479650515</v>
      </c>
      <c r="H15" s="31">
        <v>0.856077392548551</v>
      </c>
      <c r="I15" s="32">
        <v>1.06560708531605</v>
      </c>
      <c r="J15" s="33">
        <v>0.88569072290132</v>
      </c>
      <c r="K15" s="34">
        <v>0.938728906095728</v>
      </c>
      <c r="L15" s="35">
        <v>0.0315315569479395</v>
      </c>
      <c r="M15" s="36">
        <v>0.50742816240939</v>
      </c>
      <c r="N15" s="35">
        <v>0.0454463433072232</v>
      </c>
      <c r="O15" s="36">
        <v>1.83953193846319</v>
      </c>
      <c r="P15" s="36">
        <v>70</v>
      </c>
      <c r="Q15" s="36">
        <v>0.875</v>
      </c>
      <c r="R15" s="36" t="s">
        <v>46</v>
      </c>
      <c r="S15" s="36">
        <v>1</v>
      </c>
      <c r="T15" s="37">
        <v>1.03864627989317</v>
      </c>
      <c r="U15" s="35">
        <v>0.3</v>
      </c>
      <c r="V15" s="26">
        <v>23</v>
      </c>
      <c r="W15" s="27">
        <v>0.239972</v>
      </c>
      <c r="X15" s="26">
        <v>2.923209</v>
      </c>
      <c r="Y15" s="28">
        <v>20.076791</v>
      </c>
    </row>
    <row r="16" s="1" customFormat="1" ht="18" customHeight="1" spans="1:25">
      <c r="A16" s="22">
        <v>11</v>
      </c>
      <c r="B16" s="23" t="s">
        <v>52</v>
      </c>
      <c r="C16" s="30">
        <v>8.20274</v>
      </c>
      <c r="D16" s="30">
        <v>4.25</v>
      </c>
      <c r="E16" s="24">
        <v>1.125</v>
      </c>
      <c r="F16" s="31">
        <v>0.68541678259418</v>
      </c>
      <c r="G16" s="30">
        <v>1.30830539372209</v>
      </c>
      <c r="H16" s="31">
        <v>0.669629900244568</v>
      </c>
      <c r="I16" s="32">
        <v>0.893376655005978</v>
      </c>
      <c r="J16" s="33">
        <v>0.96340632129542</v>
      </c>
      <c r="K16" s="34">
        <v>1.02109837975137</v>
      </c>
      <c r="L16" s="35">
        <v>0.0249299662291929</v>
      </c>
      <c r="M16" s="36">
        <v>0.641797901084361</v>
      </c>
      <c r="N16" s="35">
        <v>0.123747308825013</v>
      </c>
      <c r="O16" s="36">
        <v>0.675570247092937</v>
      </c>
      <c r="P16" s="36">
        <v>80</v>
      </c>
      <c r="Q16" s="36">
        <v>1</v>
      </c>
      <c r="R16" s="36" t="s">
        <v>50</v>
      </c>
      <c r="S16" s="36">
        <v>0.75</v>
      </c>
      <c r="T16" s="37">
        <v>0.947877472456724</v>
      </c>
      <c r="U16" s="35">
        <v>0.1</v>
      </c>
      <c r="V16" s="26">
        <v>9</v>
      </c>
      <c r="W16" s="27">
        <v>0.22672</v>
      </c>
      <c r="X16" s="26">
        <v>2.636955</v>
      </c>
      <c r="Y16" s="28">
        <v>6.363045</v>
      </c>
    </row>
    <row r="17" s="1" customFormat="1" ht="18" customHeight="1" spans="1:25">
      <c r="A17" s="29">
        <v>12</v>
      </c>
      <c r="B17" s="23" t="s">
        <v>53</v>
      </c>
      <c r="C17" s="30">
        <v>13.678568</v>
      </c>
      <c r="D17" s="30">
        <v>3.14</v>
      </c>
      <c r="E17" s="24">
        <v>1.25</v>
      </c>
      <c r="F17" s="31">
        <v>0.828020053215016</v>
      </c>
      <c r="G17" s="30">
        <v>1.58050273824803</v>
      </c>
      <c r="H17" s="31">
        <v>1</v>
      </c>
      <c r="I17" s="32">
        <v>1.21773015099854</v>
      </c>
      <c r="J17" s="33">
        <v>0.968196034060962</v>
      </c>
      <c r="K17" s="34">
        <v>1.02617491686376</v>
      </c>
      <c r="L17" s="35">
        <v>0.028595665856559</v>
      </c>
      <c r="M17" s="36">
        <v>0.559525351857826</v>
      </c>
      <c r="N17" s="35">
        <v>0.331569086257474</v>
      </c>
      <c r="O17" s="36">
        <v>0.252134482570796</v>
      </c>
      <c r="P17" s="36">
        <v>90</v>
      </c>
      <c r="Q17" s="36">
        <v>1.125</v>
      </c>
      <c r="R17" s="36" t="s">
        <v>46</v>
      </c>
      <c r="S17" s="36">
        <v>1</v>
      </c>
      <c r="T17" s="37">
        <v>1.01612513264476</v>
      </c>
      <c r="U17" s="35">
        <v>0.0909090909090909</v>
      </c>
      <c r="V17" s="26">
        <v>24</v>
      </c>
      <c r="W17" s="27">
        <v>0.04</v>
      </c>
      <c r="X17" s="27">
        <v>0</v>
      </c>
      <c r="Y17" s="28">
        <v>24</v>
      </c>
    </row>
    <row r="18" s="1" customFormat="1" ht="18" customHeight="1" spans="1:25">
      <c r="A18" s="22">
        <v>13</v>
      </c>
      <c r="B18" s="23" t="s">
        <v>54</v>
      </c>
      <c r="C18" s="30">
        <v>27.78621039</v>
      </c>
      <c r="D18" s="30">
        <v>5.84</v>
      </c>
      <c r="E18" s="24">
        <v>1.25</v>
      </c>
      <c r="F18" s="31">
        <v>0.915593576609568</v>
      </c>
      <c r="G18" s="30">
        <v>1.7476607593439</v>
      </c>
      <c r="H18" s="31">
        <v>1</v>
      </c>
      <c r="I18" s="32">
        <v>1.21773015099854</v>
      </c>
      <c r="J18" s="33">
        <v>1</v>
      </c>
      <c r="K18" s="34">
        <v>1.05988341282459</v>
      </c>
      <c r="L18" s="35">
        <v>0.00927269139819577</v>
      </c>
      <c r="M18" s="36">
        <v>1.72549687171873</v>
      </c>
      <c r="N18" s="35">
        <v>0.00772317776874697</v>
      </c>
      <c r="O18" s="36">
        <v>10.824559851296</v>
      </c>
      <c r="P18" s="36">
        <v>100</v>
      </c>
      <c r="Q18" s="36">
        <v>1.25</v>
      </c>
      <c r="R18" s="36" t="s">
        <v>46</v>
      </c>
      <c r="S18" s="36">
        <v>1</v>
      </c>
      <c r="T18" s="37">
        <v>2.7720306427001</v>
      </c>
      <c r="U18" s="35">
        <v>0.09375</v>
      </c>
      <c r="V18" s="26">
        <v>38.8</v>
      </c>
      <c r="W18" s="27">
        <v>0</v>
      </c>
      <c r="X18" s="27">
        <v>0</v>
      </c>
      <c r="Y18" s="28">
        <v>38.8</v>
      </c>
    </row>
    <row r="19" s="1" customFormat="1" ht="18" customHeight="1" spans="1:25">
      <c r="A19" s="29">
        <v>14</v>
      </c>
      <c r="B19" s="23" t="s">
        <v>55</v>
      </c>
      <c r="C19" s="30">
        <v>1.1046</v>
      </c>
      <c r="D19" s="30">
        <v>1.55</v>
      </c>
      <c r="E19" s="24">
        <v>0.875</v>
      </c>
      <c r="F19" s="31">
        <v>0.720255623081261</v>
      </c>
      <c r="G19" s="30">
        <v>1.37480484934931</v>
      </c>
      <c r="H19" s="31">
        <v>0.982602644398051</v>
      </c>
      <c r="I19" s="32">
        <v>1.19946419873356</v>
      </c>
      <c r="J19" s="33">
        <v>1</v>
      </c>
      <c r="K19" s="34">
        <v>1.05988341282459</v>
      </c>
      <c r="L19" s="35">
        <v>0.00210266074915891</v>
      </c>
      <c r="M19" s="36">
        <v>7.6094063231076</v>
      </c>
      <c r="N19" s="35">
        <v>0.401733904163119</v>
      </c>
      <c r="O19" s="36">
        <v>0.208097945265917</v>
      </c>
      <c r="P19" s="36">
        <v>70</v>
      </c>
      <c r="Q19" s="36">
        <v>0.875</v>
      </c>
      <c r="R19" s="36" t="s">
        <v>40</v>
      </c>
      <c r="S19" s="36">
        <v>0.75</v>
      </c>
      <c r="T19" s="37">
        <v>1.58428402259554</v>
      </c>
      <c r="U19" s="35">
        <v>0.44578313253012</v>
      </c>
      <c r="V19" s="26">
        <v>1.2</v>
      </c>
      <c r="W19" s="27">
        <v>0.18</v>
      </c>
      <c r="X19" s="26">
        <v>0.0162</v>
      </c>
      <c r="Y19" s="28">
        <v>1.1838</v>
      </c>
    </row>
    <row r="20" s="1" customFormat="1" ht="18" customHeight="1" spans="1:25">
      <c r="A20" s="22">
        <v>15</v>
      </c>
      <c r="B20" s="23" t="s">
        <v>56</v>
      </c>
      <c r="C20" s="30">
        <v>39.3908410745</v>
      </c>
      <c r="D20" s="30">
        <v>6.75</v>
      </c>
      <c r="E20" s="24">
        <v>1.25</v>
      </c>
      <c r="F20" s="31">
        <v>0.952210620829259</v>
      </c>
      <c r="G20" s="30">
        <v>1.8175544031404</v>
      </c>
      <c r="H20" s="31">
        <v>0.930574964920706</v>
      </c>
      <c r="I20" s="32">
        <v>1.09595713589868</v>
      </c>
      <c r="J20" s="33">
        <v>0.993711823720006</v>
      </c>
      <c r="K20" s="34">
        <v>1.05321867908851</v>
      </c>
      <c r="L20" s="35">
        <v>0.0138127687649436</v>
      </c>
      <c r="M20" s="36">
        <v>1.15834850146826</v>
      </c>
      <c r="N20" s="35">
        <v>0.100319249583929</v>
      </c>
      <c r="O20" s="36">
        <v>0.833339566899956</v>
      </c>
      <c r="P20" s="36">
        <v>90</v>
      </c>
      <c r="Q20" s="36">
        <v>1.125</v>
      </c>
      <c r="R20" s="36" t="s">
        <v>42</v>
      </c>
      <c r="S20" s="36">
        <v>1.25</v>
      </c>
      <c r="T20" s="37">
        <v>1.19568438394653</v>
      </c>
      <c r="U20" s="35">
        <v>0.123076923076923</v>
      </c>
      <c r="V20" s="26">
        <v>53</v>
      </c>
      <c r="W20" s="27">
        <v>0.136</v>
      </c>
      <c r="X20" s="26">
        <v>4.120434660672</v>
      </c>
      <c r="Y20" s="28">
        <v>48.879565339328</v>
      </c>
    </row>
    <row r="21" s="1" customFormat="1" ht="18" customHeight="1" spans="1:25">
      <c r="A21" s="29">
        <v>16</v>
      </c>
      <c r="B21" s="23" t="s">
        <v>57</v>
      </c>
      <c r="C21" s="30">
        <v>30.8716554036</v>
      </c>
      <c r="D21" s="30">
        <v>5.8</v>
      </c>
      <c r="E21" s="24">
        <v>1.25</v>
      </c>
      <c r="F21" s="31">
        <v>0.96208557136783</v>
      </c>
      <c r="G21" s="30">
        <v>1.83640344708043</v>
      </c>
      <c r="H21" s="31">
        <v>0.0257810980739742</v>
      </c>
      <c r="I21" s="32">
        <v>0.298336111678032</v>
      </c>
      <c r="J21" s="33">
        <v>0.925418798747295</v>
      </c>
      <c r="K21" s="34">
        <v>0.980836034708314</v>
      </c>
      <c r="L21" s="35">
        <v>0.0132263181234043</v>
      </c>
      <c r="M21" s="36">
        <v>1.2097092970785</v>
      </c>
      <c r="N21" s="35">
        <v>0.216509526900683</v>
      </c>
      <c r="O21" s="36">
        <v>0.386126195907993</v>
      </c>
      <c r="P21" s="36">
        <v>70</v>
      </c>
      <c r="Q21" s="36">
        <v>0.875</v>
      </c>
      <c r="R21" s="36" t="s">
        <v>46</v>
      </c>
      <c r="S21" s="36">
        <v>1</v>
      </c>
      <c r="T21" s="37">
        <v>0.94718439637865</v>
      </c>
      <c r="U21" s="35">
        <v>0</v>
      </c>
      <c r="V21" s="26">
        <v>29</v>
      </c>
      <c r="W21" s="27">
        <v>0</v>
      </c>
      <c r="X21" s="26">
        <v>24.462206876916</v>
      </c>
      <c r="Y21" s="28">
        <v>4.537793123084</v>
      </c>
    </row>
    <row r="22" s="1" customFormat="1" ht="18" customHeight="1" spans="1:25">
      <c r="A22" s="22">
        <v>17</v>
      </c>
      <c r="B22" s="23" t="s">
        <v>58</v>
      </c>
      <c r="C22" s="30">
        <v>0.5295</v>
      </c>
      <c r="D22" s="30">
        <v>0.43</v>
      </c>
      <c r="E22" s="24">
        <v>0.875</v>
      </c>
      <c r="F22" s="31">
        <v>0.392225317939481</v>
      </c>
      <c r="G22" s="30">
        <v>0.748669294429007</v>
      </c>
      <c r="H22" s="31">
        <v>0.599080059671805</v>
      </c>
      <c r="I22" s="32">
        <v>0.864283974671213</v>
      </c>
      <c r="J22" s="33">
        <v>0.95846020279729</v>
      </c>
      <c r="K22" s="34">
        <v>1.01585607079734</v>
      </c>
      <c r="L22" s="35">
        <v>0.0146819864015057</v>
      </c>
      <c r="M22" s="36">
        <v>1.08977079548031</v>
      </c>
      <c r="N22" s="35" t="s">
        <v>39</v>
      </c>
      <c r="O22" s="36">
        <v>1</v>
      </c>
      <c r="P22" s="36">
        <v>70</v>
      </c>
      <c r="Q22" s="36">
        <v>0.875</v>
      </c>
      <c r="R22" s="36" t="s">
        <v>40</v>
      </c>
      <c r="S22" s="36">
        <v>0.75</v>
      </c>
      <c r="T22" s="37">
        <v>0.902505676992798</v>
      </c>
      <c r="U22" s="35">
        <v>0.25</v>
      </c>
      <c r="V22" s="26">
        <v>1</v>
      </c>
      <c r="W22" s="27">
        <v>0</v>
      </c>
      <c r="X22" s="26">
        <v>0.261225</v>
      </c>
      <c r="Y22" s="28">
        <v>0.738775</v>
      </c>
    </row>
    <row r="23" s="1" customFormat="1" ht="18" customHeight="1" spans="1:25">
      <c r="A23" s="29">
        <v>18</v>
      </c>
      <c r="B23" s="23" t="s">
        <v>59</v>
      </c>
      <c r="C23" s="30">
        <v>11.0291417551</v>
      </c>
      <c r="D23" s="30">
        <v>1.7</v>
      </c>
      <c r="E23" s="24">
        <v>0.875</v>
      </c>
      <c r="F23" s="31">
        <v>0.763387294301988</v>
      </c>
      <c r="G23" s="30">
        <v>1.45713344055297</v>
      </c>
      <c r="H23" s="31">
        <v>0.982047560508646</v>
      </c>
      <c r="I23" s="32">
        <v>1.19964685825621</v>
      </c>
      <c r="J23" s="33">
        <v>0.977783804126614</v>
      </c>
      <c r="K23" s="34">
        <v>1.03633683532233</v>
      </c>
      <c r="L23" s="35">
        <v>0.0199384183265001</v>
      </c>
      <c r="M23" s="36">
        <v>0.802470874970782</v>
      </c>
      <c r="N23" s="35">
        <v>0.0195025088429726</v>
      </c>
      <c r="O23" s="36">
        <v>4.28662797556551</v>
      </c>
      <c r="P23" s="36">
        <v>70</v>
      </c>
      <c r="Q23" s="36">
        <v>0.875</v>
      </c>
      <c r="R23" s="36" t="s">
        <v>50</v>
      </c>
      <c r="S23" s="36">
        <v>0.75</v>
      </c>
      <c r="T23" s="37">
        <v>1.52539201218551</v>
      </c>
      <c r="U23" s="35">
        <v>0.2</v>
      </c>
      <c r="V23" s="26">
        <v>12</v>
      </c>
      <c r="W23" s="27">
        <v>0.048</v>
      </c>
      <c r="X23" s="26">
        <v>0.16038</v>
      </c>
      <c r="Y23" s="28">
        <v>11.83962</v>
      </c>
    </row>
    <row r="24" s="1" customFormat="1" ht="18" customHeight="1" spans="1:25">
      <c r="A24" s="22">
        <v>19</v>
      </c>
      <c r="B24" s="23" t="s">
        <v>60</v>
      </c>
      <c r="C24" s="30">
        <v>2.618591</v>
      </c>
      <c r="D24" s="30">
        <v>2.85</v>
      </c>
      <c r="E24" s="24">
        <v>0.875</v>
      </c>
      <c r="F24" s="31">
        <v>0.845964532429021</v>
      </c>
      <c r="G24" s="30">
        <v>1.61475468471243</v>
      </c>
      <c r="H24" s="31">
        <v>0.0985610200294739</v>
      </c>
      <c r="I24" s="32">
        <v>0.355394544568924</v>
      </c>
      <c r="J24" s="33">
        <v>1</v>
      </c>
      <c r="K24" s="34">
        <v>1.05988341282459</v>
      </c>
      <c r="L24" s="35">
        <v>0.0381568656764594</v>
      </c>
      <c r="M24" s="36">
        <v>0.419321653294785</v>
      </c>
      <c r="N24" s="35">
        <v>0</v>
      </c>
      <c r="O24" s="36">
        <v>0</v>
      </c>
      <c r="P24" s="36">
        <v>70</v>
      </c>
      <c r="Q24" s="36">
        <v>0.875</v>
      </c>
      <c r="R24" s="36" t="s">
        <v>40</v>
      </c>
      <c r="S24" s="36">
        <v>0.75</v>
      </c>
      <c r="T24" s="37">
        <v>0.743442891004141</v>
      </c>
      <c r="U24" s="35">
        <v>0</v>
      </c>
      <c r="V24" s="26">
        <v>2</v>
      </c>
      <c r="W24" s="27">
        <v>0</v>
      </c>
      <c r="X24" s="26">
        <v>1.4</v>
      </c>
      <c r="Y24" s="28">
        <v>0.6</v>
      </c>
    </row>
    <row r="25" s="1" customFormat="1" ht="18" customHeight="1" spans="1:25">
      <c r="A25" s="29">
        <v>20</v>
      </c>
      <c r="B25" s="23" t="s">
        <v>61</v>
      </c>
      <c r="C25" s="30">
        <v>3.8124461135</v>
      </c>
      <c r="D25" s="30">
        <v>1.94</v>
      </c>
      <c r="E25" s="24">
        <v>0.875</v>
      </c>
      <c r="F25" s="31">
        <v>0.150240337492656</v>
      </c>
      <c r="G25" s="30">
        <v>0.286774775418139</v>
      </c>
      <c r="H25" s="31">
        <v>0.784404529525162</v>
      </c>
      <c r="I25" s="32">
        <v>1.08904190693932</v>
      </c>
      <c r="J25" s="33">
        <v>0.920673261332674</v>
      </c>
      <c r="K25" s="34">
        <v>0.97580631831762</v>
      </c>
      <c r="L25" s="35">
        <v>0.010260938908104</v>
      </c>
      <c r="M25" s="36">
        <v>1.55931149608183</v>
      </c>
      <c r="N25" s="35" t="s">
        <v>39</v>
      </c>
      <c r="O25" s="36">
        <v>1</v>
      </c>
      <c r="P25" s="36">
        <v>80</v>
      </c>
      <c r="Q25" s="36">
        <v>1</v>
      </c>
      <c r="R25" s="36" t="s">
        <v>50</v>
      </c>
      <c r="S25" s="36">
        <v>0.75</v>
      </c>
      <c r="T25" s="37">
        <v>0.934884283793564</v>
      </c>
      <c r="U25" s="35">
        <v>0</v>
      </c>
      <c r="V25" s="26">
        <v>7</v>
      </c>
      <c r="W25" s="27">
        <v>0</v>
      </c>
      <c r="X25" s="26">
        <v>0.665776351935</v>
      </c>
      <c r="Y25" s="28">
        <v>6.334223648065</v>
      </c>
    </row>
    <row r="26" s="1" customFormat="1" ht="18" customHeight="1" spans="1:25">
      <c r="A26" s="22">
        <v>21</v>
      </c>
      <c r="B26" s="23" t="s">
        <v>62</v>
      </c>
      <c r="C26" s="30">
        <v>2.0956871738</v>
      </c>
      <c r="D26" s="30">
        <v>1.34</v>
      </c>
      <c r="E26" s="24">
        <v>0.875</v>
      </c>
      <c r="F26" s="31">
        <v>0.0618119532372325</v>
      </c>
      <c r="G26" s="30">
        <v>0.117985018561545</v>
      </c>
      <c r="H26" s="31">
        <v>0.363436876229452</v>
      </c>
      <c r="I26" s="32">
        <v>0.582057298746267</v>
      </c>
      <c r="J26" s="33">
        <v>0.913166338962554</v>
      </c>
      <c r="K26" s="34">
        <v>0.967849855816168</v>
      </c>
      <c r="L26" s="35">
        <v>0.107139668355958</v>
      </c>
      <c r="M26" s="36">
        <v>0.149337777925931</v>
      </c>
      <c r="N26" s="35" t="s">
        <v>39</v>
      </c>
      <c r="O26" s="36">
        <v>1</v>
      </c>
      <c r="P26" s="36">
        <v>70</v>
      </c>
      <c r="Q26" s="36">
        <v>0.875</v>
      </c>
      <c r="R26" s="36" t="s">
        <v>40</v>
      </c>
      <c r="S26" s="36">
        <v>0.75</v>
      </c>
      <c r="T26" s="37">
        <v>0.666725110970382</v>
      </c>
      <c r="U26" s="35">
        <v>0.15</v>
      </c>
      <c r="V26" s="26">
        <v>2</v>
      </c>
      <c r="W26" s="27">
        <v>0</v>
      </c>
      <c r="X26" s="26">
        <v>1.080570110778</v>
      </c>
      <c r="Y26" s="28">
        <v>0.919429889222</v>
      </c>
    </row>
    <row r="27" s="1" customFormat="1" ht="18" customHeight="1" spans="1:25">
      <c r="A27" s="29">
        <v>22</v>
      </c>
      <c r="B27" s="23" t="s">
        <v>63</v>
      </c>
      <c r="C27" s="30">
        <v>5.2821</v>
      </c>
      <c r="D27" s="30">
        <v>0.52</v>
      </c>
      <c r="E27" s="24">
        <v>0.875</v>
      </c>
      <c r="F27" s="31">
        <v>0.397099320312952</v>
      </c>
      <c r="G27" s="30">
        <v>0.757972661017278</v>
      </c>
      <c r="H27" s="31">
        <v>0.630166032449215</v>
      </c>
      <c r="I27" s="32">
        <v>0.860904773502192</v>
      </c>
      <c r="J27" s="33">
        <v>0.846174080178684</v>
      </c>
      <c r="K27" s="34">
        <v>0.896845871943492</v>
      </c>
      <c r="L27" s="35">
        <v>0.0010024042460532</v>
      </c>
      <c r="M27" s="36">
        <v>15.9616243277075</v>
      </c>
      <c r="N27" s="35" t="s">
        <v>39</v>
      </c>
      <c r="O27" s="36">
        <v>1</v>
      </c>
      <c r="P27" s="36">
        <v>90</v>
      </c>
      <c r="Q27" s="36">
        <v>1.125</v>
      </c>
      <c r="R27" s="36" t="s">
        <v>46</v>
      </c>
      <c r="S27" s="36">
        <v>1</v>
      </c>
      <c r="T27" s="37">
        <v>2.44117863514302</v>
      </c>
      <c r="U27" s="35">
        <v>0.0909090909090909</v>
      </c>
      <c r="V27" s="26">
        <v>6</v>
      </c>
      <c r="W27" s="27">
        <v>0.232</v>
      </c>
      <c r="X27" s="26">
        <v>1.582335</v>
      </c>
      <c r="Y27" s="28">
        <v>4.417665</v>
      </c>
    </row>
    <row r="28" s="1" customFormat="1" ht="18" customHeight="1" spans="1:25">
      <c r="A28" s="22">
        <v>23</v>
      </c>
      <c r="B28" s="23" t="s">
        <v>64</v>
      </c>
      <c r="C28" s="30">
        <v>1.395</v>
      </c>
      <c r="D28" s="30">
        <v>1.74</v>
      </c>
      <c r="E28" s="24">
        <v>0.875</v>
      </c>
      <c r="F28" s="31">
        <v>0.188330273247651</v>
      </c>
      <c r="G28" s="30">
        <v>0.3594798355513</v>
      </c>
      <c r="H28" s="31">
        <v>0</v>
      </c>
      <c r="I28" s="32">
        <v>0.198490014612762</v>
      </c>
      <c r="J28" s="33">
        <v>1</v>
      </c>
      <c r="K28" s="34">
        <v>1.05988341282459</v>
      </c>
      <c r="L28" s="35">
        <v>0.0368935620734182</v>
      </c>
      <c r="M28" s="36">
        <v>0.43368</v>
      </c>
      <c r="N28" s="35" t="s">
        <v>39</v>
      </c>
      <c r="O28" s="36">
        <v>1</v>
      </c>
      <c r="P28" s="36">
        <v>70</v>
      </c>
      <c r="Q28" s="36">
        <v>0.875</v>
      </c>
      <c r="R28" s="36" t="s">
        <v>65</v>
      </c>
      <c r="S28" s="36">
        <v>0.75</v>
      </c>
      <c r="T28" s="37">
        <v>0.683051818807068</v>
      </c>
      <c r="U28" s="35">
        <v>0.5</v>
      </c>
      <c r="V28" s="26">
        <v>1.5</v>
      </c>
      <c r="W28" s="27">
        <v>0</v>
      </c>
      <c r="X28" s="26">
        <v>1.12995</v>
      </c>
      <c r="Y28" s="28">
        <v>0.37005</v>
      </c>
    </row>
    <row r="29" s="1" customFormat="1" ht="18" customHeight="1" spans="1:25">
      <c r="A29" s="29">
        <v>24</v>
      </c>
      <c r="B29" s="23" t="s">
        <v>66</v>
      </c>
      <c r="C29" s="30">
        <v>0.3635</v>
      </c>
      <c r="D29" s="30">
        <v>2.2</v>
      </c>
      <c r="E29" s="24">
        <v>0.875</v>
      </c>
      <c r="F29" s="31">
        <v>0.907842157842158</v>
      </c>
      <c r="G29" s="30">
        <v>1.73286505658328</v>
      </c>
      <c r="H29" s="31">
        <v>1</v>
      </c>
      <c r="I29" s="32">
        <v>1.21773015099854</v>
      </c>
      <c r="J29" s="33">
        <v>1</v>
      </c>
      <c r="K29" s="34">
        <v>1.05988341282459</v>
      </c>
      <c r="L29" s="35">
        <v>0.00438675462384594</v>
      </c>
      <c r="M29" s="36">
        <v>3.64734328038903</v>
      </c>
      <c r="N29" s="35" t="s">
        <v>39</v>
      </c>
      <c r="O29" s="36">
        <v>1</v>
      </c>
      <c r="P29" s="36">
        <v>70</v>
      </c>
      <c r="Q29" s="36">
        <v>0.875</v>
      </c>
      <c r="R29" s="36" t="s">
        <v>50</v>
      </c>
      <c r="S29" s="36">
        <v>0.75</v>
      </c>
      <c r="T29" s="37">
        <v>1.36331195045864</v>
      </c>
      <c r="U29" s="35">
        <v>0</v>
      </c>
      <c r="V29" s="26">
        <v>0.6</v>
      </c>
      <c r="W29" s="27">
        <v>0</v>
      </c>
      <c r="X29" s="27">
        <v>0</v>
      </c>
      <c r="Y29" s="28">
        <v>0.6</v>
      </c>
    </row>
    <row r="30" s="1" customFormat="1" ht="18" customHeight="1" spans="1:25">
      <c r="A30" s="22">
        <v>25</v>
      </c>
      <c r="B30" s="23" t="s">
        <v>67</v>
      </c>
      <c r="C30" s="30">
        <v>4.0315</v>
      </c>
      <c r="D30" s="30">
        <v>4.69</v>
      </c>
      <c r="E30" s="24">
        <v>0.875</v>
      </c>
      <c r="F30" s="31">
        <v>0.826279436781374</v>
      </c>
      <c r="G30" s="30">
        <v>1.5771802957191</v>
      </c>
      <c r="H30" s="31">
        <v>0.28761007069329</v>
      </c>
      <c r="I30" s="32">
        <v>0.518265952264978</v>
      </c>
      <c r="J30" s="33">
        <v>1</v>
      </c>
      <c r="K30" s="34">
        <v>1.05988341282459</v>
      </c>
      <c r="L30" s="35" t="s">
        <v>68</v>
      </c>
      <c r="M30" s="36">
        <v>1</v>
      </c>
      <c r="N30" s="35" t="s">
        <v>39</v>
      </c>
      <c r="O30" s="36">
        <v>1</v>
      </c>
      <c r="P30" s="36">
        <v>80</v>
      </c>
      <c r="Q30" s="36">
        <v>1</v>
      </c>
      <c r="R30" s="36" t="s">
        <v>46</v>
      </c>
      <c r="S30" s="36">
        <v>1</v>
      </c>
      <c r="T30" s="37">
        <v>1.00780527848007</v>
      </c>
      <c r="U30" s="35">
        <v>0.216216216216216</v>
      </c>
      <c r="V30" s="26">
        <v>5.5</v>
      </c>
      <c r="W30" s="27">
        <v>0</v>
      </c>
      <c r="X30" s="26">
        <v>2.32632</v>
      </c>
      <c r="Y30" s="28">
        <v>3.17368</v>
      </c>
    </row>
    <row r="31" s="1" customFormat="1" ht="18" customHeight="1" spans="1:25">
      <c r="A31" s="29">
        <v>26</v>
      </c>
      <c r="B31" s="23" t="s">
        <v>69</v>
      </c>
      <c r="C31" s="30">
        <v>0.87</v>
      </c>
      <c r="D31" s="30">
        <v>3.849</v>
      </c>
      <c r="E31" s="24">
        <v>0.875</v>
      </c>
      <c r="F31" s="31">
        <v>1.10406091370558</v>
      </c>
      <c r="G31" s="30">
        <v>2.1074022187373</v>
      </c>
      <c r="H31" s="31">
        <v>1</v>
      </c>
      <c r="I31" s="32">
        <v>1.21773015099854</v>
      </c>
      <c r="J31" s="33">
        <v>1</v>
      </c>
      <c r="K31" s="34">
        <v>1.05988341282459</v>
      </c>
      <c r="L31" s="35">
        <v>0.0149855312112443</v>
      </c>
      <c r="M31" s="36">
        <v>1.06769655172414</v>
      </c>
      <c r="N31" s="35" t="s">
        <v>39</v>
      </c>
      <c r="O31" s="36">
        <v>1</v>
      </c>
      <c r="P31" s="36">
        <v>80</v>
      </c>
      <c r="Q31" s="36">
        <v>1</v>
      </c>
      <c r="R31" s="36" t="s">
        <v>50</v>
      </c>
      <c r="S31" s="36">
        <v>0.75</v>
      </c>
      <c r="T31" s="37">
        <v>1.18652785191525</v>
      </c>
      <c r="U31" s="35">
        <v>0.111111111111111</v>
      </c>
      <c r="V31" s="26">
        <v>1</v>
      </c>
      <c r="W31" s="27">
        <v>0</v>
      </c>
      <c r="X31" s="27">
        <v>0</v>
      </c>
      <c r="Y31" s="28">
        <v>1</v>
      </c>
    </row>
    <row r="32" s="1" customFormat="1" ht="18" customHeight="1" spans="1:25">
      <c r="A32" s="22">
        <v>27</v>
      </c>
      <c r="B32" s="23" t="s">
        <v>70</v>
      </c>
      <c r="C32" s="30">
        <v>0.968</v>
      </c>
      <c r="D32" s="30">
        <v>5</v>
      </c>
      <c r="E32" s="24">
        <v>1</v>
      </c>
      <c r="F32" s="31">
        <v>0.770823379519032</v>
      </c>
      <c r="G32" s="30">
        <v>1.47132724298777</v>
      </c>
      <c r="H32" s="31">
        <v>1</v>
      </c>
      <c r="I32" s="32">
        <v>1.21773015099854</v>
      </c>
      <c r="J32" s="33">
        <v>1</v>
      </c>
      <c r="K32" s="34">
        <v>1.05988341282459</v>
      </c>
      <c r="L32" s="35">
        <v>0.0102785486689279</v>
      </c>
      <c r="M32" s="36">
        <v>1.55664</v>
      </c>
      <c r="N32" s="35" t="s">
        <v>39</v>
      </c>
      <c r="O32" s="36">
        <v>1</v>
      </c>
      <c r="P32" s="36">
        <v>70</v>
      </c>
      <c r="Q32" s="36">
        <v>0.875</v>
      </c>
      <c r="R32" s="36" t="s">
        <v>50</v>
      </c>
      <c r="S32" s="36">
        <v>0.75</v>
      </c>
      <c r="T32" s="37">
        <v>1.12751095038041</v>
      </c>
      <c r="U32" s="35">
        <v>0</v>
      </c>
      <c r="V32" s="26">
        <v>1.5</v>
      </c>
      <c r="W32" s="27">
        <v>0</v>
      </c>
      <c r="X32" s="27">
        <v>0</v>
      </c>
      <c r="Y32" s="28">
        <v>1.5</v>
      </c>
    </row>
    <row r="33" s="1" customFormat="1" ht="18" customHeight="1" spans="1:25">
      <c r="A33" s="29">
        <v>28</v>
      </c>
      <c r="B33" s="23" t="s">
        <v>71</v>
      </c>
      <c r="C33" s="30">
        <v>0.4515</v>
      </c>
      <c r="D33" s="30">
        <v>2.94</v>
      </c>
      <c r="E33" s="24">
        <v>1.125</v>
      </c>
      <c r="F33" s="31">
        <v>0.54423818707811</v>
      </c>
      <c r="G33" s="30">
        <v>1.03882743128775</v>
      </c>
      <c r="H33" s="31">
        <v>0.26578073089701</v>
      </c>
      <c r="I33" s="32">
        <v>0.491110569897711</v>
      </c>
      <c r="J33" s="33">
        <v>1</v>
      </c>
      <c r="K33" s="34">
        <v>1.05988341282459</v>
      </c>
      <c r="L33" s="35" t="s">
        <v>68</v>
      </c>
      <c r="M33" s="36">
        <v>1</v>
      </c>
      <c r="N33" s="35" t="s">
        <v>39</v>
      </c>
      <c r="O33" s="36">
        <v>1</v>
      </c>
      <c r="P33" s="36">
        <v>70</v>
      </c>
      <c r="Q33" s="36">
        <v>0.875</v>
      </c>
      <c r="R33" s="36" t="s">
        <v>40</v>
      </c>
      <c r="S33" s="36">
        <v>0.75</v>
      </c>
      <c r="T33" s="37">
        <v>0.910479041460278</v>
      </c>
      <c r="U33" s="35">
        <v>0</v>
      </c>
      <c r="V33" s="26">
        <v>1</v>
      </c>
      <c r="W33" s="27">
        <v>0</v>
      </c>
      <c r="X33" s="26">
        <v>0.268515</v>
      </c>
      <c r="Y33" s="28">
        <v>0.731485</v>
      </c>
    </row>
    <row r="34" s="1" customFormat="1" ht="18" customHeight="1" spans="1:25">
      <c r="A34" s="22">
        <v>29</v>
      </c>
      <c r="B34" s="23" t="s">
        <v>72</v>
      </c>
      <c r="C34" s="30">
        <v>1.9018</v>
      </c>
      <c r="D34" s="30">
        <v>6.55</v>
      </c>
      <c r="E34" s="24">
        <v>1.25</v>
      </c>
      <c r="F34" s="31">
        <v>1.09968775297791</v>
      </c>
      <c r="G34" s="30">
        <v>2.09905484541216</v>
      </c>
      <c r="H34" s="31">
        <v>1</v>
      </c>
      <c r="I34" s="32">
        <v>1.21773015099854</v>
      </c>
      <c r="J34" s="33">
        <v>1</v>
      </c>
      <c r="K34" s="34">
        <v>1.05988341282459</v>
      </c>
      <c r="L34" s="35">
        <v>0.0174596156333619</v>
      </c>
      <c r="M34" s="36">
        <v>0.916400471578947</v>
      </c>
      <c r="N34" s="35" t="s">
        <v>39</v>
      </c>
      <c r="O34" s="36">
        <v>1</v>
      </c>
      <c r="P34" s="36">
        <v>90</v>
      </c>
      <c r="Q34" s="36">
        <v>1.125</v>
      </c>
      <c r="R34" s="36" t="s">
        <v>46</v>
      </c>
      <c r="S34" s="36">
        <v>1</v>
      </c>
      <c r="T34" s="37">
        <v>1.24514613790196</v>
      </c>
      <c r="U34" s="35">
        <v>0.081081081081081</v>
      </c>
      <c r="V34" s="26">
        <v>2</v>
      </c>
      <c r="W34" s="27">
        <v>0</v>
      </c>
      <c r="X34" s="27">
        <v>0</v>
      </c>
      <c r="Y34" s="28">
        <v>2</v>
      </c>
    </row>
    <row r="35" s="1" customFormat="1" ht="18" customHeight="1" spans="1:25">
      <c r="A35" s="29">
        <v>30</v>
      </c>
      <c r="B35" s="23" t="s">
        <v>73</v>
      </c>
      <c r="C35" s="30">
        <v>1.1542</v>
      </c>
      <c r="D35" s="30">
        <v>2.79</v>
      </c>
      <c r="E35" s="24">
        <v>1.25</v>
      </c>
      <c r="F35" s="31">
        <v>1.00043338822918</v>
      </c>
      <c r="G35" s="30">
        <v>1.90960074383654</v>
      </c>
      <c r="H35" s="31">
        <v>1</v>
      </c>
      <c r="I35" s="32">
        <v>1.21773015099854</v>
      </c>
      <c r="J35" s="33">
        <v>1</v>
      </c>
      <c r="K35" s="34">
        <v>1.05988341282459</v>
      </c>
      <c r="L35" s="35" t="s">
        <v>68</v>
      </c>
      <c r="M35" s="36">
        <v>1</v>
      </c>
      <c r="N35" s="35" t="s">
        <v>39</v>
      </c>
      <c r="O35" s="36">
        <v>1</v>
      </c>
      <c r="P35" s="36">
        <v>90</v>
      </c>
      <c r="Q35" s="36">
        <v>1.125</v>
      </c>
      <c r="R35" s="36" t="s">
        <v>46</v>
      </c>
      <c r="S35" s="36">
        <v>1</v>
      </c>
      <c r="T35" s="37">
        <v>1.22508797550772</v>
      </c>
      <c r="U35" s="35">
        <v>0.5</v>
      </c>
      <c r="V35" s="26">
        <v>1.2</v>
      </c>
      <c r="W35" s="27">
        <v>0</v>
      </c>
      <c r="X35" s="27">
        <v>0</v>
      </c>
      <c r="Y35" s="28">
        <v>1.2</v>
      </c>
    </row>
    <row r="36" s="1" customFormat="1" ht="18" customHeight="1" spans="1:25">
      <c r="A36" s="22">
        <v>31</v>
      </c>
      <c r="B36" s="23" t="s">
        <v>74</v>
      </c>
      <c r="C36" s="30">
        <v>0.6988</v>
      </c>
      <c r="D36" s="30">
        <v>1.3</v>
      </c>
      <c r="E36" s="24">
        <v>1</v>
      </c>
      <c r="F36" s="31">
        <v>0.804327808471455</v>
      </c>
      <c r="G36" s="30">
        <v>1.53527960923437</v>
      </c>
      <c r="H36" s="31">
        <v>0.627933600457928</v>
      </c>
      <c r="I36" s="32">
        <v>0.861544081831466</v>
      </c>
      <c r="J36" s="33">
        <v>1</v>
      </c>
      <c r="K36" s="34">
        <v>1.05988341282459</v>
      </c>
      <c r="L36" s="35" t="s">
        <v>68</v>
      </c>
      <c r="M36" s="36">
        <v>1</v>
      </c>
      <c r="N36" s="35" t="s">
        <v>39</v>
      </c>
      <c r="O36" s="36">
        <v>1</v>
      </c>
      <c r="P36" s="36">
        <v>90</v>
      </c>
      <c r="Q36" s="36">
        <v>1.125</v>
      </c>
      <c r="R36" s="36" t="s">
        <v>50</v>
      </c>
      <c r="S36" s="36">
        <v>0.75</v>
      </c>
      <c r="T36" s="37">
        <v>1.07801189494233</v>
      </c>
      <c r="U36" s="35">
        <v>0.142857142857143</v>
      </c>
      <c r="V36" s="26">
        <v>0.8</v>
      </c>
      <c r="W36" s="27">
        <v>0</v>
      </c>
      <c r="X36" s="26">
        <v>0.2106</v>
      </c>
      <c r="Y36" s="28">
        <v>0.5894</v>
      </c>
    </row>
    <row r="37" s="1" customFormat="1" ht="18" customHeight="1" spans="1:25">
      <c r="A37" s="29">
        <v>32</v>
      </c>
      <c r="B37" s="23" t="s">
        <v>75</v>
      </c>
      <c r="C37" s="30">
        <v>0.4574</v>
      </c>
      <c r="D37" s="30">
        <v>3.01</v>
      </c>
      <c r="E37" s="24">
        <v>1</v>
      </c>
      <c r="F37" s="31">
        <v>0.246926909850624</v>
      </c>
      <c r="G37" s="30">
        <v>0.471327542914825</v>
      </c>
      <c r="H37" s="31">
        <v>1</v>
      </c>
      <c r="I37" s="32">
        <v>1.21773015099854</v>
      </c>
      <c r="J37" s="33">
        <v>1</v>
      </c>
      <c r="K37" s="34">
        <v>1.05988341282459</v>
      </c>
      <c r="L37" s="35" t="s">
        <v>68</v>
      </c>
      <c r="M37" s="36">
        <v>1</v>
      </c>
      <c r="N37" s="35">
        <v>0.0898585744641369</v>
      </c>
      <c r="O37" s="36">
        <v>0.930350837396884</v>
      </c>
      <c r="P37" s="36">
        <v>80</v>
      </c>
      <c r="Q37" s="36">
        <v>1</v>
      </c>
      <c r="R37" s="36" t="s">
        <v>40</v>
      </c>
      <c r="S37" s="36">
        <v>0.75</v>
      </c>
      <c r="T37" s="37">
        <v>0.936399620978996</v>
      </c>
      <c r="U37" s="35">
        <v>0</v>
      </c>
      <c r="V37" s="26">
        <v>0.5</v>
      </c>
      <c r="W37" s="27">
        <v>0</v>
      </c>
      <c r="X37" s="27">
        <v>0</v>
      </c>
      <c r="Y37" s="28">
        <v>0.5</v>
      </c>
    </row>
    <row r="38" s="1" customFormat="1" ht="18" customHeight="1" spans="1:25">
      <c r="A38" s="22">
        <v>33</v>
      </c>
      <c r="B38" s="23" t="s">
        <v>76</v>
      </c>
      <c r="C38" s="30">
        <v>1.493</v>
      </c>
      <c r="D38" s="30">
        <v>3.81</v>
      </c>
      <c r="E38" s="24">
        <v>1</v>
      </c>
      <c r="F38" s="31">
        <v>0.225979294060665</v>
      </c>
      <c r="G38" s="30">
        <v>0.431343288925748</v>
      </c>
      <c r="H38" s="31">
        <v>1</v>
      </c>
      <c r="I38" s="32">
        <v>1.21773015099854</v>
      </c>
      <c r="J38" s="33">
        <v>1</v>
      </c>
      <c r="K38" s="34">
        <v>1.05988341282459</v>
      </c>
      <c r="L38" s="35" t="s">
        <v>68</v>
      </c>
      <c r="M38" s="36">
        <v>1</v>
      </c>
      <c r="N38" s="35" t="s">
        <v>39</v>
      </c>
      <c r="O38" s="36">
        <v>1</v>
      </c>
      <c r="P38" s="36">
        <v>80</v>
      </c>
      <c r="Q38" s="36">
        <v>1</v>
      </c>
      <c r="R38" s="36" t="s">
        <v>40</v>
      </c>
      <c r="S38" s="36">
        <v>0.75</v>
      </c>
      <c r="T38" s="37">
        <v>0.940849357271102</v>
      </c>
      <c r="U38" s="35">
        <v>0.5</v>
      </c>
      <c r="V38" s="26">
        <v>1.5</v>
      </c>
      <c r="W38" s="27">
        <v>0</v>
      </c>
      <c r="X38" s="27">
        <v>0</v>
      </c>
      <c r="Y38" s="28">
        <v>1.5</v>
      </c>
    </row>
    <row r="39" s="1" customFormat="1" ht="18" customHeight="1" spans="1:25">
      <c r="A39" s="29">
        <v>34</v>
      </c>
      <c r="B39" s="23" t="s">
        <v>77</v>
      </c>
      <c r="C39" s="30">
        <v>0.48624632</v>
      </c>
      <c r="D39" s="30">
        <v>1.5</v>
      </c>
      <c r="E39" s="24">
        <v>1</v>
      </c>
      <c r="F39" s="31">
        <v>0.997558655456778</v>
      </c>
      <c r="G39" s="30">
        <v>1.90411353008989</v>
      </c>
      <c r="H39" s="31">
        <v>1</v>
      </c>
      <c r="I39" s="32">
        <v>1.21773015099854</v>
      </c>
      <c r="J39" s="33">
        <v>1</v>
      </c>
      <c r="K39" s="34">
        <v>1.05988341282459</v>
      </c>
      <c r="L39" s="35" t="s">
        <v>68</v>
      </c>
      <c r="M39" s="36">
        <v>1</v>
      </c>
      <c r="N39" s="35" t="s">
        <v>39</v>
      </c>
      <c r="O39" s="36">
        <v>1</v>
      </c>
      <c r="P39" s="36">
        <v>90</v>
      </c>
      <c r="Q39" s="36">
        <v>1.125</v>
      </c>
      <c r="R39" s="36" t="s">
        <v>50</v>
      </c>
      <c r="S39" s="36">
        <v>0.75</v>
      </c>
      <c r="T39" s="37">
        <v>1.18676489344572</v>
      </c>
      <c r="U39" s="35">
        <v>0.25</v>
      </c>
      <c r="V39" s="26">
        <v>0.5</v>
      </c>
      <c r="W39" s="27">
        <v>0</v>
      </c>
      <c r="X39" s="27">
        <v>0</v>
      </c>
      <c r="Y39" s="28">
        <v>0.5</v>
      </c>
    </row>
    <row r="40" s="1" customFormat="1" ht="18" customHeight="1" spans="1:25">
      <c r="A40" s="22">
        <v>35</v>
      </c>
      <c r="B40" s="23" t="s">
        <v>78</v>
      </c>
      <c r="C40" s="30">
        <v>4.27992</v>
      </c>
      <c r="D40" s="30">
        <v>2.61</v>
      </c>
      <c r="E40" s="24">
        <v>1</v>
      </c>
      <c r="F40" s="31">
        <v>0.822441227981511</v>
      </c>
      <c r="G40" s="30">
        <v>1.56985402445961</v>
      </c>
      <c r="H40" s="31">
        <v>0.526393016691901</v>
      </c>
      <c r="I40" s="32">
        <v>0.724062347783731</v>
      </c>
      <c r="J40" s="33">
        <v>1</v>
      </c>
      <c r="K40" s="34">
        <v>1.05988341282459</v>
      </c>
      <c r="L40" s="35">
        <v>0.0169447885642012</v>
      </c>
      <c r="M40" s="36">
        <v>0.944243118725171</v>
      </c>
      <c r="N40" s="35">
        <v>0.608479994991541</v>
      </c>
      <c r="O40" s="36">
        <v>0.137391534131146</v>
      </c>
      <c r="P40" s="36">
        <v>80</v>
      </c>
      <c r="Q40" s="36">
        <v>1</v>
      </c>
      <c r="R40" s="36" t="s">
        <v>50</v>
      </c>
      <c r="S40" s="36">
        <v>0.75</v>
      </c>
      <c r="T40" s="37">
        <v>0.902608839111149</v>
      </c>
      <c r="U40" s="35">
        <v>1.25</v>
      </c>
      <c r="V40" s="26">
        <v>4.5</v>
      </c>
      <c r="W40" s="27">
        <v>0</v>
      </c>
      <c r="X40" s="26">
        <v>1.64187</v>
      </c>
      <c r="Y40" s="28">
        <v>2.85813</v>
      </c>
    </row>
    <row r="41" s="1" customFormat="1" ht="18" customHeight="1" spans="1:25">
      <c r="A41" s="29">
        <v>36</v>
      </c>
      <c r="B41" s="23" t="s">
        <v>79</v>
      </c>
      <c r="C41" s="30">
        <v>1.049776</v>
      </c>
      <c r="D41" s="30">
        <v>4.06</v>
      </c>
      <c r="E41" s="24">
        <v>1</v>
      </c>
      <c r="F41" s="31">
        <v>1.04371618383664</v>
      </c>
      <c r="G41" s="30">
        <v>1.99221779726541</v>
      </c>
      <c r="H41" s="31">
        <v>1</v>
      </c>
      <c r="I41" s="32">
        <v>1.21773015099854</v>
      </c>
      <c r="J41" s="33">
        <v>1</v>
      </c>
      <c r="K41" s="34">
        <v>1.05988341282459</v>
      </c>
      <c r="L41" s="35" t="s">
        <v>68</v>
      </c>
      <c r="M41" s="36">
        <v>1</v>
      </c>
      <c r="N41" s="35">
        <v>0</v>
      </c>
      <c r="O41" s="36">
        <v>0</v>
      </c>
      <c r="P41" s="36">
        <v>90</v>
      </c>
      <c r="Q41" s="36">
        <v>1.125</v>
      </c>
      <c r="R41" s="36" t="s">
        <v>50</v>
      </c>
      <c r="S41" s="36">
        <v>0.75</v>
      </c>
      <c r="T41" s="37">
        <v>1.04998053352205</v>
      </c>
      <c r="U41" s="35">
        <v>0.0909090909090908</v>
      </c>
      <c r="V41" s="26">
        <v>1.2</v>
      </c>
      <c r="W41" s="27">
        <v>0</v>
      </c>
      <c r="X41" s="27">
        <v>0</v>
      </c>
      <c r="Y41" s="28">
        <v>1.2</v>
      </c>
    </row>
    <row r="42" s="1" customFormat="1" ht="18" customHeight="1" spans="1:25">
      <c r="A42" s="22">
        <v>37</v>
      </c>
      <c r="B42" s="23" t="s">
        <v>80</v>
      </c>
      <c r="C42" s="30">
        <v>0.475928</v>
      </c>
      <c r="D42" s="30">
        <v>2.88</v>
      </c>
      <c r="E42" s="24">
        <v>1</v>
      </c>
      <c r="F42" s="31">
        <v>0.683708328425021</v>
      </c>
      <c r="G42" s="30">
        <v>1.30504434167143</v>
      </c>
      <c r="H42" s="31">
        <v>1</v>
      </c>
      <c r="I42" s="32">
        <v>1.21773015099854</v>
      </c>
      <c r="J42" s="33">
        <v>1</v>
      </c>
      <c r="K42" s="34">
        <v>1.05988341282459</v>
      </c>
      <c r="L42" s="35">
        <v>0.0191689600250699</v>
      </c>
      <c r="M42" s="36">
        <v>0.834682736</v>
      </c>
      <c r="N42" s="35" t="s">
        <v>39</v>
      </c>
      <c r="O42" s="36">
        <v>1</v>
      </c>
      <c r="P42" s="36">
        <v>80</v>
      </c>
      <c r="Q42" s="36">
        <v>1</v>
      </c>
      <c r="R42" s="36" t="s">
        <v>40</v>
      </c>
      <c r="S42" s="36">
        <v>0.75</v>
      </c>
      <c r="T42" s="37">
        <v>1.05537278878295</v>
      </c>
      <c r="U42" s="35">
        <v>1.5</v>
      </c>
      <c r="V42" s="26">
        <v>1</v>
      </c>
      <c r="W42" s="27">
        <v>0</v>
      </c>
      <c r="X42" s="27">
        <v>0</v>
      </c>
      <c r="Y42" s="28">
        <v>1</v>
      </c>
    </row>
    <row r="43" s="1" customFormat="1" ht="18" customHeight="1" spans="1:25">
      <c r="A43" s="29">
        <v>38</v>
      </c>
      <c r="B43" s="23" t="s">
        <v>81</v>
      </c>
      <c r="C43" s="30">
        <v>1.80248235</v>
      </c>
      <c r="D43" s="30">
        <v>3.66</v>
      </c>
      <c r="E43" s="24">
        <v>1.25</v>
      </c>
      <c r="F43" s="31">
        <v>0.99861494490514</v>
      </c>
      <c r="G43" s="30">
        <v>1.90612974740134</v>
      </c>
      <c r="H43" s="31">
        <v>1</v>
      </c>
      <c r="I43" s="32">
        <v>1.21773015099854</v>
      </c>
      <c r="J43" s="33">
        <v>1</v>
      </c>
      <c r="K43" s="34">
        <v>1.05988341282459</v>
      </c>
      <c r="L43" s="35" t="s">
        <v>68</v>
      </c>
      <c r="M43" s="36">
        <v>1</v>
      </c>
      <c r="N43" s="35" t="s">
        <v>39</v>
      </c>
      <c r="O43" s="36">
        <v>1</v>
      </c>
      <c r="P43" s="36">
        <v>100</v>
      </c>
      <c r="Q43" s="36">
        <v>1.25</v>
      </c>
      <c r="R43" s="36" t="s">
        <v>46</v>
      </c>
      <c r="S43" s="36">
        <v>1</v>
      </c>
      <c r="T43" s="37">
        <v>1.24956732604244</v>
      </c>
      <c r="U43" s="35">
        <v>0.333333333333333</v>
      </c>
      <c r="V43" s="26">
        <v>2</v>
      </c>
      <c r="W43" s="27">
        <v>0</v>
      </c>
      <c r="X43" s="27">
        <v>0</v>
      </c>
      <c r="Y43" s="28">
        <v>2</v>
      </c>
    </row>
    <row r="44" s="1" customFormat="1" ht="18" customHeight="1" spans="1:25">
      <c r="A44" s="22">
        <v>39</v>
      </c>
      <c r="B44" s="23" t="s">
        <v>82</v>
      </c>
      <c r="C44" s="30">
        <v>0.4956</v>
      </c>
      <c r="D44" s="30">
        <v>1.64</v>
      </c>
      <c r="E44" s="24">
        <v>0.875</v>
      </c>
      <c r="F44" s="31">
        <v>0.917098445595855</v>
      </c>
      <c r="G44" s="30">
        <v>1.75053321339172</v>
      </c>
      <c r="H44" s="31">
        <v>1</v>
      </c>
      <c r="I44" s="32">
        <v>1.21773015099854</v>
      </c>
      <c r="J44" s="33">
        <v>1</v>
      </c>
      <c r="K44" s="34">
        <v>1.05988341282459</v>
      </c>
      <c r="L44" s="35" t="s">
        <v>68</v>
      </c>
      <c r="M44" s="36">
        <v>1</v>
      </c>
      <c r="N44" s="35" t="s">
        <v>39</v>
      </c>
      <c r="O44" s="36">
        <v>1</v>
      </c>
      <c r="P44" s="36">
        <v>90</v>
      </c>
      <c r="Q44" s="36">
        <v>1.125</v>
      </c>
      <c r="R44" s="36" t="s">
        <v>50</v>
      </c>
      <c r="S44" s="36">
        <v>0.75</v>
      </c>
      <c r="T44" s="37">
        <v>1.151227845941</v>
      </c>
      <c r="U44" s="35">
        <v>1.5</v>
      </c>
      <c r="V44" s="26">
        <v>0.5</v>
      </c>
      <c r="W44" s="27">
        <v>0</v>
      </c>
      <c r="X44" s="27">
        <v>0</v>
      </c>
      <c r="Y44" s="28">
        <v>0.5</v>
      </c>
    </row>
    <row r="45" s="1" customFormat="1" ht="18" customHeight="1" spans="1:25">
      <c r="A45" s="29">
        <v>40</v>
      </c>
      <c r="B45" s="23" t="s">
        <v>83</v>
      </c>
      <c r="C45" s="30">
        <v>0.34315</v>
      </c>
      <c r="D45" s="30">
        <v>2.55</v>
      </c>
      <c r="E45" s="24">
        <v>1</v>
      </c>
      <c r="F45" s="31">
        <v>0.676677643903689</v>
      </c>
      <c r="G45" s="30">
        <v>1.29162435734306</v>
      </c>
      <c r="H45" s="31">
        <v>1</v>
      </c>
      <c r="I45" s="32">
        <v>1.21773015099854</v>
      </c>
      <c r="J45" s="33">
        <v>1</v>
      </c>
      <c r="K45" s="34">
        <v>1.05988341282459</v>
      </c>
      <c r="L45" s="35" t="s">
        <v>68</v>
      </c>
      <c r="M45" s="36">
        <v>1</v>
      </c>
      <c r="N45" s="35" t="s">
        <v>39</v>
      </c>
      <c r="O45" s="36">
        <v>1</v>
      </c>
      <c r="P45" s="36">
        <v>80</v>
      </c>
      <c r="Q45" s="36">
        <v>1</v>
      </c>
      <c r="R45" s="36" t="s">
        <v>50</v>
      </c>
      <c r="S45" s="36">
        <v>0.75</v>
      </c>
      <c r="T45" s="37">
        <v>1.0698915175337</v>
      </c>
      <c r="U45" s="35">
        <v>0.25</v>
      </c>
      <c r="V45" s="26">
        <v>0.5</v>
      </c>
      <c r="W45" s="27">
        <v>0</v>
      </c>
      <c r="X45" s="27">
        <v>0</v>
      </c>
      <c r="Y45" s="28">
        <v>0.5</v>
      </c>
    </row>
    <row r="46" s="1" customFormat="1" ht="18" customHeight="1" spans="1:25">
      <c r="A46" s="22">
        <v>41</v>
      </c>
      <c r="B46" s="23" t="s">
        <v>84</v>
      </c>
      <c r="C46" s="30">
        <v>0.319</v>
      </c>
      <c r="D46" s="30">
        <v>1.99</v>
      </c>
      <c r="E46" s="24">
        <v>1</v>
      </c>
      <c r="F46" s="31">
        <v>0.591726952327954</v>
      </c>
      <c r="G46" s="30">
        <v>1.12947272812805</v>
      </c>
      <c r="H46" s="31">
        <v>1</v>
      </c>
      <c r="I46" s="32">
        <v>1.21773015099854</v>
      </c>
      <c r="J46" s="33">
        <v>1</v>
      </c>
      <c r="K46" s="34">
        <v>1.05988341282459</v>
      </c>
      <c r="L46" s="35" t="s">
        <v>68</v>
      </c>
      <c r="M46" s="36">
        <v>1</v>
      </c>
      <c r="N46" s="35" t="s">
        <v>39</v>
      </c>
      <c r="O46" s="36">
        <v>1</v>
      </c>
      <c r="P46" s="36">
        <v>80</v>
      </c>
      <c r="Q46" s="36">
        <v>1</v>
      </c>
      <c r="R46" s="36" t="s">
        <v>50</v>
      </c>
      <c r="S46" s="36">
        <v>0.75</v>
      </c>
      <c r="T46" s="37">
        <v>1.04556877315145</v>
      </c>
      <c r="U46" s="35">
        <v>1</v>
      </c>
      <c r="V46" s="26">
        <v>0.5</v>
      </c>
      <c r="W46" s="27">
        <v>0</v>
      </c>
      <c r="X46" s="27">
        <v>0</v>
      </c>
      <c r="Y46" s="28">
        <v>0.5</v>
      </c>
    </row>
    <row r="47" s="1" customFormat="1" ht="21" customHeight="1" spans="1:25">
      <c r="A47" s="38" t="s">
        <v>85</v>
      </c>
      <c r="B47" s="39"/>
      <c r="C47" s="40">
        <v>306.7777003067</v>
      </c>
      <c r="D47" s="41"/>
      <c r="E47" s="41"/>
      <c r="F47" s="41"/>
      <c r="G47" s="41"/>
      <c r="H47" s="41"/>
      <c r="I47" s="41"/>
      <c r="J47" s="42"/>
      <c r="K47" s="43"/>
      <c r="L47" s="44"/>
      <c r="M47" s="44"/>
      <c r="N47" s="45"/>
      <c r="O47" s="45"/>
      <c r="P47" s="45"/>
      <c r="Q47" s="45"/>
      <c r="R47" s="46"/>
      <c r="S47" s="46"/>
      <c r="T47" s="46"/>
      <c r="U47" s="46"/>
      <c r="V47" s="44">
        <v>451.3</v>
      </c>
      <c r="W47" s="47">
        <v>2.128892</v>
      </c>
      <c r="X47" s="44">
        <f>SUM(X6:X46)</f>
        <v>75.704100223301</v>
      </c>
      <c r="Y47" s="44">
        <f>SUM(Y6:Y46)</f>
        <v>375.595899776699</v>
      </c>
    </row>
    <row r="48" s="1" customFormat="1" spans="1:25">
      <c r="A48" s="2"/>
      <c r="B48" s="2"/>
      <c r="C48" s="2"/>
      <c r="D48" s="2"/>
      <c r="E48" s="2"/>
      <c r="F48" s="2"/>
      <c r="G48" s="2"/>
      <c r="H48" s="2"/>
      <c r="I48" s="2"/>
    </row>
    <row r="49" customFormat="1" spans="1:25">
      <c r="A49" s="2"/>
      <c r="B49" s="2"/>
      <c r="C49" s="2"/>
      <c r="D49" s="2"/>
      <c r="E49" s="2"/>
      <c r="F49" s="2"/>
      <c r="G49" s="2"/>
      <c r="H49" s="2"/>
      <c r="I49" s="2"/>
      <c r="W49" s="48"/>
      <c r="X49" s="48"/>
      <c r="Y49" s="48"/>
    </row>
    <row r="50" spans="1:25">
      <c r="W50" s="48"/>
      <c r="X50" s="48"/>
      <c r="Y50" s="48"/>
    </row>
    <row r="51" spans="1:25">
      <c r="W51" s="48"/>
      <c r="X51" s="48"/>
      <c r="Y51" s="48"/>
    </row>
  </sheetData>
  <mergeCells count="19">
    <mergeCell ref="A2:Y2"/>
    <mergeCell ref="X3:Y3"/>
    <mergeCell ref="D4:E4"/>
    <mergeCell ref="F4:G4"/>
    <mergeCell ref="H4:I4"/>
    <mergeCell ref="J4:K4"/>
    <mergeCell ref="L4:M4"/>
    <mergeCell ref="N4:O4"/>
    <mergeCell ref="P4:Q4"/>
    <mergeCell ref="R4:S4"/>
    <mergeCell ref="V4:W4"/>
    <mergeCell ref="A47:B47"/>
    <mergeCell ref="A4:A5"/>
    <mergeCell ref="B4:B5"/>
    <mergeCell ref="C4:C5"/>
    <mergeCell ref="T4:T5"/>
    <mergeCell ref="U4:U5"/>
    <mergeCell ref="X4:X5"/>
    <mergeCell ref="Y4:Y5"/>
  </mergeCells>
  <pageMargins left="0.7" right="0.7" top="0.75" bottom="0.75" header="0.3" footer="0.3"/>
  <pageSetup paperSize="8" scale="67" fitToHeight="0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刘卓</dc:creator>
  <cp:lastModifiedBy>陈江波</cp:lastModifiedBy>
  <dcterms:created xsi:type="dcterms:W3CDTF">2023-05-12T19:15:00Z</dcterms:created>
  <dcterms:modified xsi:type="dcterms:W3CDTF">2026-03-30T15:57:21Z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7BF2766F86D30D8AE12CCA6937D859CC_43</vt:lpwstr>
  </property>
  <property fmtid="{D5CDD505-2E9C-101B-9397-08002B2CF9AE}" pid="4" name="CalculationRule">
    <vt:i4>0</vt:i4>
  </property>
</Properties>
</file>