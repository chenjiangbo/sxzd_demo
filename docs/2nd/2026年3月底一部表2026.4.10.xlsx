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表一" sheetId="1" r:id="rId1"/>
    <sheet name="表二" sheetId="2" r:id="rId2"/>
    <sheet name="表三" sheetId="4" r:id="rId3"/>
    <sheet name="表四" sheetId="5" r:id="rId4"/>
    <sheet name="表五" sheetId="3" r:id="rId5"/>
    <sheet name="表六" sheetId="6" state="hidden" r:id="rId6"/>
    <sheet name="2026年月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<sst xmlns="http://schemas.openxmlformats.org/spreadsheetml/2006/main" count="559" uniqueCount="300">
  <si>
    <t>表一：省再担保公司再担保代偿补偿情况统计表（按机构分类）</t>
  </si>
  <si>
    <t>单位：笔、万元</t>
  </si>
  <si>
    <t xml:space="preserve">                                     年度                                合作机构名称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</si>
  <si>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</si>
  <si>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</si>
  <si>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</si>
  <si>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</si>
  <si>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</si>
  <si>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</si>
  <si>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</si>
  <si>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</si>
  <si>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合计</t>
  </si>
  <si>
    <t>项目数量</t>
  </si>
  <si>
    <t>补偿金额</t>
  </si>
  <si>
    <t>宝鸡市中小企业融资担保有限公司</t>
  </si>
  <si>
    <t>安康市财信融资担保有限公司</t>
  </si>
  <si>
    <t>西安创新融资担保有限公司</t>
  </si>
  <si>
    <t>咸阳市融资担保股份有限公司</t>
  </si>
  <si>
    <t>汉中市资信融资担保有限公司</t>
  </si>
  <si>
    <t>商洛市融资担保有限公司</t>
  </si>
  <si>
    <t>西安投融资担保有限公司</t>
  </si>
  <si>
    <t>咸阳市企业融资担保有限公司</t>
  </si>
  <si>
    <t>榆林市中小企业融资担保但有限责任公司</t>
  </si>
  <si>
    <t>延安市中小企业融资担保有限责任公司</t>
  </si>
  <si>
    <t>西安曲江文化产业融资担保有限公司</t>
  </si>
  <si>
    <t>杨凌农科融资融资担保有限公司</t>
  </si>
  <si>
    <t>神木市融资担保集团有限公司</t>
  </si>
  <si>
    <t>渭南市公信融资担保有限公司</t>
  </si>
  <si>
    <t>子长市中小企业融资担保有限责任公司</t>
  </si>
  <si>
    <t>西安市高陵区三阳融资担保有限公司</t>
  </si>
  <si>
    <t>佳县中小企业融资担保有限责任公司</t>
  </si>
  <si>
    <t>西安财金融资担保有限公司</t>
  </si>
  <si>
    <t>黄陵县中小企业融资担保有限公司</t>
  </si>
  <si>
    <t>白水县裕昆融资担保有限公司</t>
  </si>
  <si>
    <t>陕西文化融资担保有限公司</t>
  </si>
  <si>
    <t>西安小微企业融资担保有限公司</t>
  </si>
  <si>
    <t>铜川财创融资担保集团有限公司</t>
  </si>
  <si>
    <t>西安航天基地融资担保有限公司</t>
  </si>
  <si>
    <t>蒲城县金财融资担保有限公司</t>
  </si>
  <si>
    <t>西安浐灞融资担保有限公司</t>
  </si>
  <si>
    <t>西咸新区融资担保有限公司</t>
  </si>
  <si>
    <t xml:space="preserve">备注：1.合作担保机构按累计再担保代偿补偿规模降序排列；2.上述业务数据包含常规业务和国担银担“总对总”批量担保业务。                                                                                                                                                                    </t>
  </si>
  <si>
    <t>制表部门：业务一部</t>
  </si>
  <si>
    <t>制表时间：2026年4月9日</t>
  </si>
  <si>
    <t xml:space="preserve"> </t>
  </si>
  <si>
    <t>表二：省再担保公司再担保代偿补偿情况统计表（2026年3月）</t>
  </si>
  <si>
    <t>单位：万元、%</t>
  </si>
  <si>
    <t xml:space="preserve">         指标         年度</t>
  </si>
  <si>
    <t>备案业务规模</t>
  </si>
  <si>
    <t>备案项目个数</t>
  </si>
  <si>
    <t>补偿申报个数</t>
  </si>
  <si>
    <t>不补偿项目个数</t>
  </si>
  <si>
    <t>补偿项目个数</t>
  </si>
  <si>
    <t>省再担保补偿金额</t>
  </si>
  <si>
    <t>国担补偿金额</t>
  </si>
  <si>
    <t>再担保代偿率</t>
  </si>
  <si>
    <t>合作业务代偿率</t>
  </si>
  <si>
    <t>解保规模</t>
  </si>
  <si>
    <t>代偿解保债务人未清偿本金</t>
  </si>
  <si>
    <t>已代偿补偿项目未清偿本金</t>
  </si>
  <si>
    <t>2018年</t>
  </si>
  <si>
    <t>-</t>
  </si>
  <si>
    <t xml:space="preserve">备注：上述业务数据包含常规业务和国担银担“总对总”批量担保业务。 </t>
  </si>
  <si>
    <t>制表时间：2026年4月8日</t>
  </si>
  <si>
    <t>代偿率计算公式：</t>
  </si>
  <si>
    <t>代偿本金/解除担保责任金额</t>
  </si>
  <si>
    <t>解除担保责任金额计算：</t>
  </si>
  <si>
    <r>
      <rPr>
        <b/>
        <sz val="22"/>
        <color theme="1"/>
        <rFont val="宋体"/>
        <charset val="134"/>
      </rPr>
      <t xml:space="preserve">表三：省再担保公司累计再担保代偿补偿情况统计表(2026年3月)
</t>
    </r>
    <r>
      <rPr>
        <sz val="14"/>
        <color rgb="FF000000"/>
        <rFont val="宋体"/>
        <charset val="134"/>
      </rPr>
      <t>（截止2026.3.31）</t>
    </r>
  </si>
  <si>
    <t>总解保</t>
  </si>
  <si>
    <t>代偿解保未清偿本金</t>
  </si>
  <si>
    <t>代偿补偿项目未清偿本金</t>
  </si>
  <si>
    <r>
      <rPr>
        <b/>
        <sz val="11"/>
        <color theme="1"/>
        <rFont val="宋体"/>
        <charset val="134"/>
      </rPr>
      <t xml:space="preserve">         指标       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宋体"/>
        <charset val="134"/>
      </rPr>
      <t>类别</t>
    </r>
  </si>
  <si>
    <t>解除担保责任金额</t>
  </si>
  <si>
    <t>解除再担保责任金额</t>
  </si>
  <si>
    <t>合作业务代偿规模</t>
  </si>
  <si>
    <t>合作业务代偿金额</t>
  </si>
  <si>
    <t>代偿补偿业务本金</t>
  </si>
  <si>
    <t>解除再担保责任规模</t>
  </si>
  <si>
    <t>代偿补偿本金</t>
  </si>
  <si>
    <t>银行分险业务</t>
  </si>
  <si>
    <t>非银行分险业务</t>
  </si>
  <si>
    <t>总对总</t>
  </si>
  <si>
    <t>非银但</t>
  </si>
  <si>
    <t>制表日期：2026年4月8日</t>
  </si>
  <si>
    <t xml:space="preserve">分险 </t>
  </si>
  <si>
    <r>
      <rPr>
        <b/>
        <sz val="22"/>
        <color theme="1"/>
        <rFont val="宋体"/>
        <charset val="134"/>
      </rPr>
      <t xml:space="preserve">表四：省再担保公司累计再担保代偿补偿情况统计表(2025年12月)
</t>
    </r>
    <r>
      <rPr>
        <sz val="14"/>
        <color rgb="FF000000"/>
        <rFont val="宋体"/>
        <charset val="134"/>
      </rPr>
      <t>（截止2026.3.31）</t>
    </r>
  </si>
  <si>
    <t>解除担保责任本金</t>
  </si>
  <si>
    <t>解除再担保责任本金</t>
  </si>
  <si>
    <t>合作业务代偿本金</t>
  </si>
  <si>
    <t>代偿规模</t>
  </si>
  <si>
    <t>备案规模</t>
  </si>
  <si>
    <t>国担银担“总对总”</t>
  </si>
  <si>
    <t>常规业务</t>
  </si>
  <si>
    <t>表五：省再担保公司不补偿项目统计表（2025年）</t>
  </si>
  <si>
    <t>单位：万元</t>
  </si>
  <si>
    <t>年度</t>
  </si>
  <si>
    <t>序号</t>
  </si>
  <si>
    <t>项目名称</t>
  </si>
  <si>
    <t>产品类型（国担“总对总”、地方版“总对总”、创业担保贷款、常规业务、扶贫开发专项、科技担保专项/国担合作或自营）</t>
  </si>
  <si>
    <t>担保机构名称</t>
  </si>
  <si>
    <t>合作银行</t>
  </si>
  <si>
    <t>担保金额</t>
  </si>
  <si>
    <t>再担保分险比例</t>
  </si>
  <si>
    <t>申报日期</t>
  </si>
  <si>
    <t>退回日期</t>
  </si>
  <si>
    <t>出具不补偿函件日期</t>
  </si>
  <si>
    <t>不补偿原因</t>
  </si>
  <si>
    <t>经办人</t>
  </si>
  <si>
    <t>张军良</t>
  </si>
  <si>
    <t>常规业务/国担合作</t>
  </si>
  <si>
    <t>大荔县启成融资担保有限责任公司</t>
  </si>
  <si>
    <t>农业银行大荔支付</t>
  </si>
  <si>
    <t>2024-08-01</t>
  </si>
  <si>
    <t>2024-09-20</t>
  </si>
  <si>
    <t>2024-09-29</t>
  </si>
  <si>
    <t>超过主债权到期日起180日进行解保操作</t>
  </si>
  <si>
    <t>贾战强</t>
  </si>
  <si>
    <t>西安航特弘建筑工程有限公司</t>
  </si>
  <si>
    <t>建设银行安康分行</t>
  </si>
  <si>
    <t>2024-06-29</t>
  </si>
  <si>
    <t>2024-09-19</t>
  </si>
  <si>
    <t>陕西华银科技股份有限公司</t>
  </si>
  <si>
    <t>长安银行安康分行</t>
  </si>
  <si>
    <t>2024-03-18</t>
  </si>
  <si>
    <t>2024-06-13</t>
  </si>
  <si>
    <t>2024-07-16</t>
  </si>
  <si>
    <t>代偿支付路径错误</t>
  </si>
  <si>
    <t>任东海</t>
  </si>
  <si>
    <t>常规业务/自营</t>
  </si>
  <si>
    <t>西安莲湖信用融资担保有限公司</t>
  </si>
  <si>
    <t>长安银行碑林支行</t>
  </si>
  <si>
    <t>2024-03-35</t>
  </si>
  <si>
    <t>备案时莲湖担保已不具备合作主体资格</t>
  </si>
  <si>
    <t>郭兴峰</t>
  </si>
  <si>
    <t>地方版“总对总”/国担合作</t>
  </si>
  <si>
    <t>神木农商行</t>
  </si>
  <si>
    <t>2024-07-03</t>
  </si>
  <si>
    <t>2024-08-06</t>
  </si>
  <si>
    <t>2024-09-13</t>
  </si>
  <si>
    <t>借款用途与再担保业务备案实际情况不符</t>
  </si>
  <si>
    <t>钟颖</t>
  </si>
  <si>
    <t>陕西钰嘉尚品家居有限公司</t>
  </si>
  <si>
    <t>商洛阳光村镇银行</t>
  </si>
  <si>
    <t>2024-08-02</t>
  </si>
  <si>
    <t>2024-09-11</t>
  </si>
  <si>
    <t>2024-09-27</t>
  </si>
  <si>
    <t>王信炉</t>
  </si>
  <si>
    <t>王耐厚</t>
  </si>
  <si>
    <t>2024-06-26</t>
  </si>
  <si>
    <t>2024-08-27</t>
  </si>
  <si>
    <t>补充材料时间超过15日。</t>
  </si>
  <si>
    <t>张欣</t>
  </si>
  <si>
    <t>2024-07-25</t>
  </si>
  <si>
    <t>2024-08-16</t>
  </si>
  <si>
    <t>借款用途为非生产经营</t>
  </si>
  <si>
    <t>刘卓</t>
  </si>
  <si>
    <t>蔡星星</t>
  </si>
  <si>
    <t>长安银行西安分行</t>
  </si>
  <si>
    <t>2024-08-29</t>
  </si>
  <si>
    <t>王小蕊</t>
  </si>
  <si>
    <t>2024-08-13</t>
  </si>
  <si>
    <t>吴进虎</t>
  </si>
  <si>
    <t>西安冶卓装饰工程有限公司</t>
  </si>
  <si>
    <t>建设银行陕西分行</t>
  </si>
  <si>
    <t>补充材料时间超过15日</t>
  </si>
  <si>
    <t>张翔</t>
  </si>
  <si>
    <t>西安银行新城支行</t>
  </si>
  <si>
    <t>朱苟平</t>
  </si>
  <si>
    <t>长安银行新城支行</t>
  </si>
  <si>
    <t>朱少仙</t>
  </si>
  <si>
    <t>姜宏</t>
  </si>
  <si>
    <t>长安银行曲江支行</t>
  </si>
  <si>
    <t>2024-10-17</t>
  </si>
  <si>
    <t>2024-10-25</t>
  </si>
  <si>
    <t>2024-10-31</t>
  </si>
  <si>
    <t>首笔备案为风险化解</t>
  </si>
  <si>
    <t>维克托阀门集团有限公司</t>
  </si>
  <si>
    <t>陕西长安融资担保股份有限公司</t>
  </si>
  <si>
    <t>长安银行高陵支行</t>
  </si>
  <si>
    <t>2024-10-16</t>
  </si>
  <si>
    <t>2024-10-28</t>
  </si>
  <si>
    <t>超过代偿上限</t>
  </si>
  <si>
    <t>孙伟</t>
  </si>
  <si>
    <t>西安长安新华村镇银行</t>
  </si>
  <si>
    <t>2024-09-18</t>
  </si>
  <si>
    <t>2024-11-15</t>
  </si>
  <si>
    <t>陕西达力健生物科技有限公司</t>
  </si>
  <si>
    <t>秦农银行高新支行</t>
  </si>
  <si>
    <t>借款用途为非生产经营。</t>
  </si>
  <si>
    <t>陕西洁伦医药生物有限公司</t>
  </si>
  <si>
    <t>兴业银行西安分行</t>
  </si>
  <si>
    <t>2024-11-21</t>
  </si>
  <si>
    <t>2025-01-03</t>
  </si>
  <si>
    <t>2025-01-08</t>
  </si>
  <si>
    <t>陕西锦泽铧泰实业有限公司</t>
  </si>
  <si>
    <t>陕西岐山长银村镇银行有限责任公司</t>
  </si>
  <si>
    <t>2025-04-09</t>
  </si>
  <si>
    <t>2025-05-16</t>
  </si>
  <si>
    <t>2025-05-19</t>
  </si>
  <si>
    <t>超过产品代偿上限代偿</t>
  </si>
  <si>
    <t>田亚莉</t>
  </si>
  <si>
    <t>地方版“总对总”/自营</t>
  </si>
  <si>
    <t>长安银行西安未央区支行</t>
  </si>
  <si>
    <t>2025-02-18</t>
  </si>
  <si>
    <t>向客户收取服务费、保证金</t>
  </si>
  <si>
    <t>乔良</t>
  </si>
  <si>
    <t>中国农业银行股份有限公司/大荔县支行</t>
  </si>
  <si>
    <t>2025-04-17</t>
  </si>
  <si>
    <t>2025-07-11</t>
  </si>
  <si>
    <t>2025-07-18</t>
  </si>
  <si>
    <t>赵会杰</t>
  </si>
  <si>
    <t>铜川巨力工贸有限公司</t>
  </si>
  <si>
    <t>长安银行铜川分行</t>
  </si>
  <si>
    <t>2025-05-27</t>
  </si>
  <si>
    <t>2025-07-24</t>
  </si>
  <si>
    <t>首笔备案为归还转贷资金</t>
  </si>
  <si>
    <t>陕西丽鑫物业管理有限公司</t>
  </si>
  <si>
    <t>北京银行股份有限公司西安分行</t>
  </si>
  <si>
    <t>2025-03-27</t>
  </si>
  <si>
    <t>2025-09-28</t>
  </si>
  <si>
    <t>2025-10-10</t>
  </si>
  <si>
    <t>陕西兆丰建设工程有限公司</t>
  </si>
  <si>
    <t>浙商银行咸阳分行</t>
  </si>
  <si>
    <t>2025-07-29</t>
  </si>
  <si>
    <t>2025-10-30</t>
  </si>
  <si>
    <t>未按规定执行该项目的保后管理措施</t>
  </si>
  <si>
    <t>陈伟东</t>
  </si>
  <si>
    <t>北京银行西安分行</t>
  </si>
  <si>
    <t>2025-08-27</t>
  </si>
  <si>
    <t>2025-12-3</t>
  </si>
  <si>
    <t>2025-12-03</t>
  </si>
  <si>
    <t>保证合同号与备案信息不一致</t>
  </si>
  <si>
    <t>陕西裕泽毅医疗科技有限公司</t>
  </si>
  <si>
    <t>2025-12-16</t>
  </si>
  <si>
    <t>2025-12-18</t>
  </si>
  <si>
    <t>陕西现代日韩语职业培训学校有限公司</t>
  </si>
  <si>
    <t>陕西秦农农村商业银行高新支行</t>
  </si>
  <si>
    <t>2025-11-20</t>
  </si>
  <si>
    <t>2025-12-19</t>
  </si>
  <si>
    <t>合同信息与备案信息不一致</t>
  </si>
  <si>
    <t>张鹏</t>
  </si>
  <si>
    <t>陕西神木农村商业银行股份有限公司迎宾路分理处</t>
  </si>
  <si>
    <t>2025-12-15</t>
  </si>
  <si>
    <t>徐涛</t>
  </si>
  <si>
    <t>晏荣伟</t>
  </si>
  <si>
    <t>2025-10-21</t>
  </si>
  <si>
    <t>2025-12-17</t>
  </si>
  <si>
    <t>超期解责</t>
  </si>
  <si>
    <t xml:space="preserve">富平县恒瑞农业发展有限公司
</t>
  </si>
  <si>
    <t>创业担保贷款/自营</t>
  </si>
  <si>
    <t xml:space="preserve">渭南市公信融资担保有限公司
</t>
  </si>
  <si>
    <t>富平县农村信用合作联社雷村信用社</t>
  </si>
  <si>
    <t>2025-09-16</t>
  </si>
  <si>
    <t>2026-01-07</t>
  </si>
  <si>
    <t>2026-01-15</t>
  </si>
  <si>
    <t>备案保证合同编号与实际保证合同编号不一致</t>
  </si>
  <si>
    <t>延安鼎禄工贸有限公司</t>
  </si>
  <si>
    <t>中国银行延安分行</t>
  </si>
  <si>
    <t>2025-12-04</t>
  </si>
  <si>
    <t>2026-01-08</t>
  </si>
  <si>
    <t>延安太平洋商贸有限责任公司</t>
  </si>
  <si>
    <t>延安制药股份有限公司</t>
  </si>
  <si>
    <t>中国农业发展银行延安市分行营业部</t>
  </si>
  <si>
    <t>2026-01-30</t>
  </si>
  <si>
    <t>借据、借款合同所示主债权起始日与备案信息不一致</t>
  </si>
  <si>
    <t>简红卫</t>
  </si>
  <si>
    <t>渭南市临渭区农村信用合作联社贸易广场分社</t>
  </si>
  <si>
    <t>2026-02-06</t>
  </si>
  <si>
    <t>2026-02-12</t>
  </si>
  <si>
    <t>未添加共同借款人</t>
  </si>
  <si>
    <t>陕西恒良运鹏建设工程有限公司</t>
  </si>
  <si>
    <t>中国银行商洛分行</t>
  </si>
  <si>
    <t>2026-03-06</t>
  </si>
  <si>
    <t xml:space="preserve">陕西宇斯纳商贸有限公司
</t>
  </si>
  <si>
    <t>中国建设银行西安莲湖路支行</t>
  </si>
  <si>
    <t>2026-01-22</t>
  </si>
  <si>
    <t>2026-03-18</t>
  </si>
  <si>
    <t>2026-03-23</t>
  </si>
  <si>
    <t>吴起浩顺工贸有限责任公司</t>
  </si>
  <si>
    <t>吴起县中小企业融资担保有限责任公司</t>
  </si>
  <si>
    <t>陕西吴起农村合作银行</t>
  </si>
  <si>
    <t>2025-11-19</t>
  </si>
  <si>
    <t>2026-03-26</t>
  </si>
  <si>
    <t>制表部门：业务一部                                                                      制表日期：2026年1月16日</t>
  </si>
  <si>
    <t>表六：省再担保公司再担保代偿补偿情况统计表（2025年月报）</t>
  </si>
  <si>
    <t>2025年1-2月</t>
  </si>
  <si>
    <t>2025年1-3月</t>
  </si>
  <si>
    <t>2025年1-4月</t>
  </si>
  <si>
    <t>2025年1-5月</t>
  </si>
  <si>
    <t>2025年1-6月</t>
  </si>
  <si>
    <t>2025年1-7月</t>
  </si>
  <si>
    <t>2025年1-8月</t>
  </si>
  <si>
    <t>2025年1-9月</t>
  </si>
  <si>
    <t>2025年1-10月</t>
  </si>
  <si>
    <t>2025年1-11月</t>
  </si>
  <si>
    <t>2025年1-12月</t>
  </si>
  <si>
    <t>制表时间：2026年1月15日</t>
  </si>
  <si>
    <t>表六：省再担保公司再担保代偿补偿情况统计表（2026年月报）</t>
  </si>
  <si>
    <t>2026年1-3月</t>
  </si>
  <si>
    <t>制表时间：2026年4月3日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</si>
</sst>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</numFmts>
  <fonts count="4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0" tint="-0.25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 tint="-0.25"/>
      <name val="宋体"/>
      <charset val="134"/>
    </font>
    <font>
      <sz val="11"/>
      <name val="宋体"/>
      <charset val="134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"/>
      <color rgb="FF000000"/>
      <name val="微软雅黑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69D89"/>
      </left>
      <right style="medium">
        <color rgb="FFB69D89"/>
      </right>
      <top style="medium">
        <color rgb="FFB69D89"/>
      </top>
      <bottom style="medium">
        <color rgb="FFB69D89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8" applyNumberFormat="0" applyAlignment="0" applyProtection="0">
      <alignment vertical="center"/>
    </xf>
    <xf numFmtId="0" fontId="30" fillId="7" borderId="19" applyNumberFormat="0" applyAlignment="0" applyProtection="0">
      <alignment vertical="center"/>
    </xf>
    <xf numFmtId="0" fontId="31" fillId="7" borderId="18" applyNumberFormat="0" applyAlignment="0" applyProtection="0">
      <alignment vertical="center"/>
    </xf>
    <xf numFmtId="0" fontId="32" fillId="8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57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49">
      <alignment vertical="center"/>
    </xf>
    <xf numFmtId="0" fontId="4" fillId="0" borderId="0" xfId="49" applyFont="1" applyFill="1">
      <alignment vertical="center"/>
    </xf>
    <xf numFmtId="0" fontId="0" fillId="0" borderId="0" xfId="0" applyAlignment="1">
      <alignment vertical="center"/>
    </xf>
    <xf numFmtId="49" fontId="0" fillId="0" borderId="0" xfId="49" applyNumberFormat="1">
      <alignment vertical="center"/>
    </xf>
    <xf numFmtId="0" fontId="5" fillId="0" borderId="0" xfId="49" applyFont="1" applyBorder="1" applyAlignment="1">
      <alignment horizontal="center" vertical="center"/>
    </xf>
    <xf numFmtId="0" fontId="0" fillId="0" borderId="0" xfId="49" applyFont="1" applyBorder="1" applyAlignment="1">
      <alignment horizontal="right" vertical="center"/>
    </xf>
    <xf numFmtId="0" fontId="0" fillId="0" borderId="0" xfId="49" applyFont="1" applyAlignment="1">
      <alignment horizontal="right" vertical="center"/>
    </xf>
    <xf numFmtId="0" fontId="3" fillId="0" borderId="1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49" fontId="3" fillId="0" borderId="1" xfId="49" applyNumberFormat="1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left" vertical="center"/>
    </xf>
    <xf numFmtId="9" fontId="2" fillId="0" borderId="1" xfId="49" applyNumberFormat="1" applyFont="1" applyBorder="1" applyAlignment="1">
      <alignment horizontal="center" vertical="center"/>
    </xf>
    <xf numFmtId="176" fontId="2" fillId="0" borderId="1" xfId="49" applyNumberFormat="1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49" applyBorder="1">
      <alignment vertical="center"/>
    </xf>
    <xf numFmtId="0" fontId="7" fillId="2" borderId="1" xfId="49" applyFont="1" applyFill="1" applyBorder="1" applyAlignment="1">
      <alignment horizontal="center" vertical="center"/>
    </xf>
    <xf numFmtId="0" fontId="7" fillId="2" borderId="1" xfId="49" applyFont="1" applyFill="1" applyBorder="1" applyAlignment="1">
      <alignment horizontal="left" vertical="center"/>
    </xf>
    <xf numFmtId="0" fontId="8" fillId="2" borderId="1" xfId="49" applyFont="1" applyFill="1" applyBorder="1" applyAlignment="1">
      <alignment horizontal="left" vertical="center"/>
    </xf>
    <xf numFmtId="9" fontId="7" fillId="2" borderId="1" xfId="49" applyNumberFormat="1" applyFont="1" applyFill="1" applyBorder="1" applyAlignment="1">
      <alignment horizontal="center" vertical="center"/>
    </xf>
    <xf numFmtId="176" fontId="7" fillId="2" borderId="1" xfId="49" applyNumberFormat="1" applyFont="1" applyFill="1" applyBorder="1" applyAlignment="1">
      <alignment horizontal="center" vertical="center"/>
    </xf>
    <xf numFmtId="49" fontId="7" fillId="2" borderId="1" xfId="49" applyNumberFormat="1" applyFont="1" applyFill="1" applyBorder="1" applyAlignment="1">
      <alignment horizontal="center" vertical="center"/>
    </xf>
    <xf numFmtId="0" fontId="4" fillId="2" borderId="1" xfId="49" applyFont="1" applyFill="1" applyBorder="1">
      <alignment vertical="center"/>
    </xf>
    <xf numFmtId="0" fontId="9" fillId="0" borderId="1" xfId="0" applyFont="1" applyFill="1" applyBorder="1" applyAlignment="1">
      <alignment horizontal="justify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justify" vertical="center"/>
    </xf>
    <xf numFmtId="0" fontId="10" fillId="0" borderId="4" xfId="0" applyFont="1" applyBorder="1" applyAlignment="1">
      <alignment horizontal="left" vertical="center"/>
    </xf>
    <xf numFmtId="9" fontId="10" fillId="0" borderId="4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justify" vertical="center"/>
    </xf>
    <xf numFmtId="0" fontId="10" fillId="0" borderId="4" xfId="0" applyFont="1" applyBorder="1">
      <alignment vertical="center"/>
    </xf>
    <xf numFmtId="14" fontId="10" fillId="0" borderId="4" xfId="0" applyNumberFormat="1" applyFont="1" applyBorder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justify" vertical="center"/>
    </xf>
    <xf numFmtId="0" fontId="2" fillId="0" borderId="0" xfId="49" applyFont="1" applyAlignment="1">
      <alignment horizontal="left" vertical="center"/>
    </xf>
    <xf numFmtId="9" fontId="2" fillId="0" borderId="0" xfId="49" applyNumberFormat="1" applyFont="1" applyAlignment="1">
      <alignment horizontal="center" vertical="center"/>
    </xf>
    <xf numFmtId="176" fontId="2" fillId="0" borderId="0" xfId="49" applyNumberFormat="1" applyFont="1" applyAlignment="1">
      <alignment horizontal="center" vertical="center"/>
    </xf>
    <xf numFmtId="49" fontId="2" fillId="0" borderId="0" xfId="49" applyNumberFormat="1" applyFont="1" applyAlignment="1">
      <alignment horizontal="center" vertical="center"/>
    </xf>
    <xf numFmtId="0" fontId="10" fillId="0" borderId="1" xfId="49" applyFont="1" applyBorder="1" applyAlignment="1">
      <alignment horizontal="center" vertical="center" wrapText="1"/>
    </xf>
    <xf numFmtId="0" fontId="10" fillId="0" borderId="1" xfId="49" applyFont="1" applyBorder="1" applyAlignment="1">
      <alignment horizontal="center" vertical="center"/>
    </xf>
    <xf numFmtId="49" fontId="10" fillId="0" borderId="1" xfId="49" applyNumberFormat="1" applyFont="1" applyBorder="1" applyAlignment="1">
      <alignment horizontal="center" vertical="center"/>
    </xf>
    <xf numFmtId="0" fontId="10" fillId="0" borderId="1" xfId="49" applyFont="1" applyBorder="1" applyAlignment="1">
      <alignment horizontal="left" vertical="center"/>
    </xf>
    <xf numFmtId="0" fontId="2" fillId="0" borderId="1" xfId="49" applyFont="1" applyBorder="1" applyAlignment="1">
      <alignment horizontal="justify" vertical="center"/>
    </xf>
    <xf numFmtId="0" fontId="10" fillId="0" borderId="1" xfId="49" applyFont="1" applyBorder="1" applyAlignment="1">
      <alignment horizontal="justify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 applyProtection="1">
      <alignment horizontal="center" vertical="center"/>
    </xf>
    <xf numFmtId="4" fontId="12" fillId="0" borderId="0" xfId="0" applyNumberFormat="1" applyFont="1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 wrapText="1"/>
    </xf>
    <xf numFmtId="4" fontId="12" fillId="0" borderId="5" xfId="0" applyNumberFormat="1" applyFont="1" applyFill="1" applyBorder="1" applyAlignment="1">
      <alignment horizontal="right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 vertical="center"/>
    </xf>
    <xf numFmtId="0" fontId="0" fillId="0" borderId="6" xfId="0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4" fontId="13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10" fontId="14" fillId="0" borderId="0" xfId="0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4" fontId="2" fillId="0" borderId="2" xfId="0" applyNumberFormat="1" applyFont="1" applyFill="1" applyBorder="1" applyAlignment="1">
      <alignment horizontal="center" vertical="center"/>
    </xf>
    <xf numFmtId="4" fontId="0" fillId="0" borderId="0" xfId="0" applyNumberFormat="1" applyFill="1" applyBorder="1" applyAlignment="1">
      <alignment vertical="center"/>
    </xf>
    <xf numFmtId="4" fontId="15" fillId="0" borderId="0" xfId="0" applyNumberFormat="1" applyFont="1" applyFill="1" applyBorder="1" applyAlignment="1">
      <alignment vertical="center"/>
    </xf>
    <xf numFmtId="4" fontId="12" fillId="0" borderId="5" xfId="0" applyNumberFormat="1" applyFont="1" applyBorder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/>
    </xf>
    <xf numFmtId="1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57" fontId="2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0" fontId="17" fillId="3" borderId="1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77" fontId="19" fillId="3" borderId="1" xfId="0" applyNumberFormat="1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27940</xdr:colOff>
      <xdr:row>2</xdr:row>
      <xdr:rowOff>19685</xdr:rowOff>
    </xdr:from>
    <xdr:to>
      <xdr:col>1</xdr:col>
      <xdr:colOff>2846705</xdr:colOff>
      <xdr:row>3</xdr:row>
      <xdr:rowOff>263525</xdr:rowOff>
    </xdr:to>
    <xdr:cxnSp>
      <xdr:nvCxnSpPr>
        <xdr:cNvPr id="2" name="直接连接符 1"/>
        <xdr:cNvCxnSpPr/>
      </xdr:nvCxnSpPr>
      <xdr:spPr>
        <a:xfrm>
          <a:off x="27940" y="984250"/>
          <a:ext cx="3390265" cy="52260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3810</xdr:rowOff>
    </xdr:from>
    <xdr:to>
      <xdr:col>0</xdr:col>
      <xdr:colOff>1748790</xdr:colOff>
      <xdr:row>2</xdr:row>
      <xdr:rowOff>461010</xdr:rowOff>
    </xdr:to>
    <xdr:cxnSp>
      <xdr:nvCxnSpPr>
        <xdr:cNvPr id="3" name="直接连接符 2"/>
        <xdr:cNvCxnSpPr/>
      </xdr:nvCxnSpPr>
      <xdr:spPr>
        <a:xfrm>
          <a:off x="0" y="754380"/>
          <a:ext cx="1748790" cy="4572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17780</xdr:colOff>
      <xdr:row>2</xdr:row>
      <xdr:rowOff>9525</xdr:rowOff>
    </xdr:from>
    <xdr:to>
      <xdr:col>0</xdr:col>
      <xdr:colOff>1122680</xdr:colOff>
      <xdr:row>2</xdr:row>
      <xdr:rowOff>466725</xdr:rowOff>
    </xdr:to>
    <xdr:cxnSp>
      <xdr:nvCxnSpPr>
        <xdr:cNvPr id="2" name="直接连接符 1"/>
        <xdr:cNvCxnSpPr/>
      </xdr:nvCxnSpPr>
      <xdr:spPr>
        <a:xfrm>
          <a:off x="17780" y="1331595"/>
          <a:ext cx="1104900" cy="45720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17780</xdr:colOff>
      <xdr:row>2</xdr:row>
      <xdr:rowOff>9525</xdr:rowOff>
    </xdr:from>
    <xdr:to>
      <xdr:col>0</xdr:col>
      <xdr:colOff>1122680</xdr:colOff>
      <xdr:row>2</xdr:row>
      <xdr:rowOff>466725</xdr:rowOff>
    </xdr:to>
    <xdr:cxnSp>
      <xdr:nvCxnSpPr>
        <xdr:cNvPr id="2" name="直接连接符 1"/>
        <xdr:cNvCxnSpPr/>
      </xdr:nvCxnSpPr>
      <xdr:spPr>
        <a:xfrm>
          <a:off x="17780" y="1331595"/>
          <a:ext cx="1104900" cy="45720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3810</xdr:rowOff>
    </xdr:from>
    <xdr:to>
      <xdr:col>0</xdr:col>
      <xdr:colOff>1748790</xdr:colOff>
      <xdr:row>2</xdr:row>
      <xdr:rowOff>461010</xdr:rowOff>
    </xdr:to>
    <xdr:cxnSp>
      <xdr:nvCxnSpPr>
        <xdr:cNvPr id="2" name="直接连接符 1"/>
        <xdr:cNvCxnSpPr/>
      </xdr:nvCxnSpPr>
      <xdr:spPr>
        <a:xfrm>
          <a:off x="0" y="754380"/>
          <a:ext cx="1748790" cy="4572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3810</xdr:rowOff>
    </xdr:from>
    <xdr:to>
      <xdr:col>0</xdr:col>
      <xdr:colOff>1748790</xdr:colOff>
      <xdr:row>2</xdr:row>
      <xdr:rowOff>461010</xdr:rowOff>
    </xdr:to>
    <xdr:cxnSp>
      <xdr:nvCxnSpPr>
        <xdr:cNvPr id="2" name="直接连接符 1"/>
        <xdr:cNvCxnSpPr/>
      </xdr:nvCxnSpPr>
      <xdr:spPr>
        <a:xfrm>
          <a:off x="0" y="518160"/>
          <a:ext cx="1485900" cy="33909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abSelected="1" topLeftCell="C11" workbookViewId="0">
      <selection activeCell="N32" sqref="N32"/>
    </sheetView>
  </sheetViews>
  <sheetFormatPr defaultColWidth="9" defaultRowHeight="13.5"/>
  <cols>
    <col min="1" max="1" width="7.5" style="12" customWidth="1"/>
    <col min="2" max="2" width="41.6333333333333" style="12" customWidth="1"/>
    <col min="3" max="20" width="11.7583333333333" style="12" customWidth="1"/>
    <col min="21" max="16378" width="9" style="12"/>
  </cols>
  <sheetData>
    <row r="1" s="12" customFormat="1" ht="54" customHeight="1" spans="1:20">
      <c r="A1" s="6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="12" customFormat="1" ht="21.95" customHeight="1" spans="1:2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="12" customFormat="1" ht="21.95" customHeight="1" spans="1:20">
      <c r="A3" s="88" t="s">
        <v>2</v>
      </c>
      <c r="B3" s="89"/>
      <c r="C3" s="90" t="s">
        <v>3</v>
      </c>
      <c r="D3" s="90"/>
      <c r="E3" s="90" t="s">
        <v>4</v>
      </c>
      <c r="F3" s="90"/>
      <c r="G3" s="90" t="s">
        <v>5</v>
      </c>
      <c r="H3" s="90"/>
      <c r="I3" s="90" t="s">
        <v>6</v>
      </c>
      <c r="J3" s="90"/>
      <c r="K3" s="90" t="s">
        <v>7</v>
      </c>
      <c r="L3" s="90"/>
      <c r="M3" s="91" t="s">
        <v>8</v>
      </c>
      <c r="N3" s="92"/>
      <c r="O3" s="93" t="s">
        <v>9</v>
      </c>
      <c r="P3" s="92"/>
      <c r="Q3" s="93" t="s">
        <v>10</v>
      </c>
      <c r="R3" s="92"/>
      <c r="S3" s="90" t="s">
        <v>11</v>
      </c>
      <c r="T3" s="90"/>
    </row>
    <row r="4" s="12" customFormat="1" ht="21.95" customHeight="1" spans="1:20">
      <c r="A4" s="94"/>
      <c r="B4" s="95"/>
      <c r="C4" s="96" t="s">
        <v>12</v>
      </c>
      <c r="D4" s="96" t="s">
        <v>13</v>
      </c>
      <c r="E4" s="96" t="s">
        <v>12</v>
      </c>
      <c r="F4" s="96" t="s">
        <v>13</v>
      </c>
      <c r="G4" s="96" t="s">
        <v>12</v>
      </c>
      <c r="H4" s="96" t="s">
        <v>13</v>
      </c>
      <c r="I4" s="96" t="s">
        <v>12</v>
      </c>
      <c r="J4" s="96" t="s">
        <v>13</v>
      </c>
      <c r="K4" s="96" t="s">
        <v>12</v>
      </c>
      <c r="L4" s="96" t="s">
        <v>13</v>
      </c>
      <c r="M4" s="96" t="s">
        <v>12</v>
      </c>
      <c r="N4" s="96" t="s">
        <v>13</v>
      </c>
      <c r="O4" s="96" t="s">
        <v>12</v>
      </c>
      <c r="P4" s="96" t="s">
        <v>13</v>
      </c>
      <c r="Q4" s="96" t="s">
        <v>12</v>
      </c>
      <c r="R4" s="96" t="s">
        <v>13</v>
      </c>
      <c r="S4" s="96" t="s">
        <v>12</v>
      </c>
      <c r="T4" s="96" t="s">
        <v>13</v>
      </c>
    </row>
    <row r="5" s="12" customFormat="1" ht="21.95" customHeight="1" spans="1:20">
      <c r="A5" s="97">
        <v>1</v>
      </c>
      <c r="B5" s="97" t="s">
        <v>14</v>
      </c>
      <c r="C5" s="97">
        <v>2</v>
      </c>
      <c r="D5" s="97">
        <v>89.17</v>
      </c>
      <c r="E5" s="97">
        <v>2</v>
      </c>
      <c r="F5" s="97">
        <v>414.2</v>
      </c>
      <c r="G5" s="97">
        <v>2</v>
      </c>
      <c r="H5" s="97">
        <v>67.16</v>
      </c>
      <c r="I5" s="97">
        <v>1</v>
      </c>
      <c r="J5" s="97">
        <v>131.16</v>
      </c>
      <c r="K5" s="97">
        <v>10</v>
      </c>
      <c r="L5" s="97">
        <v>870.54</v>
      </c>
      <c r="M5" s="97">
        <v>33</v>
      </c>
      <c r="N5" s="97">
        <v>2922.19</v>
      </c>
      <c r="O5" s="97">
        <v>12</v>
      </c>
      <c r="P5" s="97">
        <v>938.2</v>
      </c>
      <c r="Q5" s="97">
        <v>5</v>
      </c>
      <c r="R5" s="97">
        <v>158.89</v>
      </c>
      <c r="S5" s="96">
        <f>M5+K5+I5+G5+E5+C5+O5+Q5</f>
        <v>67</v>
      </c>
      <c r="T5" s="98">
        <f>D5+F5+H5+J5+L5+N5+P5+R5</f>
        <v>5591.51</v>
      </c>
    </row>
    <row r="6" s="12" customFormat="1" ht="21.95" customHeight="1" spans="1:20">
      <c r="A6" s="97">
        <v>2</v>
      </c>
      <c r="B6" s="97" t="s">
        <v>15</v>
      </c>
      <c r="C6" s="97">
        <v>1</v>
      </c>
      <c r="D6" s="97">
        <v>20.51</v>
      </c>
      <c r="E6" s="97">
        <v>5</v>
      </c>
      <c r="F6" s="97">
        <v>349.5</v>
      </c>
      <c r="G6" s="97">
        <v>7</v>
      </c>
      <c r="H6" s="97">
        <v>894.69</v>
      </c>
      <c r="I6" s="97">
        <v>10</v>
      </c>
      <c r="J6" s="97">
        <v>1494.45</v>
      </c>
      <c r="K6" s="97">
        <v>6</v>
      </c>
      <c r="L6" s="97">
        <v>483.94</v>
      </c>
      <c r="M6" s="97">
        <v>32</v>
      </c>
      <c r="N6" s="97">
        <v>1828.6</v>
      </c>
      <c r="O6" s="99">
        <v>17</v>
      </c>
      <c r="P6" s="100">
        <v>2459.423953</v>
      </c>
      <c r="Q6" s="97">
        <v>3</v>
      </c>
      <c r="R6" s="97">
        <v>504</v>
      </c>
      <c r="S6" s="96">
        <f t="shared" ref="S6:S32" si="0">M6+K6+I6+G6+E6+C6+O6+Q6</f>
        <v>81</v>
      </c>
      <c r="T6" s="98">
        <f t="shared" ref="T6:T32" si="1">D6+F6+H6+J6+L6+N6+P6+R6</f>
        <v>8035.113953</v>
      </c>
    </row>
    <row r="7" s="12" customFormat="1" ht="21.95" customHeight="1" spans="1:20">
      <c r="A7" s="97">
        <v>3</v>
      </c>
      <c r="B7" s="97" t="s">
        <v>16</v>
      </c>
      <c r="C7" s="97">
        <v>1</v>
      </c>
      <c r="D7" s="97">
        <v>80.4</v>
      </c>
      <c r="E7" s="97">
        <v>1</v>
      </c>
      <c r="F7" s="97">
        <v>201.9</v>
      </c>
      <c r="G7" s="97">
        <v>1</v>
      </c>
      <c r="H7" s="97">
        <v>80.45</v>
      </c>
      <c r="I7" s="97">
        <v>1</v>
      </c>
      <c r="J7" s="97">
        <v>160</v>
      </c>
      <c r="K7" s="97">
        <v>2</v>
      </c>
      <c r="L7" s="97">
        <v>133.03</v>
      </c>
      <c r="M7" s="97">
        <v>8</v>
      </c>
      <c r="N7" s="97">
        <v>1129.32</v>
      </c>
      <c r="O7" s="99">
        <v>4</v>
      </c>
      <c r="P7" s="100">
        <v>389.648268</v>
      </c>
      <c r="Q7" s="97">
        <v>0</v>
      </c>
      <c r="R7" s="97">
        <v>0</v>
      </c>
      <c r="S7" s="96">
        <f t="shared" si="0"/>
        <v>18</v>
      </c>
      <c r="T7" s="98">
        <f t="shared" si="1"/>
        <v>2174.748268</v>
      </c>
    </row>
    <row r="8" s="12" customFormat="1" ht="21.95" customHeight="1" spans="1:20">
      <c r="A8" s="97">
        <v>4</v>
      </c>
      <c r="B8" s="97" t="s">
        <v>17</v>
      </c>
      <c r="C8" s="97">
        <v>1</v>
      </c>
      <c r="D8" s="97">
        <v>8.86</v>
      </c>
      <c r="E8" s="97">
        <v>4</v>
      </c>
      <c r="F8" s="97">
        <v>143.21</v>
      </c>
      <c r="G8" s="97">
        <v>1</v>
      </c>
      <c r="H8" s="97">
        <v>49.97</v>
      </c>
      <c r="I8" s="97">
        <v>0</v>
      </c>
      <c r="J8" s="97">
        <v>0</v>
      </c>
      <c r="K8" s="97">
        <v>3</v>
      </c>
      <c r="L8" s="97">
        <v>287.72</v>
      </c>
      <c r="M8" s="97">
        <v>22</v>
      </c>
      <c r="N8" s="97">
        <v>1629.55</v>
      </c>
      <c r="O8" s="97">
        <v>10</v>
      </c>
      <c r="P8" s="97">
        <v>925.06</v>
      </c>
      <c r="Q8" s="97">
        <v>1</v>
      </c>
      <c r="R8" s="97">
        <v>180</v>
      </c>
      <c r="S8" s="96">
        <f t="shared" si="0"/>
        <v>42</v>
      </c>
      <c r="T8" s="98">
        <f t="shared" si="1"/>
        <v>3224.37</v>
      </c>
    </row>
    <row r="9" s="12" customFormat="1" ht="21.95" customHeight="1" spans="1:20">
      <c r="A9" s="97">
        <v>5</v>
      </c>
      <c r="B9" s="97" t="s">
        <v>18</v>
      </c>
      <c r="C9" s="97">
        <v>0</v>
      </c>
      <c r="D9" s="97">
        <v>0</v>
      </c>
      <c r="E9" s="97">
        <v>1</v>
      </c>
      <c r="F9" s="97">
        <v>41.12</v>
      </c>
      <c r="G9" s="97">
        <v>2</v>
      </c>
      <c r="H9" s="97">
        <v>595.06</v>
      </c>
      <c r="I9" s="97">
        <v>2</v>
      </c>
      <c r="J9" s="97">
        <v>315.02</v>
      </c>
      <c r="K9" s="97">
        <v>8</v>
      </c>
      <c r="L9" s="97">
        <v>102.3</v>
      </c>
      <c r="M9" s="97">
        <v>30</v>
      </c>
      <c r="N9" s="97">
        <v>1344.41</v>
      </c>
      <c r="O9" s="99">
        <v>54</v>
      </c>
      <c r="P9" s="100">
        <v>1264.845593</v>
      </c>
      <c r="Q9" s="97">
        <v>17</v>
      </c>
      <c r="R9" s="97">
        <v>239.83</v>
      </c>
      <c r="S9" s="96">
        <f t="shared" si="0"/>
        <v>114</v>
      </c>
      <c r="T9" s="98">
        <f t="shared" si="1"/>
        <v>3902.585593</v>
      </c>
    </row>
    <row r="10" s="12" customFormat="1" ht="21.95" customHeight="1" spans="1:20">
      <c r="A10" s="97">
        <v>6</v>
      </c>
      <c r="B10" s="97" t="s">
        <v>19</v>
      </c>
      <c r="C10" s="97">
        <v>0</v>
      </c>
      <c r="D10" s="97">
        <v>0</v>
      </c>
      <c r="E10" s="97">
        <v>4</v>
      </c>
      <c r="F10" s="97">
        <v>693.52</v>
      </c>
      <c r="G10" s="97">
        <v>1</v>
      </c>
      <c r="H10" s="97">
        <v>185.33</v>
      </c>
      <c r="I10" s="97">
        <v>2</v>
      </c>
      <c r="J10" s="97">
        <v>419.4</v>
      </c>
      <c r="K10" s="97">
        <v>1</v>
      </c>
      <c r="L10" s="97">
        <v>144.54</v>
      </c>
      <c r="M10" s="97">
        <v>7</v>
      </c>
      <c r="N10" s="97">
        <v>1062.31</v>
      </c>
      <c r="O10" s="99">
        <v>3</v>
      </c>
      <c r="P10" s="100">
        <v>478.27678</v>
      </c>
      <c r="Q10" s="97">
        <v>0</v>
      </c>
      <c r="R10" s="97">
        <v>0</v>
      </c>
      <c r="S10" s="96">
        <f t="shared" si="0"/>
        <v>18</v>
      </c>
      <c r="T10" s="98">
        <f t="shared" si="1"/>
        <v>2983.37678</v>
      </c>
    </row>
    <row r="11" s="12" customFormat="1" ht="21.95" customHeight="1" spans="1:20">
      <c r="A11" s="97">
        <v>7</v>
      </c>
      <c r="B11" s="97" t="s">
        <v>20</v>
      </c>
      <c r="C11" s="97">
        <v>0</v>
      </c>
      <c r="D11" s="97">
        <v>0</v>
      </c>
      <c r="E11" s="97">
        <v>3</v>
      </c>
      <c r="F11" s="97">
        <v>454.95</v>
      </c>
      <c r="G11" s="97">
        <v>4</v>
      </c>
      <c r="H11" s="97">
        <v>774.29</v>
      </c>
      <c r="I11" s="97">
        <v>390</v>
      </c>
      <c r="J11" s="97">
        <v>1317.71</v>
      </c>
      <c r="K11" s="97">
        <v>1322</v>
      </c>
      <c r="L11" s="97">
        <v>1317.16</v>
      </c>
      <c r="M11" s="97">
        <v>172</v>
      </c>
      <c r="N11" s="97">
        <v>3280.88</v>
      </c>
      <c r="O11" s="99">
        <v>19</v>
      </c>
      <c r="P11" s="100">
        <v>753.498194</v>
      </c>
      <c r="Q11" s="97">
        <v>3</v>
      </c>
      <c r="R11" s="97">
        <v>34</v>
      </c>
      <c r="S11" s="96">
        <f t="shared" si="0"/>
        <v>1913</v>
      </c>
      <c r="T11" s="98">
        <f t="shared" si="1"/>
        <v>7932.488194</v>
      </c>
    </row>
    <row r="12" s="12" customFormat="1" ht="21.95" customHeight="1" spans="1:20">
      <c r="A12" s="97">
        <v>8</v>
      </c>
      <c r="B12" s="97" t="s">
        <v>21</v>
      </c>
      <c r="C12" s="97">
        <v>0</v>
      </c>
      <c r="D12" s="97">
        <v>0</v>
      </c>
      <c r="E12" s="97">
        <v>0</v>
      </c>
      <c r="F12" s="97">
        <v>0</v>
      </c>
      <c r="G12" s="97">
        <v>1</v>
      </c>
      <c r="H12" s="97">
        <v>41.84</v>
      </c>
      <c r="I12" s="97">
        <v>1</v>
      </c>
      <c r="J12" s="97">
        <v>24.56</v>
      </c>
      <c r="K12" s="97">
        <v>0</v>
      </c>
      <c r="L12" s="97">
        <v>0</v>
      </c>
      <c r="M12" s="97">
        <v>0</v>
      </c>
      <c r="N12" s="97"/>
      <c r="O12" s="97">
        <v>0</v>
      </c>
      <c r="P12" s="97">
        <v>0</v>
      </c>
      <c r="Q12" s="97">
        <v>0</v>
      </c>
      <c r="R12" s="97">
        <v>0</v>
      </c>
      <c r="S12" s="96">
        <f t="shared" si="0"/>
        <v>2</v>
      </c>
      <c r="T12" s="98">
        <f t="shared" si="1"/>
        <v>66.4</v>
      </c>
    </row>
    <row r="13" s="12" customFormat="1" ht="21.95" customHeight="1" spans="1:20">
      <c r="A13" s="97">
        <v>9</v>
      </c>
      <c r="B13" s="97" t="s">
        <v>22</v>
      </c>
      <c r="C13" s="97">
        <v>0</v>
      </c>
      <c r="D13" s="97">
        <v>0</v>
      </c>
      <c r="E13" s="97">
        <v>0</v>
      </c>
      <c r="F13" s="97">
        <v>0</v>
      </c>
      <c r="G13" s="97">
        <v>1</v>
      </c>
      <c r="H13" s="97">
        <v>246.96</v>
      </c>
      <c r="I13" s="97">
        <v>0</v>
      </c>
      <c r="J13" s="97">
        <v>0</v>
      </c>
      <c r="K13" s="97">
        <v>13</v>
      </c>
      <c r="L13" s="97">
        <v>189.8</v>
      </c>
      <c r="M13" s="97">
        <v>32</v>
      </c>
      <c r="N13" s="97">
        <v>444.83</v>
      </c>
      <c r="O13" s="99">
        <v>30</v>
      </c>
      <c r="P13" s="100">
        <v>650.032635</v>
      </c>
      <c r="Q13" s="97">
        <v>10</v>
      </c>
      <c r="R13" s="97">
        <v>87.74</v>
      </c>
      <c r="S13" s="96">
        <f t="shared" si="0"/>
        <v>86</v>
      </c>
      <c r="T13" s="98">
        <f t="shared" si="1"/>
        <v>1619.362635</v>
      </c>
    </row>
    <row r="14" s="12" customFormat="1" ht="21.95" customHeight="1" spans="1:20">
      <c r="A14" s="97">
        <v>10</v>
      </c>
      <c r="B14" s="97" t="s">
        <v>23</v>
      </c>
      <c r="C14" s="97">
        <v>0</v>
      </c>
      <c r="D14" s="97">
        <v>0</v>
      </c>
      <c r="E14" s="97">
        <v>0</v>
      </c>
      <c r="F14" s="97">
        <v>0</v>
      </c>
      <c r="G14" s="97">
        <v>1</v>
      </c>
      <c r="H14" s="97">
        <v>113.94</v>
      </c>
      <c r="I14" s="97">
        <v>1</v>
      </c>
      <c r="J14" s="97">
        <v>158.71</v>
      </c>
      <c r="K14" s="97">
        <v>0</v>
      </c>
      <c r="L14" s="97">
        <v>0</v>
      </c>
      <c r="M14" s="97">
        <v>0</v>
      </c>
      <c r="N14" s="97">
        <v>0</v>
      </c>
      <c r="O14" s="97">
        <v>11</v>
      </c>
      <c r="P14" s="97">
        <v>570.73</v>
      </c>
      <c r="Q14" s="97">
        <v>9</v>
      </c>
      <c r="R14" s="97">
        <v>723.92</v>
      </c>
      <c r="S14" s="96">
        <f t="shared" si="0"/>
        <v>22</v>
      </c>
      <c r="T14" s="98">
        <f t="shared" si="1"/>
        <v>1567.3</v>
      </c>
    </row>
    <row r="15" s="12" customFormat="1" ht="21.95" customHeight="1" spans="1:20">
      <c r="A15" s="97">
        <v>11</v>
      </c>
      <c r="B15" s="97" t="s">
        <v>24</v>
      </c>
      <c r="C15" s="97">
        <v>0</v>
      </c>
      <c r="D15" s="97">
        <v>0</v>
      </c>
      <c r="E15" s="97">
        <v>0</v>
      </c>
      <c r="F15" s="97">
        <v>0</v>
      </c>
      <c r="G15" s="97">
        <v>1</v>
      </c>
      <c r="H15" s="97">
        <v>36.57</v>
      </c>
      <c r="I15" s="97">
        <v>9</v>
      </c>
      <c r="J15" s="97">
        <v>137.21</v>
      </c>
      <c r="K15" s="97">
        <v>10</v>
      </c>
      <c r="L15" s="97">
        <v>163.8</v>
      </c>
      <c r="M15" s="97">
        <v>34</v>
      </c>
      <c r="N15" s="97">
        <v>870.03</v>
      </c>
      <c r="O15" s="99">
        <v>37</v>
      </c>
      <c r="P15" s="100">
        <v>479.429529</v>
      </c>
      <c r="Q15" s="97">
        <v>4</v>
      </c>
      <c r="R15" s="97">
        <v>35.25</v>
      </c>
      <c r="S15" s="96">
        <f t="shared" si="0"/>
        <v>95</v>
      </c>
      <c r="T15" s="98">
        <f t="shared" si="1"/>
        <v>1722.289529</v>
      </c>
    </row>
    <row r="16" s="12" customFormat="1" ht="21.95" customHeight="1" spans="1:20">
      <c r="A16" s="97">
        <v>12</v>
      </c>
      <c r="B16" s="97" t="s">
        <v>25</v>
      </c>
      <c r="C16" s="97">
        <v>0</v>
      </c>
      <c r="D16" s="97">
        <v>0</v>
      </c>
      <c r="E16" s="97">
        <v>0</v>
      </c>
      <c r="F16" s="97">
        <v>0</v>
      </c>
      <c r="G16" s="97">
        <v>0</v>
      </c>
      <c r="H16" s="97">
        <v>0</v>
      </c>
      <c r="I16" s="97">
        <v>1</v>
      </c>
      <c r="J16" s="97">
        <v>77.22</v>
      </c>
      <c r="K16" s="97">
        <v>2</v>
      </c>
      <c r="L16" s="97">
        <v>115</v>
      </c>
      <c r="M16" s="97">
        <v>0</v>
      </c>
      <c r="N16" s="97">
        <v>0</v>
      </c>
      <c r="O16" s="97">
        <v>1</v>
      </c>
      <c r="P16" s="97">
        <v>31.6</v>
      </c>
      <c r="Q16" s="97">
        <v>0</v>
      </c>
      <c r="R16" s="97">
        <v>0</v>
      </c>
      <c r="S16" s="96">
        <f t="shared" si="0"/>
        <v>4</v>
      </c>
      <c r="T16" s="98">
        <f t="shared" si="1"/>
        <v>223.82</v>
      </c>
    </row>
    <row r="17" s="12" customFormat="1" ht="21.95" customHeight="1" spans="1:20">
      <c r="A17" s="97">
        <v>13</v>
      </c>
      <c r="B17" s="97" t="s">
        <v>26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1</v>
      </c>
      <c r="J17" s="97">
        <v>35.95</v>
      </c>
      <c r="K17" s="97">
        <v>2</v>
      </c>
      <c r="L17" s="97">
        <v>12.04</v>
      </c>
      <c r="M17" s="97">
        <v>2</v>
      </c>
      <c r="N17" s="97">
        <v>181.98</v>
      </c>
      <c r="O17" s="99">
        <v>5</v>
      </c>
      <c r="P17" s="100">
        <v>39.440536</v>
      </c>
      <c r="Q17" s="97">
        <v>2</v>
      </c>
      <c r="R17" s="97">
        <v>3.56</v>
      </c>
      <c r="S17" s="96">
        <f t="shared" si="0"/>
        <v>12</v>
      </c>
      <c r="T17" s="98">
        <f t="shared" si="1"/>
        <v>272.970536</v>
      </c>
    </row>
    <row r="18" s="12" customFormat="1" ht="21.95" customHeight="1" spans="1:20">
      <c r="A18" s="97">
        <v>14</v>
      </c>
      <c r="B18" s="97" t="s">
        <v>27</v>
      </c>
      <c r="C18" s="97">
        <v>0</v>
      </c>
      <c r="D18" s="97">
        <v>0</v>
      </c>
      <c r="E18" s="97">
        <v>0</v>
      </c>
      <c r="F18" s="97">
        <v>0</v>
      </c>
      <c r="G18" s="97">
        <v>0</v>
      </c>
      <c r="H18" s="97">
        <v>0</v>
      </c>
      <c r="I18" s="97">
        <v>1</v>
      </c>
      <c r="J18" s="97">
        <v>59.68</v>
      </c>
      <c r="K18" s="97">
        <v>2</v>
      </c>
      <c r="L18" s="97">
        <v>72.6</v>
      </c>
      <c r="M18" s="97">
        <v>8</v>
      </c>
      <c r="N18" s="97">
        <v>815.19</v>
      </c>
      <c r="O18" s="99">
        <v>4</v>
      </c>
      <c r="P18" s="100">
        <v>180.872393</v>
      </c>
      <c r="Q18" s="97">
        <v>0</v>
      </c>
      <c r="R18" s="97">
        <v>0</v>
      </c>
      <c r="S18" s="96">
        <f t="shared" si="0"/>
        <v>15</v>
      </c>
      <c r="T18" s="98">
        <f t="shared" si="1"/>
        <v>1128.342393</v>
      </c>
    </row>
    <row r="19" s="12" customFormat="1" ht="21.95" customHeight="1" spans="1:20">
      <c r="A19" s="97">
        <v>15</v>
      </c>
      <c r="B19" s="97" t="s">
        <v>28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1</v>
      </c>
      <c r="J19" s="97">
        <v>6.14</v>
      </c>
      <c r="K19" s="97">
        <v>1</v>
      </c>
      <c r="L19" s="97">
        <v>6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6">
        <f t="shared" si="0"/>
        <v>2</v>
      </c>
      <c r="T19" s="98">
        <f t="shared" si="1"/>
        <v>12.14</v>
      </c>
    </row>
    <row r="20" s="12" customFormat="1" ht="21.95" customHeight="1" spans="1:20">
      <c r="A20" s="97">
        <v>16</v>
      </c>
      <c r="B20" s="97" t="s">
        <v>29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</v>
      </c>
      <c r="L20" s="97">
        <v>146.83</v>
      </c>
      <c r="M20" s="97">
        <v>3</v>
      </c>
      <c r="N20" s="97">
        <v>440</v>
      </c>
      <c r="O20" s="97">
        <v>3</v>
      </c>
      <c r="P20" s="97">
        <v>26.4</v>
      </c>
      <c r="Q20" s="97">
        <v>3</v>
      </c>
      <c r="R20" s="97">
        <v>67.6</v>
      </c>
      <c r="S20" s="96">
        <f t="shared" si="0"/>
        <v>11</v>
      </c>
      <c r="T20" s="98">
        <f t="shared" si="1"/>
        <v>680.83</v>
      </c>
    </row>
    <row r="21" s="12" customFormat="1" ht="21.95" customHeight="1" spans="1:20">
      <c r="A21" s="97">
        <v>17</v>
      </c>
      <c r="B21" s="97" t="s">
        <v>30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2</v>
      </c>
      <c r="L21" s="97">
        <v>4</v>
      </c>
      <c r="M21" s="97">
        <v>1</v>
      </c>
      <c r="N21" s="97">
        <v>3.18</v>
      </c>
      <c r="O21" s="97">
        <v>0</v>
      </c>
      <c r="P21" s="97">
        <v>0</v>
      </c>
      <c r="Q21" s="97">
        <v>0</v>
      </c>
      <c r="R21" s="97">
        <v>0</v>
      </c>
      <c r="S21" s="96">
        <f t="shared" si="0"/>
        <v>3</v>
      </c>
      <c r="T21" s="98">
        <f t="shared" si="1"/>
        <v>7.18</v>
      </c>
    </row>
    <row r="22" s="12" customFormat="1" ht="21.95" customHeight="1" spans="1:20">
      <c r="A22" s="97">
        <v>18</v>
      </c>
      <c r="B22" s="97" t="s">
        <v>31</v>
      </c>
      <c r="C22" s="97">
        <v>0</v>
      </c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>
        <v>0</v>
      </c>
      <c r="K22" s="97">
        <v>3</v>
      </c>
      <c r="L22" s="97">
        <v>178.42</v>
      </c>
      <c r="M22" s="97">
        <v>66</v>
      </c>
      <c r="N22" s="97">
        <v>3577.7</v>
      </c>
      <c r="O22" s="97">
        <v>70</v>
      </c>
      <c r="P22" s="97">
        <v>4197.36</v>
      </c>
      <c r="Q22" s="97">
        <v>16</v>
      </c>
      <c r="R22" s="97">
        <v>703.33</v>
      </c>
      <c r="S22" s="96">
        <f t="shared" si="0"/>
        <v>155</v>
      </c>
      <c r="T22" s="98">
        <f t="shared" si="1"/>
        <v>8656.81</v>
      </c>
    </row>
    <row r="23" s="87" customFormat="1" ht="21.95" customHeight="1" spans="1:20">
      <c r="A23" s="97">
        <v>19</v>
      </c>
      <c r="B23" s="97" t="s">
        <v>32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0</v>
      </c>
      <c r="K23" s="97">
        <v>0</v>
      </c>
      <c r="L23" s="97">
        <v>0</v>
      </c>
      <c r="M23" s="97">
        <v>1</v>
      </c>
      <c r="N23" s="97">
        <v>76</v>
      </c>
      <c r="O23" s="97">
        <v>0</v>
      </c>
      <c r="P23" s="97">
        <v>0</v>
      </c>
      <c r="Q23" s="97">
        <v>1</v>
      </c>
      <c r="R23" s="97">
        <v>80</v>
      </c>
      <c r="S23" s="96">
        <f t="shared" si="0"/>
        <v>2</v>
      </c>
      <c r="T23" s="98">
        <f t="shared" si="1"/>
        <v>156</v>
      </c>
    </row>
    <row r="24" s="87" customFormat="1" ht="21.95" customHeight="1" spans="1:20">
      <c r="A24" s="97">
        <v>20</v>
      </c>
      <c r="B24" s="101" t="s">
        <v>33</v>
      </c>
      <c r="C24" s="97">
        <v>0</v>
      </c>
      <c r="D24" s="97">
        <v>0</v>
      </c>
      <c r="E24" s="97">
        <v>0</v>
      </c>
      <c r="F24" s="97">
        <v>0</v>
      </c>
      <c r="G24" s="97">
        <v>0</v>
      </c>
      <c r="H24" s="97">
        <v>0</v>
      </c>
      <c r="I24" s="97">
        <v>0</v>
      </c>
      <c r="J24" s="97">
        <v>0</v>
      </c>
      <c r="K24" s="97">
        <v>0</v>
      </c>
      <c r="L24" s="97">
        <v>0</v>
      </c>
      <c r="M24" s="97">
        <v>0</v>
      </c>
      <c r="N24" s="97">
        <v>0</v>
      </c>
      <c r="O24" s="97">
        <v>1</v>
      </c>
      <c r="P24" s="97">
        <v>30</v>
      </c>
      <c r="Q24" s="97">
        <v>0</v>
      </c>
      <c r="R24" s="97">
        <v>0</v>
      </c>
      <c r="S24" s="96">
        <f t="shared" si="0"/>
        <v>1</v>
      </c>
      <c r="T24" s="98">
        <f t="shared" si="1"/>
        <v>30</v>
      </c>
    </row>
    <row r="25" s="87" customFormat="1" ht="21.95" customHeight="1" spans="1:20">
      <c r="A25" s="97">
        <v>21</v>
      </c>
      <c r="B25" s="101" t="s">
        <v>34</v>
      </c>
      <c r="C25" s="97">
        <v>0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0</v>
      </c>
      <c r="K25" s="97">
        <v>0</v>
      </c>
      <c r="L25" s="97">
        <v>0</v>
      </c>
      <c r="M25" s="97">
        <v>0</v>
      </c>
      <c r="N25" s="97">
        <v>0</v>
      </c>
      <c r="O25" s="97">
        <v>2</v>
      </c>
      <c r="P25" s="97">
        <v>320</v>
      </c>
      <c r="Q25" s="97">
        <v>0</v>
      </c>
      <c r="R25" s="97">
        <v>0</v>
      </c>
      <c r="S25" s="96">
        <f t="shared" si="0"/>
        <v>2</v>
      </c>
      <c r="T25" s="98">
        <f t="shared" si="1"/>
        <v>320</v>
      </c>
    </row>
    <row r="26" s="87" customFormat="1" ht="21.95" customHeight="1" spans="1:20">
      <c r="A26" s="97">
        <v>22</v>
      </c>
      <c r="B26" s="101" t="s">
        <v>35</v>
      </c>
      <c r="C26" s="97">
        <v>0</v>
      </c>
      <c r="D26" s="97">
        <v>0</v>
      </c>
      <c r="E26" s="97">
        <v>0</v>
      </c>
      <c r="F26" s="97">
        <v>0</v>
      </c>
      <c r="G26" s="97">
        <v>0</v>
      </c>
      <c r="H26" s="97">
        <v>0</v>
      </c>
      <c r="I26" s="97">
        <v>0</v>
      </c>
      <c r="J26" s="97">
        <v>0</v>
      </c>
      <c r="K26" s="97">
        <v>0</v>
      </c>
      <c r="L26" s="97">
        <v>0</v>
      </c>
      <c r="M26" s="97">
        <v>0</v>
      </c>
      <c r="N26" s="97">
        <v>0</v>
      </c>
      <c r="O26" s="99">
        <v>61</v>
      </c>
      <c r="P26" s="100">
        <v>1677.4</v>
      </c>
      <c r="Q26" s="97">
        <v>37</v>
      </c>
      <c r="R26" s="97">
        <v>832.98</v>
      </c>
      <c r="S26" s="96">
        <f t="shared" si="0"/>
        <v>98</v>
      </c>
      <c r="T26" s="98">
        <f t="shared" si="1"/>
        <v>2510.38</v>
      </c>
    </row>
    <row r="27" s="87" customFormat="1" ht="21.95" customHeight="1" spans="1:20">
      <c r="A27" s="97">
        <v>23</v>
      </c>
      <c r="B27" s="101" t="s">
        <v>36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97">
        <v>0</v>
      </c>
      <c r="N27" s="97">
        <v>0</v>
      </c>
      <c r="O27" s="97">
        <v>3</v>
      </c>
      <c r="P27" s="97">
        <v>261.85</v>
      </c>
      <c r="Q27" s="97">
        <v>1</v>
      </c>
      <c r="R27" s="97">
        <v>8</v>
      </c>
      <c r="S27" s="96">
        <f t="shared" si="0"/>
        <v>4</v>
      </c>
      <c r="T27" s="98">
        <f t="shared" si="1"/>
        <v>269.85</v>
      </c>
    </row>
    <row r="28" s="87" customFormat="1" ht="21.95" customHeight="1" spans="1:20">
      <c r="A28" s="97">
        <v>24</v>
      </c>
      <c r="B28" s="101" t="s">
        <v>37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>
        <v>3</v>
      </c>
      <c r="P28" s="97">
        <v>205.36</v>
      </c>
      <c r="Q28" s="97">
        <v>0</v>
      </c>
      <c r="R28" s="97">
        <v>0</v>
      </c>
      <c r="S28" s="96">
        <f t="shared" si="0"/>
        <v>3</v>
      </c>
      <c r="T28" s="98">
        <f t="shared" si="1"/>
        <v>205.36</v>
      </c>
    </row>
    <row r="29" s="87" customFormat="1" ht="21.95" customHeight="1" spans="1:20">
      <c r="A29" s="97">
        <v>25</v>
      </c>
      <c r="B29" s="101" t="s">
        <v>38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97">
        <v>1</v>
      </c>
      <c r="P29" s="97">
        <v>1.04</v>
      </c>
      <c r="Q29" s="97">
        <v>1</v>
      </c>
      <c r="R29" s="97">
        <v>3.99</v>
      </c>
      <c r="S29" s="96">
        <f t="shared" si="0"/>
        <v>2</v>
      </c>
      <c r="T29" s="98">
        <f t="shared" si="1"/>
        <v>5.03</v>
      </c>
    </row>
    <row r="30" s="87" customFormat="1" ht="21.95" customHeight="1" spans="1:20">
      <c r="A30" s="97">
        <v>26</v>
      </c>
      <c r="B30" s="101" t="s">
        <v>39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97">
        <v>2</v>
      </c>
      <c r="P30" s="97">
        <v>10.37</v>
      </c>
      <c r="Q30" s="97">
        <v>0</v>
      </c>
      <c r="R30" s="97">
        <v>0</v>
      </c>
      <c r="S30" s="96">
        <f t="shared" si="0"/>
        <v>2</v>
      </c>
      <c r="T30" s="98">
        <f t="shared" si="1"/>
        <v>10.37</v>
      </c>
    </row>
    <row r="31" s="87" customFormat="1" ht="21.95" customHeight="1" spans="1:20">
      <c r="A31" s="97"/>
      <c r="B31" s="101" t="s">
        <v>40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97"/>
      <c r="P31" s="97"/>
      <c r="Q31" s="97">
        <v>3</v>
      </c>
      <c r="R31" s="97">
        <v>174.95</v>
      </c>
      <c r="S31" s="96">
        <f t="shared" si="0"/>
        <v>3</v>
      </c>
      <c r="T31" s="98">
        <f t="shared" si="1"/>
        <v>174.95</v>
      </c>
    </row>
    <row r="32" s="87" customFormat="1" ht="21.95" customHeight="1" spans="1:20">
      <c r="A32" s="102"/>
      <c r="B32" s="102" t="s">
        <v>11</v>
      </c>
      <c r="C32" s="102">
        <f>SUM(C5:C31)</f>
        <v>5</v>
      </c>
      <c r="D32" s="102">
        <f t="shared" ref="D32:R32" si="2">SUM(D5:D31)</f>
        <v>198.94</v>
      </c>
      <c r="E32" s="102">
        <f t="shared" si="2"/>
        <v>20</v>
      </c>
      <c r="F32" s="102">
        <f t="shared" si="2"/>
        <v>2298.4</v>
      </c>
      <c r="G32" s="102">
        <f t="shared" si="2"/>
        <v>22</v>
      </c>
      <c r="H32" s="102">
        <f t="shared" si="2"/>
        <v>3086.26</v>
      </c>
      <c r="I32" s="102">
        <f t="shared" si="2"/>
        <v>421</v>
      </c>
      <c r="J32" s="102">
        <f t="shared" si="2"/>
        <v>4337.21</v>
      </c>
      <c r="K32" s="102">
        <f t="shared" si="2"/>
        <v>1389</v>
      </c>
      <c r="L32" s="102">
        <f t="shared" si="2"/>
        <v>4227.72</v>
      </c>
      <c r="M32" s="102">
        <f t="shared" si="2"/>
        <v>451</v>
      </c>
      <c r="N32" s="102">
        <f t="shared" si="2"/>
        <v>19606.17</v>
      </c>
      <c r="O32" s="102">
        <f t="shared" si="2"/>
        <v>353</v>
      </c>
      <c r="P32" s="103">
        <f t="shared" si="2"/>
        <v>15890.837881</v>
      </c>
      <c r="Q32" s="102">
        <f t="shared" si="2"/>
        <v>116</v>
      </c>
      <c r="R32" s="102">
        <f t="shared" si="2"/>
        <v>3838.04</v>
      </c>
      <c r="S32" s="96">
        <f t="shared" si="0"/>
        <v>2777</v>
      </c>
      <c r="T32" s="98">
        <f t="shared" si="1"/>
        <v>53483.577881</v>
      </c>
    </row>
    <row r="33" s="87" customFormat="1" ht="23" customHeight="1" spans="1:20">
      <c r="A33" s="104" t="s">
        <v>41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</row>
    <row r="34" s="12" customFormat="1" spans="1:20">
      <c r="B34" s="13" t="s">
        <v>42</v>
      </c>
      <c r="K34" s="13" t="s">
        <v>43</v>
      </c>
      <c r="L34" s="13"/>
      <c r="M34" s="13"/>
      <c r="N34" s="13"/>
      <c r="O34" s="13"/>
      <c r="P34" s="13"/>
      <c r="Q34" s="13"/>
      <c r="R34" s="13"/>
      <c r="S34" s="13"/>
      <c r="T34" s="13"/>
    </row>
    <row r="35" s="12" customFormat="1" spans="1:20">
      <c r="B35" s="105" t="s">
        <v>44</v>
      </c>
      <c r="C35" s="105" t="s">
        <v>44</v>
      </c>
    </row>
  </sheetData>
  <mergeCells count="14">
    <mergeCell ref="A1:T1"/>
    <mergeCell ref="A2:T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33:T33"/>
    <mergeCell ref="K34:T34"/>
    <mergeCell ref="A3:B4"/>
  </mergeCells>
  <pageMargins left="0.25" right="0.25" top="0.75" bottom="0.75" header="0.298611111111111" footer="0.298611111111111"/>
  <pageSetup paperSize="9" scale="6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opLeftCell="A2" workbookViewId="0">
      <selection activeCell="B17" sqref="B17:G17"/>
    </sheetView>
  </sheetViews>
  <sheetFormatPr defaultColWidth="9" defaultRowHeight="13.5"/>
  <cols>
    <col min="1" max="1" width="25.6333333333333" style="12" customWidth="1"/>
    <col min="2" max="2" width="16.3833333333333" style="12" customWidth="1"/>
    <col min="3" max="3" width="16.2583333333333" style="12" customWidth="1"/>
    <col min="4" max="4" width="16.3833333333333" style="12" customWidth="1"/>
    <col min="5" max="6" width="14.8833333333333" style="12" customWidth="1"/>
    <col min="7" max="7" width="20.5" style="12" customWidth="1"/>
    <col min="8" max="8" width="17" style="12" customWidth="1"/>
    <col min="9" max="9" width="17.8833333333333" style="12" customWidth="1"/>
    <col min="10" max="10" width="17" style="12" customWidth="1"/>
    <col min="11" max="11" width="9" style="12" hidden="1" customWidth="1"/>
    <col min="12" max="12" width="11.5" style="12" hidden="1" customWidth="1"/>
    <col min="13" max="13" width="26.6333333333333" style="12" hidden="1" customWidth="1"/>
    <col min="14" max="14" width="12.7583333333333" style="12" hidden="1" customWidth="1"/>
    <col min="15" max="15" width="21.6333333333333" style="12" hidden="1" customWidth="1"/>
    <col min="16" max="16" width="9.38333333333333" style="12" hidden="1" customWidth="1"/>
    <col min="17" max="17" width="12.6333333333333" style="12" hidden="1" customWidth="1"/>
    <col min="18" max="19" width="9" style="12" hidden="1" customWidth="1"/>
    <col min="20" max="20" width="9" style="12"/>
    <col min="21" max="21" width="12.125" style="12" customWidth="1"/>
    <col min="22" max="16384" width="9" style="12"/>
  </cols>
  <sheetData>
    <row r="1" s="12" customFormat="1" ht="32.1" customHeight="1" spans="1:17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</row>
    <row r="2" s="12" customFormat="1" ht="27" customHeight="1" spans="1:17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s="12" customFormat="1" ht="38.25" customHeight="1" spans="1:17">
      <c r="A3" s="3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L3" s="12" t="s">
        <v>57</v>
      </c>
      <c r="M3" s="12" t="s">
        <v>58</v>
      </c>
      <c r="O3" s="13" t="s">
        <v>59</v>
      </c>
      <c r="P3" s="13"/>
    </row>
    <row r="4" s="12" customFormat="1" ht="38.25" customHeight="1" spans="1:17">
      <c r="A4" s="8" t="s">
        <v>60</v>
      </c>
      <c r="B4" s="6">
        <v>23931.39</v>
      </c>
      <c r="C4" s="83">
        <v>78</v>
      </c>
      <c r="D4" s="8">
        <v>0</v>
      </c>
      <c r="E4" s="8" t="s">
        <v>61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="12" customFormat="1" ht="38.25" customHeight="1" spans="1:17">
      <c r="A5" s="8" t="s">
        <v>3</v>
      </c>
      <c r="B5" s="6">
        <v>419364.45</v>
      </c>
      <c r="C5" s="83">
        <v>1226</v>
      </c>
      <c r="D5" s="8">
        <v>5</v>
      </c>
      <c r="E5" s="8" t="s">
        <v>61</v>
      </c>
      <c r="F5" s="8">
        <v>5</v>
      </c>
      <c r="G5" s="8">
        <v>198.94</v>
      </c>
      <c r="H5" s="8">
        <v>0</v>
      </c>
      <c r="I5" s="10">
        <v>0.0026</v>
      </c>
      <c r="J5" s="10">
        <v>0.0026</v>
      </c>
    </row>
    <row r="6" s="12" customFormat="1" ht="38.25" customHeight="1" spans="1:17">
      <c r="A6" s="8" t="s">
        <v>4</v>
      </c>
      <c r="B6" s="6">
        <v>919059.68</v>
      </c>
      <c r="C6" s="83">
        <v>3083</v>
      </c>
      <c r="D6" s="8">
        <v>20</v>
      </c>
      <c r="E6" s="8" t="s">
        <v>61</v>
      </c>
      <c r="F6" s="8">
        <v>20</v>
      </c>
      <c r="G6" s="8">
        <v>2298.4</v>
      </c>
      <c r="H6" s="9">
        <v>467.48</v>
      </c>
      <c r="I6" s="10">
        <v>0.00597179278742311</v>
      </c>
      <c r="J6" s="10">
        <v>0.008</v>
      </c>
    </row>
    <row r="7" s="12" customFormat="1" ht="38.25" customHeight="1" spans="1:17">
      <c r="A7" s="8" t="s">
        <v>5</v>
      </c>
      <c r="B7" s="6">
        <v>1441810.54</v>
      </c>
      <c r="C7" s="83">
        <v>15647</v>
      </c>
      <c r="D7" s="8">
        <v>22</v>
      </c>
      <c r="E7" s="8" t="s">
        <v>61</v>
      </c>
      <c r="F7" s="8">
        <v>22</v>
      </c>
      <c r="G7" s="8">
        <v>3086.26</v>
      </c>
      <c r="H7" s="9">
        <v>1845.68</v>
      </c>
      <c r="I7" s="10">
        <v>0.00510877817887419</v>
      </c>
      <c r="J7" s="10">
        <v>0.0077</v>
      </c>
    </row>
    <row r="8" s="12" customFormat="1" ht="38.25" customHeight="1" spans="1:17">
      <c r="A8" s="8" t="s">
        <v>6</v>
      </c>
      <c r="B8" s="6">
        <v>4294794.71</v>
      </c>
      <c r="C8" s="83">
        <v>113431</v>
      </c>
      <c r="D8" s="8">
        <v>442</v>
      </c>
      <c r="E8" s="8">
        <v>21</v>
      </c>
      <c r="F8" s="8">
        <v>421</v>
      </c>
      <c r="G8" s="8">
        <v>4337.21</v>
      </c>
      <c r="H8" s="9">
        <v>1779.83</v>
      </c>
      <c r="I8" s="10">
        <v>0.008</v>
      </c>
      <c r="J8" s="10">
        <v>0.018</v>
      </c>
    </row>
    <row r="9" s="12" customFormat="1" ht="38.25" customHeight="1" spans="1:17">
      <c r="A9" s="9" t="s">
        <v>7</v>
      </c>
      <c r="B9" s="78">
        <v>4902177.84</v>
      </c>
      <c r="C9" s="83">
        <v>64473</v>
      </c>
      <c r="D9" s="8">
        <v>1416</v>
      </c>
      <c r="E9" s="9">
        <v>26</v>
      </c>
      <c r="F9" s="9">
        <v>1390</v>
      </c>
      <c r="G9" s="8">
        <v>4227.72</v>
      </c>
      <c r="H9" s="9">
        <v>2248.41</v>
      </c>
      <c r="I9" s="84">
        <v>0.0037</v>
      </c>
      <c r="J9" s="84">
        <v>0.0129</v>
      </c>
    </row>
    <row r="10" s="12" customFormat="1" ht="38.25" customHeight="1" spans="1:17">
      <c r="A10" s="85" t="s">
        <v>8</v>
      </c>
      <c r="B10" s="78">
        <v>5355442.88</v>
      </c>
      <c r="C10" s="83">
        <v>47885</v>
      </c>
      <c r="D10" s="8">
        <v>471</v>
      </c>
      <c r="E10" s="9">
        <v>19</v>
      </c>
      <c r="F10" s="9">
        <v>452</v>
      </c>
      <c r="G10" s="9">
        <v>19606.17</v>
      </c>
      <c r="H10" s="9">
        <v>9320.66</v>
      </c>
      <c r="I10" s="84">
        <v>0.0103</v>
      </c>
      <c r="J10" s="84">
        <v>0.0155</v>
      </c>
      <c r="L10" s="12">
        <v>3922872.77</v>
      </c>
      <c r="M10" s="12">
        <v>59970.87</v>
      </c>
      <c r="N10" s="12">
        <f>M10/L10</f>
        <v>0.0152874878988237</v>
      </c>
      <c r="O10" s="12">
        <v>19788.55</v>
      </c>
      <c r="P10" s="12">
        <v>15446.69</v>
      </c>
      <c r="Q10" s="12">
        <f>(O10+P10)/L10</f>
        <v>0.00898199917913728</v>
      </c>
    </row>
    <row r="11" s="12" customFormat="1" ht="38.25" customHeight="1" spans="1:17">
      <c r="A11" s="85" t="s">
        <v>9</v>
      </c>
      <c r="B11" s="78">
        <v>5668551.55</v>
      </c>
      <c r="C11" s="78">
        <v>42824</v>
      </c>
      <c r="D11" s="8">
        <f>E11+F11</f>
        <v>366</v>
      </c>
      <c r="E11" s="9">
        <v>13</v>
      </c>
      <c r="F11" s="9">
        <v>353</v>
      </c>
      <c r="G11" s="9">
        <v>15890.84</v>
      </c>
      <c r="H11" s="9">
        <v>7648.62</v>
      </c>
      <c r="I11" s="84">
        <v>0.0092</v>
      </c>
      <c r="J11" s="84">
        <v>0.0177</v>
      </c>
    </row>
    <row r="12" s="12" customFormat="1" ht="38.25" customHeight="1" spans="1:17">
      <c r="A12" s="86">
        <v>46082</v>
      </c>
      <c r="B12" s="78">
        <v>2456515.09</v>
      </c>
      <c r="C12" s="83">
        <v>13265</v>
      </c>
      <c r="D12" s="8">
        <v>124</v>
      </c>
      <c r="E12" s="9">
        <v>8</v>
      </c>
      <c r="F12" s="9">
        <v>116</v>
      </c>
      <c r="G12" s="9">
        <v>3838.04</v>
      </c>
      <c r="H12" s="9">
        <v>0</v>
      </c>
      <c r="I12" s="84">
        <v>0.0072</v>
      </c>
      <c r="J12" s="84">
        <v>0.0183</v>
      </c>
    </row>
    <row r="13" s="12" customFormat="1" ht="38.25" customHeight="1" spans="1:17">
      <c r="A13" s="4" t="s">
        <v>11</v>
      </c>
      <c r="B13" s="6">
        <f>SUM(B4:B12)</f>
        <v>25481648.13</v>
      </c>
      <c r="C13" s="6">
        <f t="shared" ref="C13:H13" si="0">SUM(C4:C12)</f>
        <v>301912</v>
      </c>
      <c r="D13" s="6">
        <f t="shared" si="0"/>
        <v>2866</v>
      </c>
      <c r="E13" s="6">
        <f t="shared" si="0"/>
        <v>87</v>
      </c>
      <c r="F13" s="6">
        <f t="shared" si="0"/>
        <v>2779</v>
      </c>
      <c r="G13" s="6">
        <f t="shared" si="0"/>
        <v>53483.58</v>
      </c>
      <c r="H13" s="6">
        <f t="shared" si="0"/>
        <v>23310.68</v>
      </c>
      <c r="I13" s="10">
        <v>0.0081</v>
      </c>
      <c r="J13" s="10">
        <v>0.0165</v>
      </c>
      <c r="L13" s="12">
        <v>9730481.52</v>
      </c>
      <c r="M13" s="12">
        <v>122536.54</v>
      </c>
      <c r="N13" s="12">
        <f>M13/L13</f>
        <v>0.0125930602455941</v>
      </c>
      <c r="O13" s="12">
        <v>52505.48</v>
      </c>
      <c r="P13" s="12">
        <v>17102.69</v>
      </c>
      <c r="Q13" s="12">
        <f>(O13+P13)/L13</f>
        <v>0.00715362028661455</v>
      </c>
    </row>
    <row r="14" s="12" customFormat="1" ht="24" customHeight="1" spans="1:17">
      <c r="A14" s="11" t="s">
        <v>62</v>
      </c>
      <c r="B14" s="11"/>
      <c r="C14" s="11"/>
      <c r="D14" s="11"/>
      <c r="E14" s="11"/>
      <c r="F14" s="11"/>
      <c r="G14" s="11"/>
      <c r="H14" s="11"/>
      <c r="I14" s="11"/>
      <c r="J14" s="11"/>
    </row>
    <row r="15" s="12" customFormat="1" ht="12" customHeight="1" spans="1:17">
      <c r="B15" s="13" t="s">
        <v>42</v>
      </c>
      <c r="C15" s="13"/>
      <c r="G15" s="13" t="s">
        <v>63</v>
      </c>
      <c r="H15" s="13"/>
      <c r="I15" s="13"/>
    </row>
    <row r="16" s="12" customFormat="1" ht="18" customHeight="1" spans="1:17">
      <c r="A16" s="12" t="s">
        <v>64</v>
      </c>
      <c r="B16" s="13" t="s">
        <v>65</v>
      </c>
      <c r="C16" s="13"/>
      <c r="D16" s="13"/>
    </row>
    <row r="17" s="12" customFormat="1" ht="25" customHeight="1" spans="1:7">
      <c r="A17" s="12" t="s">
        <v>66</v>
      </c>
      <c r="B17" s="13"/>
      <c r="C17" s="13"/>
      <c r="D17" s="13"/>
      <c r="E17" s="13"/>
      <c r="F17" s="13"/>
      <c r="G17" s="13"/>
    </row>
  </sheetData>
  <mergeCells count="8">
    <mergeCell ref="A1:J1"/>
    <mergeCell ref="A2:J2"/>
    <mergeCell ref="O3:P3"/>
    <mergeCell ref="A14:J14"/>
    <mergeCell ref="B15:C15"/>
    <mergeCell ref="G15:I15"/>
    <mergeCell ref="B16:D16"/>
    <mergeCell ref="B17:G17"/>
  </mergeCells>
  <pageMargins left="0.25" right="0.25" top="0.75" bottom="0.75" header="0.298611111111111" footer="0.298611111111111"/>
  <pageSetup paperSize="9" scale="7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G14" sqref="G14"/>
    </sheetView>
  </sheetViews>
  <sheetFormatPr defaultColWidth="9" defaultRowHeight="13.5"/>
  <cols>
    <col min="1" max="1" width="16.5" style="12" customWidth="1"/>
    <col min="2" max="2" width="22.8833333333333" style="12" customWidth="1"/>
    <col min="3" max="3" width="18.3833333333333" style="12" customWidth="1"/>
    <col min="4" max="4" width="17.775" style="12" customWidth="1"/>
    <col min="5" max="5" width="18.75" style="12" customWidth="1"/>
    <col min="6" max="6" width="20.8833333333333" style="12" hidden="1" customWidth="1"/>
    <col min="7" max="7" width="20.8833333333333" style="12" customWidth="1"/>
    <col min="8" max="8" width="20" style="12" hidden="1" customWidth="1"/>
    <col min="9" max="9" width="18.1333333333333" style="12" customWidth="1"/>
    <col min="10" max="10" width="20.3833333333333" style="12" hidden="1" customWidth="1"/>
    <col min="11" max="11" width="15.8833333333333" style="12" hidden="1" customWidth="1"/>
    <col min="12" max="12" width="15.8833333333333" style="12" customWidth="1"/>
    <col min="13" max="13" width="9" style="12" hidden="1" customWidth="1"/>
    <col min="14" max="14" width="18.6333333333333" style="12" hidden="1" customWidth="1"/>
    <col min="15" max="15" width="26.6333333333333" style="12" hidden="1" customWidth="1"/>
    <col min="16" max="16" width="17.25" style="12" hidden="1" customWidth="1"/>
    <col min="17" max="18" width="9.38333333333333" style="12" hidden="1" customWidth="1"/>
    <col min="19" max="19" width="9" style="12"/>
    <col min="20" max="20" width="12.6333333333333" style="12"/>
    <col min="21" max="21" width="15" style="12" customWidth="1"/>
    <col min="22" max="16384" width="9" style="12"/>
  </cols>
  <sheetData>
    <row r="1" s="12" customFormat="1" ht="77.1" customHeight="1" spans="1:21">
      <c r="A1" s="63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12" customFormat="1" ht="27" customHeight="1" spans="1:21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12" t="s">
        <v>68</v>
      </c>
      <c r="O2" s="12" t="s">
        <v>69</v>
      </c>
      <c r="P2" s="13" t="s">
        <v>70</v>
      </c>
      <c r="Q2" s="13"/>
      <c r="R2" s="13"/>
    </row>
    <row r="3" s="12" customFormat="1" ht="38.25" customHeight="1" spans="1:21">
      <c r="A3" s="3" t="s">
        <v>71</v>
      </c>
      <c r="B3" s="4" t="s">
        <v>48</v>
      </c>
      <c r="C3" s="4" t="s">
        <v>57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56</v>
      </c>
      <c r="J3" s="4" t="s">
        <v>77</v>
      </c>
      <c r="K3" s="4" t="s">
        <v>78</v>
      </c>
      <c r="L3" s="4" t="s">
        <v>55</v>
      </c>
    </row>
    <row r="4" s="12" customFormat="1" ht="38.25" customHeight="1" spans="1:21">
      <c r="A4" s="8" t="s">
        <v>79</v>
      </c>
      <c r="B4" s="6">
        <v>19716580.53</v>
      </c>
      <c r="C4" s="6">
        <v>11950990.24</v>
      </c>
      <c r="D4" s="6">
        <v>9155035.11</v>
      </c>
      <c r="E4" s="6">
        <v>1898240.02</v>
      </c>
      <c r="F4" s="6"/>
      <c r="G4" s="6">
        <v>138308.61</v>
      </c>
      <c r="H4" s="6">
        <v>20902.71</v>
      </c>
      <c r="I4" s="10">
        <v>0.0151</v>
      </c>
      <c r="J4" s="6">
        <v>2687256.02</v>
      </c>
      <c r="K4" s="6">
        <v>18559.6</v>
      </c>
      <c r="L4" s="10">
        <v>0.0075</v>
      </c>
    </row>
    <row r="5" s="12" customFormat="1" ht="38.25" customHeight="1" spans="1:21">
      <c r="A5" s="9" t="s">
        <v>80</v>
      </c>
      <c r="B5" s="78">
        <v>5765067.6</v>
      </c>
      <c r="C5" s="6">
        <v>4867513.07</v>
      </c>
      <c r="D5" s="6">
        <v>4867513.07</v>
      </c>
      <c r="E5" s="6">
        <v>4704431.42</v>
      </c>
      <c r="F5" s="78"/>
      <c r="G5" s="6">
        <v>92568.06</v>
      </c>
      <c r="H5" s="78">
        <v>14549.8</v>
      </c>
      <c r="I5" s="10">
        <v>0.019</v>
      </c>
      <c r="J5" s="6">
        <v>1468346.95</v>
      </c>
      <c r="K5" s="6">
        <v>13487.11</v>
      </c>
      <c r="L5" s="10">
        <v>0.0095</v>
      </c>
      <c r="Q5" s="12" t="s">
        <v>81</v>
      </c>
    </row>
    <row r="6" s="12" customFormat="1" ht="38.25" customHeight="1" spans="1:21">
      <c r="A6" s="4" t="s">
        <v>11</v>
      </c>
      <c r="B6" s="6">
        <v>25481648.13</v>
      </c>
      <c r="C6" s="6">
        <v>16818503.31</v>
      </c>
      <c r="D6" s="6">
        <v>14022548.18</v>
      </c>
      <c r="E6" s="6">
        <v>6602671.44</v>
      </c>
      <c r="F6" s="6"/>
      <c r="G6" s="6">
        <v>230876.67</v>
      </c>
      <c r="H6" s="6">
        <v>35452.51</v>
      </c>
      <c r="I6" s="10">
        <v>0.0165</v>
      </c>
      <c r="J6" s="6">
        <v>4155602.97</v>
      </c>
      <c r="K6" s="6">
        <v>32046.71</v>
      </c>
      <c r="L6" s="10">
        <v>0.0081</v>
      </c>
      <c r="N6" s="12">
        <v>9730481.52</v>
      </c>
      <c r="O6" s="12">
        <v>122536.54</v>
      </c>
      <c r="P6" s="12">
        <v>52505.48</v>
      </c>
      <c r="Q6" s="12">
        <v>17102.69</v>
      </c>
      <c r="R6" s="12">
        <f t="shared" ref="R6:R8" si="0">P6+Q6</f>
        <v>69608.17</v>
      </c>
      <c r="U6" s="74"/>
    </row>
    <row r="7" s="12" customFormat="1" ht="38.25" customHeight="1" spans="1:21">
      <c r="A7" s="11" t="s">
        <v>62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82</v>
      </c>
      <c r="N7" s="79">
        <v>3669953.18</v>
      </c>
      <c r="O7" s="79">
        <v>47490.35</v>
      </c>
      <c r="P7" s="12">
        <v>31877.2</v>
      </c>
      <c r="R7" s="12">
        <f t="shared" si="0"/>
        <v>31877.2</v>
      </c>
      <c r="U7" s="80"/>
    </row>
    <row r="8" s="12" customFormat="1" ht="14.25" spans="1:21">
      <c r="A8" s="71" t="s">
        <v>42</v>
      </c>
      <c r="B8" s="71"/>
      <c r="H8" s="13" t="s">
        <v>83</v>
      </c>
      <c r="I8" s="13"/>
      <c r="J8" s="13"/>
      <c r="K8" s="13"/>
      <c r="L8" s="13"/>
      <c r="M8" s="12" t="s">
        <v>84</v>
      </c>
      <c r="N8" s="79">
        <v>6060528.34</v>
      </c>
      <c r="O8" s="79">
        <v>75046.19</v>
      </c>
      <c r="P8" s="12">
        <v>20628.28</v>
      </c>
      <c r="Q8" s="12">
        <v>17102.69</v>
      </c>
      <c r="R8" s="12">
        <f t="shared" si="0"/>
        <v>37730.97</v>
      </c>
      <c r="U8" s="73"/>
    </row>
    <row r="9" s="12" customFormat="1" ht="14.25" spans="1:21">
      <c r="U9" s="76"/>
    </row>
    <row r="10" s="12" customFormat="1" ht="14.25" spans="1:21">
      <c r="U10" s="74"/>
    </row>
    <row r="11" s="12" customFormat="1" ht="14.25" spans="1:21">
      <c r="U11" s="77"/>
    </row>
    <row r="12" s="12" customFormat="1" ht="16.5" spans="1:21">
      <c r="B12" s="66"/>
      <c r="C12" s="66"/>
      <c r="D12" s="66"/>
      <c r="U12" s="76"/>
    </row>
    <row r="15" s="12" customFormat="1" ht="14.25"/>
    <row r="16" s="12" customFormat="1" ht="17.25" spans="1:21">
      <c r="C16" s="66"/>
      <c r="D16" s="81"/>
      <c r="E16" s="82"/>
      <c r="N16" s="69">
        <v>16424449.2</v>
      </c>
      <c r="O16" s="70"/>
    </row>
    <row r="17" ht="17.25" spans="4:5">
      <c r="D17" s="81"/>
      <c r="E17" s="81"/>
    </row>
  </sheetData>
  <mergeCells count="6">
    <mergeCell ref="A1:L1"/>
    <mergeCell ref="A2:L2"/>
    <mergeCell ref="P2:R2"/>
    <mergeCell ref="A7:L7"/>
    <mergeCell ref="A8:B8"/>
    <mergeCell ref="H8:L8"/>
  </mergeCells>
  <pageMargins left="0.75" right="0.75" top="1" bottom="1" header="0.5" footer="0.5"/>
  <pageSetup paperSize="9" scale="75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E5" sqref="E5"/>
    </sheetView>
  </sheetViews>
  <sheetFormatPr defaultColWidth="9" defaultRowHeight="13.5"/>
  <cols>
    <col min="1" max="1" width="18.8833333333333" style="12" customWidth="1"/>
    <col min="2" max="3" width="22.8833333333333" style="12" customWidth="1"/>
    <col min="4" max="4" width="16.8833333333333" style="12" customWidth="1"/>
    <col min="5" max="5" width="21.25" style="12" customWidth="1"/>
    <col min="6" max="6" width="20" style="12" customWidth="1"/>
    <col min="7" max="7" width="18.1333333333333" style="12" customWidth="1"/>
    <col min="8" max="8" width="15.8833333333333" style="12" customWidth="1"/>
    <col min="9" max="9" width="18.6333333333333" style="12" hidden="1" customWidth="1"/>
    <col min="10" max="10" width="12.6333333333333" style="12" hidden="1" customWidth="1"/>
    <col min="11" max="11" width="9" style="12" hidden="1" customWidth="1"/>
    <col min="12" max="12" width="16.1333333333333" style="12" hidden="1" customWidth="1"/>
    <col min="13" max="13" width="9" style="12" hidden="1" customWidth="1"/>
    <col min="14" max="14" width="12.625" style="12"/>
    <col min="15" max="15" width="12.6333333333333" style="12"/>
    <col min="16" max="16384" width="9" style="12"/>
  </cols>
  <sheetData>
    <row r="1" s="12" customFormat="1" ht="77.1" customHeight="1" spans="1:14">
      <c r="A1" s="63" t="s">
        <v>85</v>
      </c>
      <c r="B1" s="1"/>
      <c r="C1" s="1"/>
      <c r="D1" s="1"/>
      <c r="E1" s="1"/>
      <c r="F1" s="1"/>
      <c r="G1" s="1"/>
      <c r="H1" s="1"/>
    </row>
    <row r="2" s="12" customFormat="1" ht="27" customHeight="1" spans="1:14">
      <c r="A2" s="2" t="s">
        <v>46</v>
      </c>
      <c r="B2" s="2"/>
      <c r="C2" s="2"/>
      <c r="D2" s="2"/>
      <c r="E2" s="2"/>
      <c r="F2" s="2"/>
      <c r="G2" s="2"/>
      <c r="H2" s="2"/>
    </row>
    <row r="3" s="12" customFormat="1" ht="38.25" customHeight="1" spans="1:14">
      <c r="A3" s="3" t="s">
        <v>71</v>
      </c>
      <c r="B3" s="4" t="s">
        <v>48</v>
      </c>
      <c r="C3" s="4" t="s">
        <v>57</v>
      </c>
      <c r="D3" s="4" t="s">
        <v>86</v>
      </c>
      <c r="E3" s="4" t="s">
        <v>87</v>
      </c>
      <c r="F3" s="4" t="s">
        <v>88</v>
      </c>
      <c r="G3" s="4" t="s">
        <v>56</v>
      </c>
      <c r="H3" s="4" t="s">
        <v>55</v>
      </c>
      <c r="I3" s="12" t="s">
        <v>57</v>
      </c>
      <c r="J3" s="12" t="s">
        <v>89</v>
      </c>
      <c r="L3" s="12" t="s">
        <v>90</v>
      </c>
    </row>
    <row r="4" s="12" customFormat="1" ht="38.25" customHeight="1" spans="1:14">
      <c r="A4" s="64" t="s">
        <v>91</v>
      </c>
      <c r="B4" s="6">
        <v>5735846.19</v>
      </c>
      <c r="C4" s="6">
        <v>4350398.27</v>
      </c>
      <c r="D4" s="6">
        <v>3480318.62</v>
      </c>
      <c r="E4" s="6">
        <v>1987042.9</v>
      </c>
      <c r="F4" s="6">
        <v>55438.93</v>
      </c>
      <c r="G4" s="10">
        <v>0.0159</v>
      </c>
      <c r="H4" s="65">
        <v>0.0087</v>
      </c>
      <c r="I4" s="12">
        <v>2568452.69</v>
      </c>
      <c r="J4" s="12">
        <v>43337.17</v>
      </c>
      <c r="L4" s="66">
        <v>3823898.36</v>
      </c>
      <c r="N4" s="67"/>
    </row>
    <row r="5" s="12" customFormat="1" ht="38.25" customHeight="1" spans="1:14">
      <c r="A5" s="8" t="s">
        <v>92</v>
      </c>
      <c r="B5" s="6">
        <v>19745801.94</v>
      </c>
      <c r="C5" s="6">
        <v>12468105.04</v>
      </c>
      <c r="D5" s="6">
        <v>10542229.56</v>
      </c>
      <c r="E5" s="6">
        <v>4615628.54</v>
      </c>
      <c r="F5" s="6">
        <v>175437.74</v>
      </c>
      <c r="G5" s="10">
        <v>0.0166</v>
      </c>
      <c r="H5" s="10">
        <v>0.0078</v>
      </c>
      <c r="I5" s="12">
        <v>7162028.83</v>
      </c>
      <c r="J5" s="12">
        <v>79199.37</v>
      </c>
      <c r="L5" s="68">
        <v>12600550.84</v>
      </c>
      <c r="N5" s="67"/>
    </row>
    <row r="6" s="12" customFormat="1" ht="38.25" customHeight="1" spans="1:14">
      <c r="A6" s="4" t="s">
        <v>11</v>
      </c>
      <c r="B6" s="6">
        <f>B4+B5</f>
        <v>25481648.13</v>
      </c>
      <c r="C6" s="6">
        <f>C4+C5</f>
        <v>16818503.31</v>
      </c>
      <c r="D6" s="6">
        <f>D4+D5</f>
        <v>14022548.18</v>
      </c>
      <c r="E6" s="6">
        <v>6602671.44</v>
      </c>
      <c r="F6" s="6">
        <v>230876.67</v>
      </c>
      <c r="G6" s="10">
        <v>0.0165</v>
      </c>
      <c r="H6" s="10">
        <v>0.0081</v>
      </c>
      <c r="I6" s="12">
        <v>9730481.52</v>
      </c>
      <c r="J6" s="6">
        <v>122536.54</v>
      </c>
      <c r="L6" s="69">
        <v>16424449.2</v>
      </c>
      <c r="M6" s="70"/>
      <c r="N6" s="67"/>
    </row>
    <row r="7" s="12" customFormat="1" spans="1:14">
      <c r="A7" s="71" t="s">
        <v>42</v>
      </c>
      <c r="B7" s="71"/>
      <c r="C7" s="71"/>
      <c r="F7" s="72" t="s">
        <v>83</v>
      </c>
      <c r="G7" s="72"/>
      <c r="H7" s="72"/>
    </row>
    <row r="13" s="12" customFormat="1" ht="14.25" spans="1:14">
      <c r="B13" s="73"/>
      <c r="C13" s="74"/>
      <c r="D13" s="74"/>
    </row>
    <row r="14" s="12" customFormat="1" ht="14.25" spans="1:14">
      <c r="B14" s="73"/>
      <c r="C14" s="74"/>
      <c r="D14" s="74"/>
    </row>
    <row r="15" s="12" customFormat="1" ht="14.25" spans="1:14">
      <c r="B15" s="75"/>
      <c r="C15" s="76"/>
      <c r="D15" s="76"/>
    </row>
    <row r="16" s="12" customFormat="1" ht="14.25" spans="1:14">
      <c r="B16" s="73"/>
      <c r="C16" s="74"/>
      <c r="D16" s="74"/>
    </row>
    <row r="17" s="12" customFormat="1" ht="14.25" spans="2:4">
      <c r="B17" s="77"/>
      <c r="C17" s="74"/>
      <c r="D17" s="74"/>
    </row>
    <row r="18" s="12" customFormat="1" ht="14.25" spans="2:4">
      <c r="B18" s="73"/>
      <c r="C18" s="76"/>
      <c r="D18" s="76"/>
    </row>
  </sheetData>
  <mergeCells count="4">
    <mergeCell ref="A1:H1"/>
    <mergeCell ref="A2:H2"/>
    <mergeCell ref="A7:B7"/>
    <mergeCell ref="F7:H7"/>
  </mergeCells>
  <pageMargins left="0.75" right="0.75" top="1" bottom="1" header="0.5" footer="0.5"/>
  <pageSetup paperSize="9" scale="75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opLeftCell="F17" workbookViewId="0">
      <selection activeCell="P40" sqref="P40"/>
    </sheetView>
  </sheetViews>
  <sheetFormatPr defaultColWidth="9" defaultRowHeight="13.5"/>
  <cols>
    <col min="1" max="2" width="8.63333333333333" style="14" customWidth="1"/>
    <col min="3" max="3" width="26.8833333333333" style="14" customWidth="1"/>
    <col min="4" max="4" width="28.3833333333333" style="14" hidden="1" customWidth="1"/>
    <col min="5" max="5" width="34" style="14" customWidth="1"/>
    <col min="6" max="6" width="32.8833333333333" style="14" customWidth="1"/>
    <col min="7" max="7" width="12.8833333333333" style="14" customWidth="1"/>
    <col min="8" max="8" width="16.2583333333333" style="14" customWidth="1"/>
    <col min="9" max="9" width="20.1333333333333" style="14" customWidth="1"/>
    <col min="10" max="11" width="15.6333333333333" style="17" customWidth="1"/>
    <col min="12" max="12" width="20.7583333333333" style="17" customWidth="1"/>
    <col min="13" max="13" width="38.5" style="14" customWidth="1"/>
    <col min="14" max="14" width="9" style="14"/>
    <col min="15" max="15" width="11.2583333333333" style="14" customWidth="1"/>
    <col min="16" max="16384" width="9" style="14"/>
  </cols>
  <sheetData>
    <row r="1" s="14" customFormat="1" ht="39.95" customHeight="1" spans="1:14">
      <c r="A1" s="18"/>
      <c r="B1" s="18" t="s">
        <v>93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="14" customFormat="1" ht="17" customHeight="1" spans="1:14">
      <c r="A2" s="19"/>
      <c r="B2" s="19" t="s">
        <v>94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="14" customFormat="1" ht="46" customHeight="1" spans="1:14">
      <c r="A3" s="21" t="s">
        <v>95</v>
      </c>
      <c r="B3" s="21" t="s">
        <v>96</v>
      </c>
      <c r="C3" s="21" t="s">
        <v>97</v>
      </c>
      <c r="D3" s="22" t="s">
        <v>98</v>
      </c>
      <c r="E3" s="21" t="s">
        <v>99</v>
      </c>
      <c r="F3" s="21" t="s">
        <v>100</v>
      </c>
      <c r="G3" s="21" t="s">
        <v>101</v>
      </c>
      <c r="H3" s="21" t="s">
        <v>102</v>
      </c>
      <c r="I3" s="21" t="s">
        <v>13</v>
      </c>
      <c r="J3" s="23" t="s">
        <v>103</v>
      </c>
      <c r="K3" s="23" t="s">
        <v>104</v>
      </c>
      <c r="L3" s="23" t="s">
        <v>105</v>
      </c>
      <c r="M3" s="21" t="s">
        <v>106</v>
      </c>
      <c r="N3" s="24" t="s">
        <v>107</v>
      </c>
    </row>
    <row r="4" s="14" customFormat="1" ht="20.1" customHeight="1" spans="1:14">
      <c r="A4" s="25">
        <v>2024</v>
      </c>
      <c r="B4" s="25">
        <v>1</v>
      </c>
      <c r="C4" s="25" t="s">
        <v>108</v>
      </c>
      <c r="D4" s="25" t="s">
        <v>109</v>
      </c>
      <c r="E4" s="26" t="s">
        <v>110</v>
      </c>
      <c r="F4" s="26" t="s">
        <v>111</v>
      </c>
      <c r="G4" s="25">
        <v>18</v>
      </c>
      <c r="H4" s="27">
        <v>0.4</v>
      </c>
      <c r="I4" s="28">
        <v>7.2</v>
      </c>
      <c r="J4" s="29" t="s">
        <v>112</v>
      </c>
      <c r="K4" s="29" t="s">
        <v>113</v>
      </c>
      <c r="L4" s="29" t="s">
        <v>114</v>
      </c>
      <c r="M4" s="26" t="s">
        <v>115</v>
      </c>
      <c r="N4" s="30" t="s">
        <v>116</v>
      </c>
    </row>
    <row r="5" s="14" customFormat="1" ht="20.1" customHeight="1" spans="1:14">
      <c r="A5" s="25">
        <v>2024</v>
      </c>
      <c r="B5" s="25">
        <v>2</v>
      </c>
      <c r="C5" s="25" t="s">
        <v>117</v>
      </c>
      <c r="D5" s="25" t="s">
        <v>109</v>
      </c>
      <c r="E5" s="26" t="s">
        <v>20</v>
      </c>
      <c r="F5" s="26" t="s">
        <v>118</v>
      </c>
      <c r="G5" s="25">
        <v>43</v>
      </c>
      <c r="H5" s="27">
        <v>0.4</v>
      </c>
      <c r="I5" s="28">
        <v>17.2</v>
      </c>
      <c r="J5" s="29" t="s">
        <v>119</v>
      </c>
      <c r="K5" s="29" t="s">
        <v>120</v>
      </c>
      <c r="L5" s="29" t="s">
        <v>114</v>
      </c>
      <c r="M5" s="26" t="s">
        <v>115</v>
      </c>
      <c r="N5" s="30" t="s">
        <v>116</v>
      </c>
    </row>
    <row r="6" s="14" customFormat="1" ht="28" customHeight="1" spans="1:14">
      <c r="A6" s="25">
        <v>2024</v>
      </c>
      <c r="B6" s="25">
        <v>3</v>
      </c>
      <c r="C6" s="25" t="s">
        <v>121</v>
      </c>
      <c r="D6" s="25" t="s">
        <v>109</v>
      </c>
      <c r="E6" s="26" t="s">
        <v>15</v>
      </c>
      <c r="F6" s="26" t="s">
        <v>122</v>
      </c>
      <c r="G6" s="25">
        <v>1000</v>
      </c>
      <c r="H6" s="27">
        <v>0.4</v>
      </c>
      <c r="I6" s="28">
        <v>400</v>
      </c>
      <c r="J6" s="29" t="s">
        <v>123</v>
      </c>
      <c r="K6" s="29" t="s">
        <v>124</v>
      </c>
      <c r="L6" s="29" t="s">
        <v>125</v>
      </c>
      <c r="M6" s="26" t="s">
        <v>126</v>
      </c>
      <c r="N6" s="30" t="s">
        <v>116</v>
      </c>
    </row>
    <row r="7" s="14" customFormat="1" ht="20.1" customHeight="1" spans="1:14">
      <c r="A7" s="25">
        <v>2024</v>
      </c>
      <c r="B7" s="25">
        <v>4</v>
      </c>
      <c r="C7" s="25" t="s">
        <v>127</v>
      </c>
      <c r="D7" s="25" t="s">
        <v>128</v>
      </c>
      <c r="E7" s="26" t="s">
        <v>129</v>
      </c>
      <c r="F7" s="26" t="s">
        <v>130</v>
      </c>
      <c r="G7" s="25">
        <v>34</v>
      </c>
      <c r="H7" s="27">
        <v>0.4</v>
      </c>
      <c r="I7" s="28">
        <v>11</v>
      </c>
      <c r="J7" s="29" t="s">
        <v>131</v>
      </c>
      <c r="K7" s="29" t="s">
        <v>125</v>
      </c>
      <c r="L7" s="29" t="s">
        <v>125</v>
      </c>
      <c r="M7" s="26" t="s">
        <v>132</v>
      </c>
      <c r="N7" s="30" t="s">
        <v>116</v>
      </c>
    </row>
    <row r="8" s="14" customFormat="1" ht="20.1" customHeight="1" spans="1:14">
      <c r="A8" s="25">
        <v>2024</v>
      </c>
      <c r="B8" s="25">
        <v>5</v>
      </c>
      <c r="C8" s="25" t="s">
        <v>133</v>
      </c>
      <c r="D8" s="25" t="s">
        <v>134</v>
      </c>
      <c r="E8" s="26" t="s">
        <v>26</v>
      </c>
      <c r="F8" s="26" t="s">
        <v>135</v>
      </c>
      <c r="G8" s="25">
        <v>30</v>
      </c>
      <c r="H8" s="27">
        <v>0.4</v>
      </c>
      <c r="I8" s="28">
        <v>12</v>
      </c>
      <c r="J8" s="29" t="s">
        <v>136</v>
      </c>
      <c r="K8" s="29" t="s">
        <v>137</v>
      </c>
      <c r="L8" s="29" t="s">
        <v>138</v>
      </c>
      <c r="M8" s="26" t="s">
        <v>139</v>
      </c>
      <c r="N8" s="30" t="s">
        <v>140</v>
      </c>
    </row>
    <row r="9" s="14" customFormat="1" ht="20.1" customHeight="1" spans="1:14">
      <c r="A9" s="25">
        <v>2024</v>
      </c>
      <c r="B9" s="25">
        <v>6</v>
      </c>
      <c r="C9" s="25" t="s">
        <v>141</v>
      </c>
      <c r="D9" s="25" t="s">
        <v>109</v>
      </c>
      <c r="E9" s="26" t="s">
        <v>19</v>
      </c>
      <c r="F9" s="26" t="s">
        <v>142</v>
      </c>
      <c r="G9" s="25">
        <v>100</v>
      </c>
      <c r="H9" s="27">
        <v>0.4</v>
      </c>
      <c r="I9" s="28">
        <v>34</v>
      </c>
      <c r="J9" s="29" t="s">
        <v>143</v>
      </c>
      <c r="K9" s="29" t="s">
        <v>144</v>
      </c>
      <c r="L9" s="29" t="s">
        <v>145</v>
      </c>
      <c r="M9" s="26" t="s">
        <v>115</v>
      </c>
      <c r="N9" s="30" t="s">
        <v>146</v>
      </c>
    </row>
    <row r="10" s="14" customFormat="1" ht="20.1" customHeight="1" spans="1:14">
      <c r="A10" s="25">
        <v>2024</v>
      </c>
      <c r="B10" s="25">
        <v>7</v>
      </c>
      <c r="C10" s="25" t="s">
        <v>147</v>
      </c>
      <c r="D10" s="25" t="s">
        <v>134</v>
      </c>
      <c r="E10" s="26" t="s">
        <v>26</v>
      </c>
      <c r="F10" s="26" t="s">
        <v>135</v>
      </c>
      <c r="G10" s="25">
        <v>30</v>
      </c>
      <c r="H10" s="27">
        <v>0.4</v>
      </c>
      <c r="I10" s="28">
        <v>9.7</v>
      </c>
      <c r="J10" s="29" t="s">
        <v>148</v>
      </c>
      <c r="K10" s="29" t="s">
        <v>149</v>
      </c>
      <c r="L10" s="29" t="s">
        <v>138</v>
      </c>
      <c r="M10" s="26" t="s">
        <v>150</v>
      </c>
      <c r="N10" s="30" t="s">
        <v>140</v>
      </c>
    </row>
    <row r="11" s="14" customFormat="1" ht="20.1" customHeight="1" spans="1:14">
      <c r="A11" s="25">
        <v>2024</v>
      </c>
      <c r="B11" s="25">
        <v>8</v>
      </c>
      <c r="C11" s="25" t="s">
        <v>151</v>
      </c>
      <c r="D11" s="25" t="s">
        <v>134</v>
      </c>
      <c r="E11" s="26" t="s">
        <v>26</v>
      </c>
      <c r="F11" s="26" t="s">
        <v>135</v>
      </c>
      <c r="G11" s="25">
        <v>7</v>
      </c>
      <c r="H11" s="27">
        <v>0.4</v>
      </c>
      <c r="I11" s="28">
        <v>2.8</v>
      </c>
      <c r="J11" s="29" t="s">
        <v>152</v>
      </c>
      <c r="K11" s="29" t="s">
        <v>153</v>
      </c>
      <c r="L11" s="29" t="s">
        <v>138</v>
      </c>
      <c r="M11" s="26" t="s">
        <v>154</v>
      </c>
      <c r="N11" s="30" t="s">
        <v>155</v>
      </c>
    </row>
    <row r="12" s="14" customFormat="1" ht="20.1" customHeight="1" spans="1:14">
      <c r="A12" s="25">
        <v>2024</v>
      </c>
      <c r="B12" s="25">
        <v>9</v>
      </c>
      <c r="C12" s="25" t="s">
        <v>156</v>
      </c>
      <c r="D12" s="25" t="s">
        <v>109</v>
      </c>
      <c r="E12" s="26" t="s">
        <v>20</v>
      </c>
      <c r="F12" s="26" t="s">
        <v>157</v>
      </c>
      <c r="G12" s="25">
        <v>62</v>
      </c>
      <c r="H12" s="27">
        <v>0.4</v>
      </c>
      <c r="I12" s="28">
        <v>24.8</v>
      </c>
      <c r="J12" s="29" t="s">
        <v>152</v>
      </c>
      <c r="K12" s="29" t="s">
        <v>158</v>
      </c>
      <c r="L12" s="29" t="s">
        <v>145</v>
      </c>
      <c r="M12" s="26" t="s">
        <v>115</v>
      </c>
      <c r="N12" s="30" t="s">
        <v>146</v>
      </c>
    </row>
    <row r="13" s="14" customFormat="1" ht="20.1" customHeight="1" spans="1:14">
      <c r="A13" s="25">
        <v>2024</v>
      </c>
      <c r="B13" s="25">
        <v>10</v>
      </c>
      <c r="C13" s="25" t="s">
        <v>159</v>
      </c>
      <c r="D13" s="25" t="s">
        <v>134</v>
      </c>
      <c r="E13" s="26" t="s">
        <v>20</v>
      </c>
      <c r="F13" s="26" t="s">
        <v>157</v>
      </c>
      <c r="G13" s="25">
        <v>191</v>
      </c>
      <c r="H13" s="27">
        <v>0.4</v>
      </c>
      <c r="I13" s="28">
        <v>52.4</v>
      </c>
      <c r="J13" s="29" t="s">
        <v>160</v>
      </c>
      <c r="K13" s="29" t="s">
        <v>158</v>
      </c>
      <c r="L13" s="29" t="s">
        <v>114</v>
      </c>
      <c r="M13" s="26" t="s">
        <v>115</v>
      </c>
      <c r="N13" s="30" t="s">
        <v>140</v>
      </c>
    </row>
    <row r="14" s="14" customFormat="1" ht="20.1" customHeight="1" spans="1:14">
      <c r="A14" s="25">
        <v>2024</v>
      </c>
      <c r="B14" s="25">
        <v>11</v>
      </c>
      <c r="C14" s="25" t="s">
        <v>161</v>
      </c>
      <c r="D14" s="25" t="s">
        <v>109</v>
      </c>
      <c r="E14" s="26" t="s">
        <v>20</v>
      </c>
      <c r="F14" s="26" t="s">
        <v>157</v>
      </c>
      <c r="G14" s="25">
        <v>58</v>
      </c>
      <c r="H14" s="27">
        <v>0.4</v>
      </c>
      <c r="I14" s="28">
        <v>19.9</v>
      </c>
      <c r="J14" s="29" t="s">
        <v>152</v>
      </c>
      <c r="K14" s="29" t="s">
        <v>158</v>
      </c>
      <c r="L14" s="29" t="s">
        <v>145</v>
      </c>
      <c r="M14" s="26" t="s">
        <v>115</v>
      </c>
      <c r="N14" s="30" t="s">
        <v>140</v>
      </c>
    </row>
    <row r="15" s="14" customFormat="1" ht="20.1" customHeight="1" spans="1:14">
      <c r="A15" s="25">
        <v>2024</v>
      </c>
      <c r="B15" s="25">
        <v>12</v>
      </c>
      <c r="C15" s="25" t="s">
        <v>162</v>
      </c>
      <c r="D15" s="25" t="s">
        <v>109</v>
      </c>
      <c r="E15" s="26" t="s">
        <v>20</v>
      </c>
      <c r="F15" s="26" t="s">
        <v>163</v>
      </c>
      <c r="G15" s="25">
        <v>87</v>
      </c>
      <c r="H15" s="27">
        <v>0.4</v>
      </c>
      <c r="I15" s="28">
        <v>34.8</v>
      </c>
      <c r="J15" s="29" t="s">
        <v>152</v>
      </c>
      <c r="K15" s="29" t="s">
        <v>113</v>
      </c>
      <c r="L15" s="29" t="s">
        <v>145</v>
      </c>
      <c r="M15" s="26" t="s">
        <v>164</v>
      </c>
      <c r="N15" s="30" t="s">
        <v>146</v>
      </c>
    </row>
    <row r="16" s="14" customFormat="1" ht="20.1" customHeight="1" spans="1:14">
      <c r="A16" s="25">
        <v>2024</v>
      </c>
      <c r="B16" s="25">
        <v>13</v>
      </c>
      <c r="C16" s="25" t="s">
        <v>165</v>
      </c>
      <c r="D16" s="25" t="s">
        <v>134</v>
      </c>
      <c r="E16" s="26" t="s">
        <v>20</v>
      </c>
      <c r="F16" s="26" t="s">
        <v>166</v>
      </c>
      <c r="G16" s="25">
        <v>120</v>
      </c>
      <c r="H16" s="27">
        <v>0.4</v>
      </c>
      <c r="I16" s="28">
        <v>27.4</v>
      </c>
      <c r="J16" s="29" t="s">
        <v>137</v>
      </c>
      <c r="K16" s="29" t="s">
        <v>158</v>
      </c>
      <c r="L16" s="29" t="s">
        <v>145</v>
      </c>
      <c r="M16" s="26" t="s">
        <v>115</v>
      </c>
      <c r="N16" s="30" t="s">
        <v>140</v>
      </c>
    </row>
    <row r="17" s="14" customFormat="1" ht="20.1" customHeight="1" spans="1:14">
      <c r="A17" s="25">
        <v>2024</v>
      </c>
      <c r="B17" s="25">
        <v>14</v>
      </c>
      <c r="C17" s="25" t="s">
        <v>167</v>
      </c>
      <c r="D17" s="25" t="s">
        <v>109</v>
      </c>
      <c r="E17" s="26" t="s">
        <v>20</v>
      </c>
      <c r="F17" s="26" t="s">
        <v>168</v>
      </c>
      <c r="G17" s="25">
        <v>39</v>
      </c>
      <c r="H17" s="27">
        <v>0.4</v>
      </c>
      <c r="I17" s="28">
        <v>15.6</v>
      </c>
      <c r="J17" s="29" t="s">
        <v>152</v>
      </c>
      <c r="K17" s="29" t="s">
        <v>158</v>
      </c>
      <c r="L17" s="29" t="s">
        <v>145</v>
      </c>
      <c r="M17" s="26" t="s">
        <v>115</v>
      </c>
      <c r="N17" s="30" t="s">
        <v>140</v>
      </c>
    </row>
    <row r="18" s="14" customFormat="1" ht="20.1" customHeight="1" spans="1:14">
      <c r="A18" s="25">
        <v>2024</v>
      </c>
      <c r="B18" s="25">
        <v>15</v>
      </c>
      <c r="C18" s="25" t="s">
        <v>169</v>
      </c>
      <c r="D18" s="25" t="s">
        <v>109</v>
      </c>
      <c r="E18" s="26" t="s">
        <v>20</v>
      </c>
      <c r="F18" s="26" t="s">
        <v>168</v>
      </c>
      <c r="G18" s="25">
        <v>83</v>
      </c>
      <c r="H18" s="27">
        <v>0.4</v>
      </c>
      <c r="I18" s="28">
        <v>33.2</v>
      </c>
      <c r="J18" s="29" t="s">
        <v>152</v>
      </c>
      <c r="K18" s="29" t="s">
        <v>158</v>
      </c>
      <c r="L18" s="29" t="s">
        <v>145</v>
      </c>
      <c r="M18" s="26" t="s">
        <v>115</v>
      </c>
      <c r="N18" s="30" t="s">
        <v>140</v>
      </c>
    </row>
    <row r="19" s="14" customFormat="1" ht="20.1" customHeight="1" spans="1:14">
      <c r="A19" s="25">
        <v>2024</v>
      </c>
      <c r="B19" s="25">
        <v>16</v>
      </c>
      <c r="C19" s="25" t="s">
        <v>170</v>
      </c>
      <c r="D19" s="25" t="s">
        <v>109</v>
      </c>
      <c r="E19" s="26" t="s">
        <v>20</v>
      </c>
      <c r="F19" s="26" t="s">
        <v>171</v>
      </c>
      <c r="G19" s="25">
        <v>200</v>
      </c>
      <c r="H19" s="27">
        <v>0.4</v>
      </c>
      <c r="I19" s="28">
        <v>80</v>
      </c>
      <c r="J19" s="29" t="s">
        <v>172</v>
      </c>
      <c r="K19" s="29" t="s">
        <v>173</v>
      </c>
      <c r="L19" s="29" t="s">
        <v>174</v>
      </c>
      <c r="M19" s="26" t="s">
        <v>175</v>
      </c>
      <c r="N19" s="30" t="s">
        <v>140</v>
      </c>
    </row>
    <row r="20" s="14" customFormat="1" ht="20.1" customHeight="1" spans="1:14">
      <c r="A20" s="25">
        <v>2024</v>
      </c>
      <c r="B20" s="25">
        <v>17</v>
      </c>
      <c r="C20" s="25" t="s">
        <v>176</v>
      </c>
      <c r="D20" s="25" t="s">
        <v>109</v>
      </c>
      <c r="E20" s="26" t="s">
        <v>177</v>
      </c>
      <c r="F20" s="26" t="s">
        <v>178</v>
      </c>
      <c r="G20" s="25">
        <v>400</v>
      </c>
      <c r="H20" s="27">
        <v>0.4</v>
      </c>
      <c r="I20" s="28">
        <v>160</v>
      </c>
      <c r="J20" s="29" t="s">
        <v>179</v>
      </c>
      <c r="K20" s="29" t="s">
        <v>180</v>
      </c>
      <c r="L20" s="29" t="s">
        <v>174</v>
      </c>
      <c r="M20" s="26" t="s">
        <v>181</v>
      </c>
      <c r="N20" s="30" t="s">
        <v>140</v>
      </c>
    </row>
    <row r="21" s="14" customFormat="1" ht="20.1" customHeight="1" spans="1:14">
      <c r="A21" s="25">
        <v>2024</v>
      </c>
      <c r="B21" s="25">
        <v>18</v>
      </c>
      <c r="C21" s="25" t="s">
        <v>182</v>
      </c>
      <c r="D21" s="25" t="s">
        <v>109</v>
      </c>
      <c r="E21" s="26" t="s">
        <v>39</v>
      </c>
      <c r="F21" s="26" t="s">
        <v>183</v>
      </c>
      <c r="G21" s="25">
        <v>37.5</v>
      </c>
      <c r="H21" s="27">
        <v>0.4</v>
      </c>
      <c r="I21" s="28">
        <v>4.77</v>
      </c>
      <c r="J21" s="29" t="s">
        <v>144</v>
      </c>
      <c r="K21" s="29" t="s">
        <v>184</v>
      </c>
      <c r="L21" s="29" t="s">
        <v>185</v>
      </c>
      <c r="M21" s="26" t="s">
        <v>150</v>
      </c>
      <c r="N21" s="30" t="s">
        <v>140</v>
      </c>
    </row>
    <row r="22" s="14" customFormat="1" ht="20.1" customHeight="1" spans="1:14">
      <c r="A22" s="25">
        <v>2024</v>
      </c>
      <c r="B22" s="25">
        <v>19</v>
      </c>
      <c r="C22" s="25" t="s">
        <v>186</v>
      </c>
      <c r="D22" s="25" t="s">
        <v>109</v>
      </c>
      <c r="E22" s="26" t="s">
        <v>20</v>
      </c>
      <c r="F22" s="26" t="s">
        <v>187</v>
      </c>
      <c r="G22" s="25">
        <v>200</v>
      </c>
      <c r="H22" s="27">
        <v>0.4</v>
      </c>
      <c r="I22" s="28">
        <v>80</v>
      </c>
      <c r="J22" s="29" t="s">
        <v>172</v>
      </c>
      <c r="K22" s="29" t="s">
        <v>173</v>
      </c>
      <c r="L22" s="29" t="s">
        <v>185</v>
      </c>
      <c r="M22" s="26" t="s">
        <v>188</v>
      </c>
      <c r="N22" s="30" t="s">
        <v>140</v>
      </c>
    </row>
    <row r="23" s="15" customFormat="1" ht="20.1" customHeight="1" spans="1:14">
      <c r="A23" s="31"/>
      <c r="B23" s="31"/>
      <c r="C23" s="31"/>
      <c r="D23" s="31"/>
      <c r="E23" s="32"/>
      <c r="F23" s="33"/>
      <c r="G23" s="31"/>
      <c r="H23" s="34"/>
      <c r="I23" s="35"/>
      <c r="J23" s="36"/>
      <c r="K23" s="36"/>
      <c r="L23" s="36"/>
      <c r="M23" s="32"/>
      <c r="N23" s="37"/>
    </row>
    <row r="24" s="14" customFormat="1" ht="20.1" customHeight="1" spans="1:14">
      <c r="A24" s="25">
        <v>2025</v>
      </c>
      <c r="B24" s="25">
        <v>20</v>
      </c>
      <c r="C24" s="25" t="s">
        <v>189</v>
      </c>
      <c r="D24" s="25" t="s">
        <v>109</v>
      </c>
      <c r="E24" s="26" t="s">
        <v>29</v>
      </c>
      <c r="F24" s="26" t="s">
        <v>190</v>
      </c>
      <c r="G24" s="25">
        <v>250</v>
      </c>
      <c r="H24" s="27">
        <v>0.4</v>
      </c>
      <c r="I24" s="28">
        <v>98</v>
      </c>
      <c r="J24" s="29" t="s">
        <v>191</v>
      </c>
      <c r="K24" s="29" t="s">
        <v>192</v>
      </c>
      <c r="L24" s="29" t="s">
        <v>193</v>
      </c>
      <c r="M24" s="26" t="s">
        <v>126</v>
      </c>
      <c r="N24" s="30" t="s">
        <v>140</v>
      </c>
    </row>
    <row r="25" s="14" customFormat="1" ht="20.1" customHeight="1" spans="1:14">
      <c r="A25" s="25">
        <v>2025</v>
      </c>
      <c r="B25" s="25">
        <v>21</v>
      </c>
      <c r="C25" s="25" t="s">
        <v>194</v>
      </c>
      <c r="D25" s="25" t="s">
        <v>109</v>
      </c>
      <c r="E25" s="26" t="s">
        <v>14</v>
      </c>
      <c r="F25" s="26" t="s">
        <v>195</v>
      </c>
      <c r="G25" s="25">
        <v>500</v>
      </c>
      <c r="H25" s="27">
        <v>0.4</v>
      </c>
      <c r="I25" s="28">
        <v>200</v>
      </c>
      <c r="J25" s="29" t="s">
        <v>196</v>
      </c>
      <c r="K25" s="29" t="s">
        <v>197</v>
      </c>
      <c r="L25" s="29" t="s">
        <v>198</v>
      </c>
      <c r="M25" s="26" t="s">
        <v>199</v>
      </c>
      <c r="N25" s="30" t="s">
        <v>116</v>
      </c>
    </row>
    <row r="26" s="14" customFormat="1" ht="20.1" customHeight="1" spans="1:14">
      <c r="A26" s="25">
        <v>2025</v>
      </c>
      <c r="B26" s="25">
        <v>22</v>
      </c>
      <c r="C26" s="25" t="s">
        <v>200</v>
      </c>
      <c r="D26" s="25" t="s">
        <v>201</v>
      </c>
      <c r="E26" s="38" t="s">
        <v>15</v>
      </c>
      <c r="F26" s="26" t="s">
        <v>202</v>
      </c>
      <c r="G26" s="25">
        <v>170</v>
      </c>
      <c r="H26" s="27">
        <v>0.2</v>
      </c>
      <c r="I26" s="28">
        <v>39</v>
      </c>
      <c r="J26" s="29" t="s">
        <v>203</v>
      </c>
      <c r="K26" s="29" t="s">
        <v>197</v>
      </c>
      <c r="L26" s="29" t="s">
        <v>198</v>
      </c>
      <c r="M26" s="26" t="s">
        <v>204</v>
      </c>
      <c r="N26" s="30" t="s">
        <v>140</v>
      </c>
    </row>
    <row r="27" s="14" customFormat="1" ht="20.1" customHeight="1" spans="1:14">
      <c r="A27" s="25">
        <v>2025</v>
      </c>
      <c r="B27" s="25">
        <v>23</v>
      </c>
      <c r="C27" s="25" t="s">
        <v>205</v>
      </c>
      <c r="D27" s="25"/>
      <c r="E27" s="38" t="s">
        <v>110</v>
      </c>
      <c r="F27" s="26" t="s">
        <v>206</v>
      </c>
      <c r="G27" s="25">
        <v>14</v>
      </c>
      <c r="H27" s="27">
        <v>0.4</v>
      </c>
      <c r="I27" s="28">
        <v>5.6</v>
      </c>
      <c r="J27" s="29" t="s">
        <v>207</v>
      </c>
      <c r="K27" s="29" t="s">
        <v>208</v>
      </c>
      <c r="L27" s="29" t="s">
        <v>209</v>
      </c>
      <c r="M27" s="26" t="s">
        <v>115</v>
      </c>
      <c r="N27" s="30" t="s">
        <v>116</v>
      </c>
    </row>
    <row r="28" s="14" customFormat="1" ht="20.1" customHeight="1" spans="1:14">
      <c r="A28" s="25">
        <v>2025</v>
      </c>
      <c r="B28" s="25">
        <v>24</v>
      </c>
      <c r="C28" s="25" t="s">
        <v>210</v>
      </c>
      <c r="D28" s="25"/>
      <c r="E28" s="38" t="s">
        <v>110</v>
      </c>
      <c r="F28" s="26" t="s">
        <v>206</v>
      </c>
      <c r="G28" s="25">
        <v>10</v>
      </c>
      <c r="H28" s="27">
        <v>0.4</v>
      </c>
      <c r="I28" s="28">
        <v>3.9</v>
      </c>
      <c r="J28" s="29" t="s">
        <v>207</v>
      </c>
      <c r="K28" s="29" t="s">
        <v>208</v>
      </c>
      <c r="L28" s="29" t="s">
        <v>209</v>
      </c>
      <c r="M28" s="26" t="s">
        <v>115</v>
      </c>
      <c r="N28" s="30" t="s">
        <v>116</v>
      </c>
    </row>
    <row r="29" s="14" customFormat="1" ht="20.1" customHeight="1" spans="1:14">
      <c r="A29" s="25">
        <v>2025</v>
      </c>
      <c r="B29" s="25">
        <v>25</v>
      </c>
      <c r="C29" s="25" t="s">
        <v>211</v>
      </c>
      <c r="D29" s="25"/>
      <c r="E29" s="38" t="s">
        <v>36</v>
      </c>
      <c r="F29" s="26" t="s">
        <v>212</v>
      </c>
      <c r="G29" s="25">
        <v>200</v>
      </c>
      <c r="H29" s="27">
        <v>0.4</v>
      </c>
      <c r="I29" s="28">
        <v>80</v>
      </c>
      <c r="J29" s="29" t="s">
        <v>213</v>
      </c>
      <c r="K29" s="29" t="s">
        <v>214</v>
      </c>
      <c r="L29" s="29" t="s">
        <v>214</v>
      </c>
      <c r="M29" s="26" t="s">
        <v>215</v>
      </c>
      <c r="N29" s="30" t="s">
        <v>116</v>
      </c>
    </row>
    <row r="30" s="14" customFormat="1" ht="20.1" customHeight="1" spans="1:14">
      <c r="A30" s="25">
        <v>2025</v>
      </c>
      <c r="B30" s="25">
        <v>26</v>
      </c>
      <c r="C30" s="25" t="s">
        <v>216</v>
      </c>
      <c r="D30" s="25"/>
      <c r="E30" s="38" t="s">
        <v>16</v>
      </c>
      <c r="F30" s="26" t="s">
        <v>217</v>
      </c>
      <c r="G30" s="25">
        <v>260</v>
      </c>
      <c r="H30" s="27">
        <v>0.4</v>
      </c>
      <c r="I30" s="28">
        <v>104</v>
      </c>
      <c r="J30" s="29" t="s">
        <v>218</v>
      </c>
      <c r="K30" s="29" t="s">
        <v>219</v>
      </c>
      <c r="L30" s="29" t="s">
        <v>220</v>
      </c>
      <c r="M30" s="26" t="s">
        <v>175</v>
      </c>
      <c r="N30" s="30" t="s">
        <v>116</v>
      </c>
    </row>
    <row r="31" s="14" customFormat="1" ht="20.1" customHeight="1" spans="1:14">
      <c r="A31" s="25">
        <v>2025</v>
      </c>
      <c r="B31" s="25">
        <v>27</v>
      </c>
      <c r="C31" s="25" t="s">
        <v>221</v>
      </c>
      <c r="D31" s="25"/>
      <c r="E31" s="38" t="s">
        <v>17</v>
      </c>
      <c r="F31" s="26" t="s">
        <v>222</v>
      </c>
      <c r="G31" s="25">
        <v>200</v>
      </c>
      <c r="H31" s="27">
        <v>0.4</v>
      </c>
      <c r="I31" s="28">
        <v>80</v>
      </c>
      <c r="J31" s="29" t="s">
        <v>223</v>
      </c>
      <c r="K31" s="29" t="s">
        <v>224</v>
      </c>
      <c r="L31" s="29" t="s">
        <v>224</v>
      </c>
      <c r="M31" s="26" t="s">
        <v>225</v>
      </c>
      <c r="N31" s="30" t="s">
        <v>140</v>
      </c>
    </row>
    <row r="32" s="14" customFormat="1" ht="20.1" customHeight="1" spans="1:14">
      <c r="A32" s="25">
        <v>2025</v>
      </c>
      <c r="B32" s="25">
        <v>28</v>
      </c>
      <c r="C32" s="39" t="s">
        <v>226</v>
      </c>
      <c r="D32" s="38"/>
      <c r="E32" s="38" t="s">
        <v>35</v>
      </c>
      <c r="F32" s="26" t="s">
        <v>227</v>
      </c>
      <c r="G32" s="25">
        <v>800</v>
      </c>
      <c r="H32" s="27">
        <v>0.4</v>
      </c>
      <c r="I32" s="28">
        <v>320</v>
      </c>
      <c r="J32" s="29" t="s">
        <v>228</v>
      </c>
      <c r="K32" s="29" t="s">
        <v>229</v>
      </c>
      <c r="L32" s="29" t="s">
        <v>230</v>
      </c>
      <c r="M32" s="26" t="s">
        <v>231</v>
      </c>
      <c r="N32" s="30" t="s">
        <v>116</v>
      </c>
    </row>
    <row r="33" s="14" customFormat="1" ht="20.1" customHeight="1" spans="1:14">
      <c r="A33" s="25">
        <v>2025</v>
      </c>
      <c r="B33" s="40">
        <v>29</v>
      </c>
      <c r="C33" s="41" t="s">
        <v>232</v>
      </c>
      <c r="D33" s="41" t="s">
        <v>109</v>
      </c>
      <c r="E33" s="42" t="s">
        <v>16</v>
      </c>
      <c r="F33" s="43" t="s">
        <v>227</v>
      </c>
      <c r="G33" s="41">
        <v>260</v>
      </c>
      <c r="H33" s="44">
        <v>0.4</v>
      </c>
      <c r="I33" s="45">
        <v>104</v>
      </c>
      <c r="J33" s="46" t="s">
        <v>214</v>
      </c>
      <c r="K33" s="46" t="s">
        <v>233</v>
      </c>
      <c r="L33" s="46" t="s">
        <v>234</v>
      </c>
      <c r="M33" s="47" t="s">
        <v>175</v>
      </c>
      <c r="N33" s="48" t="s">
        <v>116</v>
      </c>
    </row>
    <row r="34" s="14" customFormat="1" ht="20.1" customHeight="1" spans="1:14">
      <c r="A34" s="25">
        <v>2025</v>
      </c>
      <c r="B34" s="40">
        <v>30</v>
      </c>
      <c r="C34" s="41" t="s">
        <v>235</v>
      </c>
      <c r="D34" s="41" t="s">
        <v>109</v>
      </c>
      <c r="E34" s="42" t="s">
        <v>20</v>
      </c>
      <c r="F34" s="43" t="s">
        <v>236</v>
      </c>
      <c r="G34" s="41">
        <v>240</v>
      </c>
      <c r="H34" s="44">
        <v>0.4</v>
      </c>
      <c r="I34" s="45">
        <v>96</v>
      </c>
      <c r="J34" s="46" t="s">
        <v>237</v>
      </c>
      <c r="K34" s="46" t="s">
        <v>233</v>
      </c>
      <c r="L34" s="46" t="s">
        <v>238</v>
      </c>
      <c r="M34" s="47" t="s">
        <v>239</v>
      </c>
      <c r="N34" s="48" t="s">
        <v>116</v>
      </c>
    </row>
    <row r="35" s="14" customFormat="1" ht="20.1" customHeight="1" spans="1:14">
      <c r="A35" s="25">
        <v>2025</v>
      </c>
      <c r="B35" s="40">
        <v>31</v>
      </c>
      <c r="C35" s="41" t="s">
        <v>240</v>
      </c>
      <c r="D35" s="41" t="s">
        <v>109</v>
      </c>
      <c r="E35" s="41" t="s">
        <v>26</v>
      </c>
      <c r="F35" s="41" t="s">
        <v>241</v>
      </c>
      <c r="G35" s="41">
        <v>10</v>
      </c>
      <c r="H35" s="44">
        <v>0.4</v>
      </c>
      <c r="I35" s="45">
        <v>3.61</v>
      </c>
      <c r="J35" s="46" t="s">
        <v>224</v>
      </c>
      <c r="K35" s="46" t="s">
        <v>242</v>
      </c>
      <c r="L35" s="49">
        <v>46010</v>
      </c>
      <c r="M35" s="41" t="s">
        <v>154</v>
      </c>
      <c r="N35" s="43" t="s">
        <v>243</v>
      </c>
    </row>
    <row r="36" s="14" customFormat="1" ht="20.1" customHeight="1" spans="1:14">
      <c r="A36" s="25">
        <v>2025</v>
      </c>
      <c r="B36" s="40">
        <v>32</v>
      </c>
      <c r="C36" s="41" t="s">
        <v>244</v>
      </c>
      <c r="D36" s="41" t="s">
        <v>109</v>
      </c>
      <c r="E36" s="41" t="s">
        <v>20</v>
      </c>
      <c r="F36" s="41" t="s">
        <v>227</v>
      </c>
      <c r="G36" s="41">
        <v>800</v>
      </c>
      <c r="H36" s="44">
        <v>0.4</v>
      </c>
      <c r="I36" s="45">
        <v>278.4</v>
      </c>
      <c r="J36" s="46" t="s">
        <v>245</v>
      </c>
      <c r="K36" s="46" t="s">
        <v>246</v>
      </c>
      <c r="L36" s="46" t="s">
        <v>246</v>
      </c>
      <c r="M36" s="41" t="s">
        <v>247</v>
      </c>
      <c r="N36" s="43" t="s">
        <v>140</v>
      </c>
    </row>
    <row r="37" s="14" customFormat="1" ht="20.1" customHeight="1" spans="1:14">
      <c r="A37" s="50"/>
      <c r="B37" s="50"/>
      <c r="C37" s="51"/>
      <c r="D37" s="52"/>
      <c r="E37" s="52"/>
      <c r="F37" s="53"/>
      <c r="G37" s="50"/>
      <c r="H37" s="54"/>
      <c r="I37" s="55"/>
      <c r="J37" s="56"/>
      <c r="K37" s="56"/>
      <c r="L37" s="56"/>
      <c r="M37" s="53"/>
    </row>
    <row r="38" s="16" customFormat="1" ht="27" spans="1:14">
      <c r="A38" s="25">
        <v>2026</v>
      </c>
      <c r="B38" s="25">
        <v>33</v>
      </c>
      <c r="C38" s="57" t="s">
        <v>248</v>
      </c>
      <c r="D38" s="58" t="s">
        <v>249</v>
      </c>
      <c r="E38" s="57" t="s">
        <v>250</v>
      </c>
      <c r="F38" s="25" t="s">
        <v>251</v>
      </c>
      <c r="G38" s="25">
        <v>300</v>
      </c>
      <c r="H38" s="27">
        <v>0.2</v>
      </c>
      <c r="I38" s="28">
        <v>18.45</v>
      </c>
      <c r="J38" s="59" t="s">
        <v>252</v>
      </c>
      <c r="K38" s="59" t="s">
        <v>253</v>
      </c>
      <c r="L38" s="59" t="s">
        <v>254</v>
      </c>
      <c r="M38" s="57" t="s">
        <v>255</v>
      </c>
      <c r="N38" s="60" t="s">
        <v>116</v>
      </c>
    </row>
    <row r="39" s="16" customFormat="1" spans="1:14">
      <c r="A39" s="25">
        <v>2026</v>
      </c>
      <c r="B39" s="25">
        <v>34</v>
      </c>
      <c r="C39" s="25" t="s">
        <v>256</v>
      </c>
      <c r="D39" s="25" t="s">
        <v>134</v>
      </c>
      <c r="E39" s="57" t="s">
        <v>23</v>
      </c>
      <c r="F39" s="25" t="s">
        <v>257</v>
      </c>
      <c r="G39" s="25">
        <v>200</v>
      </c>
      <c r="H39" s="27">
        <v>0.4</v>
      </c>
      <c r="I39" s="28">
        <v>24</v>
      </c>
      <c r="J39" s="59" t="s">
        <v>258</v>
      </c>
      <c r="K39" s="59" t="s">
        <v>259</v>
      </c>
      <c r="L39" s="59" t="s">
        <v>254</v>
      </c>
      <c r="M39" s="61" t="s">
        <v>115</v>
      </c>
      <c r="N39" s="60" t="s">
        <v>116</v>
      </c>
    </row>
    <row r="40" s="16" customFormat="1" spans="1:14">
      <c r="A40" s="25">
        <v>2026</v>
      </c>
      <c r="B40" s="25">
        <v>35</v>
      </c>
      <c r="C40" s="25" t="s">
        <v>260</v>
      </c>
      <c r="D40" s="25" t="s">
        <v>134</v>
      </c>
      <c r="E40" s="57" t="s">
        <v>23</v>
      </c>
      <c r="F40" s="25" t="s">
        <v>257</v>
      </c>
      <c r="G40" s="25">
        <v>300</v>
      </c>
      <c r="H40" s="27">
        <v>0.4</v>
      </c>
      <c r="I40" s="28">
        <v>45.3</v>
      </c>
      <c r="J40" s="59" t="s">
        <v>258</v>
      </c>
      <c r="K40" s="59" t="s">
        <v>259</v>
      </c>
      <c r="L40" s="59" t="s">
        <v>254</v>
      </c>
      <c r="M40" s="61" t="s">
        <v>115</v>
      </c>
      <c r="N40" s="60" t="s">
        <v>116</v>
      </c>
    </row>
    <row r="41" s="16" customFormat="1" ht="27" spans="1:14">
      <c r="A41" s="25">
        <v>2026</v>
      </c>
      <c r="B41" s="25">
        <v>36</v>
      </c>
      <c r="C41" s="25" t="s">
        <v>261</v>
      </c>
      <c r="D41" s="25" t="s">
        <v>92</v>
      </c>
      <c r="E41" s="25" t="s">
        <v>23</v>
      </c>
      <c r="F41" s="25" t="s">
        <v>262</v>
      </c>
      <c r="G41" s="25">
        <v>500</v>
      </c>
      <c r="H41" s="27">
        <v>0.4</v>
      </c>
      <c r="I41" s="28">
        <v>157.88</v>
      </c>
      <c r="J41" s="59" t="s">
        <v>233</v>
      </c>
      <c r="K41" s="59" t="s">
        <v>263</v>
      </c>
      <c r="L41" s="59" t="s">
        <v>263</v>
      </c>
      <c r="M41" s="62" t="s">
        <v>264</v>
      </c>
      <c r="N41" s="60" t="s">
        <v>116</v>
      </c>
    </row>
    <row r="42" s="16" customFormat="1" spans="1:14">
      <c r="A42" s="25">
        <v>2026</v>
      </c>
      <c r="B42" s="25">
        <v>37</v>
      </c>
      <c r="C42" s="25" t="s">
        <v>265</v>
      </c>
      <c r="D42" s="58" t="s">
        <v>249</v>
      </c>
      <c r="E42" s="25" t="s">
        <v>27</v>
      </c>
      <c r="F42" s="25" t="s">
        <v>266</v>
      </c>
      <c r="G42" s="25">
        <v>20</v>
      </c>
      <c r="H42" s="27">
        <v>0.2</v>
      </c>
      <c r="I42" s="28">
        <v>7.99</v>
      </c>
      <c r="J42" s="59"/>
      <c r="K42" s="59" t="s">
        <v>267</v>
      </c>
      <c r="L42" s="59" t="s">
        <v>268</v>
      </c>
      <c r="M42" s="62" t="s">
        <v>269</v>
      </c>
      <c r="N42" s="60" t="s">
        <v>116</v>
      </c>
    </row>
    <row r="43" s="16" customFormat="1" spans="1:14">
      <c r="A43" s="25">
        <v>2026</v>
      </c>
      <c r="B43" s="25">
        <v>38</v>
      </c>
      <c r="C43" s="25" t="s">
        <v>270</v>
      </c>
      <c r="D43" s="25" t="s">
        <v>109</v>
      </c>
      <c r="E43" s="25" t="s">
        <v>19</v>
      </c>
      <c r="F43" s="25" t="s">
        <v>271</v>
      </c>
      <c r="G43" s="25">
        <v>500</v>
      </c>
      <c r="H43" s="27">
        <v>0.4</v>
      </c>
      <c r="I43" s="28">
        <v>200</v>
      </c>
      <c r="J43" s="59" t="s">
        <v>252</v>
      </c>
      <c r="K43" s="59" t="s">
        <v>263</v>
      </c>
      <c r="L43" s="59" t="s">
        <v>272</v>
      </c>
      <c r="M43" s="62" t="s">
        <v>150</v>
      </c>
      <c r="N43" s="60" t="s">
        <v>116</v>
      </c>
    </row>
    <row r="44" s="16" customFormat="1" spans="1:14">
      <c r="A44" s="25">
        <v>2026</v>
      </c>
      <c r="B44" s="25">
        <v>39</v>
      </c>
      <c r="C44" s="25" t="s">
        <v>273</v>
      </c>
      <c r="D44" s="25" t="s">
        <v>134</v>
      </c>
      <c r="E44" s="25" t="s">
        <v>31</v>
      </c>
      <c r="F44" s="25" t="s">
        <v>274</v>
      </c>
      <c r="G44" s="25">
        <v>52</v>
      </c>
      <c r="H44" s="27">
        <v>0.4</v>
      </c>
      <c r="I44" s="28">
        <v>20.72</v>
      </c>
      <c r="J44" s="59" t="s">
        <v>275</v>
      </c>
      <c r="K44" s="59" t="s">
        <v>276</v>
      </c>
      <c r="L44" s="59" t="s">
        <v>277</v>
      </c>
      <c r="M44" s="62" t="s">
        <v>269</v>
      </c>
      <c r="N44" s="60" t="s">
        <v>116</v>
      </c>
    </row>
    <row r="45" s="16" customFormat="1" spans="1:14">
      <c r="A45" s="25">
        <v>2026</v>
      </c>
      <c r="B45" s="25">
        <v>40</v>
      </c>
      <c r="C45" s="25" t="s">
        <v>278</v>
      </c>
      <c r="D45" s="25" t="s">
        <v>92</v>
      </c>
      <c r="E45" s="25" t="s">
        <v>279</v>
      </c>
      <c r="F45" s="25" t="s">
        <v>280</v>
      </c>
      <c r="G45" s="25">
        <v>380</v>
      </c>
      <c r="H45" s="27">
        <v>0.4</v>
      </c>
      <c r="I45" s="28">
        <v>152</v>
      </c>
      <c r="J45" s="59" t="s">
        <v>281</v>
      </c>
      <c r="K45" s="59" t="s">
        <v>282</v>
      </c>
      <c r="M45" s="61" t="s">
        <v>181</v>
      </c>
      <c r="N45" s="60" t="s">
        <v>116</v>
      </c>
    </row>
    <row r="46" s="14" customFormat="1" ht="20.1" customHeight="1" spans="1:14">
      <c r="A46" s="50"/>
      <c r="B46" s="50"/>
      <c r="C46" s="51"/>
      <c r="D46" s="52"/>
      <c r="E46" s="52"/>
      <c r="F46" s="53"/>
      <c r="G46" s="50"/>
      <c r="H46" s="54"/>
      <c r="I46" s="55"/>
      <c r="J46" s="56"/>
      <c r="K46" s="56"/>
      <c r="L46" s="56"/>
      <c r="M46" s="53"/>
    </row>
    <row r="47" s="14" customFormat="1" ht="20.1" customHeight="1" spans="1:14">
      <c r="A47" s="50"/>
      <c r="B47" s="50"/>
      <c r="C47" s="51"/>
      <c r="D47" s="52"/>
      <c r="E47" s="52"/>
      <c r="F47" s="53"/>
      <c r="G47" s="50"/>
      <c r="H47" s="54"/>
      <c r="I47" s="55"/>
      <c r="J47" s="56"/>
      <c r="K47" s="56"/>
      <c r="L47" s="56"/>
      <c r="M47" s="53"/>
    </row>
    <row r="48" s="14" customFormat="1" ht="20.1" customHeight="1" spans="1:14">
      <c r="A48" s="50"/>
      <c r="B48" s="50"/>
      <c r="C48" s="51"/>
      <c r="D48" s="52"/>
      <c r="E48" s="52"/>
      <c r="F48" s="53"/>
      <c r="G48" s="50"/>
      <c r="H48" s="54"/>
      <c r="I48" s="55"/>
      <c r="J48" s="56"/>
      <c r="K48" s="56"/>
      <c r="L48" s="56"/>
      <c r="M48" s="53"/>
    </row>
    <row r="49" s="14" customFormat="1" ht="20.1" customHeight="1" spans="1:14">
      <c r="A49" s="50"/>
      <c r="B49" s="50"/>
      <c r="C49" s="51"/>
      <c r="D49" s="52"/>
      <c r="E49" s="52"/>
      <c r="F49" s="53"/>
      <c r="G49" s="50"/>
      <c r="H49" s="54"/>
      <c r="I49" s="55"/>
      <c r="J49" s="56"/>
      <c r="K49" s="56"/>
      <c r="L49" s="56"/>
      <c r="M49" s="53"/>
    </row>
    <row r="50" s="14" customFormat="1" ht="20.1" customHeight="1" spans="1:14">
      <c r="A50" s="50"/>
      <c r="B50" s="50"/>
      <c r="C50" s="51"/>
      <c r="D50" s="52"/>
      <c r="E50" s="52"/>
      <c r="F50" s="53"/>
      <c r="G50" s="50"/>
      <c r="H50" s="54"/>
      <c r="I50" s="55"/>
      <c r="J50" s="56"/>
      <c r="K50" s="56"/>
      <c r="L50" s="56"/>
      <c r="M50" s="53"/>
    </row>
    <row r="51" s="14" customFormat="1" ht="20.1" customHeight="1" spans="1:14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</row>
    <row r="52" s="14" customFormat="1" ht="20.1" customHeight="1" spans="1:14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="14" customFormat="1" ht="20.1" customHeight="1" spans="1:14">
      <c r="A53" s="50"/>
      <c r="B53" s="50" t="s">
        <v>283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</sheetData>
  <mergeCells count="3">
    <mergeCell ref="B1:N1"/>
    <mergeCell ref="B2:N2"/>
    <mergeCell ref="B53:N53"/>
  </mergeCells>
  <pageMargins left="0.75" right="0.75" top="1" bottom="1" header="0.5" footer="0.5"/>
  <pageSetup paperSize="9" scale="5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D13" sqref="D13"/>
    </sheetView>
  </sheetViews>
  <sheetFormatPr defaultColWidth="9" defaultRowHeight="13.5"/>
  <cols>
    <col min="1" max="1" width="25.6333333333333" style="12" customWidth="1"/>
    <col min="2" max="2" width="16.3833333333333" style="12" customWidth="1"/>
    <col min="3" max="3" width="16.2583333333333" style="12" customWidth="1"/>
    <col min="4" max="4" width="16.3833333333333" style="12" customWidth="1"/>
    <col min="5" max="6" width="14.8833333333333" style="12" customWidth="1"/>
    <col min="7" max="7" width="20.5" style="12" customWidth="1"/>
    <col min="8" max="8" width="17" style="12" customWidth="1"/>
    <col min="9" max="9" width="17.8833333333333" style="12" customWidth="1"/>
    <col min="10" max="10" width="17" style="12" customWidth="1"/>
    <col min="11" max="11" width="9" style="12" hidden="1" customWidth="1"/>
    <col min="12" max="12" width="11.5" style="12" hidden="1" customWidth="1"/>
    <col min="13" max="13" width="26.6333333333333" style="12" hidden="1" customWidth="1"/>
    <col min="14" max="14" width="12.7583333333333" style="12" hidden="1" customWidth="1"/>
    <col min="15" max="15" width="21.6333333333333" style="12" hidden="1" customWidth="1"/>
    <col min="16" max="16" width="9.38333333333333" style="12" hidden="1" customWidth="1"/>
    <col min="17" max="17" width="12.6333333333333" style="12" hidden="1" customWidth="1"/>
    <col min="18" max="19" width="9" style="12" hidden="1" customWidth="1"/>
    <col min="20" max="16384" width="9" style="12"/>
  </cols>
  <sheetData>
    <row r="1" s="12" customFormat="1" ht="32.1" customHeight="1" spans="1:17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</row>
    <row r="2" s="12" customFormat="1" ht="27" customHeight="1" spans="1:17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s="12" customFormat="1" ht="38.25" customHeight="1" spans="1:17">
      <c r="A3" s="3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L3" s="12" t="s">
        <v>57</v>
      </c>
      <c r="M3" s="12" t="s">
        <v>58</v>
      </c>
      <c r="O3" s="13" t="s">
        <v>59</v>
      </c>
      <c r="P3" s="13"/>
    </row>
    <row r="4" s="12" customFormat="1" ht="38.25" customHeight="1" spans="1:17">
      <c r="A4" s="5" t="s">
        <v>285</v>
      </c>
      <c r="B4" s="6">
        <v>1021391.46</v>
      </c>
      <c r="C4" s="7">
        <v>10136</v>
      </c>
      <c r="D4" s="8">
        <v>41</v>
      </c>
      <c r="E4" s="8">
        <v>0</v>
      </c>
      <c r="F4" s="8">
        <v>41</v>
      </c>
      <c r="G4" s="8">
        <v>2041.11</v>
      </c>
      <c r="H4" s="8">
        <v>0</v>
      </c>
      <c r="I4" s="10">
        <v>0.0075</v>
      </c>
      <c r="J4" s="10">
        <v>0.0221</v>
      </c>
    </row>
    <row r="5" s="12" customFormat="1" ht="38.25" customHeight="1" spans="1:17">
      <c r="A5" s="5" t="s">
        <v>286</v>
      </c>
      <c r="B5" s="6">
        <v>1624972.43</v>
      </c>
      <c r="C5" s="7">
        <v>15859</v>
      </c>
      <c r="D5" s="8">
        <v>55</v>
      </c>
      <c r="E5" s="8">
        <v>0</v>
      </c>
      <c r="F5" s="8">
        <v>55</v>
      </c>
      <c r="G5" s="6">
        <v>2860.96</v>
      </c>
      <c r="H5" s="8">
        <v>0</v>
      </c>
      <c r="I5" s="10">
        <v>0.0063</v>
      </c>
      <c r="J5" s="10">
        <v>0.0185</v>
      </c>
    </row>
    <row r="6" s="12" customFormat="1" ht="38.25" customHeight="1" spans="1:17">
      <c r="A6" s="5" t="s">
        <v>287</v>
      </c>
      <c r="B6" s="6">
        <v>2235638.8</v>
      </c>
      <c r="C6" s="7">
        <v>21322</v>
      </c>
      <c r="D6" s="8">
        <v>80</v>
      </c>
      <c r="E6" s="8">
        <v>0</v>
      </c>
      <c r="F6" s="8">
        <v>80</v>
      </c>
      <c r="G6" s="6">
        <v>4133.59</v>
      </c>
      <c r="H6" s="8">
        <v>0</v>
      </c>
      <c r="I6" s="10">
        <v>0.0069</v>
      </c>
      <c r="J6" s="10">
        <v>0.0192</v>
      </c>
    </row>
    <row r="7" s="12" customFormat="1" ht="38.25" customHeight="1" spans="1:17">
      <c r="A7" s="5" t="s">
        <v>288</v>
      </c>
      <c r="B7" s="6">
        <v>2909052.95</v>
      </c>
      <c r="C7" s="7">
        <v>26519</v>
      </c>
      <c r="D7" s="8">
        <v>102</v>
      </c>
      <c r="E7" s="8">
        <v>3</v>
      </c>
      <c r="F7" s="8">
        <v>99</v>
      </c>
      <c r="G7" s="6">
        <v>5231.8</v>
      </c>
      <c r="H7" s="8">
        <v>0</v>
      </c>
      <c r="I7" s="10">
        <v>0.0071</v>
      </c>
      <c r="J7" s="10">
        <v>0.0173</v>
      </c>
    </row>
    <row r="8" s="12" customFormat="1" ht="38.25" customHeight="1" spans="1:17">
      <c r="A8" s="5" t="s">
        <v>289</v>
      </c>
      <c r="B8" s="6">
        <v>3356734.72</v>
      </c>
      <c r="C8" s="7">
        <v>29572</v>
      </c>
      <c r="D8" s="8">
        <v>140</v>
      </c>
      <c r="E8" s="8">
        <v>3</v>
      </c>
      <c r="F8" s="8">
        <v>137</v>
      </c>
      <c r="G8" s="6">
        <v>6479.17</v>
      </c>
      <c r="H8" s="8">
        <v>0</v>
      </c>
      <c r="I8" s="10">
        <v>0.007</v>
      </c>
      <c r="J8" s="10">
        <v>0.0164</v>
      </c>
    </row>
    <row r="9" s="12" customFormat="1" ht="38.25" customHeight="1" spans="1:17">
      <c r="A9" s="5" t="s">
        <v>290</v>
      </c>
      <c r="B9" s="6">
        <v>3877433.28</v>
      </c>
      <c r="C9" s="7">
        <v>32475</v>
      </c>
      <c r="D9" s="8">
        <v>187</v>
      </c>
      <c r="E9" s="8">
        <v>6</v>
      </c>
      <c r="F9" s="8">
        <v>181</v>
      </c>
      <c r="G9" s="6">
        <v>8814.13</v>
      </c>
      <c r="H9" s="8">
        <v>0</v>
      </c>
      <c r="I9" s="10">
        <v>0.0082</v>
      </c>
      <c r="J9" s="10">
        <v>0.0161</v>
      </c>
      <c r="L9" s="12">
        <v>3922872.77</v>
      </c>
      <c r="M9" s="12">
        <v>59970.87</v>
      </c>
      <c r="N9" s="12">
        <f>M9/L9</f>
        <v>0.0152874878988237</v>
      </c>
      <c r="O9" s="12">
        <v>19788.55</v>
      </c>
      <c r="P9" s="12">
        <v>15446.69</v>
      </c>
      <c r="Q9" s="12">
        <f>(O9+P9)/L9</f>
        <v>0.00898199917913728</v>
      </c>
    </row>
    <row r="10" s="12" customFormat="1" ht="38.25" customHeight="1" spans="1:17">
      <c r="A10" s="5" t="s">
        <v>291</v>
      </c>
      <c r="B10" s="6">
        <v>4360598.15</v>
      </c>
      <c r="C10" s="7">
        <v>35309</v>
      </c>
      <c r="D10" s="8">
        <v>220</v>
      </c>
      <c r="E10" s="8">
        <v>6</v>
      </c>
      <c r="F10" s="8">
        <v>214</v>
      </c>
      <c r="G10" s="6">
        <v>9271.48</v>
      </c>
      <c r="H10" s="8">
        <v>0</v>
      </c>
      <c r="I10" s="10">
        <v>0.0077</v>
      </c>
      <c r="J10" s="10">
        <v>0.0171</v>
      </c>
    </row>
    <row r="11" s="12" customFormat="1" ht="38.25" customHeight="1" spans="1:17">
      <c r="A11" s="5" t="s">
        <v>292</v>
      </c>
      <c r="B11" s="6">
        <v>4764831.04</v>
      </c>
      <c r="C11" s="7">
        <v>37741</v>
      </c>
      <c r="D11" s="8">
        <v>262</v>
      </c>
      <c r="E11" s="8">
        <v>7</v>
      </c>
      <c r="F11" s="8">
        <v>255</v>
      </c>
      <c r="G11" s="6">
        <v>10660.83</v>
      </c>
      <c r="H11" s="8">
        <v>0</v>
      </c>
      <c r="I11" s="10">
        <v>0.0076</v>
      </c>
      <c r="J11" s="10">
        <v>0.0176</v>
      </c>
    </row>
    <row r="12" s="12" customFormat="1" ht="38.25" customHeight="1" spans="1:17">
      <c r="A12" s="5" t="s">
        <v>293</v>
      </c>
      <c r="B12" s="6">
        <v>5181556.15</v>
      </c>
      <c r="C12" s="7">
        <v>40221</v>
      </c>
      <c r="D12" s="8">
        <f>E12+F12</f>
        <v>282</v>
      </c>
      <c r="E12" s="8">
        <v>8</v>
      </c>
      <c r="F12" s="8">
        <v>274</v>
      </c>
      <c r="G12" s="6">
        <v>11813.23</v>
      </c>
      <c r="H12" s="8">
        <v>0</v>
      </c>
      <c r="I12" s="10">
        <v>0.008</v>
      </c>
      <c r="J12" s="10">
        <v>0.017</v>
      </c>
    </row>
    <row r="13" s="12" customFormat="1" ht="38.25" customHeight="1" spans="1:17">
      <c r="A13" s="5" t="s">
        <v>294</v>
      </c>
      <c r="B13" s="6">
        <v>5513911.05</v>
      </c>
      <c r="C13" s="7">
        <v>42035</v>
      </c>
      <c r="D13" s="8">
        <v>314</v>
      </c>
      <c r="E13" s="8">
        <v>8</v>
      </c>
      <c r="F13" s="8">
        <v>306</v>
      </c>
      <c r="G13" s="6">
        <v>13420.66</v>
      </c>
      <c r="H13" s="8">
        <v>0</v>
      </c>
      <c r="I13" s="10">
        <v>0.0085</v>
      </c>
      <c r="J13" s="10">
        <v>0.0178</v>
      </c>
    </row>
    <row r="14" s="12" customFormat="1" ht="38.25" customHeight="1" spans="1:17">
      <c r="A14" s="5" t="s">
        <v>295</v>
      </c>
      <c r="B14" s="6">
        <v>5668793.44</v>
      </c>
      <c r="C14" s="7">
        <v>42824</v>
      </c>
      <c r="D14" s="8">
        <v>366</v>
      </c>
      <c r="E14" s="8">
        <v>13</v>
      </c>
      <c r="F14" s="8">
        <v>353</v>
      </c>
      <c r="G14" s="6">
        <v>15890.83</v>
      </c>
      <c r="H14" s="8">
        <v>0</v>
      </c>
      <c r="I14" s="10">
        <v>0.0092</v>
      </c>
      <c r="J14" s="10">
        <v>0.0177</v>
      </c>
    </row>
    <row r="15" s="12" customFormat="1" ht="24" customHeight="1" spans="1:17">
      <c r="A15" s="11" t="s">
        <v>62</v>
      </c>
      <c r="B15" s="11"/>
      <c r="C15" s="11"/>
      <c r="D15" s="11"/>
      <c r="E15" s="11"/>
      <c r="F15" s="11"/>
      <c r="G15" s="11"/>
      <c r="H15" s="11"/>
      <c r="I15" s="11"/>
      <c r="J15" s="11"/>
    </row>
    <row r="16" s="12" customFormat="1" ht="12" customHeight="1" spans="1:17">
      <c r="B16" s="13" t="s">
        <v>42</v>
      </c>
      <c r="C16" s="13"/>
      <c r="G16" s="13" t="s">
        <v>296</v>
      </c>
      <c r="H16" s="13"/>
      <c r="I16" s="13"/>
    </row>
    <row r="17" s="12" customFormat="1" ht="18" customHeight="1" spans="1:7">
      <c r="A17" s="12" t="s">
        <v>64</v>
      </c>
      <c r="B17" s="13" t="s">
        <v>65</v>
      </c>
      <c r="C17" s="13"/>
      <c r="D17" s="13"/>
    </row>
    <row r="18" s="12" customFormat="1" ht="25" customHeight="1" spans="1:7">
      <c r="A18" s="12" t="s">
        <v>66</v>
      </c>
      <c r="B18" s="13"/>
      <c r="C18" s="13"/>
      <c r="D18" s="13"/>
      <c r="E18" s="13"/>
      <c r="F18" s="13"/>
      <c r="G18" s="13"/>
    </row>
  </sheetData>
  <mergeCells count="8">
    <mergeCell ref="A1:J1"/>
    <mergeCell ref="A2:J2"/>
    <mergeCell ref="O3:P3"/>
    <mergeCell ref="A15:J15"/>
    <mergeCell ref="B16:C16"/>
    <mergeCell ref="G16:I16"/>
    <mergeCell ref="B17:D17"/>
    <mergeCell ref="B18:G18"/>
  </mergeCells>
  <pageMargins left="0.75" right="0.75" top="1" bottom="1" header="0.5" footer="0.5"/>
  <pageSetup paperSize="9" scale="75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D27" sqref="D27"/>
    </sheetView>
  </sheetViews>
  <sheetFormatPr defaultColWidth="9" defaultRowHeight="13.5"/>
  <cols>
    <col min="1" max="1" width="19.5" customWidth="1"/>
    <col min="2" max="2" width="17.75" customWidth="1"/>
    <col min="3" max="3" width="16.375" customWidth="1"/>
    <col min="4" max="5" width="15.375" customWidth="1"/>
    <col min="6" max="6" width="13" customWidth="1"/>
    <col min="7" max="7" width="16.375" customWidth="1"/>
    <col min="8" max="8" width="15" customWidth="1"/>
    <col min="9" max="9" width="12.5" customWidth="1"/>
    <col min="10" max="10" width="15.25" customWidth="1"/>
  </cols>
  <sheetData>
    <row r="1" ht="27" spans="1:10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ht="27" spans="1:10">
      <c r="A3" s="3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</row>
    <row r="4" spans="1:10">
      <c r="A4" s="5" t="s">
        <v>298</v>
      </c>
      <c r="B4" s="6">
        <v>2456515.09</v>
      </c>
      <c r="C4" s="7">
        <v>13265</v>
      </c>
      <c r="D4" s="8">
        <v>123</v>
      </c>
      <c r="E4" s="9">
        <v>8</v>
      </c>
      <c r="F4" s="9">
        <v>115</v>
      </c>
      <c r="G4" s="6">
        <v>3758.06</v>
      </c>
      <c r="H4" s="8">
        <v>0</v>
      </c>
      <c r="I4" s="10">
        <v>0.0071</v>
      </c>
      <c r="J4" s="10">
        <v>0.0183</v>
      </c>
    </row>
    <row r="5" spans="1:10">
      <c r="A5" s="5"/>
      <c r="B5" s="6"/>
      <c r="C5" s="7"/>
      <c r="D5" s="8"/>
      <c r="E5" s="8"/>
      <c r="F5" s="8"/>
      <c r="G5" s="6"/>
      <c r="H5" s="8"/>
      <c r="I5" s="10"/>
      <c r="J5" s="10"/>
    </row>
    <row r="6" spans="1:10">
      <c r="A6" s="5"/>
      <c r="B6" s="6"/>
      <c r="C6" s="7"/>
      <c r="D6" s="8"/>
      <c r="E6" s="8"/>
      <c r="F6" s="8"/>
      <c r="G6" s="6"/>
      <c r="H6" s="8"/>
      <c r="I6" s="10"/>
      <c r="J6" s="10"/>
    </row>
    <row r="7" spans="1:10">
      <c r="A7" s="5"/>
      <c r="B7" s="6"/>
      <c r="C7" s="7"/>
      <c r="D7" s="8"/>
      <c r="E7" s="8"/>
      <c r="F7" s="8"/>
      <c r="G7" s="6"/>
      <c r="H7" s="8"/>
      <c r="I7" s="10"/>
      <c r="J7" s="10"/>
    </row>
    <row r="8" spans="1:10">
      <c r="A8" s="5"/>
      <c r="B8" s="6"/>
      <c r="C8" s="7"/>
      <c r="D8" s="8"/>
      <c r="E8" s="8"/>
      <c r="F8" s="8"/>
      <c r="G8" s="6"/>
      <c r="H8" s="8"/>
      <c r="I8" s="10"/>
      <c r="J8" s="10"/>
    </row>
    <row r="9" spans="1:10">
      <c r="A9" s="5"/>
      <c r="B9" s="6"/>
      <c r="C9" s="7"/>
      <c r="D9" s="8"/>
      <c r="E9" s="8"/>
      <c r="F9" s="8"/>
      <c r="G9" s="6"/>
      <c r="H9" s="8"/>
      <c r="I9" s="10"/>
      <c r="J9" s="10"/>
    </row>
    <row r="10" spans="1:10">
      <c r="A10" s="5"/>
      <c r="B10" s="6"/>
      <c r="C10" s="7"/>
      <c r="D10" s="8"/>
      <c r="E10" s="8"/>
      <c r="F10" s="8"/>
      <c r="G10" s="6"/>
      <c r="H10" s="8"/>
      <c r="I10" s="10"/>
      <c r="J10" s="10"/>
    </row>
    <row r="11" spans="1:10">
      <c r="A11" s="5"/>
      <c r="B11" s="6"/>
      <c r="C11" s="7"/>
      <c r="D11" s="8"/>
      <c r="E11" s="8"/>
      <c r="F11" s="8"/>
      <c r="G11" s="6"/>
      <c r="H11" s="8"/>
      <c r="I11" s="10"/>
      <c r="J11" s="10"/>
    </row>
    <row r="12" spans="1:10">
      <c r="A12" s="5"/>
      <c r="B12" s="6"/>
      <c r="C12" s="7"/>
      <c r="D12" s="8"/>
      <c r="E12" s="8"/>
      <c r="F12" s="8"/>
      <c r="G12" s="6"/>
      <c r="H12" s="8"/>
      <c r="I12" s="10"/>
      <c r="J12" s="10"/>
    </row>
    <row r="13" spans="1:10">
      <c r="A13" s="5"/>
      <c r="B13" s="6"/>
      <c r="C13" s="7"/>
      <c r="D13" s="8"/>
      <c r="E13" s="8"/>
      <c r="F13" s="8"/>
      <c r="G13" s="6"/>
      <c r="H13" s="8"/>
      <c r="I13" s="10"/>
      <c r="J13" s="10"/>
    </row>
    <row r="14" spans="1:10">
      <c r="A14" s="11" t="s">
        <v>62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2"/>
      <c r="B15" s="13" t="s">
        <v>42</v>
      </c>
      <c r="C15" s="13"/>
      <c r="D15" s="12"/>
      <c r="E15" s="12"/>
      <c r="F15" s="12"/>
      <c r="G15" s="13" t="s">
        <v>299</v>
      </c>
      <c r="H15" s="13"/>
      <c r="I15" s="13"/>
      <c r="J15" s="12"/>
    </row>
    <row r="16" spans="1:10">
      <c r="A16" s="12" t="s">
        <v>64</v>
      </c>
      <c r="B16" s="13" t="s">
        <v>65</v>
      </c>
      <c r="C16" s="13"/>
      <c r="D16" s="13"/>
      <c r="E16" s="12"/>
      <c r="F16" s="12"/>
      <c r="G16" s="12"/>
      <c r="H16" s="12"/>
      <c r="I16" s="12"/>
      <c r="J16" s="12"/>
    </row>
  </sheetData>
  <mergeCells count="6">
    <mergeCell ref="A1:J1"/>
    <mergeCell ref="A2:J2"/>
    <mergeCell ref="A14:J14"/>
    <mergeCell ref="B15:C15"/>
    <mergeCell ref="G15:I15"/>
    <mergeCell ref="B16:D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表一</vt:lpstr>
      <vt:lpstr>表二</vt:lpstr>
      <vt:lpstr>表三</vt:lpstr>
      <vt:lpstr>表四</vt:lpstr>
      <vt:lpstr>表五</vt:lpstr>
      <vt:lpstr>表六</vt:lpstr>
      <vt:lpstr>2026年月报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</dc:creator>
  <cp:lastModifiedBy>贾战强</cp:lastModifiedBy>
  <dcterms:created xsi:type="dcterms:W3CDTF">2026-01-15T01:44:00Z</dcterms:created>
  <dcterms:modified xsi:type="dcterms:W3CDTF">2026-04-10T05:57:45Z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D9F30EDF723044548D1BD9453682B26F_13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