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271" firstSheet="1" activeTab="2"/>
  </bookViews>
  <sheets>
    <sheet name="表六 补偿进度台账（传统）" sheetId="6" r:id="rId1"/>
    <sheet name="新表六2026" sheetId="16" r:id="rId2"/>
    <sheet name="新表八2026" sheetId="18" r:id="rId3"/>
    <sheet name="表七 补偿进度台账（总对总）" sheetId="7" r:id="rId4"/>
    <sheet name="表八 再担保代偿补偿项目统计总台账" sheetId="10" r:id="rId5"/>
    <sheet name="表九 总对总项目统计表" sheetId="11" r:id="rId6"/>
  </sheets>
  <definedNames>
    <definedName name="_xlnm._FilterDatabase" localSheetId="0" hidden="1">'表六 补偿进度台账（传统）'!$A$2:$P$608</definedName>
    <definedName name="_xlnm._FilterDatabase" localSheetId="1" hidden="1">新表六2026!$A$2:$T$262</definedName>
    <definedName name="_xlnm._FilterDatabase" localSheetId="2" hidden="1">新表八2026!$A$3:$XBP$103</definedName>
    <definedName name="_xlnm._FilterDatabase" localSheetId="4" hidden="1">'表八 再担保代偿补偿项目统计总台账'!$4:$2397</definedName>
    <definedName name="_xlnm._FilterDatabase" localSheetId="5" hidden="1">'表九 总对总项目统计表'!$A$4:$O$340</definedName>
    <definedName name="_xlnm._FilterDatabase" localSheetId="3" hidden="1">'表七 补偿进度台账（总对总）'!$A$2:$Z$359</definedName>
    <definedName name="_xlnm.Print_Area" localSheetId="4">'表八 再担保代偿补偿项目统计总台账'!$A$1:$Y$2396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<sst xmlns="http://schemas.openxmlformats.org/spreadsheetml/2006/main" count="32265" uniqueCount="7462">
  <si>
    <t>表六：省再担保公司传统再担保代偿补偿项目审核进度表</t>
  </si>
  <si>
    <t>序号</t>
  </si>
  <si>
    <t>机构名称</t>
  </si>
  <si>
    <t>项目名称</t>
  </si>
  <si>
    <t>经办人及时间安排</t>
  </si>
  <si>
    <t>申请补偿金额（元）</t>
  </si>
  <si>
    <t>代偿日期</t>
  </si>
  <si>
    <t>首次申报日期</t>
  </si>
  <si>
    <t>审批方式</t>
  </si>
  <si>
    <t>退回时间</t>
  </si>
  <si>
    <t>审核进度</t>
  </si>
  <si>
    <t>是否提报国担</t>
  </si>
  <si>
    <t>备注</t>
  </si>
  <si>
    <t>已申报天数</t>
  </si>
  <si>
    <t>代偿日期+179</t>
  </si>
  <si>
    <t>西安财金担保</t>
  </si>
  <si>
    <t>陕西伊沙贝拉商贸有限公司</t>
  </si>
  <si>
    <t>上会</t>
  </si>
  <si>
    <t>确认后回函</t>
  </si>
  <si>
    <t>未补充内部批量业务管理制度</t>
  </si>
  <si>
    <t>陕西煜煜生辉工贸有限公司</t>
  </si>
  <si>
    <t>审批完成</t>
  </si>
  <si>
    <t>安康担保</t>
  </si>
  <si>
    <t>陕西汉阴绿健商贸有限公司</t>
  </si>
  <si>
    <t>2024-05-07退回</t>
  </si>
  <si>
    <t>汉中担保</t>
  </si>
  <si>
    <t>王拓</t>
  </si>
  <si>
    <t>签批</t>
  </si>
  <si>
    <t>曲江担保</t>
  </si>
  <si>
    <t>赵建伟</t>
  </si>
  <si>
    <t>没有开展保后，回函</t>
  </si>
  <si>
    <t>宝鸡担保</t>
  </si>
  <si>
    <t>朱苏奇</t>
  </si>
  <si>
    <t>莲湖担保</t>
  </si>
  <si>
    <t>任东海</t>
  </si>
  <si>
    <t>已回函，正在退再担保费</t>
  </si>
  <si>
    <t>补：1.2024-03-25</t>
  </si>
  <si>
    <t>西投保</t>
  </si>
  <si>
    <t>西安华创科诺商贸有限公司</t>
  </si>
  <si>
    <t>未录入共同借款人备案信息，退回后未再申报，回函</t>
  </si>
  <si>
    <t>补：1.2024-04-23</t>
  </si>
  <si>
    <t>高陵担保</t>
  </si>
  <si>
    <t>陕西中海城建有限公司</t>
  </si>
  <si>
    <t>超过补偿上限退回后超120日，不用出函</t>
  </si>
  <si>
    <t>陈安</t>
  </si>
  <si>
    <t>补：1.2024-04-08</t>
  </si>
  <si>
    <t>邵桂林</t>
  </si>
  <si>
    <t>主动要求退回，资金全部追回，回函</t>
  </si>
  <si>
    <t>席维维</t>
  </si>
  <si>
    <t>何小艳</t>
  </si>
  <si>
    <t>陕西奇奥油气工程技术服务有限公司</t>
  </si>
  <si>
    <t>丁福安</t>
  </si>
  <si>
    <t>张浩</t>
  </si>
  <si>
    <t>宝鸡众信海博汽车销售服务有限公司</t>
  </si>
  <si>
    <t>汉中汉裕源企业管理有限公司</t>
  </si>
  <si>
    <t>退回</t>
  </si>
  <si>
    <t>补：1.2024-03-07</t>
  </si>
  <si>
    <t>创新担保</t>
  </si>
  <si>
    <t>陕西孚嘉石化科技有限公司</t>
  </si>
  <si>
    <t>许浩威</t>
  </si>
  <si>
    <t>陕西万通电线电缆有限责任公司</t>
  </si>
  <si>
    <t>补：1.2024-04-07</t>
  </si>
  <si>
    <t>佳县担保</t>
  </si>
  <si>
    <t>李艳荣</t>
  </si>
  <si>
    <t>王永强</t>
  </si>
  <si>
    <t>未按要求保后</t>
  </si>
  <si>
    <t>陕西万航物流集团有限公司</t>
  </si>
  <si>
    <t>张学五</t>
  </si>
  <si>
    <t>但已超过180</t>
  </si>
  <si>
    <t>微众银行9笔</t>
  </si>
  <si>
    <t>补：1.2024-04-11，解保信息有误</t>
  </si>
  <si>
    <t>毛江虎</t>
  </si>
  <si>
    <t>网商银行87笔</t>
  </si>
  <si>
    <t>缺少小微三农资格认证佐证材料，回函</t>
  </si>
  <si>
    <t>缺小微三农证明材料</t>
  </si>
  <si>
    <t>榆林担保</t>
  </si>
  <si>
    <t>贠海瑞</t>
  </si>
  <si>
    <t>7月4日从新提交，缺少保后报告</t>
  </si>
  <si>
    <t>郭鹏</t>
  </si>
  <si>
    <t>西安小微担保</t>
  </si>
  <si>
    <t>网商银行6笔</t>
  </si>
  <si>
    <t>维克托阀门集团有限公司</t>
  </si>
  <si>
    <t>陕西瑞腾环保科技有限公司</t>
  </si>
  <si>
    <t>西安美铂隆科贸有限公司</t>
  </si>
  <si>
    <t>因备案信息有误退回后未再提交，回函</t>
  </si>
  <si>
    <t>备案信息有误</t>
  </si>
  <si>
    <t>赵军社</t>
  </si>
  <si>
    <t>系统维护，2024-04-16重提</t>
  </si>
  <si>
    <t>张云龙</t>
  </si>
  <si>
    <t>黄陵担保</t>
  </si>
  <si>
    <t>田鹏飞</t>
  </si>
  <si>
    <t>补：1.2024-04-22；2.2024-04-28</t>
  </si>
  <si>
    <t>白河县华越汽车贸易有限责任公司</t>
  </si>
  <si>
    <t>胡西琴</t>
  </si>
  <si>
    <t>范增波</t>
  </si>
  <si>
    <t>从报告反映首次备案为借新还旧业务，回函</t>
  </si>
  <si>
    <t>首笔备案未借新还旧，借款合同未填写用途</t>
  </si>
  <si>
    <t>陕西华银科技股份有限公司</t>
  </si>
  <si>
    <t>退回并已回函</t>
  </si>
  <si>
    <t>代偿支付路径错误</t>
  </si>
  <si>
    <t>孔凡庚</t>
  </si>
  <si>
    <t>补：1.2024-04-23；2.2024-5-9</t>
  </si>
  <si>
    <t>延安担保</t>
  </si>
  <si>
    <t>刘再平</t>
  </si>
  <si>
    <t>核心字段错误未修改，超期回函</t>
  </si>
  <si>
    <t>李淑霞</t>
  </si>
  <si>
    <t>王宏田</t>
  </si>
  <si>
    <t>6月25日重新提交，合同编号真实性存疑</t>
  </si>
  <si>
    <t>汉中市清波农业科技发展有限责任公司</t>
  </si>
  <si>
    <t>贾战强（8.19-8.23）</t>
  </si>
  <si>
    <t>6月19号重新提报，2022年度备案项目申请金额包含本息，贾老师退回，8月26日重新提报</t>
  </si>
  <si>
    <t>刘宗岐</t>
  </si>
  <si>
    <t>李永旗</t>
  </si>
  <si>
    <t>李院利</t>
  </si>
  <si>
    <t>宝鸡市勤博金属材料有限公司</t>
  </si>
  <si>
    <t>系统维护，2024-04-16重提，2024-06-24补充提交</t>
  </si>
  <si>
    <t>宝鸡市新逸阳工贸有限公司</t>
  </si>
  <si>
    <t>陕西钢脉商贸有限公司</t>
  </si>
  <si>
    <t>陕西耐安消防科技有限公司</t>
  </si>
  <si>
    <t>信炉（8.12-8.16）</t>
  </si>
  <si>
    <t>已提交</t>
  </si>
  <si>
    <t>2024-08-15重新提交</t>
  </si>
  <si>
    <t>陕西尚通环汇新能源有限公司</t>
  </si>
  <si>
    <t>系统维护，2024-04-16重提，2024-5-30补充提交</t>
  </si>
  <si>
    <t>宝鸡欧利盛物流有限公司</t>
  </si>
  <si>
    <t>宝鸡九洲康泰物流有限公司</t>
  </si>
  <si>
    <t>钟颖（8.12-8.16）</t>
  </si>
  <si>
    <t>蒲城担保</t>
  </si>
  <si>
    <t>陈超</t>
  </si>
  <si>
    <t>小谢（8.12-8.16）</t>
  </si>
  <si>
    <t>已过期，未提交</t>
  </si>
  <si>
    <t>贾老师退回</t>
  </si>
  <si>
    <t>王长义</t>
  </si>
  <si>
    <t>神木担保</t>
  </si>
  <si>
    <t>王玉军</t>
  </si>
  <si>
    <t>6月19日从新提交，缺少保后报告</t>
  </si>
  <si>
    <t>贾平</t>
  </si>
  <si>
    <t>王小龙</t>
  </si>
  <si>
    <t>吕侯章</t>
  </si>
  <si>
    <t>陕西乐信机械制造有限公司</t>
  </si>
  <si>
    <t>大荔担保</t>
  </si>
  <si>
    <t>姚岁贤</t>
  </si>
  <si>
    <t>超过代偿申报时间，回函</t>
  </si>
  <si>
    <t>超过代偿申报时间</t>
  </si>
  <si>
    <t>成哲</t>
  </si>
  <si>
    <t>马凯</t>
  </si>
  <si>
    <t>雷攀</t>
  </si>
  <si>
    <t>商洛担保</t>
  </si>
  <si>
    <t>镇安县金正矿业有限责任公司</t>
  </si>
  <si>
    <t>信炉（8.19-8.23）</t>
  </si>
  <si>
    <t>8.20退回修改委保合同号，8.23重新提报</t>
  </si>
  <si>
    <t>邬清余</t>
  </si>
  <si>
    <t>债务人类别备案为农户，但放款文件显示客户性质为小企业主；代偿解保操作错误，未填写未清偿利息，8月28日重新提报</t>
  </si>
  <si>
    <t>苏军</t>
  </si>
  <si>
    <t>代偿解保操作错误，未填写未清偿利息，8月28日重新提报</t>
  </si>
  <si>
    <t>龚霞</t>
  </si>
  <si>
    <t>20240826重新提交，代偿解保操作错误，未填写未清偿利息</t>
  </si>
  <si>
    <t>陈笑宇</t>
  </si>
  <si>
    <t>代偿解保操作错误，正常解保部分未记录</t>
  </si>
  <si>
    <t>网商银行41笔</t>
  </si>
  <si>
    <t>杜贵海</t>
  </si>
  <si>
    <t>网商缺小微三农证明材料</t>
  </si>
  <si>
    <t>汤文磊</t>
  </si>
  <si>
    <t>杜雪敏</t>
  </si>
  <si>
    <t>微众银行44笔</t>
  </si>
  <si>
    <t>2024-03-22申报的微众银行48笔退回后重新提交</t>
  </si>
  <si>
    <t>镇坪县和昌鸿电子科技有限公司</t>
  </si>
  <si>
    <t>刘蕾</t>
  </si>
  <si>
    <t>缺少共借人信息</t>
  </si>
  <si>
    <t>朱仕敏</t>
  </si>
  <si>
    <t>微众银行22笔</t>
  </si>
  <si>
    <t>李桦</t>
  </si>
  <si>
    <t>补充资料超过15天要求，回函</t>
  </si>
  <si>
    <t xml:space="preserve"> </t>
  </si>
  <si>
    <t>网商银行7笔</t>
  </si>
  <si>
    <t>张波</t>
  </si>
  <si>
    <t>1备案表解保表中债权人名称错误，表中为农行大竹东大街支行，资料上显示为农行汉中东大街支行
2备案表中利率错误，借款合同放款文件上显示贷款利率为LPR+20基点3.85+0.2=4.05，备案表中为4.07</t>
  </si>
  <si>
    <t>周浩喜</t>
  </si>
  <si>
    <t>1备案表、中利率错误，借款合同放款文件上显示贷款利率为LPR+20基点3.8+0.2=4，备案表中为3.8</t>
  </si>
  <si>
    <t>李利</t>
  </si>
  <si>
    <t xml:space="preserve"> 已提交</t>
  </si>
  <si>
    <t>1备案表、代偿补偿报告、审批表中利率错误，借款合同放款文件上显示贷款利率为LPR+50基点3.85+0.5=4.35，备案表中为4.05、报告和审批表中为4.15</t>
  </si>
  <si>
    <t>陕西玺粮绿色农业有限公司</t>
  </si>
  <si>
    <t>小谢（8.19-8.23）</t>
  </si>
  <si>
    <t>1.解保信息填写错误；2.代偿通知书</t>
  </si>
  <si>
    <t>刘卓（8.12-8.16）</t>
  </si>
  <si>
    <t>陕西省博雅艾利克空间设计装饰工程有限公司</t>
  </si>
  <si>
    <t>于飞</t>
  </si>
  <si>
    <t>西安杰科贸易有限公司</t>
  </si>
  <si>
    <t>首笔备案为风险化解</t>
  </si>
  <si>
    <t>西安华美鼎鲜网络科技有限公司</t>
  </si>
  <si>
    <t>首笔备案为展期</t>
  </si>
  <si>
    <t>孙玥涵</t>
  </si>
  <si>
    <t>1.银行通知书债务人名称发生错误，请联系银行更正。2.保后报告在保金额与实际不否，请曲江担保对此提供说明。3.风险化解项目补充首笔备案资料</t>
  </si>
  <si>
    <t>彭希统</t>
  </si>
  <si>
    <t>钟颖（8.19-8.24）</t>
  </si>
  <si>
    <t>李颖卓</t>
  </si>
  <si>
    <t>风险化解项目补充首笔备案资料</t>
  </si>
  <si>
    <t>冉华</t>
  </si>
  <si>
    <t>1.担保费缴纳凭证未列明付款账户和转账用途，请曲江担保提供其他缴纳保费凭证或对此情况提供说明。2.保后报告金额没有填写请曲江担保提供说明。3.风险化解项目补充首笔备案资料</t>
  </si>
  <si>
    <t>西安新紫商贸有限公司</t>
  </si>
  <si>
    <t>退回，回函</t>
  </si>
  <si>
    <t>备案时国担系统存在代偿未清偿记录</t>
  </si>
  <si>
    <t>西安保航特弘建筑工程有限公司</t>
  </si>
  <si>
    <t>超过主债权到期后180日解保，我司解除再担保责任</t>
  </si>
  <si>
    <t>微众银行31笔</t>
  </si>
  <si>
    <t>王耐厚</t>
  </si>
  <si>
    <t xml:space="preserve"> 退回</t>
  </si>
  <si>
    <r>
      <rPr>
        <sz val="11"/>
        <color rgb="FFFF0000"/>
        <rFont val="宋体"/>
        <charset val="134"/>
      </rPr>
      <t>修改提报时间已超15天，且提报日离国担最后时限180日仅差一天，已无后续操作时间，故退回</t>
    </r>
    <r>
      <rPr>
        <sz val="11"/>
        <color rgb="FF000000"/>
        <rFont val="宋体"/>
        <charset val="134"/>
      </rPr>
      <t>代偿解保操作错误，未填写未清偿利息</t>
    </r>
  </si>
  <si>
    <t>退回超过代偿补偿上限，2024-08-14重新提交</t>
  </si>
  <si>
    <t>穆文祥</t>
  </si>
  <si>
    <t>8.22退回补充借款人征信</t>
  </si>
  <si>
    <t>朱彩芝</t>
  </si>
  <si>
    <t>钟颖（9.2-9.6）</t>
  </si>
  <si>
    <t>解保操作中未填写未清偿利息，8月26日重新提报</t>
  </si>
  <si>
    <t>耿臻</t>
  </si>
  <si>
    <t>神木市远致煤业有限公司</t>
  </si>
  <si>
    <t>备案信息与申报材料不一致，融资品种选择错误</t>
  </si>
  <si>
    <t>王朋亮</t>
  </si>
  <si>
    <t>王红梅</t>
  </si>
  <si>
    <t>郭兴峰</t>
  </si>
  <si>
    <r>
      <rPr>
        <sz val="11"/>
        <color rgb="FFFF0000"/>
        <rFont val="宋体"/>
        <charset val="134"/>
      </rPr>
      <t>补充提报已超过15天，</t>
    </r>
    <r>
      <rPr>
        <sz val="11"/>
        <color rgb="FF000000"/>
        <rFont val="宋体"/>
        <charset val="134"/>
      </rPr>
      <t>备案买牛合同买煤代偿原因投资煤炭行业石板，情况说明</t>
    </r>
  </si>
  <si>
    <t>商南县中博实业有限公司</t>
  </si>
  <si>
    <t>旬阳市吕妈妈托育服务有限公司</t>
  </si>
  <si>
    <t>信炉（9.2-9.6）</t>
  </si>
  <si>
    <t>曾新斌</t>
  </si>
  <si>
    <t>刘卓（8.26-8.30）</t>
  </si>
  <si>
    <t>陕西海恩新材料有限责任公司</t>
  </si>
  <si>
    <t>渭南担保</t>
  </si>
  <si>
    <t>韩城林富长工贸有限公司</t>
  </si>
  <si>
    <t>刘卓（9.2-9.6）</t>
  </si>
  <si>
    <t>录错</t>
  </si>
  <si>
    <t>“总对总”项目</t>
  </si>
  <si>
    <t>咸阳担保</t>
  </si>
  <si>
    <t>袁刚</t>
  </si>
  <si>
    <t>钟颖（9.9-9.14）</t>
  </si>
  <si>
    <t>金海梁</t>
  </si>
  <si>
    <t>西安市雁塔区皓世家森餐饮店</t>
  </si>
  <si>
    <t>信炉（8.26-8.30）</t>
  </si>
  <si>
    <t>西安冶卓装饰工程有限公司</t>
  </si>
  <si>
    <t>9月15日退回</t>
  </si>
  <si>
    <t>8月28日退回补充材料，至9月11日仍未提交，超过15天期限。</t>
  </si>
  <si>
    <t>张欣</t>
  </si>
  <si>
    <t>退</t>
  </si>
  <si>
    <t>蔡星星</t>
  </si>
  <si>
    <t>超期解责</t>
  </si>
  <si>
    <t>吴进虎</t>
  </si>
  <si>
    <t>钟颖（8.26-8.30）</t>
  </si>
  <si>
    <t>朱苟平</t>
  </si>
  <si>
    <t>朱少仙</t>
  </si>
  <si>
    <t>陕西美阳家具装饰有限公司</t>
  </si>
  <si>
    <t>陕西宝盛华庭家居有限公司</t>
  </si>
  <si>
    <t>8.28重新提报</t>
  </si>
  <si>
    <t>陕西金山创新环保科技有限公司</t>
  </si>
  <si>
    <t>小谢（8.26-8.30）</t>
  </si>
  <si>
    <t>广晓东</t>
  </si>
  <si>
    <t>小谢（9.18-9.20）</t>
  </si>
  <si>
    <t>赵斌</t>
  </si>
  <si>
    <t>小谢（9.9-9.14）</t>
  </si>
  <si>
    <t>8月26日重新提报</t>
  </si>
  <si>
    <t>陈文生</t>
  </si>
  <si>
    <t>杜宝生</t>
  </si>
  <si>
    <t>冯轩（8.26-8.30）</t>
  </si>
  <si>
    <t>逯双龙</t>
  </si>
  <si>
    <t>小谢（9.2-9.6）</t>
  </si>
  <si>
    <t>陕西果业集团岐山有限公司</t>
  </si>
  <si>
    <t>柞水老作坊绿色农产品有限责任公司</t>
  </si>
  <si>
    <t>首次备案风险项目</t>
  </si>
  <si>
    <t>张军良</t>
  </si>
  <si>
    <t>陕西钰嘉尚品家居有限公司</t>
  </si>
  <si>
    <t>9月11日退回</t>
  </si>
  <si>
    <t>白帆</t>
  </si>
  <si>
    <t>小谢</t>
  </si>
  <si>
    <t>安康市康源饮业有限公司</t>
  </si>
  <si>
    <t>张翔</t>
  </si>
  <si>
    <t>李凡</t>
  </si>
  <si>
    <t>梁月</t>
  </si>
  <si>
    <t>报告完成，9.9</t>
  </si>
  <si>
    <t>王小蕊</t>
  </si>
  <si>
    <t>聂洪涛</t>
  </si>
  <si>
    <t>陕西飞天管业科技有限公司</t>
  </si>
  <si>
    <t>宝鸡锦远盛业机械工程有限公司</t>
  </si>
  <si>
    <t>宝鸡润浩达鑫机械设备有限公司</t>
  </si>
  <si>
    <t>陕西曦和实业有限公司</t>
  </si>
  <si>
    <t>报告完成，9.11</t>
  </si>
  <si>
    <t>齐军卫</t>
  </si>
  <si>
    <t>西安鼎邦科贸有限公司</t>
  </si>
  <si>
    <t>浐灞担保</t>
  </si>
  <si>
    <t>孙伟</t>
  </si>
  <si>
    <t>未在15天内将备案信息更正</t>
  </si>
  <si>
    <t>宝鸡一机智能装备股份有限公司</t>
  </si>
  <si>
    <t>孙立</t>
  </si>
  <si>
    <t>钟颖</t>
  </si>
  <si>
    <t>刘卫峰</t>
  </si>
  <si>
    <t>马军强</t>
  </si>
  <si>
    <t>西安古敖商贸有限公司</t>
  </si>
  <si>
    <t>陕西恒源弘溢能源科技有限公司</t>
  </si>
  <si>
    <t>陕西立满虚环保科技有限公司</t>
  </si>
  <si>
    <t>陕西魔方空间物联网科技有限公司</t>
  </si>
  <si>
    <t>西安新社物流有限责任公司</t>
  </si>
  <si>
    <t>镇安县百利得超市</t>
  </si>
  <si>
    <t>程剑</t>
  </si>
  <si>
    <t>陕西鑫领源建筑工程有限公司</t>
  </si>
  <si>
    <t>沣东担保</t>
  </si>
  <si>
    <t>陕西昊林泽实业有限公司</t>
  </si>
  <si>
    <t>超过代偿上限</t>
  </si>
  <si>
    <t>白水担保</t>
  </si>
  <si>
    <t>董凤琴</t>
  </si>
  <si>
    <t>小谢1202</t>
  </si>
  <si>
    <t>子州担保</t>
  </si>
  <si>
    <t>王累累</t>
  </si>
  <si>
    <t>1月6日退回</t>
  </si>
  <si>
    <t>1月6日退回补充材料，至1月21日仍未提交，超过15天期限。</t>
  </si>
  <si>
    <t>长安担保</t>
  </si>
  <si>
    <t>钟颖（10.21-10.25）</t>
  </si>
  <si>
    <t>西安磐石信息科技有限公司</t>
  </si>
  <si>
    <t>姜宏</t>
  </si>
  <si>
    <t>高红强</t>
  </si>
  <si>
    <t>小谢（10.21-10.25）</t>
  </si>
  <si>
    <t>马玉万</t>
  </si>
  <si>
    <t>西安世纪龙诚机电科技有限公司</t>
  </si>
  <si>
    <t>存在部分代偿情况</t>
  </si>
  <si>
    <t>陕西达力健生物科技有限公司</t>
  </si>
  <si>
    <t>贷款用途违规</t>
  </si>
  <si>
    <t>陕西华盛装饰建造工程有限公司</t>
  </si>
  <si>
    <t>张敏娜</t>
  </si>
  <si>
    <t>梁小英</t>
  </si>
  <si>
    <t>王维实</t>
  </si>
  <si>
    <t>咸阳美邦世家物业管理有限公司</t>
  </si>
  <si>
    <t>王占平</t>
  </si>
  <si>
    <t>小谢1104</t>
  </si>
  <si>
    <t>汤佳伟</t>
  </si>
  <si>
    <t>周波</t>
  </si>
  <si>
    <t>陈翠霞</t>
  </si>
  <si>
    <t>张栋</t>
  </si>
  <si>
    <t>陈俞霏</t>
  </si>
  <si>
    <t>张光耀</t>
  </si>
  <si>
    <t>贾战强1224</t>
  </si>
  <si>
    <t>王欢</t>
  </si>
  <si>
    <t>张会平</t>
  </si>
  <si>
    <t>贾战强0113</t>
  </si>
  <si>
    <t>杜黑子</t>
  </si>
  <si>
    <t>杨明星</t>
  </si>
  <si>
    <t>小谢1112</t>
  </si>
  <si>
    <t>陕西文化担保</t>
  </si>
  <si>
    <t>西安猎鹰科技有限公司</t>
  </si>
  <si>
    <t>杨斌</t>
  </si>
  <si>
    <t>张曼</t>
  </si>
  <si>
    <t>陕西塞外矿业集团有限公司</t>
  </si>
  <si>
    <t>钟颖1112</t>
  </si>
  <si>
    <t>贾星驰</t>
  </si>
  <si>
    <t>裴娇娇</t>
  </si>
  <si>
    <t>安康市天宇丝绸有限公司</t>
  </si>
  <si>
    <t>徐撑柱</t>
  </si>
  <si>
    <t>小谢1119</t>
  </si>
  <si>
    <t>李尚利</t>
  </si>
  <si>
    <t>陕西瑞鑫源车辆部件有限公司</t>
  </si>
  <si>
    <t>钟颖1119</t>
  </si>
  <si>
    <t>陕西达硕体育文化传播有限公司</t>
  </si>
  <si>
    <t>杨拴科</t>
  </si>
  <si>
    <t>小谢1125</t>
  </si>
  <si>
    <t>高云强</t>
  </si>
  <si>
    <t>终本案件问题</t>
  </si>
  <si>
    <t>晁北</t>
  </si>
  <si>
    <t>黄振丰</t>
  </si>
  <si>
    <t>刘平</t>
  </si>
  <si>
    <t>陕西紫阳吴氏专业修脚保健连锁服务有限公司</t>
  </si>
  <si>
    <t>陕西洁伦医药生物有限公司</t>
  </si>
  <si>
    <t>陕西天顺源贸易有限公司</t>
  </si>
  <si>
    <t>申请延长代偿补偿期限</t>
  </si>
  <si>
    <t>陕西随风起飘商贸有限公司</t>
  </si>
  <si>
    <t>超期解责退回</t>
  </si>
  <si>
    <t>郭维</t>
  </si>
  <si>
    <t>高联兵</t>
  </si>
  <si>
    <t>明小凯</t>
  </si>
  <si>
    <t>任磊</t>
  </si>
  <si>
    <t>黄志强</t>
  </si>
  <si>
    <t>王箫</t>
  </si>
  <si>
    <t>陈鑫</t>
  </si>
  <si>
    <t>蒋长寿</t>
  </si>
  <si>
    <t>何柏桥</t>
  </si>
  <si>
    <t>白河县时代臻品生态农业有限公司</t>
  </si>
  <si>
    <t>贾战强0303</t>
  </si>
  <si>
    <t>陕西鼎点科技有限公司</t>
  </si>
  <si>
    <t>白河县唐氏再生资源回收利用有限公司</t>
  </si>
  <si>
    <t>钟颖0324</t>
  </si>
  <si>
    <t>张吉会</t>
  </si>
  <si>
    <t>钟颖0303</t>
  </si>
  <si>
    <t>陕西拓鑫建设工程有限公司</t>
  </si>
  <si>
    <t>贾战强0210</t>
  </si>
  <si>
    <t>宝鸡精诚致远商贸有限公司</t>
  </si>
  <si>
    <t>贾战强0205</t>
  </si>
  <si>
    <t>西安众略环保科技有限公司</t>
  </si>
  <si>
    <t>备案信息错误退回</t>
  </si>
  <si>
    <t>陕西沫文建设工程有限公司</t>
  </si>
  <si>
    <t>党少飞</t>
  </si>
  <si>
    <t>王炳祥</t>
  </si>
  <si>
    <t>超过代偿上限已退回</t>
  </si>
  <si>
    <t>陕西盛天元生物科技有限公司</t>
  </si>
  <si>
    <t>补充材料</t>
  </si>
  <si>
    <t>西安锦信商贸有限公司</t>
  </si>
  <si>
    <t>贾战强</t>
  </si>
  <si>
    <t>陕西翰海区域经济规划研究院有限公司</t>
  </si>
  <si>
    <t>陕西云创国际供应链管理有限公司</t>
  </si>
  <si>
    <t>西安佳吉泰电子有限公司</t>
  </si>
  <si>
    <t>西安坤廷实业有限公司</t>
  </si>
  <si>
    <t>商南中商矿业有限公司</t>
  </si>
  <si>
    <t>反担保落实不到位</t>
  </si>
  <si>
    <t>吴堡担保</t>
  </si>
  <si>
    <t>吴堡县瀚坤贸易有限公司</t>
  </si>
  <si>
    <t>陕西金华印务有限公司</t>
  </si>
  <si>
    <t>续议</t>
  </si>
  <si>
    <t>咸阳红星金属结构有限公司</t>
  </si>
  <si>
    <t>钟颖0407</t>
  </si>
  <si>
    <t>安康市汉滨区杰睿商贸有限责任公司</t>
  </si>
  <si>
    <t>钟颖0421</t>
  </si>
  <si>
    <t>陈红敏</t>
  </si>
  <si>
    <t>钟颖0331</t>
  </si>
  <si>
    <t>旬阳县佳源建材有限公司</t>
  </si>
  <si>
    <t>钟颖0414</t>
  </si>
  <si>
    <t>陕西超华创绿建筑材料有限公司</t>
  </si>
  <si>
    <t>代偿证明本金利息与解保填写不一致</t>
  </si>
  <si>
    <t>西安浮士德自动化科技有限公司</t>
  </si>
  <si>
    <t>龙英</t>
  </si>
  <si>
    <t>崔亚萍</t>
  </si>
  <si>
    <t>李云锋</t>
  </si>
  <si>
    <t>罗智恩</t>
  </si>
  <si>
    <t>王小林</t>
  </si>
  <si>
    <t>蒋莲英</t>
  </si>
  <si>
    <t>西安嘉梦教育科技有限公司</t>
  </si>
  <si>
    <t>杨凌担保</t>
  </si>
  <si>
    <t>李青鹏</t>
  </si>
  <si>
    <t>缺少共同借款人信息</t>
  </si>
  <si>
    <t>田景辉</t>
  </si>
  <si>
    <t>申请金额超过代偿上限 2025/6/3再次提交</t>
  </si>
  <si>
    <t>西安市雁塔区左亿电子产品商贸行</t>
  </si>
  <si>
    <t>陕西坤龙电力工程有限公司</t>
  </si>
  <si>
    <t>贾战强0407</t>
  </si>
  <si>
    <t>茹敬</t>
  </si>
  <si>
    <t>纪放</t>
  </si>
  <si>
    <t>田亚莉</t>
  </si>
  <si>
    <t>收取保证金及服务费</t>
  </si>
  <si>
    <t>郭恺</t>
  </si>
  <si>
    <t>保后检查不符合规定</t>
  </si>
  <si>
    <t>訾绍华</t>
  </si>
  <si>
    <t>西安市剑悦酒店管理有限公司</t>
  </si>
  <si>
    <t>西安景博智能科技有限公司</t>
  </si>
  <si>
    <t>西安凯泰公路材料有限公司</t>
  </si>
  <si>
    <t>吴科峰</t>
  </si>
  <si>
    <t>陕西宏力劳务有限公司</t>
  </si>
  <si>
    <t>陕西秦泓建设工程有限公司</t>
  </si>
  <si>
    <t>贾战强0324</t>
  </si>
  <si>
    <t>15笔微众银行项目</t>
  </si>
  <si>
    <t>贾战强0512</t>
  </si>
  <si>
    <t>赵峰涛</t>
  </si>
  <si>
    <t>陕西贤德新能源科技发展有限公司</t>
  </si>
  <si>
    <t>钟颖0519</t>
  </si>
  <si>
    <t>佛坪县环绿细鳞鲑生态养殖有限公司</t>
  </si>
  <si>
    <t>贾战强0310</t>
  </si>
  <si>
    <t>陈海萍</t>
  </si>
  <si>
    <t>钟颖0512</t>
  </si>
  <si>
    <t>张超</t>
  </si>
  <si>
    <t>陕西明德华腾建筑科技有限公司</t>
  </si>
  <si>
    <t>贾战强0414</t>
  </si>
  <si>
    <t>何小会</t>
  </si>
  <si>
    <t>吕荣全</t>
  </si>
  <si>
    <t>叶翠英</t>
  </si>
  <si>
    <t>李艳磊</t>
  </si>
  <si>
    <t>陈什娃</t>
  </si>
  <si>
    <t>马永江</t>
  </si>
  <si>
    <t>贾战强0331</t>
  </si>
  <si>
    <t>退回补充材料4月14日（超过15日未再次提交）</t>
  </si>
  <si>
    <t>蓝细庆</t>
  </si>
  <si>
    <t>张湧</t>
  </si>
  <si>
    <t>2024-12-26</t>
  </si>
  <si>
    <t>西安卓求新材料有限公司</t>
  </si>
  <si>
    <t>赵高升</t>
  </si>
  <si>
    <t>朱世雷</t>
  </si>
  <si>
    <t>借款合同存在共借人备案信息未修改</t>
  </si>
  <si>
    <t>陕西丽鑫物业管理有限公司</t>
  </si>
  <si>
    <t>贾战强0519</t>
  </si>
  <si>
    <t>已退回</t>
  </si>
  <si>
    <t>首次备案为风险化解</t>
  </si>
  <si>
    <t>陕西康城药业有限公司</t>
  </si>
  <si>
    <t>贾战强0623</t>
  </si>
  <si>
    <t>二次退回补充材料2025-07-15</t>
  </si>
  <si>
    <t>雷晓莉</t>
  </si>
  <si>
    <t>榆林市昊宇油气有限责任公司</t>
  </si>
  <si>
    <t>宝鸡市绿泽佰旺现代农业发展有限公司</t>
  </si>
  <si>
    <t>钟颖0526</t>
  </si>
  <si>
    <t>贺瓛亮</t>
  </si>
  <si>
    <t>樊建平</t>
  </si>
  <si>
    <t>退回补充材料7月14日；共同借款人未备案</t>
  </si>
  <si>
    <t>弥建仓</t>
  </si>
  <si>
    <t>王春升</t>
  </si>
  <si>
    <t>贾战强0630</t>
  </si>
  <si>
    <t>赵正刚</t>
  </si>
  <si>
    <t>陕西唐安酒店有限公司</t>
  </si>
  <si>
    <t>退回补充材料4月25日（超过15日未再次提交）</t>
  </si>
  <si>
    <t>柴善庆</t>
  </si>
  <si>
    <t>赵生智</t>
  </si>
  <si>
    <t>赵世民</t>
  </si>
  <si>
    <t>2025-01-23</t>
  </si>
  <si>
    <t>朱雪梅</t>
  </si>
  <si>
    <t>钟颖0609</t>
  </si>
  <si>
    <t>杨官荣</t>
  </si>
  <si>
    <t>王纯艳</t>
  </si>
  <si>
    <t>陈定全</t>
  </si>
  <si>
    <t>赵贤强</t>
  </si>
  <si>
    <t>王康</t>
  </si>
  <si>
    <t>贾战强0609</t>
  </si>
  <si>
    <t>陕西锦泽铧泰实业有限公司</t>
  </si>
  <si>
    <t>超过产品代偿上限支付代偿款</t>
  </si>
  <si>
    <t>陕西领头羊供应链管理有限公司</t>
  </si>
  <si>
    <t>贾战强00421</t>
  </si>
  <si>
    <t>杨淑霞</t>
  </si>
  <si>
    <t>关军</t>
  </si>
  <si>
    <t>退回补充材料7月14日</t>
  </si>
  <si>
    <t>安康市东安物资有限公司</t>
  </si>
  <si>
    <t>贾战强0421</t>
  </si>
  <si>
    <t>孟宪思</t>
  </si>
  <si>
    <t>贾战强0526</t>
  </si>
  <si>
    <t>刘省利</t>
  </si>
  <si>
    <t>钟颖0604</t>
  </si>
  <si>
    <t>郭彬</t>
  </si>
  <si>
    <t>王洛晟</t>
  </si>
  <si>
    <t>张忍</t>
  </si>
  <si>
    <t>朱菊纯</t>
  </si>
  <si>
    <t>曲文雷</t>
  </si>
  <si>
    <t>高永刚</t>
  </si>
  <si>
    <t>张飞</t>
  </si>
  <si>
    <t>贾战强0709</t>
  </si>
  <si>
    <t>赵会杰</t>
  </si>
  <si>
    <t>已发退回函</t>
  </si>
  <si>
    <t>贺永印</t>
  </si>
  <si>
    <t>潘双华</t>
  </si>
  <si>
    <t>乔良</t>
  </si>
  <si>
    <t>陈焕焕</t>
  </si>
  <si>
    <t>贾战强0604</t>
  </si>
  <si>
    <t>孙军涛</t>
  </si>
  <si>
    <t>西安兆麟建材有限公司等8笔微众银行项目</t>
  </si>
  <si>
    <t>贾战强0714</t>
  </si>
  <si>
    <t>退回补充材料2025-07-23</t>
  </si>
  <si>
    <t>吴伟</t>
  </si>
  <si>
    <t>贾战强0616</t>
  </si>
  <si>
    <t>刘江涛</t>
  </si>
  <si>
    <t>姜国平</t>
  </si>
  <si>
    <t>钟颖0616</t>
  </si>
  <si>
    <t>王景峰</t>
  </si>
  <si>
    <t>钟颖0721</t>
  </si>
  <si>
    <t>陕西俊扬电子科技有限公司2笔 微众</t>
  </si>
  <si>
    <t>西安泰方商贸有限公司2笔 微众</t>
  </si>
  <si>
    <t>杨春艳</t>
  </si>
  <si>
    <t>西安日兆信息科技有限公司 微众</t>
  </si>
  <si>
    <t>陕西合聚工贸有限公司等3笔 微众</t>
  </si>
  <si>
    <t>2025-04-24</t>
  </si>
  <si>
    <t>李晓龙</t>
  </si>
  <si>
    <t>文世梅</t>
  </si>
  <si>
    <t>钟颖0623</t>
  </si>
  <si>
    <t>李娜</t>
  </si>
  <si>
    <t>周华菊</t>
  </si>
  <si>
    <t>钟颖0630</t>
  </si>
  <si>
    <t>张旭</t>
  </si>
  <si>
    <t>赵洪敏</t>
  </si>
  <si>
    <t>郑晓松</t>
  </si>
  <si>
    <t>潘亚朋</t>
  </si>
  <si>
    <t>惠忠民</t>
  </si>
  <si>
    <t>张驰</t>
  </si>
  <si>
    <t>杨小春</t>
  </si>
  <si>
    <t>钟颖0804</t>
  </si>
  <si>
    <t>王金柱</t>
  </si>
  <si>
    <t>旬阳县秦都工贸有限责任公司</t>
  </si>
  <si>
    <t>钟颖0709</t>
  </si>
  <si>
    <t>吴永军</t>
  </si>
  <si>
    <t>钟颖0811</t>
  </si>
  <si>
    <t>吕海霞</t>
  </si>
  <si>
    <t>钟颖0908</t>
  </si>
  <si>
    <t>贺代成</t>
  </si>
  <si>
    <t>钟颖0714</t>
  </si>
  <si>
    <t>张会</t>
  </si>
  <si>
    <t>李伟</t>
  </si>
  <si>
    <t>朱明全</t>
  </si>
  <si>
    <t>铜川担保</t>
  </si>
  <si>
    <t>铜川巨力工贸有限公司</t>
  </si>
  <si>
    <t>2024年首笔备案为归还转贷基金</t>
  </si>
  <si>
    <t>陕西果业集团铜川果品贸易有限公司</t>
  </si>
  <si>
    <t>贾战强0721</t>
  </si>
  <si>
    <t>黄紫英</t>
  </si>
  <si>
    <t>钟颖0818</t>
  </si>
  <si>
    <t>李摄</t>
  </si>
  <si>
    <t>王四平</t>
  </si>
  <si>
    <t>钟颖0915</t>
  </si>
  <si>
    <t>陕西千艺文化影视传媒有限公司</t>
  </si>
  <si>
    <t>赵郡涛</t>
  </si>
  <si>
    <t>孟宪亮</t>
  </si>
  <si>
    <t>赵妮娜</t>
  </si>
  <si>
    <t>刘红红</t>
  </si>
  <si>
    <t>王宝安</t>
  </si>
  <si>
    <t>汉中定军山养老康复股份有限公司</t>
  </si>
  <si>
    <t>贾战强0818</t>
  </si>
  <si>
    <t>需现场走访</t>
  </si>
  <si>
    <t>张春雷</t>
  </si>
  <si>
    <t>陈强</t>
  </si>
  <si>
    <t>武兴</t>
  </si>
  <si>
    <t>贾战强0804</t>
  </si>
  <si>
    <t>2025-04-03</t>
  </si>
  <si>
    <t>温占平</t>
  </si>
  <si>
    <t>关新荣</t>
  </si>
  <si>
    <t>西安思科创拓汽车销售服务有限公司</t>
  </si>
  <si>
    <t>西安伊科园林绿化有限公司</t>
  </si>
  <si>
    <t>退回补充材料2025-07-10</t>
  </si>
  <si>
    <t>西安金源电气股份有限公司</t>
  </si>
  <si>
    <t>陕西陆安建设工程有限公司</t>
  </si>
  <si>
    <t>贾战强0811</t>
  </si>
  <si>
    <t>备案信息中保证合同编号与合同原件不一致</t>
  </si>
  <si>
    <t>中瑑城建有限责任公司</t>
  </si>
  <si>
    <t>陈振花</t>
  </si>
  <si>
    <t>薛探军</t>
  </si>
  <si>
    <t>霍康康</t>
  </si>
  <si>
    <t>郭雄伟</t>
  </si>
  <si>
    <t>高呈</t>
  </si>
  <si>
    <t>薛今强</t>
  </si>
  <si>
    <t>陈其付</t>
  </si>
  <si>
    <t>李匀</t>
  </si>
  <si>
    <t>庞正坤</t>
  </si>
  <si>
    <t>代战利</t>
  </si>
  <si>
    <t>贾战强1011</t>
  </si>
  <si>
    <t>卑立新</t>
  </si>
  <si>
    <t>西安兆麟建材有限公司 微众</t>
  </si>
  <si>
    <t>苏桐</t>
  </si>
  <si>
    <t>马红涛</t>
  </si>
  <si>
    <t>钟颖0902</t>
  </si>
  <si>
    <t>田朝阳</t>
  </si>
  <si>
    <t>西安君昂教育科技有限公司</t>
  </si>
  <si>
    <t>钟颖0922</t>
  </si>
  <si>
    <t xml:space="preserve">超过代偿上限,经9月13日（120天）查询，今年解保25550万元，计算后上限为408.8万，今年已补160万，剩余248.8万元，不满足该笔额度
</t>
  </si>
  <si>
    <t>齐飞</t>
  </si>
  <si>
    <t>陕西华能石油工程有限公司</t>
  </si>
  <si>
    <t>尹程</t>
  </si>
  <si>
    <t>郑天赐</t>
  </si>
  <si>
    <t>钟颖1124</t>
  </si>
  <si>
    <t>邓兆娟</t>
  </si>
  <si>
    <t>贾战强1124</t>
  </si>
  <si>
    <t>西安中威新材料有限公司</t>
  </si>
  <si>
    <t>宝鸡航天高原机械制造有限公司 微众</t>
  </si>
  <si>
    <t>盛振昌</t>
  </si>
  <si>
    <t>陕西衡动建筑装饰工程有限公司</t>
  </si>
  <si>
    <t>陕西裕泽毅医疗科技有限公司</t>
  </si>
  <si>
    <t>贾战强0922</t>
  </si>
  <si>
    <t>王文艺</t>
  </si>
  <si>
    <t>未添加共借人信息</t>
  </si>
  <si>
    <t>梁小峰</t>
  </si>
  <si>
    <t>钟颖1011</t>
  </si>
  <si>
    <t>李鹤</t>
  </si>
  <si>
    <t>贾战强1027</t>
  </si>
  <si>
    <t>李艳</t>
  </si>
  <si>
    <t>钟颖1027</t>
  </si>
  <si>
    <t>高水成</t>
  </si>
  <si>
    <t>陕西兆丰建设工程有限公司</t>
  </si>
  <si>
    <t>费联军</t>
  </si>
  <si>
    <t>钟颖1107</t>
  </si>
  <si>
    <t>韩治超</t>
  </si>
  <si>
    <t>贾战强1107</t>
  </si>
  <si>
    <t>杜盛</t>
  </si>
  <si>
    <t>西安绿恒鲜农业科技有限公司</t>
  </si>
  <si>
    <t>姜涵</t>
  </si>
  <si>
    <t>张阳波</t>
  </si>
  <si>
    <t>郑华占</t>
  </si>
  <si>
    <t>董卫国</t>
  </si>
  <si>
    <t>韩城市弋荣商贸有限责任公司</t>
  </si>
  <si>
    <t>贾战强1203</t>
  </si>
  <si>
    <t>刘冬霞</t>
  </si>
  <si>
    <t>贾战强0908</t>
  </si>
  <si>
    <t>已退回补充变更反担保措施资料</t>
  </si>
  <si>
    <t>丹凤县华茂牧业科技发展有限责任公司</t>
  </si>
  <si>
    <t>退回首笔备案为风险化解</t>
  </si>
  <si>
    <t>陕西越景亿商贸有限公司、西安骏钢隆商贸有限公司2家微众</t>
  </si>
  <si>
    <t>安康市振华建筑装饰装修工程股份有限公司</t>
  </si>
  <si>
    <t>黄倩</t>
  </si>
  <si>
    <t>贾战强917</t>
  </si>
  <si>
    <t>张运冬</t>
  </si>
  <si>
    <t>赵兆</t>
  </si>
  <si>
    <t>肖鸣宇</t>
  </si>
  <si>
    <t>宁陕县绿宝生态农业专业合作社</t>
  </si>
  <si>
    <t>合作业务代偿率超过3%</t>
  </si>
  <si>
    <t>陈喜锋</t>
  </si>
  <si>
    <t>汉中市朝顺针织工贸有限责任公司</t>
  </si>
  <si>
    <t>赵芹蕾</t>
  </si>
  <si>
    <t>陕西庆瑞丰食药用菌科技有限公司</t>
  </si>
  <si>
    <t>贾战强1111</t>
  </si>
  <si>
    <t>西安森沅程建筑安装工程有限公司</t>
  </si>
  <si>
    <t>陈伟东</t>
  </si>
  <si>
    <t>拟退</t>
  </si>
  <si>
    <t>保证合同号与备案信息不一致</t>
  </si>
  <si>
    <t>陕西森弗天然制品有限公司</t>
  </si>
  <si>
    <t>贾战强1114</t>
  </si>
  <si>
    <t>11.21退回补材料</t>
  </si>
  <si>
    <t>陕西恒良运鹏建设工程有限公司</t>
  </si>
  <si>
    <t>11月4日退回补充材料</t>
  </si>
  <si>
    <t>李米巧</t>
  </si>
  <si>
    <t>钟颖1114</t>
  </si>
  <si>
    <t>田卫国</t>
  </si>
  <si>
    <t>徐刚</t>
  </si>
  <si>
    <t>李玉飞</t>
  </si>
  <si>
    <t>王宽</t>
  </si>
  <si>
    <t>钟颖1201</t>
  </si>
  <si>
    <t>唐先虎</t>
  </si>
  <si>
    <t>贾战强0108</t>
  </si>
  <si>
    <t>王世明</t>
  </si>
  <si>
    <t>贾战强1222</t>
  </si>
  <si>
    <t>马玉花</t>
  </si>
  <si>
    <t>杨华</t>
  </si>
  <si>
    <t>王信炉1203</t>
  </si>
  <si>
    <t>太白县成达工程有限责任公司</t>
  </si>
  <si>
    <t>钟颖1215</t>
  </si>
  <si>
    <t>王紫懿</t>
  </si>
  <si>
    <t>王冬</t>
  </si>
  <si>
    <t>刘卓1203</t>
  </si>
  <si>
    <t>陕西大汉聚力控股有限公司</t>
  </si>
  <si>
    <t>钟颖1203</t>
  </si>
  <si>
    <t>李元田</t>
  </si>
  <si>
    <t>陈金祥</t>
  </si>
  <si>
    <t>赵亮</t>
  </si>
  <si>
    <t>澄城县春雨商贸有限公司（国担2.0）</t>
  </si>
  <si>
    <t>贾战强1229</t>
  </si>
  <si>
    <t>缑建荣</t>
  </si>
  <si>
    <t>富平县恒瑞农业发展有限公司</t>
  </si>
  <si>
    <t>备案保证合同错误</t>
  </si>
  <si>
    <t>姜利安</t>
  </si>
  <si>
    <t>徐涛1203</t>
  </si>
  <si>
    <t>张恒两笔</t>
  </si>
  <si>
    <t>贾战强1215</t>
  </si>
  <si>
    <t>已报</t>
  </si>
  <si>
    <t>郭杠杠</t>
  </si>
  <si>
    <t>梁宣化</t>
  </si>
  <si>
    <t>张佳1203</t>
  </si>
  <si>
    <t>12.17已提交</t>
  </si>
  <si>
    <t>张昌利</t>
  </si>
  <si>
    <t>钟颖1222</t>
  </si>
  <si>
    <t>陕西鑫聚汇诚供应链管理有限公司</t>
  </si>
  <si>
    <t>西安大彩设计工程有限责任公司</t>
  </si>
  <si>
    <t>陕西瑞米林商贸有限公司</t>
  </si>
  <si>
    <t>西安鲲鹏赛思网络科技有限公司</t>
  </si>
  <si>
    <t>杨宏庆</t>
  </si>
  <si>
    <t>西安鼎航地基基础工程有限公司</t>
  </si>
  <si>
    <t>杨慧轻</t>
  </si>
  <si>
    <t>朱厚财</t>
  </si>
  <si>
    <t>何志华</t>
  </si>
  <si>
    <t>陈蕾</t>
  </si>
  <si>
    <t>支浩</t>
  </si>
  <si>
    <t>陕西平鑫汽车服务有限公司</t>
  </si>
  <si>
    <t>郭伟</t>
  </si>
  <si>
    <t>边振岗</t>
  </si>
  <si>
    <t>李平乐</t>
  </si>
  <si>
    <t>汉中市海源旭实业有限公司等5笔</t>
  </si>
  <si>
    <t>任祥</t>
  </si>
  <si>
    <t>钟颖1229</t>
  </si>
  <si>
    <t>26.1.12</t>
  </si>
  <si>
    <t>张振</t>
  </si>
  <si>
    <t>钟颖0108</t>
  </si>
  <si>
    <t>陕西辉煌起帆电缆有限公司</t>
  </si>
  <si>
    <t>焦宏芳等9笔</t>
  </si>
  <si>
    <t>席民</t>
  </si>
  <si>
    <t>崔文理</t>
  </si>
  <si>
    <t>钟颖0116</t>
  </si>
  <si>
    <t>商浩</t>
  </si>
  <si>
    <t>魏丹</t>
  </si>
  <si>
    <t>胡一攀</t>
  </si>
  <si>
    <t>汪辉</t>
  </si>
  <si>
    <t>刘小雨</t>
  </si>
  <si>
    <t>贾战强0116</t>
  </si>
  <si>
    <t>王冬丽</t>
  </si>
  <si>
    <t>晏荣伟</t>
  </si>
  <si>
    <t>简红卫</t>
  </si>
  <si>
    <t>宝鸡紫东物资有限公司</t>
  </si>
  <si>
    <t>路文旭</t>
  </si>
  <si>
    <t>郑兆木</t>
  </si>
  <si>
    <t>西安卓迈建筑工程有限公司等8笔（微众）</t>
  </si>
  <si>
    <t>高波</t>
  </si>
  <si>
    <t>朱宏涛</t>
  </si>
  <si>
    <t>张鹏</t>
  </si>
  <si>
    <t>陕西十方舟实业有限公司</t>
  </si>
  <si>
    <t>西安纯思想艺术培训学校有限公司</t>
  </si>
  <si>
    <t>12.10已提交</t>
  </si>
  <si>
    <t>梁彦波</t>
  </si>
  <si>
    <t>汉中市仁乡源食品有限公司</t>
  </si>
  <si>
    <t>自营</t>
  </si>
  <si>
    <t>胡文彦</t>
  </si>
  <si>
    <t>何保华</t>
  </si>
  <si>
    <t>谢刚</t>
  </si>
  <si>
    <t>万文霞</t>
  </si>
  <si>
    <t>田苗</t>
  </si>
  <si>
    <t>柴自祥</t>
  </si>
  <si>
    <t>张天祥</t>
  </si>
  <si>
    <t>周学文</t>
  </si>
  <si>
    <t>陕西恒彬商贸有限公司</t>
  </si>
  <si>
    <t>陕西奇易商贸有限公司</t>
  </si>
  <si>
    <t>辛世龙</t>
  </si>
  <si>
    <t>陈彩苹</t>
  </si>
  <si>
    <t>石泉县杰匠装饰工程有限公司</t>
  </si>
  <si>
    <t>梁恩华</t>
  </si>
  <si>
    <t>陕西宝龙实业有限公司</t>
  </si>
  <si>
    <t>陕西金昌工贸有限公司</t>
  </si>
  <si>
    <t>西安伯恩人力资源咨询有限公司</t>
  </si>
  <si>
    <t>西安崇悦机电设备工程有限公司</t>
  </si>
  <si>
    <t>西安富源电力设备有限公司</t>
  </si>
  <si>
    <t>西安泓品尚食品供应链有限公司</t>
  </si>
  <si>
    <t>咸阳蒙记商务酒店有限公司</t>
  </si>
  <si>
    <t>吴起担保</t>
  </si>
  <si>
    <t>吴起浩顺工贸有限责任公司</t>
  </si>
  <si>
    <t>陕西现代日韩语职业培训学校有限公司</t>
  </si>
  <si>
    <t>陕西众通人力事务有限公司</t>
  </si>
  <si>
    <t>陕西北方中钢设备工程有限公司</t>
  </si>
  <si>
    <t>陕西华浦果业有限公司</t>
  </si>
  <si>
    <t>陕西贰毛壹餐饮有限公司</t>
  </si>
  <si>
    <t>西安经略智诚医药科技有限公司</t>
  </si>
  <si>
    <t>马海涛</t>
  </si>
  <si>
    <t>高启祥</t>
  </si>
  <si>
    <t>高二刚</t>
  </si>
  <si>
    <t>延安鼎禄工贸有限公司</t>
  </si>
  <si>
    <t>延安太平洋商贸有限责任公司</t>
  </si>
  <si>
    <t>黄银</t>
  </si>
  <si>
    <t>刘斌</t>
  </si>
  <si>
    <t>李荣</t>
  </si>
  <si>
    <t>太白鳌山书院文化发展有限公司</t>
  </si>
  <si>
    <t>李新权</t>
  </si>
  <si>
    <t>盛宏军</t>
  </si>
  <si>
    <t>薛永招</t>
  </si>
  <si>
    <t>张启</t>
  </si>
  <si>
    <t>西安易梦达商贸有限公司</t>
  </si>
  <si>
    <t>宝鸡三家村餐饮管理有限公司</t>
  </si>
  <si>
    <t>雷蕾</t>
  </si>
  <si>
    <t>延安制药股份有限公司</t>
  </si>
  <si>
    <t>王彪</t>
  </si>
  <si>
    <t>闫茹</t>
  </si>
  <si>
    <t>西安海普实业有限责任公司</t>
  </si>
  <si>
    <t>西安德元电气工程有限公司</t>
  </si>
  <si>
    <t>陕西大秦国匠商业运营管理有限公司</t>
  </si>
  <si>
    <t>陕西汇发辰建商贸有限公司</t>
  </si>
  <si>
    <t>陕西铝幕建筑装饰工程有限公司</t>
  </si>
  <si>
    <t>陕西翌轩商贸有限公司</t>
  </si>
  <si>
    <t>西安益友食品有限责任公司</t>
  </si>
  <si>
    <t>汉中定军聚鑫建材有限公司</t>
  </si>
  <si>
    <t>李骥</t>
  </si>
  <si>
    <t>紫阳县仁华电器有限公司</t>
  </si>
  <si>
    <t>李云</t>
  </si>
  <si>
    <t>王延梅</t>
  </si>
  <si>
    <t>毛立</t>
  </si>
  <si>
    <t>王炳章</t>
  </si>
  <si>
    <t>田小倩</t>
  </si>
  <si>
    <t>朱广学</t>
  </si>
  <si>
    <t>陕西阳光实业发展有限公司</t>
  </si>
  <si>
    <t>周至县三鑫通讯技术设备有限公司</t>
  </si>
  <si>
    <t>郭磊</t>
  </si>
  <si>
    <t>韩岗胜</t>
  </si>
  <si>
    <t>于静华</t>
  </si>
  <si>
    <t>退回切换系统后重新提交，首次申报日2025年12月31日</t>
  </si>
  <si>
    <t>西安真橙文化传播有限公司</t>
  </si>
  <si>
    <t>陕西中建华海建设工程有限公司</t>
  </si>
  <si>
    <t>合计</t>
  </si>
  <si>
    <t>制表时间：2025年12月29日</t>
  </si>
  <si>
    <t>新序号</t>
  </si>
  <si>
    <t>接前序号512开始</t>
  </si>
  <si>
    <t>提交公司审核</t>
  </si>
  <si>
    <t>提交国担系统</t>
  </si>
  <si>
    <t>提交小宋资金支付</t>
  </si>
  <si>
    <t>出函</t>
  </si>
  <si>
    <t>资金支付凭证</t>
  </si>
  <si>
    <t>向国担申报时间</t>
  </si>
  <si>
    <t>卜青霞</t>
  </si>
  <si>
    <t>钟颖0306</t>
  </si>
  <si>
    <t>已出</t>
  </si>
  <si>
    <t>-</t>
  </si>
  <si>
    <t>已付</t>
  </si>
  <si>
    <t>没登表，过期</t>
  </si>
  <si>
    <r>
      <rPr>
        <sz val="11"/>
        <color rgb="FF000000"/>
        <rFont val="宋体"/>
        <charset val="134"/>
        <scheme val="minor"/>
      </rPr>
      <t>武少雄</t>
    </r>
    <r>
      <rPr>
        <sz val="11"/>
        <color rgb="FF000000"/>
        <rFont val="宋体"/>
        <charset val="134"/>
        <scheme val="minor"/>
      </rPr>
      <t xml:space="preserve"> </t>
    </r>
  </si>
  <si>
    <t>张佳0323</t>
  </si>
  <si>
    <t>换系统、截至3.19未上线</t>
  </si>
  <si>
    <t>1月30</t>
  </si>
  <si>
    <t>1.13提交</t>
  </si>
  <si>
    <t>自营已付</t>
  </si>
  <si>
    <t>董祚华</t>
  </si>
  <si>
    <t>贾占强0325</t>
  </si>
  <si>
    <t>备案信息错误</t>
  </si>
  <si>
    <t>钟颖0123</t>
  </si>
  <si>
    <t>贾战强0123</t>
  </si>
  <si>
    <t>贾占强0123</t>
  </si>
  <si>
    <t>钟颖0130</t>
  </si>
  <si>
    <t>贾战强0130</t>
  </si>
  <si>
    <t>钟颖0206</t>
  </si>
  <si>
    <t>张佳0305</t>
  </si>
  <si>
    <t>贾战强0206</t>
  </si>
  <si>
    <t>陕西雪球网络科技有限公司</t>
  </si>
  <si>
    <t>钟颖0226</t>
  </si>
  <si>
    <t>陕西彬源建设工程有限公司1</t>
  </si>
  <si>
    <t>贾战强0226</t>
  </si>
  <si>
    <t>陕西怀远和润运输有限责任公司2</t>
  </si>
  <si>
    <t>西安卓迈建筑工程有限公司等（微众8）743459.94</t>
  </si>
  <si>
    <t>陕西融桥电子科技有限公司3</t>
  </si>
  <si>
    <t>西安少泽建筑装饰工程有限公司4</t>
  </si>
  <si>
    <t>陕西融桥电子科技有限公司5</t>
  </si>
  <si>
    <t>西安云顶印象电子商务有限公司6</t>
  </si>
  <si>
    <t>陕西雪球网络科技有限公司7</t>
  </si>
  <si>
    <t>贾战强0302</t>
  </si>
  <si>
    <t>钟颖0302</t>
  </si>
  <si>
    <t>补资料</t>
  </si>
  <si>
    <t>何欢</t>
  </si>
  <si>
    <t>杨海琴</t>
  </si>
  <si>
    <t>张利军(自营）</t>
  </si>
  <si>
    <t>贾战强0325</t>
  </si>
  <si>
    <t>刘兴华</t>
  </si>
  <si>
    <t>胡锋</t>
  </si>
  <si>
    <t>贾战强0311</t>
  </si>
  <si>
    <t>胡芮瑄</t>
  </si>
  <si>
    <t>杜鸿飞</t>
  </si>
  <si>
    <t>钟颖0311</t>
  </si>
  <si>
    <t>赵涛</t>
  </si>
  <si>
    <t>黄瑞</t>
  </si>
  <si>
    <t>刘玉蓉</t>
  </si>
  <si>
    <t>钟颖0318</t>
  </si>
  <si>
    <t>陕西宇斯纳商贸有限公司</t>
  </si>
  <si>
    <t>贾战强0318</t>
  </si>
  <si>
    <t>刘刚</t>
  </si>
  <si>
    <t>卡住</t>
  </si>
  <si>
    <t>刘强</t>
  </si>
  <si>
    <t>屈秀江</t>
  </si>
  <si>
    <t>退回切换系统后重新提交，首次申报日2025年12月31日，超过代偿上限</t>
  </si>
  <si>
    <t>朱培（自营）</t>
  </si>
  <si>
    <t>程涛</t>
  </si>
  <si>
    <t>钟颖0325</t>
  </si>
  <si>
    <t>方赵璇子</t>
  </si>
  <si>
    <t>赵欢欢（自营）</t>
  </si>
  <si>
    <t>贾战强0401</t>
  </si>
  <si>
    <t>郑春全</t>
  </si>
  <si>
    <t>董涛</t>
  </si>
  <si>
    <t>雷雄智</t>
  </si>
  <si>
    <t>西安泓品尚食品供应链有限公司1</t>
  </si>
  <si>
    <t>西安崇悦机电设备工程有限公司2</t>
  </si>
  <si>
    <t>西安富源电力设备有限公司3</t>
  </si>
  <si>
    <t>陕西金昌工贸有限公司等5笔</t>
  </si>
  <si>
    <t>西安伯恩人力资源咨询有限公司4</t>
  </si>
  <si>
    <t>西安智建机电设备有限公司</t>
  </si>
  <si>
    <t>钟颖0401</t>
  </si>
  <si>
    <t>杨中华</t>
  </si>
  <si>
    <t>杨家恒</t>
  </si>
  <si>
    <t>韩璞</t>
  </si>
  <si>
    <t>肖静</t>
  </si>
  <si>
    <t>小郝初审，钟颖收尾0407</t>
  </si>
  <si>
    <t>张春霞</t>
  </si>
  <si>
    <t>张大泽</t>
  </si>
  <si>
    <t>何亚龙</t>
  </si>
  <si>
    <t>宝鸡同创佳自动化设备有限公司</t>
  </si>
  <si>
    <t>钟颖0413</t>
  </si>
  <si>
    <t>张宏强</t>
  </si>
  <si>
    <t>小郝初审，贾战强收尾0407</t>
  </si>
  <si>
    <t>张建荣</t>
  </si>
  <si>
    <t>高瑞峰</t>
  </si>
  <si>
    <t>闫丰忠</t>
  </si>
  <si>
    <t>贾战强0413</t>
  </si>
  <si>
    <t>郭和进</t>
  </si>
  <si>
    <t>西安利安德医药科技有限公司</t>
  </si>
  <si>
    <t>陕西谨诚助企商务信息咨询有限公司</t>
  </si>
  <si>
    <t>西安益友食品有限责任公司1</t>
  </si>
  <si>
    <t>贾战强0420、张佳协助</t>
  </si>
  <si>
    <t>西安德元电气工程有限公司2</t>
  </si>
  <si>
    <t>西安德元电气工程有限公司3</t>
  </si>
  <si>
    <t>陕西大秦国匠商业运营管理有限公司4</t>
  </si>
  <si>
    <t>陕西铝幕建筑装饰工程有限公司5</t>
  </si>
  <si>
    <t>西安德元电气工程有限公司6</t>
  </si>
  <si>
    <t>陕西翌轩商贸有限公司7</t>
  </si>
  <si>
    <t>陕西翌轩商贸有限公司8</t>
  </si>
  <si>
    <t>陕西汇发辰建商贸有限公司9</t>
  </si>
  <si>
    <t>陕西汇发辰建商贸有限公司10</t>
  </si>
  <si>
    <t>西安德元电气工程有限公司11</t>
  </si>
  <si>
    <t>西安佩泽斯商贸有限公司</t>
  </si>
  <si>
    <t>钟颖0420</t>
  </si>
  <si>
    <t>李仕林</t>
  </si>
  <si>
    <t>陕西西安广济大药房连锁有限公司</t>
  </si>
  <si>
    <t>贾战强0427</t>
  </si>
  <si>
    <t>陕西宝泰卓实业有限公司</t>
  </si>
  <si>
    <t>钟颖0427</t>
  </si>
  <si>
    <t>西安华誉星悦酒店管理有限公司</t>
  </si>
  <si>
    <t>陕西昱超商贸有限公司</t>
  </si>
  <si>
    <t>张皓月</t>
  </si>
  <si>
    <t>陈伟</t>
  </si>
  <si>
    <t>贾润宁</t>
  </si>
  <si>
    <t>白保鹏</t>
  </si>
  <si>
    <t>张永刚</t>
  </si>
  <si>
    <t>陕西中海易唐实业有限公司</t>
  </si>
  <si>
    <t>乔磊磊</t>
  </si>
  <si>
    <t>王建飞</t>
  </si>
  <si>
    <t>吴景瑜</t>
  </si>
  <si>
    <t>西安九卷柜网络科技有限公司</t>
  </si>
  <si>
    <t>陕西富县绿平果业有限责任公司</t>
  </si>
  <si>
    <t>西安卓岳物流有限公司</t>
  </si>
  <si>
    <t>朱国胜</t>
  </si>
  <si>
    <t>雷海伟</t>
  </si>
  <si>
    <t>岐山县淳光纺织有限公司</t>
  </si>
  <si>
    <t>杨宏梅</t>
  </si>
  <si>
    <t>西安卓品记餐饮管理有限公司</t>
  </si>
  <si>
    <t>鱼军</t>
  </si>
  <si>
    <t>胡巧</t>
  </si>
  <si>
    <t>富县泰宝牧业发展有限公司</t>
  </si>
  <si>
    <t>西安冠杰信息技术有限公司等三笔(1845142.86)</t>
  </si>
  <si>
    <t>西安冠杰信息技术有限公司7笔（937714.29）</t>
  </si>
  <si>
    <t>西安冠杰信息技术有限公司</t>
  </si>
  <si>
    <t>西安星晨物资有限公司</t>
  </si>
  <si>
    <t>西安卓源盛建筑工程有限公司</t>
  </si>
  <si>
    <t>陕西金桥人力资源开发集团有限公司</t>
  </si>
  <si>
    <t>西安鼎之春实业有限公司</t>
  </si>
  <si>
    <t>陕西融汇建筑装饰工程有限公司</t>
  </si>
  <si>
    <t>西安盛实天初商贸有限公司</t>
  </si>
  <si>
    <t>陕西川娃电子科技有限公司</t>
  </si>
  <si>
    <t>陕西朝信达实业有限公司</t>
  </si>
  <si>
    <t>刘晓敏</t>
  </si>
  <si>
    <t>高龙飞</t>
  </si>
  <si>
    <t>申文兵</t>
  </si>
  <si>
    <t>马春丽</t>
  </si>
  <si>
    <t>王虎</t>
  </si>
  <si>
    <t>怀菊云</t>
  </si>
  <si>
    <t>林广志</t>
  </si>
  <si>
    <t>韩玉龙</t>
  </si>
  <si>
    <t>樊亚红</t>
  </si>
  <si>
    <t>林宣快</t>
  </si>
  <si>
    <t>李鹏飞</t>
  </si>
  <si>
    <t>李兆金</t>
  </si>
  <si>
    <t>张谦</t>
  </si>
  <si>
    <t>张娅娅</t>
  </si>
  <si>
    <t>李杜维</t>
  </si>
  <si>
    <t>任焕萍</t>
  </si>
  <si>
    <t>西安暄骏通信科技有限公司等8笔（726667.28）1</t>
  </si>
  <si>
    <t>陕西星豪建筑工程有限公司2</t>
  </si>
  <si>
    <t>陕西云瑞昌建筑工程有限公司3</t>
  </si>
  <si>
    <t>陕西乐科电子科技有限公司4</t>
  </si>
  <si>
    <t>陕西和昕实业发展有限公司5</t>
  </si>
  <si>
    <t>陕西华永环保科技股份有限公司6</t>
  </si>
  <si>
    <t>西安强隆商贸有限公司7</t>
  </si>
  <si>
    <t>西安强隆商贸有限公司8</t>
  </si>
  <si>
    <t>陕西盛佰胜实业有限公司等5笔（2294857.15）1</t>
  </si>
  <si>
    <t>陕西和昕实业发展有限公司2</t>
  </si>
  <si>
    <t>陕西华朗实业有限公司3</t>
  </si>
  <si>
    <t>陕西盛佰胜实业有限公司4</t>
  </si>
  <si>
    <t>西安邦达信电子商务有限公司5</t>
  </si>
  <si>
    <t>王挺锋</t>
  </si>
  <si>
    <t>周森</t>
  </si>
  <si>
    <t>罗安宇</t>
  </si>
  <si>
    <t>谭刚</t>
  </si>
  <si>
    <t>制表时间：2026年1月9日</t>
  </si>
  <si>
    <t>单位：元</t>
  </si>
  <si>
    <t>年度</t>
  </si>
  <si>
    <t>原担保机构</t>
  </si>
  <si>
    <t>备案业务编号</t>
  </si>
  <si>
    <t>贷款银行</t>
  </si>
  <si>
    <t>业务种类</t>
  </si>
  <si>
    <t>担保比例</t>
  </si>
  <si>
    <t>备案金额</t>
  </si>
  <si>
    <t>担保项目
起始日期</t>
  </si>
  <si>
    <t>担保项目
到期日期</t>
  </si>
  <si>
    <t>再担保比例</t>
  </si>
  <si>
    <t>债务人未清偿部分</t>
  </si>
  <si>
    <t>未清偿本金</t>
  </si>
  <si>
    <t>担保代偿本金</t>
  </si>
  <si>
    <t>担保代偿金额</t>
  </si>
  <si>
    <t>过会日期</t>
  </si>
  <si>
    <t>补偿金额</t>
  </si>
  <si>
    <t>补偿日期</t>
  </si>
  <si>
    <t>国家融资担保基金</t>
  </si>
  <si>
    <t>申报日期</t>
  </si>
  <si>
    <t>申报金额</t>
  </si>
  <si>
    <t>补偿时间</t>
  </si>
  <si>
    <t>6103224060300001</t>
  </si>
  <si>
    <t>陕西石泉农村商业银行</t>
  </si>
  <si>
    <t>地方批量（25）-银担</t>
  </si>
  <si>
    <t>太白县成达工程有限责任公司-自营</t>
  </si>
  <si>
    <t>6102523052600005</t>
  </si>
  <si>
    <t>陕西太白农村商业银行股份有限公司</t>
  </si>
  <si>
    <t>三秦融担贷（2023）-创业-自营</t>
  </si>
  <si>
    <t>省担自营项目</t>
  </si>
  <si>
    <t>汉中市仁乡源食品有限公司-自营</t>
  </si>
  <si>
    <t>6103123052600008</t>
  </si>
  <si>
    <t>汉中市汉台区农村信用合作联社</t>
  </si>
  <si>
    <t>6192824050910038</t>
  </si>
  <si>
    <t>西安银行土门支行</t>
  </si>
  <si>
    <t>6103123013110004</t>
  </si>
  <si>
    <t>中国农业银行勉县支行营业部</t>
  </si>
  <si>
    <t>比例再担保（2023）</t>
  </si>
  <si>
    <t>6103123021310015</t>
  </si>
  <si>
    <t>6105024051110008</t>
  </si>
  <si>
    <t>西安银行城北支行</t>
  </si>
  <si>
    <t>张恒</t>
  </si>
  <si>
    <t>6102524042610038</t>
  </si>
  <si>
    <t>西安银行宝鸡分行</t>
  </si>
  <si>
    <t>6102524042610037</t>
  </si>
  <si>
    <t>西安晋成实业有限公司</t>
  </si>
  <si>
    <t>6192824072600095</t>
  </si>
  <si>
    <t>深圳前海微众银行股份有限公司</t>
  </si>
  <si>
    <t>6192824081300060</t>
  </si>
  <si>
    <t>6192824041610022</t>
  </si>
  <si>
    <t>西安银行新城支行</t>
  </si>
  <si>
    <t>6101223072600021</t>
  </si>
  <si>
    <t>微众快担（2023）</t>
  </si>
  <si>
    <t>6103122030410022</t>
  </si>
  <si>
    <t>中国农业银行洋县支行营业部</t>
  </si>
  <si>
    <t>比例再担保（银担分险）</t>
  </si>
  <si>
    <t>6192824051610039</t>
  </si>
  <si>
    <t>地方批量（26）-银担</t>
  </si>
  <si>
    <t>6103122031810010</t>
  </si>
  <si>
    <t>中国农业银行南郑县支行营业部</t>
  </si>
  <si>
    <t>6105024052110011</t>
  </si>
  <si>
    <t>西安银行城西支行</t>
  </si>
  <si>
    <t>6103224052100001</t>
  </si>
  <si>
    <t>中国银行陕西省分行</t>
  </si>
  <si>
    <t>比例再担保（26）-银担</t>
  </si>
  <si>
    <t>汉中市海源旭实业有限公司</t>
  </si>
  <si>
    <t>6192824111800066</t>
  </si>
  <si>
    <t>陕西电力工程有限公司</t>
  </si>
  <si>
    <t>6192824080900037</t>
  </si>
  <si>
    <t>西安德工精密仪器有限公司</t>
  </si>
  <si>
    <t>6192824061100071</t>
  </si>
  <si>
    <t>西安翔德机电有限公司</t>
  </si>
  <si>
    <t>6192824052000031</t>
  </si>
  <si>
    <t>西安众鑫佳信建筑劳务有限责任公司</t>
  </si>
  <si>
    <t>6192824061900084</t>
  </si>
  <si>
    <t>6102422041110004</t>
  </si>
  <si>
    <t>铜川印台恒通村镇银行股份有限公司</t>
  </si>
  <si>
    <t>自营-比例再担保（银担分险）</t>
  </si>
  <si>
    <t>2022-04-11</t>
  </si>
  <si>
    <t>2025-03-20</t>
  </si>
  <si>
    <t>6101422050910053</t>
  </si>
  <si>
    <t>中国农业银行西安阎良区支行</t>
  </si>
  <si>
    <t>6105024080700010</t>
  </si>
  <si>
    <t>中国建设银行西安南大街支行</t>
  </si>
  <si>
    <t>6105024061800024</t>
  </si>
  <si>
    <t>中国建设银行西安长安路支行</t>
  </si>
  <si>
    <t>6105024060410015</t>
  </si>
  <si>
    <t>6104022063010148</t>
  </si>
  <si>
    <t>榆林榆阳民生村镇银行股份有限公司</t>
  </si>
  <si>
    <t>县域振兴批量贷</t>
  </si>
  <si>
    <t>6103723051610002</t>
  </si>
  <si>
    <t>黄陵县农村信用合作联社店头信用社</t>
  </si>
  <si>
    <t>三秦融担贷（2023）</t>
  </si>
  <si>
    <t>6101224060710005</t>
  </si>
  <si>
    <t>中国邮政储蓄银行周至县支行</t>
  </si>
  <si>
    <t>6103122030810017</t>
  </si>
  <si>
    <t>6103122031010019</t>
  </si>
  <si>
    <t>'6192824060610016</t>
  </si>
  <si>
    <t>西安银行南大街支行</t>
  </si>
  <si>
    <t>6192824060710018</t>
  </si>
  <si>
    <t>西安银行咸阳分行</t>
  </si>
  <si>
    <t>6104024121910024</t>
  </si>
  <si>
    <t>中国农业银行靖边县支行</t>
  </si>
  <si>
    <t>6104123041410023</t>
  </si>
  <si>
    <t>陕西神木农村商业银行股份有限公司高家堡支行</t>
  </si>
  <si>
    <t>三秦融担贷（2023）-自营</t>
  </si>
  <si>
    <t>6104123051010008</t>
  </si>
  <si>
    <t>陕西神木农村商业银行股份有限公司西郊支行</t>
  </si>
  <si>
    <t>6103122041410006</t>
  </si>
  <si>
    <t>6103123042710015</t>
  </si>
  <si>
    <t>中国农业银行汉中东大街支行</t>
  </si>
  <si>
    <t>6103123032810024</t>
  </si>
  <si>
    <t>6102524073010020</t>
  </si>
  <si>
    <t>陕西眉县农村商业银行</t>
  </si>
  <si>
    <r>
      <rPr>
        <sz val="10"/>
        <color rgb="FF000000"/>
        <rFont val="宋体"/>
        <charset val="134"/>
      </rPr>
      <t>6</t>
    </r>
    <r>
      <rPr>
        <sz val="10.5"/>
        <color theme="1"/>
        <rFont val="宋体"/>
        <charset val="134"/>
        <scheme val="minor"/>
      </rPr>
      <t>101524083010001</t>
    </r>
  </si>
  <si>
    <t>西安高陵阳光村镇银行有限责任公司</t>
  </si>
  <si>
    <t>比例再担保（26）-非银担</t>
  </si>
  <si>
    <t>6192824071110211</t>
  </si>
  <si>
    <t>中国农业银行乾县支行营业部</t>
  </si>
  <si>
    <t>6103223120600004</t>
  </si>
  <si>
    <t>陕西紫阳农村商业银行股份有限公司</t>
  </si>
  <si>
    <t>地方批量-三秦融担贷（2023）</t>
  </si>
  <si>
    <t>6101524093010004</t>
  </si>
  <si>
    <t>6101524062710002</t>
  </si>
  <si>
    <t>西安高陵阳光村镇银行</t>
  </si>
  <si>
    <t>6192824053010046</t>
  </si>
  <si>
    <t>西安银行碑林支行</t>
  </si>
  <si>
    <t>6192824061300089</t>
  </si>
  <si>
    <t>中国银行股份有限公司西安南郊支行</t>
  </si>
  <si>
    <t>代偿时点触发产品代偿上限，直担机构在代偿上限内履行代偿责任，再担保比例同比下降</t>
  </si>
  <si>
    <t>6101423032410201</t>
  </si>
  <si>
    <t>中国农业银行西安高陵区支行</t>
  </si>
  <si>
    <t>6101423030910090</t>
  </si>
  <si>
    <t>6192323063010030</t>
  </si>
  <si>
    <t>蒲城县农村信用合作联社罕井信用社</t>
  </si>
  <si>
    <t>比例再担保（2023）-创业-自营</t>
  </si>
  <si>
    <t>6104024041110046</t>
  </si>
  <si>
    <t>中国农业银行吴堡县支行</t>
  </si>
  <si>
    <t>6102622092300002</t>
  </si>
  <si>
    <t>陕西咸阳秦都农村商业银行股份有限公司</t>
  </si>
  <si>
    <t>比例再担保（非银担分险）</t>
  </si>
  <si>
    <t>6192824090910148</t>
  </si>
  <si>
    <t>中国农业银行股份有限公司西安昆明路支行</t>
  </si>
  <si>
    <t>6105024071010012</t>
  </si>
  <si>
    <t>西安银行城东支行</t>
  </si>
  <si>
    <t>6105024070810006</t>
  </si>
  <si>
    <t>西安银行长安支行</t>
  </si>
  <si>
    <t>6105024070310002</t>
  </si>
  <si>
    <t>6192824062410037</t>
  </si>
  <si>
    <t>西安银行雁塔支行</t>
  </si>
  <si>
    <t>6101223091100083</t>
  </si>
  <si>
    <t>微众快担（2023）-自营</t>
  </si>
  <si>
    <t>238.095.20</t>
  </si>
  <si>
    <t>6103123041710005</t>
  </si>
  <si>
    <t>中国农业银行城固县支行营业部</t>
  </si>
  <si>
    <t>6103123052510005</t>
  </si>
  <si>
    <t>中国农业银行宁强县支行营业部</t>
  </si>
  <si>
    <t>朱广学-自营</t>
  </si>
  <si>
    <t>6101422042610081</t>
  </si>
  <si>
    <t>6105024062500032</t>
  </si>
  <si>
    <t>中国建设银行西安莲湖路支行</t>
  </si>
  <si>
    <t>李新权-自营</t>
  </si>
  <si>
    <t>6102523091410008</t>
  </si>
  <si>
    <t>陕西岐山长银村镇银行有限责任公司</t>
  </si>
  <si>
    <t>县域振兴批量贷（2023）-自营</t>
  </si>
  <si>
    <t>6105024062700057</t>
  </si>
  <si>
    <t>中国建设银行高新技术产业开发区支行</t>
  </si>
  <si>
    <t>6103123022010039</t>
  </si>
  <si>
    <t>中国农业银行汉中天台路支行</t>
  </si>
  <si>
    <t>超期转自营</t>
  </si>
  <si>
    <t>6192824062800119</t>
  </si>
  <si>
    <t>中国银行股份有限公司西安长安区支行</t>
  </si>
  <si>
    <t>6192824112000186</t>
  </si>
  <si>
    <t>焦宏芳</t>
  </si>
  <si>
    <t>6192824112410015</t>
  </si>
  <si>
    <t>西安妍若昱商贸有限公司</t>
  </si>
  <si>
    <t>6192824122700067</t>
  </si>
  <si>
    <t>陕西综康医疗器械有限公司</t>
  </si>
  <si>
    <t>6192824061100065</t>
  </si>
  <si>
    <t>6192824052100017</t>
  </si>
  <si>
    <t>6192824042500176</t>
  </si>
  <si>
    <t>陕西盛腾机电工程有限公司</t>
  </si>
  <si>
    <t>6192824112500115</t>
  </si>
  <si>
    <t>陕西国广建设工程有限公司</t>
  </si>
  <si>
    <t>6192824111100117</t>
  </si>
  <si>
    <t>陕西固本供应链管理有限公司</t>
  </si>
  <si>
    <t>6192824070600034</t>
  </si>
  <si>
    <t>宝鸡市天马金属有限公司</t>
  </si>
  <si>
    <t>6192824082100032</t>
  </si>
  <si>
    <t>6105024072210005</t>
  </si>
  <si>
    <t>811620.24 元</t>
  </si>
  <si>
    <t>6105024080210016</t>
  </si>
  <si>
    <t>陕西秦农农村商业银行曲江支行</t>
  </si>
  <si>
    <t>6105024122410062</t>
  </si>
  <si>
    <t>6105024072910005</t>
  </si>
  <si>
    <t>6105024072910010</t>
  </si>
  <si>
    <t>6192824070110059</t>
  </si>
  <si>
    <t>西安卓迈建筑工程有限公司</t>
  </si>
  <si>
    <t>6192825010700132</t>
  </si>
  <si>
    <t>陕西怀远和润运输有限责任公司</t>
  </si>
  <si>
    <t>6192824072200084</t>
  </si>
  <si>
    <t>6192824022200046</t>
  </si>
  <si>
    <t>西安云顶印象电子商务有限公司</t>
  </si>
  <si>
    <t>6192824042500179</t>
  </si>
  <si>
    <t>陕西彬源建设工程有限公司</t>
  </si>
  <si>
    <t>6192824122300070</t>
  </si>
  <si>
    <t>陕西融桥电子科技有限公司</t>
  </si>
  <si>
    <t>6192824061900106</t>
  </si>
  <si>
    <t>6192824071200080</t>
  </si>
  <si>
    <t>西安少泽建筑装饰工程有限公司</t>
  </si>
  <si>
    <t>6192824082400012</t>
  </si>
  <si>
    <t>6105024070310006</t>
  </si>
  <si>
    <t>6103122062910011</t>
  </si>
  <si>
    <t>6103122053110004</t>
  </si>
  <si>
    <t>6103123052410001</t>
  </si>
  <si>
    <t>中国农业银行留坝县支行</t>
  </si>
  <si>
    <t>6103122060610010</t>
  </si>
  <si>
    <t>中国农业银行西乡县支行营业部</t>
  </si>
  <si>
    <t>小计</t>
  </si>
  <si>
    <t>总计</t>
  </si>
  <si>
    <t>表七：省再担保公司国担“总对总”再担保代偿补偿项目审核进度表</t>
  </si>
  <si>
    <t>担保体系代偿金额（元）</t>
  </si>
  <si>
    <t>支付方式</t>
  </si>
  <si>
    <t>延川县亿兴能源工贸有限责任公司</t>
  </si>
  <si>
    <t>退回补充材料</t>
  </si>
  <si>
    <t>雷振祥</t>
  </si>
  <si>
    <t>贾战强（2024.9.9-2024.9.14）</t>
  </si>
  <si>
    <t>备付金扣划</t>
  </si>
  <si>
    <t>胡鑫</t>
  </si>
  <si>
    <t>贾战强（8.26-8.30）</t>
  </si>
  <si>
    <t>陕西一林工程有限责任公司</t>
  </si>
  <si>
    <t>陕西珺钰建筑工程有限公司</t>
  </si>
  <si>
    <t>安建锋</t>
  </si>
  <si>
    <t>白引虎</t>
  </si>
  <si>
    <t>马美林</t>
  </si>
  <si>
    <t>武功县天豪建筑劳务有限公司</t>
  </si>
  <si>
    <t>乔增峰</t>
  </si>
  <si>
    <t>张建泉</t>
  </si>
  <si>
    <t>程艳梅</t>
  </si>
  <si>
    <t>申浪浪</t>
  </si>
  <si>
    <t>咸阳江之塬农业有限公司</t>
  </si>
  <si>
    <t>审核完成</t>
  </si>
  <si>
    <t>商洛市迪奥劳务有限责任公司</t>
  </si>
  <si>
    <t>山阳铭晟建筑材料有限公司</t>
  </si>
  <si>
    <t>再担保否决</t>
  </si>
  <si>
    <t>陕西晟齐建设工程有限公司</t>
  </si>
  <si>
    <t>宋亚琴</t>
  </si>
  <si>
    <t>安康市沛臻企业管理有限公司</t>
  </si>
  <si>
    <t>何金雷</t>
  </si>
  <si>
    <t>杭怀五</t>
  </si>
  <si>
    <t>靖边县广权工贸有限责任公司</t>
  </si>
  <si>
    <t>卢锋</t>
  </si>
  <si>
    <t>赵永华</t>
  </si>
  <si>
    <t>王贵</t>
  </si>
  <si>
    <t>苏侯强</t>
  </si>
  <si>
    <t>安康市旺周建筑工程劳务有限公司</t>
  </si>
  <si>
    <t>张子洲</t>
  </si>
  <si>
    <t>崔美茹</t>
  </si>
  <si>
    <t>李涛</t>
  </si>
  <si>
    <t>蔡文雅</t>
  </si>
  <si>
    <t>白建峰</t>
  </si>
  <si>
    <t>陕西昶毅新源建筑工程有限公司</t>
  </si>
  <si>
    <t>贾战强（9.2-9.6）</t>
  </si>
  <si>
    <t>西安道智电子科技有限公司</t>
  </si>
  <si>
    <t>汉中市永盛园林景观工程有限公司</t>
  </si>
  <si>
    <t>白胜平</t>
  </si>
  <si>
    <t>陕西乾运工程机械有限公司</t>
  </si>
  <si>
    <t>安康嘉汇铭药业有限公司</t>
  </si>
  <si>
    <t>朱薛飞</t>
  </si>
  <si>
    <t>汉中正禹建设工程有限公司</t>
  </si>
  <si>
    <t>杨凌盛果源供应链管理有限公司</t>
  </si>
  <si>
    <t>陕西峰晟源建筑工程有限公司</t>
  </si>
  <si>
    <t>西安三进机电有限公司</t>
  </si>
  <si>
    <t>安康市汉滨区博龙建材经营部</t>
  </si>
  <si>
    <t>陕西阎飞精工建筑劳务有限公司</t>
  </si>
  <si>
    <t>延安卓泰建筑有限公司</t>
  </si>
  <si>
    <t>陕西鹏瑞汽车销售有限责任公司</t>
  </si>
  <si>
    <t>西安小红伞网络文化科技有限公司</t>
  </si>
  <si>
    <t>马宏洋</t>
  </si>
  <si>
    <t>陕西昱胜飞建筑工程有限公司</t>
  </si>
  <si>
    <t>李兵</t>
  </si>
  <si>
    <t>陕西远华电力电子通讯有限责任公司</t>
  </si>
  <si>
    <t>西安佰尔建筑装饰工程有限公司</t>
  </si>
  <si>
    <t>志丹县永宏石油技术服务有限责任公司</t>
  </si>
  <si>
    <t>榆林市帝春建设工程有限公司</t>
  </si>
  <si>
    <t>已审核</t>
  </si>
  <si>
    <t>补充资料于2024-7-29重新提交</t>
  </si>
  <si>
    <t>神木市红泥梁煤矸风选有限责任公司</t>
  </si>
  <si>
    <t xml:space="preserve"> 延安市宝塔区景志工贸有限公司</t>
  </si>
  <si>
    <t>西安汇能达建筑材料有限公司</t>
  </si>
  <si>
    <t>榆林市拉达运输有限公司</t>
  </si>
  <si>
    <t>航天担保</t>
  </si>
  <si>
    <t>陕西丝路创客电子商务有限公司</t>
  </si>
  <si>
    <t>渭南市利农牧草机械有限责任公司</t>
  </si>
  <si>
    <t>陕西俊松建筑工程有限公司</t>
  </si>
  <si>
    <t>铜川诺广兴实业有限公司</t>
  </si>
  <si>
    <t>补充征信证明</t>
  </si>
  <si>
    <t>陕西沣舰游艇有限公司</t>
  </si>
  <si>
    <t>西安昆鹏地毯有限公司</t>
  </si>
  <si>
    <t>咸阳新洲建筑安装工程有限公司</t>
  </si>
  <si>
    <t>备付金划扣</t>
  </si>
  <si>
    <t>陕西玖龙劳务有限公司</t>
  </si>
  <si>
    <t>银行扣款金额不符</t>
  </si>
  <si>
    <t>陕西江川建设有限公司</t>
  </si>
  <si>
    <t>补充材料于2024-08-22重新提交</t>
  </si>
  <si>
    <t>定边县荣瑞作工贸有限责任公司</t>
  </si>
  <si>
    <t>西安云为物流科技有限公司</t>
  </si>
  <si>
    <t>陕西佳旺建筑劳务有限公司</t>
  </si>
  <si>
    <t>陕西恒飞建设工程有限公司</t>
  </si>
  <si>
    <t xml:space="preserve"> 陕西喜安峰建筑工程有限责任公司</t>
  </si>
  <si>
    <t>汉中市广腾汽车贸易有限责任公司</t>
  </si>
  <si>
    <t>汉中市星宇建筑工程有限责任公司</t>
  </si>
  <si>
    <t>陕西高明实业有限公司</t>
  </si>
  <si>
    <t>延安路通汽车维修有限责任公司</t>
  </si>
  <si>
    <t>延安康丰工贸有限公司</t>
  </si>
  <si>
    <t>西安世博环保工程有限公司</t>
  </si>
  <si>
    <t>安康蜀顺海建筑工程有限公司</t>
  </si>
  <si>
    <t>沈军</t>
  </si>
  <si>
    <t>渭南荣大汽车销售服务有限公司</t>
  </si>
  <si>
    <t>西安猎森人力资源管理有限公司</t>
  </si>
  <si>
    <t>陕西德运祥建筑工程有限公司</t>
  </si>
  <si>
    <t>陕西天良国际贸易有限公司</t>
  </si>
  <si>
    <t>西安木辛航宇科技电子有限公司</t>
  </si>
  <si>
    <t>白燕飞</t>
  </si>
  <si>
    <t>蔡林生</t>
  </si>
  <si>
    <t>蒋继琼</t>
  </si>
  <si>
    <t>邮储多扣8000，待处理</t>
  </si>
  <si>
    <t>蒲城炎宇路桥工程有限公司</t>
  </si>
  <si>
    <t>延安市宝塔区尚禹建筑工程有限公司</t>
  </si>
  <si>
    <t>榆正担保</t>
  </si>
  <si>
    <t>榆林市振新晟业煤炭运销有限公司</t>
  </si>
  <si>
    <t>扣款凭证与系统提交数额不符，上传银行解保证明不符，补充材料</t>
  </si>
  <si>
    <t>榆林天吉新动力煤炭销售有限责任公司</t>
  </si>
  <si>
    <t>西咸新区大刚汽车贸易中心</t>
  </si>
  <si>
    <t>优品贸易(西安)有限公司</t>
  </si>
  <si>
    <t>陕西逸源阳恒建设工程有限公司</t>
  </si>
  <si>
    <t>陕西启安建设工程有限公司</t>
  </si>
  <si>
    <t>陕西安润保全科技有限公司</t>
  </si>
  <si>
    <t>延安东欣建筑工程有限公司</t>
  </si>
  <si>
    <t>马宏伟</t>
  </si>
  <si>
    <t>延安市诚洋建筑工程有限公司</t>
  </si>
  <si>
    <t>慕明飞</t>
  </si>
  <si>
    <t>陕西宝地源实业有限公司</t>
  </si>
  <si>
    <t>岚皋县岚丰建筑工程有限责任公司</t>
  </si>
  <si>
    <t>西安卡奇诺庆典文化传播有限公司</t>
  </si>
  <si>
    <t>陕西盛龙护卫有限公司</t>
  </si>
  <si>
    <t>山阳县锦钰油脂有限公司</t>
  </si>
  <si>
    <t>陕西雁翎防水材料有限公司</t>
  </si>
  <si>
    <t>陕西途畅建筑工程有限公司</t>
  </si>
  <si>
    <t>陕西亮立腾宏防水保温工程有限公司</t>
  </si>
  <si>
    <t>延安市龙昊新能源有限公司</t>
  </si>
  <si>
    <t>榆林市佳兴机电建设集团有限责任公司</t>
  </si>
  <si>
    <t>延安天伟工贸有限责任公司</t>
  </si>
  <si>
    <t>郝世强</t>
  </si>
  <si>
    <t>汉中雄泰工贸有限公司</t>
  </si>
  <si>
    <t>备付金扣划部分，另逐级申报</t>
  </si>
  <si>
    <t>西安瑞鑫建筑工程有限责任公司</t>
  </si>
  <si>
    <t>关春花</t>
  </si>
  <si>
    <t>陕西天宇华航实业有限公司</t>
  </si>
  <si>
    <t>靖边县同兴实业有限公司</t>
  </si>
  <si>
    <t>陕西坦科物流有限公司</t>
  </si>
  <si>
    <t>陕西成致诚建设工程有限公司</t>
  </si>
  <si>
    <t>西安浩安建设工程有限公司</t>
  </si>
  <si>
    <t>商洛市秦星铸业有限公司</t>
  </si>
  <si>
    <t>陕西舵晟实业有限公司</t>
  </si>
  <si>
    <t xml:space="preserve"> 陕西泾阳弘丰建筑工程有限公司</t>
  </si>
  <si>
    <t>西安阿木尔商贸有限公司</t>
  </si>
  <si>
    <t>陕西至诚建筑劳务有限公司</t>
  </si>
  <si>
    <t>渭南市润泽汽贸有限责任公司</t>
  </si>
  <si>
    <t>陕西勃宇物流有限公司</t>
  </si>
  <si>
    <t>逐级申报</t>
  </si>
  <si>
    <t>西安智行众合劳务管理有限公司</t>
  </si>
  <si>
    <t>西安金雀装饰工程有限公司</t>
  </si>
  <si>
    <t>陕西天泰恒信建设工程有限公司</t>
  </si>
  <si>
    <t>陕西鑫帝兴建筑工程有限公司</t>
  </si>
  <si>
    <t>陕西科海制冷工程有限公司</t>
  </si>
  <si>
    <t>2024-5-9重新提交</t>
  </si>
  <si>
    <t>陕西东岭诚泰贸易有限公司</t>
  </si>
  <si>
    <t>陕西保航建设工程有限公司</t>
  </si>
  <si>
    <t>西安聚盛长建筑劳务有限公司</t>
  </si>
  <si>
    <t>陕西朗通天宇商贸有限公司</t>
  </si>
  <si>
    <t>西安保顺建筑劳务分包有限公司</t>
  </si>
  <si>
    <t>陕西煜高建筑工程有限公司</t>
  </si>
  <si>
    <t>孙买成</t>
  </si>
  <si>
    <t>安康铭达装饰设计有限公司</t>
  </si>
  <si>
    <t>延川宇恒新能源有限公司</t>
  </si>
  <si>
    <t>二次退回补充</t>
  </si>
  <si>
    <t>2025年3月27日从新提报</t>
  </si>
  <si>
    <t>商州区美恒创新科技建材有限公司</t>
  </si>
  <si>
    <t>安康市新兴建筑安装工程有限公司</t>
  </si>
  <si>
    <t>陕西天泽材料科技有限公司</t>
  </si>
  <si>
    <t>韩城市西铁工贸有限责任公司</t>
  </si>
  <si>
    <t>杜世兰</t>
  </si>
  <si>
    <t>安康市炫酷新能源科技有限公司</t>
  </si>
  <si>
    <t>陕西云鼎力博能源科技有限公司</t>
  </si>
  <si>
    <t>延安旭能石油钻井技术服务有限公司</t>
  </si>
  <si>
    <t>陕西美泉商贸有限责任公司</t>
  </si>
  <si>
    <t>延安金店珠宝有限责任公司</t>
  </si>
  <si>
    <t>延安新程建筑工程有限公司</t>
  </si>
  <si>
    <t>延安市振宇工贸有限公司</t>
  </si>
  <si>
    <t>延安云龙建筑工程有限公司</t>
  </si>
  <si>
    <t>陕西兆烨实业有限公司</t>
  </si>
  <si>
    <t>陕西立鼎人力资源有限公司</t>
  </si>
  <si>
    <t>陕西宣曼建设工程有限公司</t>
  </si>
  <si>
    <t>西安团结兴物资有限公司</t>
  </si>
  <si>
    <t>西安荣宇建筑安装工程有限公司</t>
  </si>
  <si>
    <t>神木市盛捷液压技术有限公司</t>
  </si>
  <si>
    <t>陕西庭阔建筑工程有限公司</t>
  </si>
  <si>
    <t>2025-2-21重新提交</t>
  </si>
  <si>
    <t>陕西泰佰腾钢筋工程有限公司</t>
  </si>
  <si>
    <t>蔡建平</t>
  </si>
  <si>
    <t>铜川浩德永园林建筑工程有限公司</t>
  </si>
  <si>
    <t>陕西秦源通建设工程有限公司</t>
  </si>
  <si>
    <t>陕西新盛美誉电梯有限公司</t>
  </si>
  <si>
    <t>陕西欣昊红工程有限公司</t>
  </si>
  <si>
    <t>陕西弘品空间精装工程有限公司</t>
  </si>
  <si>
    <t>西安高电电气设备有限公司</t>
  </si>
  <si>
    <t>西安量子建设工程有限公司</t>
  </si>
  <si>
    <t>西安市鄠邑区华盛纸箱包装有限公司</t>
  </si>
  <si>
    <t>陕西国优恒建筑工程有限公司</t>
  </si>
  <si>
    <t>陕西吉星峰电子科技有限公司</t>
  </si>
  <si>
    <t>铜川繁盛荣商贸有限公司</t>
  </si>
  <si>
    <t>陕西沐尚空间全屋定制有限公司</t>
  </si>
  <si>
    <t>陕西合建瑀工程有限公司</t>
  </si>
  <si>
    <t>郭鑫</t>
  </si>
  <si>
    <t>刘秋艳</t>
  </si>
  <si>
    <t>陕西达源航诚建设工程有限公司</t>
  </si>
  <si>
    <t>陕西圣明智能科技有限公司</t>
  </si>
  <si>
    <t>西安市瑞元餐饮有限责任公司</t>
  </si>
  <si>
    <t>陕西世融玖诚劳务有限公司</t>
  </si>
  <si>
    <t>西安同益建筑安装有限公司</t>
  </si>
  <si>
    <t>西安兴达防腐绝热工程有限公司</t>
  </si>
  <si>
    <t>李小梅</t>
  </si>
  <si>
    <t>陕西亿来建设工程有限公司</t>
  </si>
  <si>
    <t>蒲城县东泰劳务工程有限公司</t>
  </si>
  <si>
    <t>汉阴四海装修有限公司</t>
  </si>
  <si>
    <t>咸阳成辉工贸有限公司</t>
  </si>
  <si>
    <t>平利县和源春劳务分包有限公司</t>
  </si>
  <si>
    <t>铜川市印台区海亿峰顺建筑工程有限公司</t>
  </si>
  <si>
    <t>陕西锦翔华建设工程有限公司</t>
  </si>
  <si>
    <t>陕西奥博新能源科技有限公司</t>
  </si>
  <si>
    <t>延安康珏实业有限公司</t>
  </si>
  <si>
    <t>逐级申请</t>
  </si>
  <si>
    <t>陕西双典机电工程有限公司</t>
  </si>
  <si>
    <t>汉中吉禾鑫建筑工程有限公司</t>
  </si>
  <si>
    <t>西安诺子博商业运营管理有限公司</t>
  </si>
  <si>
    <t>铜川金土地生态建设开发有限公司</t>
  </si>
  <si>
    <t>陕西果业集团铜川王益有限公司</t>
  </si>
  <si>
    <t>汉中市鸿跃商贸有限责任公司</t>
  </si>
  <si>
    <t>汉中君合机械租赁有限公司</t>
  </si>
  <si>
    <t>延安浩宇油气工程技术服务有限公司</t>
  </si>
  <si>
    <t>黄陵岩诚建筑有限公司</t>
  </si>
  <si>
    <t>绥德县园艺石业有限责任公司</t>
  </si>
  <si>
    <t>延安市宝塔区双腾建筑工程有限公司</t>
  </si>
  <si>
    <t>陕西泽铭建设工程有限公司</t>
  </si>
  <si>
    <t>延安展旭工贸有限公司</t>
  </si>
  <si>
    <t>陕西鼎鸿宇立建设工程有限公司</t>
  </si>
  <si>
    <t>西安智狼招商集团有限公司</t>
  </si>
  <si>
    <t>西安恩斯凯机电科技有限公司</t>
  </si>
  <si>
    <t>陕西中雄信远商贸有限公司</t>
  </si>
  <si>
    <t>西咸担保</t>
  </si>
  <si>
    <t>陕西闽誉金属材料有限公司</t>
  </si>
  <si>
    <t>铜川市铂诚商贸有限责任公司</t>
  </si>
  <si>
    <t>陕西金玉石机电设备有限公司</t>
  </si>
  <si>
    <t>铜川市恒泰工程有限责任公司</t>
  </si>
  <si>
    <t xml:space="preserve"> 陕西博盛宏安建筑工程有限公司</t>
  </si>
  <si>
    <t>陕西嘉泰恒建设工程有限公司</t>
  </si>
  <si>
    <t>陕西金展实业有限公司</t>
  </si>
  <si>
    <t>陕西厚茹颂创建设工程有限公司</t>
  </si>
  <si>
    <t>姚崇娃</t>
  </si>
  <si>
    <t>陕西顺源鑫鑫建筑劳务有限公司</t>
  </si>
  <si>
    <t>补充征信证明，</t>
  </si>
  <si>
    <t>陕西龙翰建设工程有限公司</t>
  </si>
  <si>
    <t>陈姣姣</t>
  </si>
  <si>
    <t>高红军</t>
  </si>
  <si>
    <t xml:space="preserve"> 延安市荣兴石油技术服务有限责任公司</t>
  </si>
  <si>
    <t>陕西秦渭鸿泰建筑工程有限公司</t>
  </si>
  <si>
    <t>汉中全盛商贸有限公司</t>
  </si>
  <si>
    <t>方光兰</t>
  </si>
  <si>
    <t>陕西金威荣建筑工程有限公司</t>
  </si>
  <si>
    <t>国担2.0</t>
  </si>
  <si>
    <t>王有岐</t>
  </si>
  <si>
    <t>安瑞</t>
  </si>
  <si>
    <t>西安德斯普拉建设工程有限公司</t>
  </si>
  <si>
    <t>西安荣腾海机电安装工程有限公司</t>
  </si>
  <si>
    <t>陕西博恩福基建设工程有限公司</t>
  </si>
  <si>
    <t>陈丰</t>
  </si>
  <si>
    <t>榆林市洪源防腐保温工程有限公司</t>
  </si>
  <si>
    <t>商洛市秦星铸业有限责任公司</t>
  </si>
  <si>
    <t>陕西旌华建设有限公司</t>
  </si>
  <si>
    <t>陕西浩远实业有限公司</t>
  </si>
  <si>
    <t>陕西立仁建设工程有限公司</t>
  </si>
  <si>
    <t>西安联谊橡胶制品有限公司</t>
  </si>
  <si>
    <t>陕西聚佳恒实业有限公司</t>
  </si>
  <si>
    <t>陕西大金建筑装饰工程有限公司</t>
  </si>
  <si>
    <t>西安天青百果商贸有限公司</t>
  </si>
  <si>
    <t>陕西君昌建设工程有限公司</t>
  </si>
  <si>
    <t>陕西粮多多面业有限公司</t>
  </si>
  <si>
    <t>陕西鑫誉昌建设工程有限公司</t>
  </si>
  <si>
    <t>西安中铭德商贸有限公司</t>
  </si>
  <si>
    <t>陕西锐森卓晶有色金属贸易有限公司</t>
  </si>
  <si>
    <t>陕西正德泰成供应链管理有限公司</t>
  </si>
  <si>
    <t>延安市凯扬工贸有限公司</t>
  </si>
  <si>
    <t>退回补充材料2025.05.14</t>
  </si>
  <si>
    <t>府谷县众捷煤炭运销有限公司</t>
  </si>
  <si>
    <t>备付金划扣错误</t>
  </si>
  <si>
    <t>李成喜</t>
  </si>
  <si>
    <t>王浪浪</t>
  </si>
  <si>
    <t>王伟</t>
  </si>
  <si>
    <t>陕西中昊达人力资源管理有限公司</t>
  </si>
  <si>
    <t>西安天驹茗酒坊有限公司</t>
  </si>
  <si>
    <t>宝鸡市鑫钻石油机械有限公司</t>
  </si>
  <si>
    <t>张琼磊</t>
  </si>
  <si>
    <t xml:space="preserve">陕西德达汽车服务有限公司
</t>
  </si>
  <si>
    <t>退回补充材料2025.06.16</t>
  </si>
  <si>
    <t>霍成连</t>
  </si>
  <si>
    <t>王艳</t>
  </si>
  <si>
    <t>陕西九州实业有限责任公司</t>
  </si>
  <si>
    <t>陕西天地行建设工程有限公司</t>
  </si>
  <si>
    <t>钟玉梅</t>
  </si>
  <si>
    <t>王耀军</t>
  </si>
  <si>
    <t>贾锦梅</t>
  </si>
  <si>
    <t>王雄伟</t>
  </si>
  <si>
    <t>康莲</t>
  </si>
  <si>
    <t>李桃</t>
  </si>
  <si>
    <t>乔建忠</t>
  </si>
  <si>
    <t>季勤丽</t>
  </si>
  <si>
    <t>方向娥</t>
  </si>
  <si>
    <t>申祖礼</t>
  </si>
  <si>
    <t>贺耀平</t>
  </si>
  <si>
    <t>安巧霞</t>
  </si>
  <si>
    <t>苏候懒</t>
  </si>
  <si>
    <t>贾利琴</t>
  </si>
  <si>
    <t>靖边县长虹油气田技术服务有限公司</t>
  </si>
  <si>
    <t>安康市汉滨区桂花生态养殖有限公司</t>
  </si>
  <si>
    <t>安康市京康建筑劳务有限公司</t>
  </si>
  <si>
    <t>澄城县春雨商贸有限公司</t>
  </si>
  <si>
    <t>西安小微</t>
  </si>
  <si>
    <t>陕西鑫品晟建筑工程有限公司</t>
  </si>
  <si>
    <t>三原金阳面粉有限公司</t>
  </si>
  <si>
    <t>待直担修改备案信息后提交</t>
  </si>
  <si>
    <t>王明洲</t>
  </si>
  <si>
    <t>孙海前</t>
  </si>
  <si>
    <t>孙月强</t>
  </si>
  <si>
    <t>王艳琴</t>
  </si>
  <si>
    <t>陕西佳茂管业工程股份有限公司</t>
  </si>
  <si>
    <t>陕西磐之安康新能源有限公司</t>
  </si>
  <si>
    <t>陕西正滨建设工程有限公司</t>
  </si>
  <si>
    <t>榆林驰诚恒泰煤业有限公司</t>
  </si>
  <si>
    <t>张杰</t>
  </si>
  <si>
    <t>白永岐</t>
  </si>
  <si>
    <t>马帅</t>
  </si>
  <si>
    <t>马赵</t>
  </si>
  <si>
    <t>刘升荣</t>
  </si>
  <si>
    <t>王彩玲</t>
  </si>
  <si>
    <t>王平</t>
  </si>
  <si>
    <t>西安盛玄信息科技有限责任公司</t>
  </si>
  <si>
    <t>陕西上诺暖通技术服务有限公司</t>
  </si>
  <si>
    <t>制表时间：2025年6月5日</t>
  </si>
  <si>
    <t>表八：省再担保公司再担保代偿补偿项目统计总台账</t>
  </si>
  <si>
    <t>宝鸡市陈仓区玉恒果禽专业合作社</t>
  </si>
  <si>
    <t>邮储银行陈仓区支行</t>
  </si>
  <si>
    <t>比例再担保</t>
  </si>
  <si>
    <t>2018-10-09</t>
  </si>
  <si>
    <t>2019-10-08</t>
  </si>
  <si>
    <t>2019-05-24</t>
  </si>
  <si>
    <t>2019-07-02</t>
  </si>
  <si>
    <t>2019-07-05</t>
  </si>
  <si>
    <t>宝鸡于记酒店管理有限公司</t>
  </si>
  <si>
    <t>长安银行宝鸡分行</t>
  </si>
  <si>
    <t>2018-09-29</t>
  </si>
  <si>
    <t>2019-09-29</t>
  </si>
  <si>
    <t>2019-09-30</t>
  </si>
  <si>
    <t>2019-10-29</t>
  </si>
  <si>
    <t>2019-11-11</t>
  </si>
  <si>
    <t>永寿县鸿杰加油站</t>
  </si>
  <si>
    <t>邮储银行咸阳市分行</t>
  </si>
  <si>
    <t>2018-08-31</t>
  </si>
  <si>
    <t>2019-08-30</t>
  </si>
  <si>
    <t>2019-09-06</t>
  </si>
  <si>
    <t>2019-09-25</t>
  </si>
  <si>
    <t>2019-10-09</t>
  </si>
  <si>
    <t>陕西宝瑞资讯有限公司</t>
  </si>
  <si>
    <t>邮储银行西安市分行</t>
  </si>
  <si>
    <t>2019-09-16</t>
  </si>
  <si>
    <t>西安金秋自动门窗通风设备有限公司</t>
  </si>
  <si>
    <t>西安银行钟楼支行</t>
  </si>
  <si>
    <t>2018-08-10</t>
  </si>
  <si>
    <t>2019-08-09</t>
  </si>
  <si>
    <t>2019-10-24</t>
  </si>
  <si>
    <t>2019-11-06</t>
  </si>
  <si>
    <t>紫阳县洄水华成农业生态有限公司</t>
  </si>
  <si>
    <t>6100118121819006</t>
  </si>
  <si>
    <t>长安银行安康分行</t>
  </si>
  <si>
    <t>2018-12-18</t>
  </si>
  <si>
    <t>2019-12-10</t>
  </si>
  <si>
    <t>2019-12-18</t>
  </si>
  <si>
    <t>2020-01-15</t>
  </si>
  <si>
    <t>2020-01-20</t>
  </si>
  <si>
    <t>2020-05-06</t>
  </si>
  <si>
    <t>2020-06-12</t>
  </si>
  <si>
    <t>王平（私营企业主）</t>
  </si>
  <si>
    <t>6100119040319002</t>
  </si>
  <si>
    <t>邮储银行平利县支行</t>
  </si>
  <si>
    <t>2019-04-03</t>
  </si>
  <si>
    <t>2020-04-03</t>
  </si>
  <si>
    <t>2020-05-15</t>
  </si>
  <si>
    <t>2020-06-02</t>
  </si>
  <si>
    <t>2020-06-17</t>
  </si>
  <si>
    <t>2020-07-09</t>
  </si>
  <si>
    <t>2020-11-03</t>
  </si>
  <si>
    <t>安康市清雅清真现代化生态农业有限公司</t>
  </si>
  <si>
    <t>6100119052219003</t>
  </si>
  <si>
    <t>工商银行安康汉滨支行</t>
  </si>
  <si>
    <t>2019-05-23</t>
  </si>
  <si>
    <t>2020-05-22</t>
  </si>
  <si>
    <t>2020-03-23</t>
  </si>
  <si>
    <t>2020-04-08</t>
  </si>
  <si>
    <t>2020-04-13</t>
  </si>
  <si>
    <t>2020-05-07</t>
  </si>
  <si>
    <t>徐奇芳</t>
  </si>
  <si>
    <t>6103219072319001</t>
  </si>
  <si>
    <t>邮储银行</t>
  </si>
  <si>
    <t>2019-07-23</t>
  </si>
  <si>
    <t>2020-07-23</t>
  </si>
  <si>
    <t>2020-10-29</t>
  </si>
  <si>
    <t>2020-11-18</t>
  </si>
  <si>
    <t>2020-11-19</t>
  </si>
  <si>
    <t>2020-02-20</t>
  </si>
  <si>
    <t>2021-02-25</t>
  </si>
  <si>
    <t>苗宽林</t>
  </si>
  <si>
    <t>6103219080119002</t>
  </si>
  <si>
    <t>2019-08-01</t>
  </si>
  <si>
    <t>2020-08-01</t>
  </si>
  <si>
    <t>凡高实业有限公司</t>
  </si>
  <si>
    <t>6100118122919001</t>
  </si>
  <si>
    <t>交通银行陕西省分行</t>
  </si>
  <si>
    <t>2018-12-25</t>
  </si>
  <si>
    <t>2019-12-25</t>
  </si>
  <si>
    <t>2019-12-27</t>
  </si>
  <si>
    <t>2020-04-15</t>
  </si>
  <si>
    <t>2020-05-08</t>
  </si>
  <si>
    <t>陕西瑞鑫化纤有限公司</t>
  </si>
  <si>
    <t>6100119061919002</t>
  </si>
  <si>
    <t>2019-06-19</t>
  </si>
  <si>
    <t>2020-06-18</t>
  </si>
  <si>
    <t>2020-04-30</t>
  </si>
  <si>
    <t>太极航空科技有限公司</t>
  </si>
  <si>
    <t>6100119050719001</t>
  </si>
  <si>
    <t>成都银行</t>
  </si>
  <si>
    <t>2019-05-07</t>
  </si>
  <si>
    <t>商南县大地木业有限公司</t>
  </si>
  <si>
    <t>6100119013019001</t>
  </si>
  <si>
    <t>2019-01-28</t>
  </si>
  <si>
    <t>2020-04-01</t>
  </si>
  <si>
    <t>2020-04-29</t>
  </si>
  <si>
    <t>2020-05-09</t>
  </si>
  <si>
    <t>丹凤县兴龙建筑材料有限公司</t>
  </si>
  <si>
    <t>6103320022519001</t>
  </si>
  <si>
    <t>扶贫开发</t>
  </si>
  <si>
    <t>2020-09-30</t>
  </si>
  <si>
    <t>2020-11-11</t>
  </si>
  <si>
    <t>2020-11-13</t>
  </si>
  <si>
    <t>2021-02-20</t>
  </si>
  <si>
    <t>商南县玉山有限公司</t>
  </si>
  <si>
    <t>6103319110619001</t>
  </si>
  <si>
    <t>建设银行</t>
  </si>
  <si>
    <t>2019-02-24</t>
  </si>
  <si>
    <t>2020-07-24</t>
  </si>
  <si>
    <t>2020-12-09</t>
  </si>
  <si>
    <t>2020-12-17</t>
  </si>
  <si>
    <t>商南县海鑫现代农业有限公司</t>
  </si>
  <si>
    <t>6103319090219001</t>
  </si>
  <si>
    <t>2019-08-27</t>
  </si>
  <si>
    <t>2020-08-26</t>
  </si>
  <si>
    <t>2020-11-10</t>
  </si>
  <si>
    <t>2020-12-16</t>
  </si>
  <si>
    <t>2020-12-22</t>
  </si>
  <si>
    <t>陕西奉天电器销售有限公司</t>
  </si>
  <si>
    <t>6102619112819001</t>
  </si>
  <si>
    <t>长安银行</t>
  </si>
  <si>
    <t>2019-11-22</t>
  </si>
  <si>
    <t>2020-11-21</t>
  </si>
  <si>
    <t>2020-05-23</t>
  </si>
  <si>
    <t>2020-06-23</t>
  </si>
  <si>
    <t>三原龙溪塑料制品有限公司</t>
  </si>
  <si>
    <t>6102619080919001</t>
  </si>
  <si>
    <t>2020-08-08</t>
  </si>
  <si>
    <t>2020-08-21</t>
  </si>
  <si>
    <t>2020-09-16</t>
  </si>
  <si>
    <t>2020-09-18</t>
  </si>
  <si>
    <t>2020-11-05</t>
  </si>
  <si>
    <t>2021-02-10</t>
  </si>
  <si>
    <t>咸阳蜀国印象餐饮有限公司</t>
  </si>
  <si>
    <t>6102619092719002</t>
  </si>
  <si>
    <t>2019-09-27</t>
  </si>
  <si>
    <t>2020-09-27</t>
  </si>
  <si>
    <t>2020-10-30</t>
  </si>
  <si>
    <t>陕西盛世辉煌教育科技有限公司</t>
  </si>
  <si>
    <t>6102619112019001</t>
  </si>
  <si>
    <t>2019-11-20</t>
  </si>
  <si>
    <t>2020-11-27</t>
  </si>
  <si>
    <t>2020-12-21</t>
  </si>
  <si>
    <t>2021-03-16</t>
  </si>
  <si>
    <t>2021-03-25</t>
  </si>
  <si>
    <t>汉中市嘉辉商贸发展有限公司</t>
  </si>
  <si>
    <t>6103119080819001</t>
  </si>
  <si>
    <t>2019-08-23</t>
  </si>
  <si>
    <t>2020-08-07</t>
  </si>
  <si>
    <t>2020-08-12</t>
  </si>
  <si>
    <t>2020-09-09</t>
  </si>
  <si>
    <t>2020-09-10</t>
  </si>
  <si>
    <t>宝鸡宏星展瑞科技发展有限公司</t>
  </si>
  <si>
    <t>6102519091119002</t>
  </si>
  <si>
    <t>2019-09-11</t>
  </si>
  <si>
    <t>2020-09-14</t>
  </si>
  <si>
    <t>2020-10-16</t>
  </si>
  <si>
    <t>宝鸡市欣悦华科技发展有限公司</t>
  </si>
  <si>
    <t>6102519122319001</t>
  </si>
  <si>
    <t>2019-12-23</t>
  </si>
  <si>
    <t>2020-11-30</t>
  </si>
  <si>
    <t>2020-12-23</t>
  </si>
  <si>
    <t>2020-12-24</t>
  </si>
  <si>
    <t>陕西派诚科技有限公司</t>
  </si>
  <si>
    <t>6101319112919001</t>
  </si>
  <si>
    <t>西安银行</t>
  </si>
  <si>
    <t>2019-11-29</t>
  </si>
  <si>
    <t>2020-07-21</t>
  </si>
  <si>
    <t>2020-08-25</t>
  </si>
  <si>
    <t>2020-09-21</t>
  </si>
  <si>
    <t>安康市汉韵风度工贸有限公司</t>
  </si>
  <si>
    <t>6103219100819001</t>
  </si>
  <si>
    <t>安康农村商业银行</t>
  </si>
  <si>
    <t>国家扶贫开发贷款担保支持计划</t>
  </si>
  <si>
    <t>2020-10-07</t>
  </si>
  <si>
    <t>2020-12-25</t>
  </si>
  <si>
    <t>2021-01-20</t>
  </si>
  <si>
    <t>2021-01-28</t>
  </si>
  <si>
    <t>安康市金科机械有限公司</t>
  </si>
  <si>
    <t>6103220061219001</t>
  </si>
  <si>
    <t>邮储银行安康分行</t>
  </si>
  <si>
    <t>2021-06-11</t>
  </si>
  <si>
    <t>2021-04-07</t>
  </si>
  <si>
    <t>2021-05-12</t>
  </si>
  <si>
    <t>2021-05-20</t>
  </si>
  <si>
    <t>2021-06-16</t>
  </si>
  <si>
    <t>2021-07-01</t>
  </si>
  <si>
    <t>陕西博硒农业科技</t>
  </si>
  <si>
    <t>6103220062919002</t>
  </si>
  <si>
    <t>2020-06-28</t>
  </si>
  <si>
    <t>2021-06-23</t>
  </si>
  <si>
    <t>2021-06-09</t>
  </si>
  <si>
    <t>2021-06-22</t>
  </si>
  <si>
    <t>2021-07-12</t>
  </si>
  <si>
    <t>2021-07-28</t>
  </si>
  <si>
    <t>高卫兰</t>
  </si>
  <si>
    <t>6103220091019001</t>
  </si>
  <si>
    <t>邮储银行安康市恒口支行</t>
  </si>
  <si>
    <t>2021-03-09</t>
  </si>
  <si>
    <t>2021-05-21</t>
  </si>
  <si>
    <t>2021-07-02</t>
  </si>
  <si>
    <t>平利县有山食品</t>
  </si>
  <si>
    <t>6103220032719002</t>
  </si>
  <si>
    <t>农发行安康市分行营业部</t>
  </si>
  <si>
    <t>2020-03-27</t>
  </si>
  <si>
    <t>2021-03-26</t>
  </si>
  <si>
    <t>2021-09-01</t>
  </si>
  <si>
    <t>2021-09-13</t>
  </si>
  <si>
    <t>2021-10-12</t>
  </si>
  <si>
    <t>2021-10-28</t>
  </si>
  <si>
    <t>安康众源家居建材市场有限公司</t>
  </si>
  <si>
    <t>6103219081319001</t>
  </si>
  <si>
    <t>安康农商行</t>
  </si>
  <si>
    <t>2019-08-13</t>
  </si>
  <si>
    <t>2021-08-07</t>
  </si>
  <si>
    <t>2021-08-09</t>
  </si>
  <si>
    <t>2021-09-16</t>
  </si>
  <si>
    <t>2021-09-28</t>
  </si>
  <si>
    <t>汉阴传世美食文化发展有限公司</t>
  </si>
  <si>
    <t>6103220040719002</t>
  </si>
  <si>
    <t>工商银行安康分行</t>
  </si>
  <si>
    <t>2020-04-07</t>
  </si>
  <si>
    <t>2021-04-06</t>
  </si>
  <si>
    <t>2021-08-13</t>
  </si>
  <si>
    <t>宝鸡市诚兴工贸有限责任公司</t>
  </si>
  <si>
    <t>6102520011519001</t>
  </si>
  <si>
    <t>长安银行宝鸡金陵支行</t>
  </si>
  <si>
    <t>2021-01-14</t>
  </si>
  <si>
    <t>2021-01-21</t>
  </si>
  <si>
    <t>2021-02-24</t>
  </si>
  <si>
    <t>2021-03-02</t>
  </si>
  <si>
    <t>宝鸡懒家婆电子商务有限公司</t>
  </si>
  <si>
    <t>6102520091719001</t>
  </si>
  <si>
    <t>宝鸡渭滨农商行</t>
  </si>
  <si>
    <t>2020-09-17</t>
  </si>
  <si>
    <t>2021-09-09</t>
  </si>
  <si>
    <t>2021-10-14</t>
  </si>
  <si>
    <t>2021-11-03</t>
  </si>
  <si>
    <t>2021-11-17</t>
  </si>
  <si>
    <t>2022-01-26</t>
  </si>
  <si>
    <t>2022-02-07</t>
  </si>
  <si>
    <t>子洲县鼎盛中药材有限责任公司</t>
  </si>
  <si>
    <t>6104019122319002</t>
  </si>
  <si>
    <t>长安银行榆林开发区支行</t>
  </si>
  <si>
    <t>2020-12-02</t>
  </si>
  <si>
    <t>西安昆鹏锻压科工贸有限责任公司</t>
  </si>
  <si>
    <t>6101220061219001</t>
  </si>
  <si>
    <t>建设银行长安区支行</t>
  </si>
  <si>
    <t>2019-06-18</t>
  </si>
  <si>
    <t>2020-12-11</t>
  </si>
  <si>
    <t>2021-03-17</t>
  </si>
  <si>
    <t>陕西恒通智能机器有限公司</t>
  </si>
  <si>
    <t>6100119062819002</t>
  </si>
  <si>
    <t>长安银行西安长安区支行</t>
  </si>
  <si>
    <t>2019-06-28</t>
  </si>
  <si>
    <t>2021-06-27</t>
  </si>
  <si>
    <t>2021-07-07</t>
  </si>
  <si>
    <t>2021-10-20</t>
  </si>
  <si>
    <t>2021-10-26</t>
  </si>
  <si>
    <t>咸阳家友购物广场有限公司</t>
  </si>
  <si>
    <t>6101220072819002</t>
  </si>
  <si>
    <t>西安银行城南支行</t>
  </si>
  <si>
    <t>2020-07-28</t>
  </si>
  <si>
    <t>2021-07-20</t>
  </si>
  <si>
    <t>2021-08-31</t>
  </si>
  <si>
    <t>2021-12-01</t>
  </si>
  <si>
    <t>2021-12-13</t>
  </si>
  <si>
    <t>2022-06-09</t>
  </si>
  <si>
    <t>2022-07-14</t>
  </si>
  <si>
    <t>西安协同时光软件有限公司</t>
  </si>
  <si>
    <t>6101221010719001</t>
  </si>
  <si>
    <t>秦农银行高新支行</t>
  </si>
  <si>
    <t>2021-01-07</t>
  </si>
  <si>
    <t>2023-01-04</t>
  </si>
  <si>
    <t>2021-09-06</t>
  </si>
  <si>
    <t>汉中华泰机械制造有限责任公司</t>
  </si>
  <si>
    <t>6103120091619001</t>
  </si>
  <si>
    <t>工商银行汉中分行</t>
  </si>
  <si>
    <t>2019-09-20</t>
  </si>
  <si>
    <t>2021-03-30</t>
  </si>
  <si>
    <t>汉中宏顺商贸有限责任公司</t>
  </si>
  <si>
    <t>6103120082519001</t>
  </si>
  <si>
    <t>长安银行汉中莲湖东路支行</t>
  </si>
  <si>
    <t>2021-08-24</t>
  </si>
  <si>
    <t>2021-09-15</t>
  </si>
  <si>
    <t>2021-11-01</t>
  </si>
  <si>
    <t>2021-11-11</t>
  </si>
  <si>
    <t>咸阳企融</t>
  </si>
  <si>
    <t>咸阳博锐汽车维修有限公司</t>
  </si>
  <si>
    <t>6102719121919001</t>
  </si>
  <si>
    <t>长安银行咸阳高新科技支行</t>
  </si>
  <si>
    <t>2020-12-28</t>
  </si>
  <si>
    <t>2021-05-11</t>
  </si>
  <si>
    <t>商洛市环球科技有限公司</t>
  </si>
  <si>
    <t>6103320060819001</t>
  </si>
  <si>
    <t>长安银行商洛分行</t>
  </si>
  <si>
    <t>2020-06-08</t>
  </si>
  <si>
    <t>2021-04-29</t>
  </si>
  <si>
    <t>2021-08-04</t>
  </si>
  <si>
    <t>陕西荣冠实业集团有限公司</t>
  </si>
  <si>
    <t>6101320071719001</t>
  </si>
  <si>
    <t>北京银行西安分行</t>
  </si>
  <si>
    <t>2020-07-17</t>
  </si>
  <si>
    <t>2021-07-16</t>
  </si>
  <si>
    <t>2021-07-23</t>
  </si>
  <si>
    <t>延安市景旭商贸有限公司</t>
  </si>
  <si>
    <t>6103520040919001</t>
  </si>
  <si>
    <t>中国银行延安分行</t>
  </si>
  <si>
    <t>2020-04-09</t>
  </si>
  <si>
    <t>2021-04-09</t>
  </si>
  <si>
    <t>严俊江</t>
  </si>
  <si>
    <t>6101420070119001</t>
  </si>
  <si>
    <t>浦发银行西安分行</t>
  </si>
  <si>
    <t>2020-07-01</t>
  </si>
  <si>
    <t>2021-09-02</t>
  </si>
  <si>
    <t>咸阳宝宇大连海鲜渔港餐饮有限公司</t>
  </si>
  <si>
    <t>6102620092819001</t>
  </si>
  <si>
    <t>浙商银行咸阳分行</t>
  </si>
  <si>
    <t>2020-09-28</t>
  </si>
  <si>
    <t>2021-09-23</t>
  </si>
  <si>
    <t>2021-09-24</t>
  </si>
  <si>
    <t>安康目阳眼科医院有限公司</t>
  </si>
  <si>
    <t>6103221031619001</t>
  </si>
  <si>
    <t>2021-11-05</t>
  </si>
  <si>
    <t>2022-02-16</t>
  </si>
  <si>
    <t>2022-02-24</t>
  </si>
  <si>
    <t>安康市福林建设工程有限公司</t>
  </si>
  <si>
    <t>6103220081819001</t>
  </si>
  <si>
    <t>建设银行安康分行</t>
  </si>
  <si>
    <t>2020-08-18</t>
  </si>
  <si>
    <t>2021-08-17</t>
  </si>
  <si>
    <t>2021-11-08</t>
  </si>
  <si>
    <t>陕西爱民机动车检测有限公司</t>
  </si>
  <si>
    <t>6103120050719002</t>
  </si>
  <si>
    <t>城固县信合营业部</t>
  </si>
  <si>
    <t>2020-05-11</t>
  </si>
  <si>
    <t>2021-05-06</t>
  </si>
  <si>
    <t>2021-11-26</t>
  </si>
  <si>
    <t>2022-02-08</t>
  </si>
  <si>
    <t>陕西冠杰文化传播有限公司</t>
  </si>
  <si>
    <t>6101221020319004</t>
  </si>
  <si>
    <t>2021-02-02</t>
  </si>
  <si>
    <t>2022-01-21</t>
  </si>
  <si>
    <t>2021-11-04</t>
  </si>
  <si>
    <t>2022-01-28</t>
  </si>
  <si>
    <t>西安哈牙食品有限公司</t>
  </si>
  <si>
    <t>6101220112019001</t>
  </si>
  <si>
    <t>兴业银行西安分行</t>
  </si>
  <si>
    <t>2020-11-20</t>
  </si>
  <si>
    <t>2021-11-19</t>
  </si>
  <si>
    <t>2021-11-24</t>
  </si>
  <si>
    <t>2022-02-23</t>
  </si>
  <si>
    <t>2022-02-25</t>
  </si>
  <si>
    <t>陕西杨凌长生生态农林科技有限公司</t>
  </si>
  <si>
    <t xml:space="preserve">6104819090319001 </t>
  </si>
  <si>
    <t>杨凌农村商业银行</t>
  </si>
  <si>
    <t>2019-09-03</t>
  </si>
  <si>
    <t>2022-03-11</t>
  </si>
  <si>
    <t>陕西金茂隆兴新材料科技有限公司</t>
  </si>
  <si>
    <t>6102720092319001</t>
  </si>
  <si>
    <t>2020-09-23</t>
  </si>
  <si>
    <t>2021-09-22</t>
  </si>
  <si>
    <t>2021-11-09</t>
  </si>
  <si>
    <t>宝鸡市祥云金属材料有限公司</t>
  </si>
  <si>
    <t>6102520120419001</t>
  </si>
  <si>
    <t>长安银行宝鸡曙光支行</t>
  </si>
  <si>
    <t>2020-12-04</t>
  </si>
  <si>
    <t>2021-12-09</t>
  </si>
  <si>
    <t>西安唐之韵文化传媒有限公司</t>
  </si>
  <si>
    <t>6101420120819002</t>
  </si>
  <si>
    <t>华夏银行西安分行</t>
  </si>
  <si>
    <t>2020-12-08</t>
  </si>
  <si>
    <t>2021-12-10</t>
  </si>
  <si>
    <t>2022-03-15</t>
  </si>
  <si>
    <t>渭南公信担保</t>
  </si>
  <si>
    <t>渭南市华州区椒之道农业有限公司</t>
  </si>
  <si>
    <t>6102920121519001</t>
  </si>
  <si>
    <t>长安银行渭南临渭区支行</t>
  </si>
  <si>
    <t>2020-12-15</t>
  </si>
  <si>
    <t>2022-03-02</t>
  </si>
  <si>
    <t>2022-03-17</t>
  </si>
  <si>
    <t>中贸优农（西安）农业发展有限公司</t>
  </si>
  <si>
    <t>6101420083119002</t>
  </si>
  <si>
    <t>北京银行西安未央路支行</t>
  </si>
  <si>
    <t>2020-08-31</t>
  </si>
  <si>
    <t>2021-08-30</t>
  </si>
  <si>
    <t>2021-09-29</t>
  </si>
  <si>
    <t>2022-04-15</t>
  </si>
  <si>
    <t>安康市晨威商贸有限公司</t>
  </si>
  <si>
    <t>6103220081119001</t>
  </si>
  <si>
    <t>2020-08-11</t>
  </si>
  <si>
    <t>2021-08-10</t>
  </si>
  <si>
    <t>2021-12-16</t>
  </si>
  <si>
    <t>2022-03-30</t>
  </si>
  <si>
    <t>2022-04-24</t>
  </si>
  <si>
    <t>6103220090319001</t>
  </si>
  <si>
    <t>2020-09-03</t>
  </si>
  <si>
    <t>欧阳林</t>
  </si>
  <si>
    <t>6100121092919069</t>
  </si>
  <si>
    <t>光大银行西安明德门支行</t>
  </si>
  <si>
    <t>2022-09-29</t>
  </si>
  <si>
    <t>2022-02-17</t>
  </si>
  <si>
    <t>2022-05-13</t>
  </si>
  <si>
    <t>2022-05-27</t>
  </si>
  <si>
    <t>陕西大明普威环境科技有限责任公司</t>
  </si>
  <si>
    <t>6101220122019001</t>
  </si>
  <si>
    <t>交通银行</t>
  </si>
  <si>
    <t>2021-12-24</t>
  </si>
  <si>
    <t>2022-01-04</t>
  </si>
  <si>
    <t>神木绿汀农牧发展有限公司</t>
  </si>
  <si>
    <t>6104120122819001</t>
  </si>
  <si>
    <t>长安银行神木市支行</t>
  </si>
  <si>
    <t>2021-12-27</t>
  </si>
  <si>
    <t>2022-06-01</t>
  </si>
  <si>
    <t>安康市泰隆商贸有限公司</t>
  </si>
  <si>
    <t>6103220120819002</t>
  </si>
  <si>
    <t>2021-12-07</t>
  </si>
  <si>
    <t>2022-03-31</t>
  </si>
  <si>
    <t>2022-08-02</t>
  </si>
  <si>
    <t>2022-08-10</t>
  </si>
  <si>
    <t>2022-08-19</t>
  </si>
  <si>
    <t>2023-12-29</t>
  </si>
  <si>
    <t>镇安县丰和购物广场有限公司</t>
  </si>
  <si>
    <t>6103321032319001</t>
  </si>
  <si>
    <t>邮储银行商洛分行</t>
  </si>
  <si>
    <t>2021-03-23</t>
  </si>
  <si>
    <t>2022-03-22</t>
  </si>
  <si>
    <t>2022-08-18</t>
  </si>
  <si>
    <t>安康市康曲酒业有限公司</t>
  </si>
  <si>
    <t>6103220102219001</t>
  </si>
  <si>
    <t>2020-10-22</t>
  </si>
  <si>
    <t>2022-03-14</t>
  </si>
  <si>
    <t>镇坪县天生桥农贸有限公司</t>
  </si>
  <si>
    <t>6103220121019002</t>
  </si>
  <si>
    <t>2020-12-10</t>
  </si>
  <si>
    <t>西安菩提阁家具有限公司</t>
  </si>
  <si>
    <t>6103120120919001</t>
  </si>
  <si>
    <t>长安银行汉中中心广场支行</t>
  </si>
  <si>
    <t>2022-06-14</t>
  </si>
  <si>
    <t>2022-06-28</t>
  </si>
  <si>
    <t>2022-07-15</t>
  </si>
  <si>
    <t>2022-07-27</t>
  </si>
  <si>
    <t>吴娜</t>
  </si>
  <si>
    <t>6101421021019001</t>
  </si>
  <si>
    <t>2021-03-10</t>
  </si>
  <si>
    <t>2022-02-10</t>
  </si>
  <si>
    <t>2022-03-25</t>
  </si>
  <si>
    <t>2022-07-28</t>
  </si>
  <si>
    <t>闫文刚</t>
  </si>
  <si>
    <t>6100121062419056</t>
  </si>
  <si>
    <t>2021-06-24</t>
  </si>
  <si>
    <t>2022-06-24</t>
  </si>
  <si>
    <t>2022-04-27</t>
  </si>
  <si>
    <t>2022-07-22</t>
  </si>
  <si>
    <t>2022-08-15</t>
  </si>
  <si>
    <t>2023-03-31</t>
  </si>
  <si>
    <t>子长担保</t>
  </si>
  <si>
    <t>吴雪莉</t>
  </si>
  <si>
    <t>6192020011419004</t>
  </si>
  <si>
    <t>邮储银行子长县支行</t>
  </si>
  <si>
    <t>2020-01-14</t>
  </si>
  <si>
    <t>2022-01-14</t>
  </si>
  <si>
    <t>2022-04-29</t>
  </si>
  <si>
    <t>吴浩宇</t>
  </si>
  <si>
    <t>6100121090319162</t>
  </si>
  <si>
    <t>浙江网商银行</t>
  </si>
  <si>
    <t>2021-09-03</t>
  </si>
  <si>
    <t>2023-04-03</t>
  </si>
  <si>
    <t>2022-01-19</t>
  </si>
  <si>
    <t>张红旗</t>
  </si>
  <si>
    <t>6100121091019372</t>
  </si>
  <si>
    <t>2021-09-10</t>
  </si>
  <si>
    <t>2023-04-10</t>
  </si>
  <si>
    <t>邹长山</t>
  </si>
  <si>
    <t>6100121091119171</t>
  </si>
  <si>
    <t>2021-09-11</t>
  </si>
  <si>
    <t>2023-04-11</t>
  </si>
  <si>
    <t>李卫萍</t>
  </si>
  <si>
    <t>6100121091119118</t>
  </si>
  <si>
    <t>2022-03-09</t>
  </si>
  <si>
    <t>付小龙</t>
  </si>
  <si>
    <t>6100121091119143</t>
  </si>
  <si>
    <t>李翔</t>
  </si>
  <si>
    <t>6100121091119022</t>
  </si>
  <si>
    <t>2022-02-13</t>
  </si>
  <si>
    <t>赵旭林</t>
  </si>
  <si>
    <t>6100121091419296</t>
  </si>
  <si>
    <t>2021-09-14</t>
  </si>
  <si>
    <t>2023-04-14</t>
  </si>
  <si>
    <t>2022-03-26</t>
  </si>
  <si>
    <t>赵卉</t>
  </si>
  <si>
    <t>6100121091419271</t>
  </si>
  <si>
    <t>王苗苗</t>
  </si>
  <si>
    <t>6100121091619143</t>
  </si>
  <si>
    <t>2023-04-16</t>
  </si>
  <si>
    <t>2022-02-04</t>
  </si>
  <si>
    <t>高星</t>
  </si>
  <si>
    <t>6100121091719195</t>
  </si>
  <si>
    <t>2021-09-17</t>
  </si>
  <si>
    <t>2023-04-17</t>
  </si>
  <si>
    <t>2022-01-31</t>
  </si>
  <si>
    <t>薛小云</t>
  </si>
  <si>
    <t>6100121091819108</t>
  </si>
  <si>
    <t>2021-09-18</t>
  </si>
  <si>
    <t>2023-04-18</t>
  </si>
  <si>
    <t>2022-03-18</t>
  </si>
  <si>
    <t>胡冰涛</t>
  </si>
  <si>
    <t>6100121092319126</t>
  </si>
  <si>
    <t>2023-04-23</t>
  </si>
  <si>
    <t>2022-02-19</t>
  </si>
  <si>
    <t>陈小伟</t>
  </si>
  <si>
    <t>6100121092319075</t>
  </si>
  <si>
    <t>2022-02-06</t>
  </si>
  <si>
    <t>赵海龙</t>
  </si>
  <si>
    <t>6100121092619167</t>
  </si>
  <si>
    <t>2021-09-26</t>
  </si>
  <si>
    <t>2023-04-26</t>
  </si>
  <si>
    <t>2022-01-25</t>
  </si>
  <si>
    <t>马红秀</t>
  </si>
  <si>
    <t>6100121092619106</t>
  </si>
  <si>
    <t>谢琴丽</t>
  </si>
  <si>
    <t>6100121092619173</t>
  </si>
  <si>
    <t>王传兵</t>
  </si>
  <si>
    <t>6100121093019120</t>
  </si>
  <si>
    <t>2021-09-30</t>
  </si>
  <si>
    <t>2023-04-30</t>
  </si>
  <si>
    <t>张博</t>
  </si>
  <si>
    <t>6100121092419123</t>
  </si>
  <si>
    <t>2023-04-24</t>
  </si>
  <si>
    <t>延安弘丰泛想汽车服务有限公司</t>
  </si>
  <si>
    <t>6103521010119001</t>
  </si>
  <si>
    <t>农业银行延安小东门支行</t>
  </si>
  <si>
    <t>2021-12-15</t>
  </si>
  <si>
    <t>徐萍</t>
  </si>
  <si>
    <t>6100121090319165</t>
  </si>
  <si>
    <t>2022-02-22</t>
  </si>
  <si>
    <t>2022-08-16</t>
  </si>
  <si>
    <t>系统未找回项目</t>
  </si>
  <si>
    <t>王雅雯</t>
  </si>
  <si>
    <t>6100121090919047</t>
  </si>
  <si>
    <t>2023-04-09</t>
  </si>
  <si>
    <t>2022-03-05</t>
  </si>
  <si>
    <t>党宏伟</t>
  </si>
  <si>
    <t>6100121091019199</t>
  </si>
  <si>
    <t>2022-03-06</t>
  </si>
  <si>
    <t>凌吉生</t>
  </si>
  <si>
    <t>6100121091119021</t>
  </si>
  <si>
    <t>赵瑞光</t>
  </si>
  <si>
    <t>6100121091119237</t>
  </si>
  <si>
    <t>欧鹏</t>
  </si>
  <si>
    <t>6100121091319141</t>
  </si>
  <si>
    <t>2023-04-13</t>
  </si>
  <si>
    <t>李让娟</t>
  </si>
  <si>
    <t>6100121091419129</t>
  </si>
  <si>
    <t>张信秀</t>
  </si>
  <si>
    <t>6100121091619283</t>
  </si>
  <si>
    <t>2022-04-04</t>
  </si>
  <si>
    <t>王向东</t>
  </si>
  <si>
    <t>6100121091719131</t>
  </si>
  <si>
    <t>2022-04-18</t>
  </si>
  <si>
    <t>6100121092819146</t>
  </si>
  <si>
    <t>2023-04-28</t>
  </si>
  <si>
    <t>何偲韡</t>
  </si>
  <si>
    <t>6100121092119106</t>
  </si>
  <si>
    <t>2021-09-21</t>
  </si>
  <si>
    <t>2023-04-21</t>
  </si>
  <si>
    <t>李昱</t>
  </si>
  <si>
    <t>6100121092519056</t>
  </si>
  <si>
    <t>2021-09-25</t>
  </si>
  <si>
    <t>2023-04-25</t>
  </si>
  <si>
    <t>2022-03-24</t>
  </si>
  <si>
    <t>金希涛</t>
  </si>
  <si>
    <t>6100121092519142</t>
  </si>
  <si>
    <t>2022-04-25</t>
  </si>
  <si>
    <t>吕海妮</t>
  </si>
  <si>
    <t>6100121092619193</t>
  </si>
  <si>
    <t>赵红侠</t>
  </si>
  <si>
    <t>6100121092819105</t>
  </si>
  <si>
    <t>2022-02-21</t>
  </si>
  <si>
    <t>王攀</t>
  </si>
  <si>
    <t>6100121093019113</t>
  </si>
  <si>
    <t>杨盼虹</t>
  </si>
  <si>
    <t>6101221100110063</t>
  </si>
  <si>
    <t>2021-10-01</t>
  </si>
  <si>
    <t>2023-05-01</t>
  </si>
  <si>
    <t>王星</t>
  </si>
  <si>
    <t>6101221100410103</t>
  </si>
  <si>
    <t>2021-10-04</t>
  </si>
  <si>
    <t>2023-05-04</t>
  </si>
  <si>
    <t>2022-03-21</t>
  </si>
  <si>
    <t>齐小俊</t>
  </si>
  <si>
    <t>6100121092419084</t>
  </si>
  <si>
    <t>2022-05-25</t>
  </si>
  <si>
    <t>徐长龙</t>
  </si>
  <si>
    <t>6101221100910116</t>
  </si>
  <si>
    <t>2021-10-09</t>
  </si>
  <si>
    <t>2023-05-09</t>
  </si>
  <si>
    <t>张渊</t>
  </si>
  <si>
    <t>6101221101110112</t>
  </si>
  <si>
    <t>2021-10-11</t>
  </si>
  <si>
    <t>2023-05-11</t>
  </si>
  <si>
    <t>2022-03-04</t>
  </si>
  <si>
    <t>夏广利</t>
  </si>
  <si>
    <t>6101221101110080</t>
  </si>
  <si>
    <t>2022-02-27</t>
  </si>
  <si>
    <t>王飞</t>
  </si>
  <si>
    <t>6100121092019105</t>
  </si>
  <si>
    <t>2021-09-20</t>
  </si>
  <si>
    <t>2023-04-20</t>
  </si>
  <si>
    <t>2022-04-19</t>
  </si>
  <si>
    <t>鲁强国</t>
  </si>
  <si>
    <t>6101221102410276</t>
  </si>
  <si>
    <t>2021-10-24</t>
  </si>
  <si>
    <t>2023-05-24</t>
  </si>
  <si>
    <t>韩基哲</t>
  </si>
  <si>
    <t>6100121092819184</t>
  </si>
  <si>
    <t>2022-04-28</t>
  </si>
  <si>
    <t>王晓峰</t>
  </si>
  <si>
    <t>6101221103110104</t>
  </si>
  <si>
    <t>2021-10-31</t>
  </si>
  <si>
    <t>2023-05-30</t>
  </si>
  <si>
    <t>2022-03-27</t>
  </si>
  <si>
    <t>雷小刚</t>
  </si>
  <si>
    <t>6101221110510156</t>
  </si>
  <si>
    <t>2023-06-05</t>
  </si>
  <si>
    <t>贾世晅</t>
  </si>
  <si>
    <t>6101221110510026</t>
  </si>
  <si>
    <t>2022-03-19</t>
  </si>
  <si>
    <t>曹雪琪</t>
  </si>
  <si>
    <t>6101221110410060</t>
  </si>
  <si>
    <t>2023-06-04</t>
  </si>
  <si>
    <t>闫红梅</t>
  </si>
  <si>
    <t>6101221110810112</t>
  </si>
  <si>
    <t>2023-06-08</t>
  </si>
  <si>
    <t>2022-03-12</t>
  </si>
  <si>
    <t>黄明权</t>
  </si>
  <si>
    <t>6101221110910087</t>
  </si>
  <si>
    <t>2023-06-09</t>
  </si>
  <si>
    <t>周亚强</t>
  </si>
  <si>
    <t>6101221111010034</t>
  </si>
  <si>
    <t>2021-11-10</t>
  </si>
  <si>
    <t>2023-06-10</t>
  </si>
  <si>
    <t>刘满辉</t>
  </si>
  <si>
    <t>6101221111410023</t>
  </si>
  <si>
    <t>2021-11-14</t>
  </si>
  <si>
    <t>2023-06-14</t>
  </si>
  <si>
    <t>2022-04-17</t>
  </si>
  <si>
    <t>龚亚军</t>
  </si>
  <si>
    <t>6101221110310180</t>
  </si>
  <si>
    <t>2023-06-03</t>
  </si>
  <si>
    <t>李得海</t>
  </si>
  <si>
    <t>6101221111910078</t>
  </si>
  <si>
    <t>2023-06-19</t>
  </si>
  <si>
    <t>2022-02-20</t>
  </si>
  <si>
    <t>盛浩</t>
  </si>
  <si>
    <t>6101221112210035</t>
  </si>
  <si>
    <t>2021-11-22</t>
  </si>
  <si>
    <t>2023-06-22</t>
  </si>
  <si>
    <t>余海连</t>
  </si>
  <si>
    <t>6101221112710008</t>
  </si>
  <si>
    <t>2021-11-27</t>
  </si>
  <si>
    <t>2023-06-27</t>
  </si>
  <si>
    <t>张小龙</t>
  </si>
  <si>
    <t>6101221100510044</t>
  </si>
  <si>
    <t>2021-10-05</t>
  </si>
  <si>
    <t>2023-05-05</t>
  </si>
  <si>
    <t>陕西天亿源实业有限公司</t>
  </si>
  <si>
    <t>6103320122519001</t>
  </si>
  <si>
    <t>陕西商南农村商业银行</t>
  </si>
  <si>
    <t>安康市新元商贸有限公司</t>
  </si>
  <si>
    <t>6103220101219001</t>
  </si>
  <si>
    <t>2020-10-10</t>
  </si>
  <si>
    <t>2022-08-31</t>
  </si>
  <si>
    <t>2022-09-06</t>
  </si>
  <si>
    <t>2022-09-10</t>
  </si>
  <si>
    <t>6103221100800002</t>
  </si>
  <si>
    <t>2021-10-08</t>
  </si>
  <si>
    <t>2022-09-20</t>
  </si>
  <si>
    <t>国担认定担保机构自行扩大担保责任遂未补偿，随后我司将该笔补偿款追回</t>
  </si>
  <si>
    <t>刘兴振</t>
  </si>
  <si>
    <t>6100121091019223</t>
  </si>
  <si>
    <t>2022-04-07</t>
  </si>
  <si>
    <t>2022-09-26</t>
  </si>
  <si>
    <t>2022-09-28</t>
  </si>
  <si>
    <t>2022-11-23</t>
  </si>
  <si>
    <t>朱洪波</t>
  </si>
  <si>
    <t>6101221111310008</t>
  </si>
  <si>
    <t>2021-11-13</t>
  </si>
  <si>
    <t>2023-06-13</t>
  </si>
  <si>
    <t>2022-04-13</t>
  </si>
  <si>
    <t>郑义</t>
  </si>
  <si>
    <t>6100121091719285</t>
  </si>
  <si>
    <t>陈恒利</t>
  </si>
  <si>
    <t>6101221101010051</t>
  </si>
  <si>
    <t>2021-10-10</t>
  </si>
  <si>
    <t>2023-05-10</t>
  </si>
  <si>
    <t>2022-04-02</t>
  </si>
  <si>
    <t>尹健霞</t>
  </si>
  <si>
    <t>6100121091419149</t>
  </si>
  <si>
    <t>2022-04-01</t>
  </si>
  <si>
    <t>汤怀琛</t>
  </si>
  <si>
    <t>6101221101210032</t>
  </si>
  <si>
    <t>2023-05-12</t>
  </si>
  <si>
    <t>2022-04-12</t>
  </si>
  <si>
    <t>周小琴</t>
  </si>
  <si>
    <t>6101221100510011</t>
  </si>
  <si>
    <t>2022-05-29</t>
  </si>
  <si>
    <t>彭振</t>
  </si>
  <si>
    <t>6101221100710088</t>
  </si>
  <si>
    <t>2021-10-07</t>
  </si>
  <si>
    <t>2023-05-07</t>
  </si>
  <si>
    <t>2022-05-08</t>
  </si>
  <si>
    <t>程辉祥</t>
  </si>
  <si>
    <t>6101221100210021</t>
  </si>
  <si>
    <t>2021-10-02</t>
  </si>
  <si>
    <t>2023-05-02</t>
  </si>
  <si>
    <t>赵新杰</t>
  </si>
  <si>
    <t>6101221101010127</t>
  </si>
  <si>
    <t>2022-04-20</t>
  </si>
  <si>
    <t>韩园</t>
  </si>
  <si>
    <t>6100121091919095</t>
  </si>
  <si>
    <t>2021-09-19</t>
  </si>
  <si>
    <t>2023-04-19</t>
  </si>
  <si>
    <t>2022-04-16</t>
  </si>
  <si>
    <t>施惠文</t>
  </si>
  <si>
    <t>6100121091319105</t>
  </si>
  <si>
    <t>张贞贞</t>
  </si>
  <si>
    <t>6101221103110093</t>
  </si>
  <si>
    <t>王丽</t>
  </si>
  <si>
    <t>6100121090919061</t>
  </si>
  <si>
    <t>2022-04-09</t>
  </si>
  <si>
    <t>高红</t>
  </si>
  <si>
    <t>6100121091719104</t>
  </si>
  <si>
    <t>刘倩</t>
  </si>
  <si>
    <t>6100121091919103</t>
  </si>
  <si>
    <t>田小建</t>
  </si>
  <si>
    <t>6101221101310044</t>
  </si>
  <si>
    <t>2021-10-13</t>
  </si>
  <si>
    <t>2023-05-13</t>
  </si>
  <si>
    <t>荣清展</t>
  </si>
  <si>
    <t>6101221102310293</t>
  </si>
  <si>
    <t>2021-10-23</t>
  </si>
  <si>
    <t>2023-05-23</t>
  </si>
  <si>
    <t>2022-04-22</t>
  </si>
  <si>
    <t>袁佰岳</t>
  </si>
  <si>
    <t>6101221110210008</t>
  </si>
  <si>
    <t>2021-11-02</t>
  </si>
  <si>
    <t>2023-06-02</t>
  </si>
  <si>
    <t>康红军</t>
  </si>
  <si>
    <t>6100121092519111</t>
  </si>
  <si>
    <t>陈乃强</t>
  </si>
  <si>
    <t>6101221112410065</t>
  </si>
  <si>
    <t>2023-06-24</t>
  </si>
  <si>
    <t>刘向华</t>
  </si>
  <si>
    <t>6100121092719128</t>
  </si>
  <si>
    <t>2021-09-27</t>
  </si>
  <si>
    <t>2023-04-27</t>
  </si>
  <si>
    <t>史卫国</t>
  </si>
  <si>
    <t>6101221102810150</t>
  </si>
  <si>
    <t>2023-05-28</t>
  </si>
  <si>
    <t>2022-04-08</t>
  </si>
  <si>
    <t>6100121091419166</t>
  </si>
  <si>
    <t>张朋</t>
  </si>
  <si>
    <t>6101221123010175</t>
  </si>
  <si>
    <t>2021-12-30</t>
  </si>
  <si>
    <t>2023-07-30</t>
  </si>
  <si>
    <t>王琳</t>
  </si>
  <si>
    <t>6101221100210148</t>
  </si>
  <si>
    <t>2022-05-31</t>
  </si>
  <si>
    <t>杜谈判</t>
  </si>
  <si>
    <t>6101221112710077</t>
  </si>
  <si>
    <t>2022-04-05</t>
  </si>
  <si>
    <t>赵祎</t>
  </si>
  <si>
    <t>6101221110110027</t>
  </si>
  <si>
    <t>2023-06-01</t>
  </si>
  <si>
    <t>张兴利</t>
  </si>
  <si>
    <t>6101221100510106</t>
  </si>
  <si>
    <t>张永平</t>
  </si>
  <si>
    <t>6101221110210121</t>
  </si>
  <si>
    <t>2022-04-26</t>
  </si>
  <si>
    <t>孟甲荣</t>
  </si>
  <si>
    <t>6101221111910125</t>
  </si>
  <si>
    <t>2022-05-18</t>
  </si>
  <si>
    <t>2022-11-09</t>
  </si>
  <si>
    <t>李文龙</t>
  </si>
  <si>
    <t>6100121090419019</t>
  </si>
  <si>
    <t>2021-09-04</t>
  </si>
  <si>
    <t>殷玉杰</t>
  </si>
  <si>
    <t>6101221111410094</t>
  </si>
  <si>
    <t>闫天朋</t>
  </si>
  <si>
    <t>6101221100710097</t>
  </si>
  <si>
    <t>2022-04-06</t>
  </si>
  <si>
    <t>赵海浪</t>
  </si>
  <si>
    <t>6101221101110074</t>
  </si>
  <si>
    <t>2022-05-12</t>
  </si>
  <si>
    <t>尹康</t>
  </si>
  <si>
    <t>6101222010310141</t>
  </si>
  <si>
    <t>2022-01-03</t>
  </si>
  <si>
    <t>乔普奇</t>
  </si>
  <si>
    <t>6100121090719072</t>
  </si>
  <si>
    <t>2021-09-07</t>
  </si>
  <si>
    <t>姬刚民</t>
  </si>
  <si>
    <t>6101221110210053</t>
  </si>
  <si>
    <t>王杨军</t>
  </si>
  <si>
    <t>6101221111010119</t>
  </si>
  <si>
    <t>2022-04-14</t>
  </si>
  <si>
    <t>王田禄</t>
  </si>
  <si>
    <t>6101221100410017</t>
  </si>
  <si>
    <t>何义民</t>
  </si>
  <si>
    <t>6101221111610090</t>
  </si>
  <si>
    <t>2021-11-16</t>
  </si>
  <si>
    <t>贾志宏</t>
  </si>
  <si>
    <t>6101221110210132</t>
  </si>
  <si>
    <t>杨新社</t>
  </si>
  <si>
    <t>6100121091819152</t>
  </si>
  <si>
    <t>2022-06-19</t>
  </si>
  <si>
    <t>陈宁</t>
  </si>
  <si>
    <t>6101221102310272</t>
  </si>
  <si>
    <t>马高扬</t>
  </si>
  <si>
    <t>6100121092319063</t>
  </si>
  <si>
    <t>6101222010210150</t>
  </si>
  <si>
    <t>2022-01-02</t>
  </si>
  <si>
    <t>李鹏</t>
  </si>
  <si>
    <t>6100121091819258</t>
  </si>
  <si>
    <t>黄彩兰</t>
  </si>
  <si>
    <t>6101221100110135</t>
  </si>
  <si>
    <t>康康</t>
  </si>
  <si>
    <t>6100121091519255</t>
  </si>
  <si>
    <t>柴丽红</t>
  </si>
  <si>
    <t>6101221111610036</t>
  </si>
  <si>
    <t>曹方济</t>
  </si>
  <si>
    <t>6101221101410086</t>
  </si>
  <si>
    <t>王振环</t>
  </si>
  <si>
    <t>6100121091019094</t>
  </si>
  <si>
    <t>董占武</t>
  </si>
  <si>
    <t>6101221100910014</t>
  </si>
  <si>
    <t>蔡小龙</t>
  </si>
  <si>
    <t>6100121091019431</t>
  </si>
  <si>
    <t>2022-10-20</t>
  </si>
  <si>
    <t>2022-10-25</t>
  </si>
  <si>
    <t>2022-10-26</t>
  </si>
  <si>
    <t>常立才</t>
  </si>
  <si>
    <t>6101221100810156</t>
  </si>
  <si>
    <t>陈春利</t>
  </si>
  <si>
    <t>6101221121710124</t>
  </si>
  <si>
    <t>2021-12-17</t>
  </si>
  <si>
    <t>2022-05-15</t>
  </si>
  <si>
    <t>陈曼华</t>
  </si>
  <si>
    <t>6101221120910239</t>
  </si>
  <si>
    <t>2022-05-17</t>
  </si>
  <si>
    <t>程圣哲</t>
  </si>
  <si>
    <t>6101221102010144</t>
  </si>
  <si>
    <t>崔玉民</t>
  </si>
  <si>
    <t>6101221111010151</t>
  </si>
  <si>
    <t>2023-04-15</t>
  </si>
  <si>
    <t>2022-05-26</t>
  </si>
  <si>
    <t>丁建琛</t>
  </si>
  <si>
    <t>6100121091819153</t>
  </si>
  <si>
    <t>2022-05-20</t>
  </si>
  <si>
    <t>董亚洲</t>
  </si>
  <si>
    <t>6101221101010009</t>
  </si>
  <si>
    <t>2022-05-07</t>
  </si>
  <si>
    <t>段刚</t>
  </si>
  <si>
    <t>6100121091519162</t>
  </si>
  <si>
    <t>6101222011210020</t>
  </si>
  <si>
    <t>樊新权</t>
  </si>
  <si>
    <t>6101221110810160</t>
  </si>
  <si>
    <t>2022-05-06</t>
  </si>
  <si>
    <t>610422196411074014</t>
  </si>
  <si>
    <t>2022-06-03</t>
  </si>
  <si>
    <t>范成</t>
  </si>
  <si>
    <t>6100121091719267</t>
  </si>
  <si>
    <t>2023-04-22</t>
  </si>
  <si>
    <t>2022-05-21</t>
  </si>
  <si>
    <t>高斌宏</t>
  </si>
  <si>
    <t>6101221110810183</t>
  </si>
  <si>
    <t>2022-05-16</t>
  </si>
  <si>
    <t>高缠兴</t>
  </si>
  <si>
    <t>6101221110510161</t>
  </si>
  <si>
    <t>6101222011110258</t>
  </si>
  <si>
    <t>高建忠</t>
  </si>
  <si>
    <t>6101222012011076</t>
  </si>
  <si>
    <t>黄晓波</t>
  </si>
  <si>
    <t>6100121093019249</t>
  </si>
  <si>
    <t>2022-05-24</t>
  </si>
  <si>
    <t>姜祥青</t>
  </si>
  <si>
    <t>6100121092519154</t>
  </si>
  <si>
    <t>靳小永</t>
  </si>
  <si>
    <t>6101221101010143</t>
  </si>
  <si>
    <t>2023-04-29</t>
  </si>
  <si>
    <t>2022-05-04</t>
  </si>
  <si>
    <t>靳彦杰</t>
  </si>
  <si>
    <t>6101221112910019</t>
  </si>
  <si>
    <t>寇转宁</t>
  </si>
  <si>
    <t>6100121093019267</t>
  </si>
  <si>
    <t>来文俊</t>
  </si>
  <si>
    <t>6100121091919200</t>
  </si>
  <si>
    <t>兰继增</t>
  </si>
  <si>
    <t>6101221111010044</t>
  </si>
  <si>
    <t>2023-05-03</t>
  </si>
  <si>
    <t>雷檩</t>
  </si>
  <si>
    <t>6101221110710130</t>
  </si>
  <si>
    <t>雷万波</t>
  </si>
  <si>
    <t>6101222012210177</t>
  </si>
  <si>
    <t>2022-05-28</t>
  </si>
  <si>
    <t>李才武</t>
  </si>
  <si>
    <t>6101222012010297</t>
  </si>
  <si>
    <t>2023-05-06</t>
  </si>
  <si>
    <t>李昌杰</t>
  </si>
  <si>
    <t>6101221100710024</t>
  </si>
  <si>
    <t>李红星</t>
  </si>
  <si>
    <t>6100121091719223</t>
  </si>
  <si>
    <t>2023-05-08</t>
  </si>
  <si>
    <t>李继红</t>
  </si>
  <si>
    <t>6100121091119267</t>
  </si>
  <si>
    <t>李金兵</t>
  </si>
  <si>
    <t>6100121092119146</t>
  </si>
  <si>
    <t>李静</t>
  </si>
  <si>
    <t>6101221102010067</t>
  </si>
  <si>
    <t>6100121091619312</t>
  </si>
  <si>
    <t>刘芳</t>
  </si>
  <si>
    <t>6100121091119023</t>
  </si>
  <si>
    <t>2022-05-10</t>
  </si>
  <si>
    <t>6101221100110045</t>
  </si>
  <si>
    <t>2023-05-14</t>
  </si>
  <si>
    <t>2022-05-30</t>
  </si>
  <si>
    <t>6101222010110128</t>
  </si>
  <si>
    <t>2023-05-15</t>
  </si>
  <si>
    <t>刘锦平</t>
  </si>
  <si>
    <t>6101221110210087</t>
  </si>
  <si>
    <t>2023-05-16</t>
  </si>
  <si>
    <t>刘麦娟</t>
  </si>
  <si>
    <t>6100121091419217</t>
  </si>
  <si>
    <t>2023-05-17</t>
  </si>
  <si>
    <t>2022-05-14</t>
  </si>
  <si>
    <t>陆大伟</t>
  </si>
  <si>
    <t>6100121092919134</t>
  </si>
  <si>
    <t>2023-05-18</t>
  </si>
  <si>
    <t>吕超</t>
  </si>
  <si>
    <t>6101222010410545</t>
  </si>
  <si>
    <t>2023-05-19</t>
  </si>
  <si>
    <t>6101221110210154</t>
  </si>
  <si>
    <t>2023-05-20</t>
  </si>
  <si>
    <t>马小平</t>
  </si>
  <si>
    <t>6101221120310133</t>
  </si>
  <si>
    <t>2023-05-21</t>
  </si>
  <si>
    <t>马孝财</t>
  </si>
  <si>
    <t>6100121090219066</t>
  </si>
  <si>
    <t>2023-05-22</t>
  </si>
  <si>
    <t>孟张彬</t>
  </si>
  <si>
    <t>6101221110410077</t>
  </si>
  <si>
    <t>2022-06-04</t>
  </si>
  <si>
    <t>苗礼合</t>
  </si>
  <si>
    <t>6101221112910084</t>
  </si>
  <si>
    <t>秦佗</t>
  </si>
  <si>
    <t>6101221120410046</t>
  </si>
  <si>
    <t>2023-05-25</t>
  </si>
  <si>
    <t>屈小伟</t>
  </si>
  <si>
    <t>6101221122410157</t>
  </si>
  <si>
    <t>2023-05-26</t>
  </si>
  <si>
    <t>屈莹</t>
  </si>
  <si>
    <t>6101222012610346</t>
  </si>
  <si>
    <t>2023-05-27</t>
  </si>
  <si>
    <t>6101221101710073</t>
  </si>
  <si>
    <t>2022-06-15</t>
  </si>
  <si>
    <t>瞿龙</t>
  </si>
  <si>
    <t>6101221102410333</t>
  </si>
  <si>
    <t>2023-05-29</t>
  </si>
  <si>
    <t>佘晓飞</t>
  </si>
  <si>
    <t>6101222012110446</t>
  </si>
  <si>
    <t>2022-05-22</t>
  </si>
  <si>
    <t>宋涛</t>
  </si>
  <si>
    <t>6100121091919023</t>
  </si>
  <si>
    <t>2023-05-31</t>
  </si>
  <si>
    <t>6101222010210289</t>
  </si>
  <si>
    <t>孙会丽</t>
  </si>
  <si>
    <t>6100121091619093</t>
  </si>
  <si>
    <t>2022-05-09</t>
  </si>
  <si>
    <t>孙利民</t>
  </si>
  <si>
    <t>6101221111710081</t>
  </si>
  <si>
    <t>6100121091519210</t>
  </si>
  <si>
    <t>2022-05-23</t>
  </si>
  <si>
    <t>王黎黎</t>
  </si>
  <si>
    <t>6101221120710144</t>
  </si>
  <si>
    <t>王蒙蒙</t>
  </si>
  <si>
    <t>6101221102110048</t>
  </si>
  <si>
    <t>2023-06-06</t>
  </si>
  <si>
    <t>王梦莎</t>
  </si>
  <si>
    <t>6100121091019071</t>
  </si>
  <si>
    <t>2023-06-07</t>
  </si>
  <si>
    <t>2022-05-03</t>
  </si>
  <si>
    <t>6101222010210454</t>
  </si>
  <si>
    <t>王养利</t>
  </si>
  <si>
    <t>6101221120610148</t>
  </si>
  <si>
    <t>吴琳</t>
  </si>
  <si>
    <t>6101221112210053</t>
  </si>
  <si>
    <t>吴延红</t>
  </si>
  <si>
    <t>6101221111110139</t>
  </si>
  <si>
    <t>2023-06-11</t>
  </si>
  <si>
    <t>夏洁琼</t>
  </si>
  <si>
    <t>6101221102310241</t>
  </si>
  <si>
    <t>2023-06-12</t>
  </si>
  <si>
    <t>许钰灵</t>
  </si>
  <si>
    <t>6101221101310028</t>
  </si>
  <si>
    <t>2022-05-05</t>
  </si>
  <si>
    <t>闫俊</t>
  </si>
  <si>
    <t>6100121090619142</t>
  </si>
  <si>
    <t>6101222010810043</t>
  </si>
  <si>
    <t>2023-06-15</t>
  </si>
  <si>
    <t>杨金桃</t>
  </si>
  <si>
    <t>6101221100310107</t>
  </si>
  <si>
    <t>2023-06-16</t>
  </si>
  <si>
    <t>杨培荣</t>
  </si>
  <si>
    <t>6101221102810145</t>
  </si>
  <si>
    <t>2023-06-17</t>
  </si>
  <si>
    <t>杨涛</t>
  </si>
  <si>
    <t>6101221100810212</t>
  </si>
  <si>
    <t>2023-06-18</t>
  </si>
  <si>
    <t>张庆祝</t>
  </si>
  <si>
    <t>6101221100310140</t>
  </si>
  <si>
    <t>张生文</t>
  </si>
  <si>
    <t>6100121092219181</t>
  </si>
  <si>
    <t>2023-06-20</t>
  </si>
  <si>
    <t>张轩</t>
  </si>
  <si>
    <t>6101221100610038</t>
  </si>
  <si>
    <t>2023-06-21</t>
  </si>
  <si>
    <t>2022-05-19</t>
  </si>
  <si>
    <t>张雪</t>
  </si>
  <si>
    <t>6101221111210042</t>
  </si>
  <si>
    <t>张智慧</t>
  </si>
  <si>
    <t>6101222010210453</t>
  </si>
  <si>
    <t>2023-06-23</t>
  </si>
  <si>
    <t>张智荣</t>
  </si>
  <si>
    <t>6101221110510085</t>
  </si>
  <si>
    <t>2022-07-03</t>
  </si>
  <si>
    <t>张宗会</t>
  </si>
  <si>
    <t>6101221120310140</t>
  </si>
  <si>
    <t>2023-06-25</t>
  </si>
  <si>
    <t>赵秋娥</t>
  </si>
  <si>
    <t>6100121090219154</t>
  </si>
  <si>
    <t>2023-06-26</t>
  </si>
  <si>
    <t>陕西粤艺实业有限公司</t>
  </si>
  <si>
    <t>6101421040219001</t>
  </si>
  <si>
    <t>2021-04-02</t>
  </si>
  <si>
    <t>2022-11-02</t>
  </si>
  <si>
    <t>2022-11-10</t>
  </si>
  <si>
    <t>2022-11-22</t>
  </si>
  <si>
    <t>2023-01-08</t>
  </si>
  <si>
    <t>铜川海升现代农业有限公司</t>
  </si>
  <si>
    <t>6101221032919004</t>
  </si>
  <si>
    <t>2021-03-29</t>
  </si>
  <si>
    <t>2022-03-28</t>
  </si>
  <si>
    <t>2023-03-30</t>
  </si>
  <si>
    <t>陈晓云</t>
  </si>
  <si>
    <t>6100121092819102</t>
  </si>
  <si>
    <t>比例再担保（网商快贷）</t>
  </si>
  <si>
    <t>2022-06-23</t>
  </si>
  <si>
    <t>2022-11-16</t>
  </si>
  <si>
    <t>2022-11-24</t>
  </si>
  <si>
    <t>2022-11-28</t>
  </si>
  <si>
    <t>2022-12-22</t>
  </si>
  <si>
    <t>党文浩</t>
  </si>
  <si>
    <t>6101222020710178</t>
  </si>
  <si>
    <t>2023-09-07</t>
  </si>
  <si>
    <t>2022-06-05</t>
  </si>
  <si>
    <t>邓征亿</t>
  </si>
  <si>
    <t>6100121091719127</t>
  </si>
  <si>
    <t>2022-07-16</t>
  </si>
  <si>
    <t>6101222012010533</t>
  </si>
  <si>
    <t>2022-01-20</t>
  </si>
  <si>
    <t>2023-08-20</t>
  </si>
  <si>
    <t>董小刚</t>
  </si>
  <si>
    <t>6101221112710047</t>
  </si>
  <si>
    <t>2022-06-25</t>
  </si>
  <si>
    <t>段周尼</t>
  </si>
  <si>
    <t>6100121092419128</t>
  </si>
  <si>
    <t>樊强</t>
  </si>
  <si>
    <t>6100121091819193</t>
  </si>
  <si>
    <t>2022-06-30</t>
  </si>
  <si>
    <t>范亚棋</t>
  </si>
  <si>
    <t>6100121090519005</t>
  </si>
  <si>
    <t>2021-09-05</t>
  </si>
  <si>
    <t>2023-04-05</t>
  </si>
  <si>
    <t>2022-06-02</t>
  </si>
  <si>
    <t>范颖</t>
  </si>
  <si>
    <t>6101221101910089</t>
  </si>
  <si>
    <t>2021-10-19</t>
  </si>
  <si>
    <t>2022-06-21</t>
  </si>
  <si>
    <t>方小燕</t>
  </si>
  <si>
    <t>6101221122710123</t>
  </si>
  <si>
    <t>2023-07-27</t>
  </si>
  <si>
    <t>冯辉</t>
  </si>
  <si>
    <t>6101222012610040</t>
  </si>
  <si>
    <t>2023-08-26</t>
  </si>
  <si>
    <t>高海军</t>
  </si>
  <si>
    <t>6101221121410344</t>
  </si>
  <si>
    <t>2021-12-14</t>
  </si>
  <si>
    <t>2023-07-14</t>
  </si>
  <si>
    <t>2022-06-12</t>
  </si>
  <si>
    <t>葛升</t>
  </si>
  <si>
    <t>6101222021010029</t>
  </si>
  <si>
    <t>2023-09-10</t>
  </si>
  <si>
    <t>2022-06-18</t>
  </si>
  <si>
    <t>顾铭书</t>
  </si>
  <si>
    <t>6101221110410181</t>
  </si>
  <si>
    <t>2022-06-16</t>
  </si>
  <si>
    <t>2022-12-05</t>
  </si>
  <si>
    <t>6101222011110257</t>
  </si>
  <si>
    <t>2022-01-11</t>
  </si>
  <si>
    <t>2023-08-11</t>
  </si>
  <si>
    <t>郝东梁</t>
  </si>
  <si>
    <t>6101221111310065</t>
  </si>
  <si>
    <t>何芬芬</t>
  </si>
  <si>
    <t>6100121091319259</t>
  </si>
  <si>
    <t>姜浩</t>
  </si>
  <si>
    <t>6101221101310101</t>
  </si>
  <si>
    <t>2022-06-11</t>
  </si>
  <si>
    <t>雷明</t>
  </si>
  <si>
    <t>6100121091419226</t>
  </si>
  <si>
    <t>李明隆</t>
  </si>
  <si>
    <t>6101221100310073</t>
  </si>
  <si>
    <t>2021-10-03</t>
  </si>
  <si>
    <t>6101222010310249</t>
  </si>
  <si>
    <t>2023-08-03</t>
  </si>
  <si>
    <t>李小龙</t>
  </si>
  <si>
    <t>6100121092619119</t>
  </si>
  <si>
    <t>李增胜</t>
  </si>
  <si>
    <t>6101221111510102</t>
  </si>
  <si>
    <t>2021-11-15</t>
  </si>
  <si>
    <t>2022-06-10</t>
  </si>
  <si>
    <t>李治宝</t>
  </si>
  <si>
    <t>6101222020410282</t>
  </si>
  <si>
    <t>2023-09-04</t>
  </si>
  <si>
    <t>梁明凤</t>
  </si>
  <si>
    <t>6101221122510092</t>
  </si>
  <si>
    <t>2021-12-25</t>
  </si>
  <si>
    <t>2023-07-25</t>
  </si>
  <si>
    <t>林金生</t>
  </si>
  <si>
    <t>6101221110610132</t>
  </si>
  <si>
    <t>2021-11-06</t>
  </si>
  <si>
    <t>刘三保</t>
  </si>
  <si>
    <t>6101221100210008</t>
  </si>
  <si>
    <t>2022-07-10</t>
  </si>
  <si>
    <t>罗远林</t>
  </si>
  <si>
    <t>6101221110810194</t>
  </si>
  <si>
    <t>吕斌</t>
  </si>
  <si>
    <t>6101222012110692</t>
  </si>
  <si>
    <t>2023-08-21</t>
  </si>
  <si>
    <t>吕迎春</t>
  </si>
  <si>
    <t>6100121091119073</t>
  </si>
  <si>
    <t>6101222011110138</t>
  </si>
  <si>
    <t>马行道</t>
  </si>
  <si>
    <t>6101222021110168</t>
  </si>
  <si>
    <t>2022-02-11</t>
  </si>
  <si>
    <t>2023-09-11</t>
  </si>
  <si>
    <t>孟猛</t>
  </si>
  <si>
    <t>6100121091619278</t>
  </si>
  <si>
    <t>潘丽平</t>
  </si>
  <si>
    <t>6101222012410499</t>
  </si>
  <si>
    <t>2022-01-24</t>
  </si>
  <si>
    <t>2023-08-24</t>
  </si>
  <si>
    <t>裴文祥</t>
  </si>
  <si>
    <t>6100121091519135</t>
  </si>
  <si>
    <t>乔少伟</t>
  </si>
  <si>
    <t>6100121092019153</t>
  </si>
  <si>
    <t>2022-06-26</t>
  </si>
  <si>
    <t>任建龙</t>
  </si>
  <si>
    <t>6101221121110164</t>
  </si>
  <si>
    <t>2021-12-11</t>
  </si>
  <si>
    <t>2023-07-11</t>
  </si>
  <si>
    <t>任跃秦</t>
  </si>
  <si>
    <t>6101221102810133</t>
  </si>
  <si>
    <t>2022-06-06</t>
  </si>
  <si>
    <t>尚用用</t>
  </si>
  <si>
    <t>6101221100410051</t>
  </si>
  <si>
    <t>石建国</t>
  </si>
  <si>
    <t>6101222020110173</t>
  </si>
  <si>
    <t>2022-02-01</t>
  </si>
  <si>
    <t>2023-09-01</t>
  </si>
  <si>
    <t>宋文聪</t>
  </si>
  <si>
    <t>6100121091719160</t>
  </si>
  <si>
    <t>6100121092519104</t>
  </si>
  <si>
    <t>宋艳</t>
  </si>
  <si>
    <t>6101222020910246</t>
  </si>
  <si>
    <t>2022-02-09</t>
  </si>
  <si>
    <t>2023-09-09</t>
  </si>
  <si>
    <t>2022-06-07</t>
  </si>
  <si>
    <t>孙贤福</t>
  </si>
  <si>
    <t>6101222011710188</t>
  </si>
  <si>
    <t>2022-01-17</t>
  </si>
  <si>
    <t>2023-08-17</t>
  </si>
  <si>
    <t>6101222020610283</t>
  </si>
  <si>
    <t>2023-09-06</t>
  </si>
  <si>
    <t>汪宏军</t>
  </si>
  <si>
    <t>6100121092219124</t>
  </si>
  <si>
    <t>2022-06-20</t>
  </si>
  <si>
    <t>王斌</t>
  </si>
  <si>
    <t>6101222012010142</t>
  </si>
  <si>
    <t>王峰</t>
  </si>
  <si>
    <t>6100121092719244</t>
  </si>
  <si>
    <t>王琦</t>
  </si>
  <si>
    <t>6101221122410142</t>
  </si>
  <si>
    <t>2023-07-24</t>
  </si>
  <si>
    <t>6101222012210511</t>
  </si>
  <si>
    <t>2022-01-22</t>
  </si>
  <si>
    <t>2023-08-22</t>
  </si>
  <si>
    <t>王清松</t>
  </si>
  <si>
    <t>6100121092719135</t>
  </si>
  <si>
    <t>王义财</t>
  </si>
  <si>
    <t>6100121091019214</t>
  </si>
  <si>
    <t>文静</t>
  </si>
  <si>
    <t>6101222010210028</t>
  </si>
  <si>
    <t>2023-08-02</t>
  </si>
  <si>
    <t>吴鹏飞</t>
  </si>
  <si>
    <t>6101221101010042</t>
  </si>
  <si>
    <t>2022-07-26</t>
  </si>
  <si>
    <t>6101222010210094</t>
  </si>
  <si>
    <t>邢岁宁</t>
  </si>
  <si>
    <t>6101221110110048</t>
  </si>
  <si>
    <t>徐超</t>
  </si>
  <si>
    <t>6101221122710024</t>
  </si>
  <si>
    <t>徐元元</t>
  </si>
  <si>
    <t>6100121091119214</t>
  </si>
  <si>
    <t>许录林</t>
  </si>
  <si>
    <t>6100121091919063</t>
  </si>
  <si>
    <t>许育刚</t>
  </si>
  <si>
    <t>6100121091519114</t>
  </si>
  <si>
    <t>6101222010610111</t>
  </si>
  <si>
    <t>2022-01-06</t>
  </si>
  <si>
    <t>2023-08-06</t>
  </si>
  <si>
    <t>杨海平</t>
  </si>
  <si>
    <t>6101221111410049</t>
  </si>
  <si>
    <t>杨近锋</t>
  </si>
  <si>
    <t>6101221110510159</t>
  </si>
  <si>
    <t>杨敏</t>
  </si>
  <si>
    <t>6101221100810141</t>
  </si>
  <si>
    <t>姚园园</t>
  </si>
  <si>
    <t>6101222020410109</t>
  </si>
  <si>
    <t>叶瑶雷</t>
  </si>
  <si>
    <t>6100121092119028</t>
  </si>
  <si>
    <t>臧振涛</t>
  </si>
  <si>
    <t>6100121090419020</t>
  </si>
  <si>
    <t>2023-04-04</t>
  </si>
  <si>
    <t>2022-08-13</t>
  </si>
  <si>
    <t>张盼龙</t>
  </si>
  <si>
    <t>6101222021010107</t>
  </si>
  <si>
    <t>张文化</t>
  </si>
  <si>
    <t>6101221110310084</t>
  </si>
  <si>
    <t>张晓阳</t>
  </si>
  <si>
    <t>6100121091719095</t>
  </si>
  <si>
    <t>6101222010610247</t>
  </si>
  <si>
    <t>张中山</t>
  </si>
  <si>
    <t>6101221120810140</t>
  </si>
  <si>
    <t>2021-12-08</t>
  </si>
  <si>
    <t>2023-07-08</t>
  </si>
  <si>
    <t>张自伟</t>
  </si>
  <si>
    <t>6101221120610107</t>
  </si>
  <si>
    <t>2021-12-06</t>
  </si>
  <si>
    <t>2023-07-06</t>
  </si>
  <si>
    <t>2022-06-13</t>
  </si>
  <si>
    <t>赵晓卓</t>
  </si>
  <si>
    <t>6100121092519202</t>
  </si>
  <si>
    <t>2022-07-18</t>
  </si>
  <si>
    <t>周丹</t>
  </si>
  <si>
    <t>6101221121710097</t>
  </si>
  <si>
    <t>2023-07-17</t>
  </si>
  <si>
    <t>朱贵阳</t>
  </si>
  <si>
    <t>6100121091419241</t>
  </si>
  <si>
    <t>6101222010310235</t>
  </si>
  <si>
    <t>邹蕾</t>
  </si>
  <si>
    <t>6101221122910035</t>
  </si>
  <si>
    <t>2021-12-29</t>
  </si>
  <si>
    <t>2023-07-29</t>
  </si>
  <si>
    <t>西安远古信息科技</t>
  </si>
  <si>
    <t>6101322021100004</t>
  </si>
  <si>
    <t>2022-12-01</t>
  </si>
  <si>
    <t>陕西安康硒万山实业有限公司</t>
  </si>
  <si>
    <t>6103220082619002</t>
  </si>
  <si>
    <t>安康农村商业银行安康分行</t>
  </si>
  <si>
    <t>2023-08-25</t>
  </si>
  <si>
    <t>2022-07-25</t>
  </si>
  <si>
    <t>2022-12-14</t>
  </si>
  <si>
    <t>高龙</t>
  </si>
  <si>
    <t>6100121072319028</t>
  </si>
  <si>
    <t>秦农银行曲江支行</t>
  </si>
  <si>
    <t>2022-06-29</t>
  </si>
  <si>
    <t>陈啊周</t>
  </si>
  <si>
    <t>6101222012110101</t>
  </si>
  <si>
    <t>2022-12-07</t>
  </si>
  <si>
    <t>2022-12-12</t>
  </si>
  <si>
    <t>2023-01-09</t>
  </si>
  <si>
    <t>6101221100710170</t>
  </si>
  <si>
    <t>赵文泽</t>
  </si>
  <si>
    <t>6101222030410157</t>
  </si>
  <si>
    <t>2023-10-04</t>
  </si>
  <si>
    <t>2022-07-06</t>
  </si>
  <si>
    <t>刘万森</t>
  </si>
  <si>
    <t>6101222021010003</t>
  </si>
  <si>
    <t>2022-07-12</t>
  </si>
  <si>
    <t>6101222031310001</t>
  </si>
  <si>
    <t>2022-03-13</t>
  </si>
  <si>
    <t>2023-10-13</t>
  </si>
  <si>
    <t>周凯</t>
  </si>
  <si>
    <t>6101222021510335</t>
  </si>
  <si>
    <t>2022-02-15</t>
  </si>
  <si>
    <t>2023-09-15</t>
  </si>
  <si>
    <t>曾福保</t>
  </si>
  <si>
    <t>6101222012410286</t>
  </si>
  <si>
    <t>2022-07-24</t>
  </si>
  <si>
    <t>6101222020910219</t>
  </si>
  <si>
    <t>6101222030110342</t>
  </si>
  <si>
    <t>2022-03-01</t>
  </si>
  <si>
    <t>2023-10-01</t>
  </si>
  <si>
    <t>吴越洲</t>
  </si>
  <si>
    <t>6101222030510306</t>
  </si>
  <si>
    <t>2023-10-05</t>
  </si>
  <si>
    <t>马小凤</t>
  </si>
  <si>
    <t>6101222021310060</t>
  </si>
  <si>
    <t>2023-09-13</t>
  </si>
  <si>
    <t>2022-07-30</t>
  </si>
  <si>
    <t>6101222012010337</t>
  </si>
  <si>
    <t>2022-07-19</t>
  </si>
  <si>
    <t>吴宇虹</t>
  </si>
  <si>
    <t>6101222012510102</t>
  </si>
  <si>
    <t>2022-07-07</t>
  </si>
  <si>
    <t>6100121092919202</t>
  </si>
  <si>
    <t>吴世茂</t>
  </si>
  <si>
    <t>6101221121210167</t>
  </si>
  <si>
    <t>2021-12-12</t>
  </si>
  <si>
    <t>2023-07-12</t>
  </si>
  <si>
    <t>2022-08-01</t>
  </si>
  <si>
    <t>6101222011410077</t>
  </si>
  <si>
    <t>2023-08-14</t>
  </si>
  <si>
    <t>2022-07-02</t>
  </si>
  <si>
    <t>魏林</t>
  </si>
  <si>
    <t>6101221102310297</t>
  </si>
  <si>
    <t>2022-07-31</t>
  </si>
  <si>
    <t>王仁鹏</t>
  </si>
  <si>
    <t>6101221100110042</t>
  </si>
  <si>
    <t>王佩</t>
  </si>
  <si>
    <t>6101222011210232</t>
  </si>
  <si>
    <t>2022-01-12</t>
  </si>
  <si>
    <t>2023-08-12</t>
  </si>
  <si>
    <t>2022-08-05</t>
  </si>
  <si>
    <t>6101221110910162</t>
  </si>
  <si>
    <t>王金金</t>
  </si>
  <si>
    <t>6101222040810365</t>
  </si>
  <si>
    <t>2023-11-08</t>
  </si>
  <si>
    <t>2022-08-06</t>
  </si>
  <si>
    <t>6101222030810017</t>
  </si>
  <si>
    <t>2022-03-08</t>
  </si>
  <si>
    <t>2023-10-08</t>
  </si>
  <si>
    <t>6101222021410013</t>
  </si>
  <si>
    <t>2022-02-14</t>
  </si>
  <si>
    <t>2023-09-14</t>
  </si>
  <si>
    <t>6101222012910030</t>
  </si>
  <si>
    <t>2022-01-29</t>
  </si>
  <si>
    <t>2023-08-29</t>
  </si>
  <si>
    <t>王宏</t>
  </si>
  <si>
    <t>6101222021310178</t>
  </si>
  <si>
    <t>2022-08-11</t>
  </si>
  <si>
    <t>6101222030310326</t>
  </si>
  <si>
    <t>2022-03-03</t>
  </si>
  <si>
    <t>2023-10-03</t>
  </si>
  <si>
    <t>6101222012210299</t>
  </si>
  <si>
    <t>王国君</t>
  </si>
  <si>
    <t>6101222010310464</t>
  </si>
  <si>
    <t>唐秀梅</t>
  </si>
  <si>
    <t>6101222021810260</t>
  </si>
  <si>
    <t>2022-02-18</t>
  </si>
  <si>
    <t>2023-09-18</t>
  </si>
  <si>
    <t>2022-08-09</t>
  </si>
  <si>
    <t>覃安琪</t>
  </si>
  <si>
    <t>6101222030210745</t>
  </si>
  <si>
    <t>2023-10-02</t>
  </si>
  <si>
    <t>6101222021210369</t>
  </si>
  <si>
    <t>2022-02-12</t>
  </si>
  <si>
    <t>2023-09-12</t>
  </si>
  <si>
    <t>左润强</t>
  </si>
  <si>
    <t>6101221111610111</t>
  </si>
  <si>
    <t>朱田</t>
  </si>
  <si>
    <t>6101222021910074</t>
  </si>
  <si>
    <t>2023-09-19</t>
  </si>
  <si>
    <t>孙晨阳</t>
  </si>
  <si>
    <t>6101222022810085</t>
  </si>
  <si>
    <t>2022-02-28</t>
  </si>
  <si>
    <t>2023-09-28</t>
  </si>
  <si>
    <t>6101222011910177</t>
  </si>
  <si>
    <t>2023-08-19</t>
  </si>
  <si>
    <t>苏路阳</t>
  </si>
  <si>
    <t>6101221121810039</t>
  </si>
  <si>
    <t>2021-12-18</t>
  </si>
  <si>
    <t>2023-07-18</t>
  </si>
  <si>
    <t>朱世雄</t>
  </si>
  <si>
    <t>6101222020710068</t>
  </si>
  <si>
    <t>石富强</t>
  </si>
  <si>
    <t>6101222011010048</t>
  </si>
  <si>
    <t>2022-01-10</t>
  </si>
  <si>
    <t>2023-08-10</t>
  </si>
  <si>
    <t>2022-08-08</t>
  </si>
  <si>
    <t>6101222010310080</t>
  </si>
  <si>
    <t>6101221123110058</t>
  </si>
  <si>
    <t>2021-12-31</t>
  </si>
  <si>
    <t>6101222021110044</t>
  </si>
  <si>
    <t>2022-07-09</t>
  </si>
  <si>
    <t>6101222031610375</t>
  </si>
  <si>
    <t>2022-03-16</t>
  </si>
  <si>
    <t>2023-10-16</t>
  </si>
  <si>
    <t>6100121091019352</t>
  </si>
  <si>
    <t>6101222012010875</t>
  </si>
  <si>
    <t>郑游文</t>
  </si>
  <si>
    <t>6100121092719053</t>
  </si>
  <si>
    <t>尚佳昊</t>
  </si>
  <si>
    <t>6101221111110063</t>
  </si>
  <si>
    <t>赵祥熙</t>
  </si>
  <si>
    <t>6101221100410004</t>
  </si>
  <si>
    <t>任永卫</t>
  </si>
  <si>
    <t>6101221111710020</t>
  </si>
  <si>
    <t>6101222020610088</t>
  </si>
  <si>
    <t>6101222012710103</t>
  </si>
  <si>
    <t>2022-01-27</t>
  </si>
  <si>
    <t>2023-08-27</t>
  </si>
  <si>
    <t>饶宁宁</t>
  </si>
  <si>
    <t>6101222011310013</t>
  </si>
  <si>
    <t>2022-01-13</t>
  </si>
  <si>
    <t>2023-08-13</t>
  </si>
  <si>
    <t>6101221102610285</t>
  </si>
  <si>
    <t>6100121092619150</t>
  </si>
  <si>
    <t>2022-08-23</t>
  </si>
  <si>
    <t>张顺心</t>
  </si>
  <si>
    <t>6101222022610146</t>
  </si>
  <si>
    <t>2022-02-26</t>
  </si>
  <si>
    <t>2023-09-26</t>
  </si>
  <si>
    <t>2022-07-05</t>
  </si>
  <si>
    <t>孟泽超</t>
  </si>
  <si>
    <t>6101222020910465</t>
  </si>
  <si>
    <t>2022-07-08</t>
  </si>
  <si>
    <t>6101221100610100</t>
  </si>
  <si>
    <t>2021-10-06</t>
  </si>
  <si>
    <t>2022-08-04</t>
  </si>
  <si>
    <t>孟凯雯</t>
  </si>
  <si>
    <t>6101222010310054</t>
  </si>
  <si>
    <t>2022-07-01</t>
  </si>
  <si>
    <t>6101221110510023</t>
  </si>
  <si>
    <t>张秦昌</t>
  </si>
  <si>
    <t>6101221111610047</t>
  </si>
  <si>
    <t>张蒙</t>
  </si>
  <si>
    <t>6101221120210203</t>
  </si>
  <si>
    <t>2021-12-02</t>
  </si>
  <si>
    <t>2023-07-02</t>
  </si>
  <si>
    <t>张宏康</t>
  </si>
  <si>
    <t>6101221100810215</t>
  </si>
  <si>
    <t>吕全福</t>
  </si>
  <si>
    <t>6100121091919145</t>
  </si>
  <si>
    <t>张红妮</t>
  </si>
  <si>
    <t>6100121091119096</t>
  </si>
  <si>
    <t>张海龙</t>
  </si>
  <si>
    <t>6101221111610025</t>
  </si>
  <si>
    <t>张安军</t>
  </si>
  <si>
    <t>6101222020810250</t>
  </si>
  <si>
    <t>2023-09-08</t>
  </si>
  <si>
    <t>6100121091519203</t>
  </si>
  <si>
    <t>刘智华</t>
  </si>
  <si>
    <t>6101221100910122</t>
  </si>
  <si>
    <t>翟乐乐</t>
  </si>
  <si>
    <t>6100121090519039</t>
  </si>
  <si>
    <t>刘于太</t>
  </si>
  <si>
    <t>6101222020610339</t>
  </si>
  <si>
    <t>2022-08-14</t>
  </si>
  <si>
    <t>余根松</t>
  </si>
  <si>
    <t>6101221103010067</t>
  </si>
  <si>
    <t>2021-10-30</t>
  </si>
  <si>
    <t>殷少凡</t>
  </si>
  <si>
    <t>6101222021510019</t>
  </si>
  <si>
    <t>刘永刚</t>
  </si>
  <si>
    <t>6100121091919038</t>
  </si>
  <si>
    <t>6101222010810019</t>
  </si>
  <si>
    <t>2022-01-08</t>
  </si>
  <si>
    <t>2023-08-08</t>
  </si>
  <si>
    <t>6101221101010012</t>
  </si>
  <si>
    <t>6101222013010016</t>
  </si>
  <si>
    <t>2022-01-30</t>
  </si>
  <si>
    <t>2023-08-30</t>
  </si>
  <si>
    <t>杨振刚</t>
  </si>
  <si>
    <t>6101222011010055</t>
  </si>
  <si>
    <t>2022-07-20</t>
  </si>
  <si>
    <t>6101221120210119</t>
  </si>
  <si>
    <t>刘少博</t>
  </si>
  <si>
    <t>6101222012810073</t>
  </si>
  <si>
    <t>2023-08-28</t>
  </si>
  <si>
    <t>杨彦昌</t>
  </si>
  <si>
    <t>6101222021210049</t>
  </si>
  <si>
    <t>2022-07-13</t>
  </si>
  <si>
    <t>刘睿</t>
  </si>
  <si>
    <t>6101221100310058</t>
  </si>
  <si>
    <t>杨顺明</t>
  </si>
  <si>
    <t>6101222012010705</t>
  </si>
  <si>
    <t>刘军安</t>
  </si>
  <si>
    <t>6101221110410185</t>
  </si>
  <si>
    <t>杨璐</t>
  </si>
  <si>
    <t>6101222022710254</t>
  </si>
  <si>
    <t>2023-09-27</t>
  </si>
  <si>
    <t>2022-07-04</t>
  </si>
  <si>
    <t>刘海刚</t>
  </si>
  <si>
    <t>6100121093019097</t>
  </si>
  <si>
    <t>杨炯仁</t>
  </si>
  <si>
    <t>6101221111310081</t>
  </si>
  <si>
    <t>梁小斌</t>
  </si>
  <si>
    <t>6101221101210056</t>
  </si>
  <si>
    <t>杨建娥</t>
  </si>
  <si>
    <t>6101222010110592</t>
  </si>
  <si>
    <t>2022-01-01</t>
  </si>
  <si>
    <t>2023-08-01</t>
  </si>
  <si>
    <t>梁高峰</t>
  </si>
  <si>
    <t>6101221120210123</t>
  </si>
  <si>
    <t>杨红伟</t>
  </si>
  <si>
    <t>6101222011110125</t>
  </si>
  <si>
    <t>李杨</t>
  </si>
  <si>
    <t>6101221101510040</t>
  </si>
  <si>
    <t>2021-10-15</t>
  </si>
  <si>
    <t>2022-07-11</t>
  </si>
  <si>
    <t>6101221102610307</t>
  </si>
  <si>
    <t>李燕林</t>
  </si>
  <si>
    <t>6101221111710024</t>
  </si>
  <si>
    <t>李清俊</t>
  </si>
  <si>
    <t>6101222010610433</t>
  </si>
  <si>
    <t>杨朝</t>
  </si>
  <si>
    <t>6101222021310081</t>
  </si>
  <si>
    <t>2022-08-12</t>
  </si>
  <si>
    <t>6101222030310137</t>
  </si>
  <si>
    <t>李军</t>
  </si>
  <si>
    <t>6101221110810169</t>
  </si>
  <si>
    <t>2022-08-21</t>
  </si>
  <si>
    <t>李建洋</t>
  </si>
  <si>
    <t>6101222012210579</t>
  </si>
  <si>
    <t>雷建龙</t>
  </si>
  <si>
    <t>6101221110210059</t>
  </si>
  <si>
    <t>姜成懿</t>
  </si>
  <si>
    <t>6100121091419141</t>
  </si>
  <si>
    <t>黄金光</t>
  </si>
  <si>
    <t>6101221120810153</t>
  </si>
  <si>
    <t>华环</t>
  </si>
  <si>
    <t>6100121090919062</t>
  </si>
  <si>
    <t>胡家诚</t>
  </si>
  <si>
    <t>6101222012510507</t>
  </si>
  <si>
    <t>6101222020610254</t>
  </si>
  <si>
    <t>高玉</t>
  </si>
  <si>
    <t>6101222012510231</t>
  </si>
  <si>
    <t>2022-07-23</t>
  </si>
  <si>
    <t>6101222022410130</t>
  </si>
  <si>
    <t>2023-09-24</t>
  </si>
  <si>
    <t>2022-08-22</t>
  </si>
  <si>
    <t>高向锋</t>
  </si>
  <si>
    <t>6101222020810478</t>
  </si>
  <si>
    <t>伏牛祥</t>
  </si>
  <si>
    <t>6101222010510466</t>
  </si>
  <si>
    <t>2022-01-05</t>
  </si>
  <si>
    <t>2023-08-05</t>
  </si>
  <si>
    <t>6101221123110249</t>
  </si>
  <si>
    <t>邓宝强</t>
  </si>
  <si>
    <t>6101221121310198</t>
  </si>
  <si>
    <t>2023-07-13</t>
  </si>
  <si>
    <t>党发亮</t>
  </si>
  <si>
    <t>6100121090419115</t>
  </si>
  <si>
    <t>程冉</t>
  </si>
  <si>
    <t>6100121092219091</t>
  </si>
  <si>
    <t>程娜</t>
  </si>
  <si>
    <t>6101221100510095</t>
  </si>
  <si>
    <t>2022-08-03</t>
  </si>
  <si>
    <t>陈志清</t>
  </si>
  <si>
    <t>6101222012510649</t>
  </si>
  <si>
    <t>陈育敏</t>
  </si>
  <si>
    <t>6100121091019154</t>
  </si>
  <si>
    <t>陈柳旭</t>
  </si>
  <si>
    <t>6101221112610029</t>
  </si>
  <si>
    <t>陈德怀</t>
  </si>
  <si>
    <t>6101221110410154</t>
  </si>
  <si>
    <t>陈冲冲</t>
  </si>
  <si>
    <t>6101222012110165</t>
  </si>
  <si>
    <t>6101221111910032</t>
  </si>
  <si>
    <t>白王虎</t>
  </si>
  <si>
    <t>6101221121110193</t>
  </si>
  <si>
    <t>西安石顶实业有限公司</t>
  </si>
  <si>
    <t>6101222033000156</t>
  </si>
  <si>
    <t>深圳前海微众银行</t>
  </si>
  <si>
    <t>比例再担保（微众快贷）</t>
  </si>
  <si>
    <t>2024-03-14</t>
  </si>
  <si>
    <t>6101222033000157</t>
  </si>
  <si>
    <t>蒿江华</t>
  </si>
  <si>
    <t>6100121070919023</t>
  </si>
  <si>
    <t>2021-07-09</t>
  </si>
  <si>
    <t>2022-12-20</t>
  </si>
  <si>
    <t>2023-01-31</t>
  </si>
  <si>
    <t>甄军</t>
  </si>
  <si>
    <t>6100121061619026</t>
  </si>
  <si>
    <t>2022-08-29</t>
  </si>
  <si>
    <t>王锐</t>
  </si>
  <si>
    <t>6100121061719029</t>
  </si>
  <si>
    <t>农业银行汉台区支行</t>
  </si>
  <si>
    <t>2021-06-17</t>
  </si>
  <si>
    <t>2024-06-16</t>
  </si>
  <si>
    <t>2022-09-09</t>
  </si>
  <si>
    <t>谢艳红</t>
  </si>
  <si>
    <t>6100121062819057</t>
  </si>
  <si>
    <t>农业银行镇巴县支行</t>
  </si>
  <si>
    <t>2021-06-28</t>
  </si>
  <si>
    <t>2024-06-27</t>
  </si>
  <si>
    <t>殷勇</t>
  </si>
  <si>
    <t>6101521032619001</t>
  </si>
  <si>
    <t>农业银行西安高陵区支行</t>
  </si>
  <si>
    <t>2022-09-07</t>
  </si>
  <si>
    <t>6101421052719006</t>
  </si>
  <si>
    <t>2021-05-27</t>
  </si>
  <si>
    <t>旬阳艺轩阁工艺美术有限公司</t>
  </si>
  <si>
    <t>6103220051819001</t>
  </si>
  <si>
    <t>陕西旬阳农村商业银行营业部</t>
  </si>
  <si>
    <t>2020-05-18</t>
  </si>
  <si>
    <t>6101421033119012</t>
  </si>
  <si>
    <t>2021-03-31</t>
  </si>
  <si>
    <t>2023-01-12</t>
  </si>
  <si>
    <t>2023-02-01</t>
  </si>
  <si>
    <t>2023-02-27</t>
  </si>
  <si>
    <t>吴胜武</t>
  </si>
  <si>
    <t>6101421100910007</t>
  </si>
  <si>
    <t>2022-10-09</t>
  </si>
  <si>
    <t>2022-11-03</t>
  </si>
  <si>
    <t>张青海</t>
  </si>
  <si>
    <t>6100121061019034</t>
  </si>
  <si>
    <t>2021-06-10</t>
  </si>
  <si>
    <t>党晓超</t>
  </si>
  <si>
    <t>6101221121510250</t>
  </si>
  <si>
    <t>县域振兴批量贷（网商快贷）</t>
  </si>
  <si>
    <t>2023-07-15</t>
  </si>
  <si>
    <t>2022-09-04</t>
  </si>
  <si>
    <t>张小伟</t>
  </si>
  <si>
    <t>6101221120410068</t>
  </si>
  <si>
    <t>2021-12-04</t>
  </si>
  <si>
    <t>2023-07-04</t>
  </si>
  <si>
    <t>2022-10-03</t>
  </si>
  <si>
    <t>唐玲</t>
  </si>
  <si>
    <t>6100121091119208</t>
  </si>
  <si>
    <t>魏海峰</t>
  </si>
  <si>
    <t>6101221102210113</t>
  </si>
  <si>
    <t>2021-10-22</t>
  </si>
  <si>
    <t>2022-08-25</t>
  </si>
  <si>
    <t>魏佳</t>
  </si>
  <si>
    <t>6101221102210139</t>
  </si>
  <si>
    <t>彭卫林</t>
  </si>
  <si>
    <t>6101221102410269</t>
  </si>
  <si>
    <t>2022-09-11</t>
  </si>
  <si>
    <t>同彦屏</t>
  </si>
  <si>
    <t>6101221102410324</t>
  </si>
  <si>
    <t>曹登榜</t>
  </si>
  <si>
    <t>6101221102610261</t>
  </si>
  <si>
    <t>2022-08-24</t>
  </si>
  <si>
    <t>黄燕</t>
  </si>
  <si>
    <t>6101221102710242</t>
  </si>
  <si>
    <t>2021-10-27</t>
  </si>
  <si>
    <t>马立朝</t>
  </si>
  <si>
    <t>6101221102810143</t>
  </si>
  <si>
    <t>李艳龙</t>
  </si>
  <si>
    <t>6101221101910016</t>
  </si>
  <si>
    <t>刘涛</t>
  </si>
  <si>
    <t>6101221101310027</t>
  </si>
  <si>
    <t>2022-09-14</t>
  </si>
  <si>
    <t>汪斌旭</t>
  </si>
  <si>
    <t>6101221101410138</t>
  </si>
  <si>
    <t>郭孝超</t>
  </si>
  <si>
    <t>6101221102110034</t>
  </si>
  <si>
    <t>2021-10-21</t>
  </si>
  <si>
    <t>韩凯</t>
  </si>
  <si>
    <t>6101221102210158</t>
  </si>
  <si>
    <t>戚张军</t>
  </si>
  <si>
    <t>6101221100810038</t>
  </si>
  <si>
    <t>李龙祥</t>
  </si>
  <si>
    <t>6101221100810062</t>
  </si>
  <si>
    <t>李锦玉</t>
  </si>
  <si>
    <t>6101221100810099</t>
  </si>
  <si>
    <t>2022-08-07</t>
  </si>
  <si>
    <t>6101221101010131</t>
  </si>
  <si>
    <t>王镖</t>
  </si>
  <si>
    <t>6101221101110052</t>
  </si>
  <si>
    <t>任航涛</t>
  </si>
  <si>
    <t>6101221100110138</t>
  </si>
  <si>
    <t>2022-09-22</t>
  </si>
  <si>
    <t>李红</t>
  </si>
  <si>
    <t>6101221100510120</t>
  </si>
  <si>
    <t>刘天喜</t>
  </si>
  <si>
    <t>6101221110210137</t>
  </si>
  <si>
    <t>周红利</t>
  </si>
  <si>
    <t>6101221110310101</t>
  </si>
  <si>
    <t>刘军</t>
  </si>
  <si>
    <t>6101221110410082</t>
  </si>
  <si>
    <t>周洋洋</t>
  </si>
  <si>
    <t>6101221110910002</t>
  </si>
  <si>
    <t>胡延甲</t>
  </si>
  <si>
    <t>6101221111210064</t>
  </si>
  <si>
    <t>2021-11-12</t>
  </si>
  <si>
    <t>刘道拴</t>
  </si>
  <si>
    <t>6101221111210099</t>
  </si>
  <si>
    <t>2022-09-01</t>
  </si>
  <si>
    <t>祝发庆</t>
  </si>
  <si>
    <t>6101221111410120</t>
  </si>
  <si>
    <t>王兴群</t>
  </si>
  <si>
    <t>6101221111910096</t>
  </si>
  <si>
    <t>孙广全</t>
  </si>
  <si>
    <t>6101221112310046</t>
  </si>
  <si>
    <t>2021-11-23</t>
  </si>
  <si>
    <t>樊贵民</t>
  </si>
  <si>
    <t>6101221121110232</t>
  </si>
  <si>
    <t>唐凤丽</t>
  </si>
  <si>
    <t>6101221121210197</t>
  </si>
  <si>
    <t>2022-09-18</t>
  </si>
  <si>
    <t>6101222010110055</t>
  </si>
  <si>
    <t>6101222010110559</t>
  </si>
  <si>
    <t>刘建奎</t>
  </si>
  <si>
    <t>6101222010210428</t>
  </si>
  <si>
    <t>宋永强</t>
  </si>
  <si>
    <t>6101222010310056</t>
  </si>
  <si>
    <t>2022-08-20</t>
  </si>
  <si>
    <t>王浩</t>
  </si>
  <si>
    <t>6101222010410192</t>
  </si>
  <si>
    <t>2023-08-04</t>
  </si>
  <si>
    <t>张晓民</t>
  </si>
  <si>
    <t>6101222010410439</t>
  </si>
  <si>
    <t>王朋</t>
  </si>
  <si>
    <t>6101222010410466</t>
  </si>
  <si>
    <t>6101222010510441</t>
  </si>
  <si>
    <t>党选红</t>
  </si>
  <si>
    <t>6101222010510474</t>
  </si>
  <si>
    <t>6101222010610274</t>
  </si>
  <si>
    <t>6101222010610361</t>
  </si>
  <si>
    <t>6101222010810066</t>
  </si>
  <si>
    <t>王林峰</t>
  </si>
  <si>
    <t>6101222011110133</t>
  </si>
  <si>
    <t>6101222011210059</t>
  </si>
  <si>
    <t>冯小海</t>
  </si>
  <si>
    <t>6101222011410261</t>
  </si>
  <si>
    <t>喻林</t>
  </si>
  <si>
    <t>6101222011910015</t>
  </si>
  <si>
    <t>李绍齐</t>
  </si>
  <si>
    <t>6101222012010187</t>
  </si>
  <si>
    <t>2022-09-25</t>
  </si>
  <si>
    <t>朱嘉铭</t>
  </si>
  <si>
    <t>6101222012010593</t>
  </si>
  <si>
    <t>2022-08-26</t>
  </si>
  <si>
    <t>豆引妮</t>
  </si>
  <si>
    <t>6101222012010691</t>
  </si>
  <si>
    <t>王静</t>
  </si>
  <si>
    <t>6101222012010910</t>
  </si>
  <si>
    <t>2022-08-30</t>
  </si>
  <si>
    <t>田雪云</t>
  </si>
  <si>
    <t>6101222012310403</t>
  </si>
  <si>
    <t>2022-01-23</t>
  </si>
  <si>
    <t>2023-08-23</t>
  </si>
  <si>
    <t>何润利</t>
  </si>
  <si>
    <t>6101222012410094</t>
  </si>
  <si>
    <t>李薇</t>
  </si>
  <si>
    <t>6101222012410399</t>
  </si>
  <si>
    <t>6101222012510422</t>
  </si>
  <si>
    <t>李晶</t>
  </si>
  <si>
    <t>6101222012710119</t>
  </si>
  <si>
    <t>张文</t>
  </si>
  <si>
    <t>6101222013110075</t>
  </si>
  <si>
    <t>2023-08-31</t>
  </si>
  <si>
    <t>6101222020410114</t>
  </si>
  <si>
    <t>杨雪峰</t>
  </si>
  <si>
    <t>6101222020510044</t>
  </si>
  <si>
    <t>2022-02-05</t>
  </si>
  <si>
    <t>2023-09-05</t>
  </si>
  <si>
    <t>6101222020510314</t>
  </si>
  <si>
    <t>6101222020610072</t>
  </si>
  <si>
    <t>6101222020910201</t>
  </si>
  <si>
    <t>6101222021210004</t>
  </si>
  <si>
    <t>6101222021410418</t>
  </si>
  <si>
    <t>董辉</t>
  </si>
  <si>
    <t>6101222021410426</t>
  </si>
  <si>
    <t>6101222021510081</t>
  </si>
  <si>
    <t>6101222021910091</t>
  </si>
  <si>
    <t>高甲科</t>
  </si>
  <si>
    <t>6101222022010162</t>
  </si>
  <si>
    <t>2023-09-20</t>
  </si>
  <si>
    <t>6101222022310201</t>
  </si>
  <si>
    <t>2023-09-23</t>
  </si>
  <si>
    <t>吕林</t>
  </si>
  <si>
    <t>6101222022510107</t>
  </si>
  <si>
    <t>2023-09-25</t>
  </si>
  <si>
    <t>庞夏斐</t>
  </si>
  <si>
    <t>6101222022710059</t>
  </si>
  <si>
    <t>6101222030210137</t>
  </si>
  <si>
    <t>吴艳妮</t>
  </si>
  <si>
    <t>6101222030310482</t>
  </si>
  <si>
    <t>党国强</t>
  </si>
  <si>
    <t>6101222030410459</t>
  </si>
  <si>
    <t>2022-09-23</t>
  </si>
  <si>
    <t>金凤霞</t>
  </si>
  <si>
    <t>6101222030410646</t>
  </si>
  <si>
    <t>6101222030510065</t>
  </si>
  <si>
    <t>6101222030910653</t>
  </si>
  <si>
    <t>2023-10-09</t>
  </si>
  <si>
    <t>6101222031210010</t>
  </si>
  <si>
    <t>2023-10-12</t>
  </si>
  <si>
    <t>韩磊磊</t>
  </si>
  <si>
    <t>6101222031210037</t>
  </si>
  <si>
    <t>6101222031610394</t>
  </si>
  <si>
    <t>6101222032710056</t>
  </si>
  <si>
    <t>2023-10-27</t>
  </si>
  <si>
    <t>6100121091519066</t>
  </si>
  <si>
    <t>2022-10-08</t>
  </si>
  <si>
    <t>6100121091619099</t>
  </si>
  <si>
    <t>王景位</t>
  </si>
  <si>
    <t>6100121091019139</t>
  </si>
  <si>
    <t>2022-09-05</t>
  </si>
  <si>
    <t>刘平弟</t>
  </si>
  <si>
    <t>6100121091019140</t>
  </si>
  <si>
    <t>郝磊</t>
  </si>
  <si>
    <t>6100121092819080</t>
  </si>
  <si>
    <t>杜亚军</t>
  </si>
  <si>
    <t>6100121092219089</t>
  </si>
  <si>
    <t>孙瑞来</t>
  </si>
  <si>
    <t>6100121091319183</t>
  </si>
  <si>
    <t>何萌萌</t>
  </si>
  <si>
    <t>6100121091019317</t>
  </si>
  <si>
    <t>王航</t>
  </si>
  <si>
    <t>6100121091419235</t>
  </si>
  <si>
    <t>6100121092119038</t>
  </si>
  <si>
    <t>陈涛涛</t>
  </si>
  <si>
    <t>6100121092019177</t>
  </si>
  <si>
    <t>2022-08-17</t>
  </si>
  <si>
    <t>耿一哲</t>
  </si>
  <si>
    <t>6100121092819180</t>
  </si>
  <si>
    <t>郭微</t>
  </si>
  <si>
    <t>6100121092319182</t>
  </si>
  <si>
    <t>薛建平</t>
  </si>
  <si>
    <t>6100121091019370</t>
  </si>
  <si>
    <t>李佰军</t>
  </si>
  <si>
    <t>6100121091719259</t>
  </si>
  <si>
    <t>翟元利</t>
  </si>
  <si>
    <t>6100121092019232</t>
  </si>
  <si>
    <t>6100121091719293</t>
  </si>
  <si>
    <t>雷欢</t>
  </si>
  <si>
    <t>6100121092819212</t>
  </si>
  <si>
    <t>6100121093019237</t>
  </si>
  <si>
    <t>2022-09-24</t>
  </si>
  <si>
    <t>王均毅</t>
  </si>
  <si>
    <t>6100121092919190</t>
  </si>
  <si>
    <t>6101222040910543</t>
  </si>
  <si>
    <t>2023-11-09</t>
  </si>
  <si>
    <t>侯永宁</t>
  </si>
  <si>
    <t>6101222041510236</t>
  </si>
  <si>
    <t>2023-11-15</t>
  </si>
  <si>
    <t>6101222042610340</t>
  </si>
  <si>
    <t>2023-11-26</t>
  </si>
  <si>
    <t>陕西省紫阳县秦巴山富硒茶业有限公司</t>
  </si>
  <si>
    <t>6100121070119004</t>
  </si>
  <si>
    <t>邮储银行紫阳县支行</t>
  </si>
  <si>
    <t>2022-10-21</t>
  </si>
  <si>
    <t>2023-01-06</t>
  </si>
  <si>
    <t>庞飞</t>
  </si>
  <si>
    <t>6101421053119004</t>
  </si>
  <si>
    <t>秦农银行雁南五路支行</t>
  </si>
  <si>
    <t>2021-05-31</t>
  </si>
  <si>
    <t>2023-02-10</t>
  </si>
  <si>
    <t>耿建军</t>
  </si>
  <si>
    <t>6100121090219038</t>
  </si>
  <si>
    <t>陕西陇县长银村镇银行营业部</t>
  </si>
  <si>
    <t>2022-10-10</t>
  </si>
  <si>
    <t>赵志石</t>
  </si>
  <si>
    <t>6103221122810007</t>
  </si>
  <si>
    <t>陕西旬阳泰隆村镇银行</t>
  </si>
  <si>
    <t>2021-12-28</t>
  </si>
  <si>
    <t>2022-11-20</t>
  </si>
  <si>
    <t>2022-09-27</t>
  </si>
  <si>
    <t>邓玉芬</t>
  </si>
  <si>
    <t>6101421052619003</t>
  </si>
  <si>
    <t>2021-05-26</t>
  </si>
  <si>
    <t>2023.-02-28</t>
  </si>
  <si>
    <t>宫向东</t>
  </si>
  <si>
    <t>6100121061119027</t>
  </si>
  <si>
    <t>2022-09-15</t>
  </si>
  <si>
    <t>吴永平</t>
  </si>
  <si>
    <t>6100121060819025</t>
  </si>
  <si>
    <t>2021-06-08</t>
  </si>
  <si>
    <t>2022-06-08</t>
  </si>
  <si>
    <t>2022-09-02</t>
  </si>
  <si>
    <t>包自豪</t>
  </si>
  <si>
    <t>6100121061719020</t>
  </si>
  <si>
    <t>2022-06-17</t>
  </si>
  <si>
    <t>曹浩禹</t>
  </si>
  <si>
    <t>6100121072019020</t>
  </si>
  <si>
    <t>宝鸡市亨源中金有色金属</t>
  </si>
  <si>
    <t>6102521111100056</t>
  </si>
  <si>
    <t>长安银行宝鸡汇通支行</t>
  </si>
  <si>
    <t>2022-11-14</t>
  </si>
  <si>
    <t>2023.-02-23</t>
  </si>
  <si>
    <t>朱文宇</t>
  </si>
  <si>
    <t>6100121091419147</t>
  </si>
  <si>
    <t>白刚</t>
  </si>
  <si>
    <t>6101221100510070</t>
  </si>
  <si>
    <t>常蜜</t>
  </si>
  <si>
    <t>6101221122110148</t>
  </si>
  <si>
    <t>2021-12-21</t>
  </si>
  <si>
    <t>2023-07-21</t>
  </si>
  <si>
    <t>成梦琦</t>
  </si>
  <si>
    <t>6101222010410039</t>
  </si>
  <si>
    <t>2022-09-03</t>
  </si>
  <si>
    <t>崔天爵</t>
  </si>
  <si>
    <t>6101222010910059</t>
  </si>
  <si>
    <t>2022-01-09</t>
  </si>
  <si>
    <t>2023-08-09</t>
  </si>
  <si>
    <t>董锦梅</t>
  </si>
  <si>
    <t>6101221112110040</t>
  </si>
  <si>
    <t>2021-11-21</t>
  </si>
  <si>
    <t>2022-10-19</t>
  </si>
  <si>
    <t>段水倩</t>
  </si>
  <si>
    <t>6101222020810437</t>
  </si>
  <si>
    <t>樊可可</t>
  </si>
  <si>
    <t>6101221100210040</t>
  </si>
  <si>
    <t>2022-09-30</t>
  </si>
  <si>
    <t>冯朵朵</t>
  </si>
  <si>
    <t>6101222012011023</t>
  </si>
  <si>
    <t>苟富华</t>
  </si>
  <si>
    <t>6100121090419156</t>
  </si>
  <si>
    <t>郭娟</t>
  </si>
  <si>
    <t>6101222020810403</t>
  </si>
  <si>
    <t>6101222030810535</t>
  </si>
  <si>
    <t>韩建平</t>
  </si>
  <si>
    <t>6101222031610155</t>
  </si>
  <si>
    <t>郝高锋</t>
  </si>
  <si>
    <t>6101221112510016</t>
  </si>
  <si>
    <t>2021-11-25</t>
  </si>
  <si>
    <t>2022-09-21</t>
  </si>
  <si>
    <t>何振东</t>
  </si>
  <si>
    <t>6101222012210216</t>
  </si>
  <si>
    <t>6101222020210086</t>
  </si>
  <si>
    <t>2022-02-02</t>
  </si>
  <si>
    <t>2023-09-02</t>
  </si>
  <si>
    <t>6101222032210087</t>
  </si>
  <si>
    <t>2023-10-22</t>
  </si>
  <si>
    <t>蒋容</t>
  </si>
  <si>
    <t>6101222030110176</t>
  </si>
  <si>
    <t>景二强</t>
  </si>
  <si>
    <t>6101222010510435</t>
  </si>
  <si>
    <t>巨恒涛</t>
  </si>
  <si>
    <t>6101222012810107</t>
  </si>
  <si>
    <t>6101222020210115</t>
  </si>
  <si>
    <t>雷全明</t>
  </si>
  <si>
    <t>6100121092619057</t>
  </si>
  <si>
    <t>6101222012410316</t>
  </si>
  <si>
    <t>雷新锋</t>
  </si>
  <si>
    <t>6101222031810299</t>
  </si>
  <si>
    <t>2023-10-18</t>
  </si>
  <si>
    <t>李博</t>
  </si>
  <si>
    <t>6101222022410013</t>
  </si>
  <si>
    <t>6101222030310010</t>
  </si>
  <si>
    <t>6101222051610607</t>
  </si>
  <si>
    <t>2023-12-16</t>
  </si>
  <si>
    <t>李国栋</t>
  </si>
  <si>
    <t>6101222012010379</t>
  </si>
  <si>
    <t>2022-09-17</t>
  </si>
  <si>
    <t>6101222020910194</t>
  </si>
  <si>
    <t>6101222051810577</t>
  </si>
  <si>
    <t>2023-12-18</t>
  </si>
  <si>
    <t>李武超</t>
  </si>
  <si>
    <t>6101222051910898</t>
  </si>
  <si>
    <t>2023-12-19</t>
  </si>
  <si>
    <t>6101221120510103</t>
  </si>
  <si>
    <t>2021-12-05</t>
  </si>
  <si>
    <t>2023-07-05</t>
  </si>
  <si>
    <t>6101222010710327</t>
  </si>
  <si>
    <t>2022-01-07</t>
  </si>
  <si>
    <t>2023-08-07</t>
  </si>
  <si>
    <t>李鑫</t>
  </si>
  <si>
    <t>6101222011910095</t>
  </si>
  <si>
    <t>李星龙</t>
  </si>
  <si>
    <t>6101222011910125</t>
  </si>
  <si>
    <t>李正兵</t>
  </si>
  <si>
    <t>6101221110310177</t>
  </si>
  <si>
    <t>梁剑华</t>
  </si>
  <si>
    <t>6100121090319173</t>
  </si>
  <si>
    <t>刘崇</t>
  </si>
  <si>
    <t>6101221100110052</t>
  </si>
  <si>
    <t>6101222020510324</t>
  </si>
  <si>
    <t>刘丽娜</t>
  </si>
  <si>
    <t>6101222051310936</t>
  </si>
  <si>
    <t>2023-12-13</t>
  </si>
  <si>
    <t>刘鹏飞</t>
  </si>
  <si>
    <t>6101222011710242</t>
  </si>
  <si>
    <t>刘七斤</t>
  </si>
  <si>
    <t>6101221102410257</t>
  </si>
  <si>
    <t>刘洋</t>
  </si>
  <si>
    <t>6101222030310323</t>
  </si>
  <si>
    <t>罗晶亮</t>
  </si>
  <si>
    <t>6101222021110263</t>
  </si>
  <si>
    <t>6101222031110276</t>
  </si>
  <si>
    <t>2023-10-11</t>
  </si>
  <si>
    <t>骆红新</t>
  </si>
  <si>
    <t>6100121091619196</t>
  </si>
  <si>
    <t>6101222020310187</t>
  </si>
  <si>
    <t>2022-02-03</t>
  </si>
  <si>
    <t>2023-09-03</t>
  </si>
  <si>
    <t>6101222030410395</t>
  </si>
  <si>
    <t>毛学云</t>
  </si>
  <si>
    <t>6101222012010782</t>
  </si>
  <si>
    <t>苗鑫</t>
  </si>
  <si>
    <t>6100121090519062</t>
  </si>
  <si>
    <t>潘玉田</t>
  </si>
  <si>
    <t>6101221122510075</t>
  </si>
  <si>
    <t>6101222010210262</t>
  </si>
  <si>
    <t>6101222012710077</t>
  </si>
  <si>
    <t>6101222011310114</t>
  </si>
  <si>
    <t>乔绍云</t>
  </si>
  <si>
    <t>6101221100510049</t>
  </si>
  <si>
    <t>邱延军</t>
  </si>
  <si>
    <t>6101221120610120</t>
  </si>
  <si>
    <t>任小强</t>
  </si>
  <si>
    <t>6101222012510411</t>
  </si>
  <si>
    <t>任亚刚</t>
  </si>
  <si>
    <t>6100121092919103</t>
  </si>
  <si>
    <t>任玉龙</t>
  </si>
  <si>
    <t>6101222020510213</t>
  </si>
  <si>
    <t>6101222030210385</t>
  </si>
  <si>
    <t>尚文</t>
  </si>
  <si>
    <t>6101221100410118</t>
  </si>
  <si>
    <t>6101222010210410</t>
  </si>
  <si>
    <t>史杜婷</t>
  </si>
  <si>
    <t>6101222020510191</t>
  </si>
  <si>
    <t>苏红锐</t>
  </si>
  <si>
    <t>6101222020110220</t>
  </si>
  <si>
    <t>孙建华</t>
  </si>
  <si>
    <t>6101221110210135</t>
  </si>
  <si>
    <t>孙娟</t>
  </si>
  <si>
    <t>6101221111310058</t>
  </si>
  <si>
    <t>6101222012010599</t>
  </si>
  <si>
    <t>孙璇</t>
  </si>
  <si>
    <t>6101221122510143</t>
  </si>
  <si>
    <t>6101222011310036</t>
  </si>
  <si>
    <t>6101222012210119</t>
  </si>
  <si>
    <t>王佩兴</t>
  </si>
  <si>
    <t>6101222010110131</t>
  </si>
  <si>
    <t>王社昌</t>
  </si>
  <si>
    <t>6101221111610106</t>
  </si>
  <si>
    <t>王小强</t>
  </si>
  <si>
    <t>6101222031610413</t>
  </si>
  <si>
    <t>2022-09-12</t>
  </si>
  <si>
    <t>王晓华</t>
  </si>
  <si>
    <t>6100121091119211</t>
  </si>
  <si>
    <t>王孝安</t>
  </si>
  <si>
    <t>6101222051210573</t>
  </si>
  <si>
    <t>2023-12-12</t>
  </si>
  <si>
    <t>2022-10-23</t>
  </si>
  <si>
    <t>6101222010110478</t>
  </si>
  <si>
    <t>王艺茹</t>
  </si>
  <si>
    <t>6101221111710073</t>
  </si>
  <si>
    <t>王盈涛</t>
  </si>
  <si>
    <t>6101221121510275</t>
  </si>
  <si>
    <t>徐轩</t>
  </si>
  <si>
    <t>6101221110710115</t>
  </si>
  <si>
    <t>2021-11-07</t>
  </si>
  <si>
    <t>6101222021210340</t>
  </si>
  <si>
    <t>杨创</t>
  </si>
  <si>
    <t>6101222012810169</t>
  </si>
  <si>
    <t>2022-09-08</t>
  </si>
  <si>
    <t>6101222021010329</t>
  </si>
  <si>
    <t>杨芳</t>
  </si>
  <si>
    <t>6101222031510300</t>
  </si>
  <si>
    <t>2023-10-15</t>
  </si>
  <si>
    <t>2022-10-13</t>
  </si>
  <si>
    <t>杨清英</t>
  </si>
  <si>
    <t>6100121091919105</t>
  </si>
  <si>
    <t>杨旭兴</t>
  </si>
  <si>
    <t>6101222010810022</t>
  </si>
  <si>
    <t>2022-10-15</t>
  </si>
  <si>
    <t>殷嘉梦</t>
  </si>
  <si>
    <t>6100121092519089</t>
  </si>
  <si>
    <t>张春华</t>
  </si>
  <si>
    <t>6101221101110013</t>
  </si>
  <si>
    <t>张建炎</t>
  </si>
  <si>
    <t>6100121093019156</t>
  </si>
  <si>
    <t>张立</t>
  </si>
  <si>
    <t>6100121092719121</t>
  </si>
  <si>
    <t>张瑞平</t>
  </si>
  <si>
    <t>6101221110810045</t>
  </si>
  <si>
    <t>张志峰</t>
  </si>
  <si>
    <t>6100121090619108</t>
  </si>
  <si>
    <t>2023-04-06</t>
  </si>
  <si>
    <t>赵延延</t>
  </si>
  <si>
    <t>6101221120310162</t>
  </si>
  <si>
    <t>2021-12-03</t>
  </si>
  <si>
    <t>2023-07-03</t>
  </si>
  <si>
    <t>6101222021710170</t>
  </si>
  <si>
    <t>2023-09-17</t>
  </si>
  <si>
    <t>朱红波</t>
  </si>
  <si>
    <t>6101222052510544</t>
  </si>
  <si>
    <t>2023-12-25</t>
  </si>
  <si>
    <t>霍生彬</t>
  </si>
  <si>
    <t>6101221121410302</t>
  </si>
  <si>
    <t>6101222010510238</t>
  </si>
  <si>
    <t>6101222020710092</t>
  </si>
  <si>
    <t>魏玮</t>
  </si>
  <si>
    <t>6101222010710127</t>
  </si>
  <si>
    <t>岳红兴</t>
  </si>
  <si>
    <t>6101221123110217</t>
  </si>
  <si>
    <t>2022-09-13</t>
  </si>
  <si>
    <t>张朝阳</t>
  </si>
  <si>
    <t>6100121091119222</t>
  </si>
  <si>
    <t>刘少斌</t>
  </si>
  <si>
    <t>6101222040210746</t>
  </si>
  <si>
    <t>2023-11-02</t>
  </si>
  <si>
    <t>2022-11-30</t>
  </si>
  <si>
    <t>6101222040310329</t>
  </si>
  <si>
    <t>2022-04-03</t>
  </si>
  <si>
    <t>2023-11-03</t>
  </si>
  <si>
    <t>6101222040110658</t>
  </si>
  <si>
    <t>2023-11-01</t>
  </si>
  <si>
    <t>6101222040810627</t>
  </si>
  <si>
    <t>沈保国</t>
  </si>
  <si>
    <t>6100121092119009</t>
  </si>
  <si>
    <t>2023-03-27</t>
  </si>
  <si>
    <t>雷英</t>
  </si>
  <si>
    <t>6100121093019111</t>
  </si>
  <si>
    <t>奥运</t>
  </si>
  <si>
    <t>6100121092719137</t>
  </si>
  <si>
    <t>6101221102310268</t>
  </si>
  <si>
    <t>晋冬冬</t>
  </si>
  <si>
    <t>6101221102510235</t>
  </si>
  <si>
    <t>2021-10-25</t>
  </si>
  <si>
    <t>2022-11-26</t>
  </si>
  <si>
    <t>鹿亚辉</t>
  </si>
  <si>
    <t>6101221101410120</t>
  </si>
  <si>
    <t>2022-10-04</t>
  </si>
  <si>
    <t>芦欣</t>
  </si>
  <si>
    <t>6101221101510043</t>
  </si>
  <si>
    <t>徐立立</t>
  </si>
  <si>
    <t>6101221101610011</t>
  </si>
  <si>
    <t>2021-10-16</t>
  </si>
  <si>
    <t>叶挺</t>
  </si>
  <si>
    <t>6101221100810136</t>
  </si>
  <si>
    <t>冯艳</t>
  </si>
  <si>
    <t>6101221100910187</t>
  </si>
  <si>
    <t>2022-10-05</t>
  </si>
  <si>
    <t>高雷</t>
  </si>
  <si>
    <t>6101221101010056</t>
  </si>
  <si>
    <t>王云锋</t>
  </si>
  <si>
    <t>6101221101010117</t>
  </si>
  <si>
    <t>刘恒</t>
  </si>
  <si>
    <t>6101221100510025</t>
  </si>
  <si>
    <t>王成刚</t>
  </si>
  <si>
    <t>6101221100510046</t>
  </si>
  <si>
    <t>张宏伟</t>
  </si>
  <si>
    <t>6101221110110002</t>
  </si>
  <si>
    <t>刘春晖</t>
  </si>
  <si>
    <t>6101221110310198</t>
  </si>
  <si>
    <t>2022-10-01</t>
  </si>
  <si>
    <t>徐斯军</t>
  </si>
  <si>
    <t>6101221110610061</t>
  </si>
  <si>
    <t>2022-11-04</t>
  </si>
  <si>
    <t>孙宏周</t>
  </si>
  <si>
    <t>6101221110910144</t>
  </si>
  <si>
    <t>第五海妮</t>
  </si>
  <si>
    <t>6101221111010087</t>
  </si>
  <si>
    <t>张红卫</t>
  </si>
  <si>
    <t>6101221111710101</t>
  </si>
  <si>
    <t>2022-10-14</t>
  </si>
  <si>
    <t>李思霖</t>
  </si>
  <si>
    <t>6101221112210015</t>
  </si>
  <si>
    <t>樊如贤</t>
  </si>
  <si>
    <t>6101221112810026</t>
  </si>
  <si>
    <t>2021-11-28</t>
  </si>
  <si>
    <t>2023-06-28</t>
  </si>
  <si>
    <t>苏贵芳</t>
  </si>
  <si>
    <t>6101221120810169</t>
  </si>
  <si>
    <t>胡筠清</t>
  </si>
  <si>
    <t>6101221120810171</t>
  </si>
  <si>
    <t>2022-10-06</t>
  </si>
  <si>
    <t>薛倩</t>
  </si>
  <si>
    <t>6101221120810185</t>
  </si>
  <si>
    <t>陈海荣</t>
  </si>
  <si>
    <t>6101221120910206</t>
  </si>
  <si>
    <t>2023-07-09</t>
  </si>
  <si>
    <t>2022-10-07</t>
  </si>
  <si>
    <t>严晶</t>
  </si>
  <si>
    <t>6101221122610014</t>
  </si>
  <si>
    <t>2021-12-26</t>
  </si>
  <si>
    <t>2023-07-26</t>
  </si>
  <si>
    <t>2022-10-24</t>
  </si>
  <si>
    <t>乌浩峰</t>
  </si>
  <si>
    <t>6101221120310134</t>
  </si>
  <si>
    <t>宋军良</t>
  </si>
  <si>
    <t>6101221122810114</t>
  </si>
  <si>
    <t>2023-07-28</t>
  </si>
  <si>
    <t>吴天民</t>
  </si>
  <si>
    <t>6101222010210396</t>
  </si>
  <si>
    <t>2022-10-31</t>
  </si>
  <si>
    <t>何春妮</t>
  </si>
  <si>
    <t>6101222010310497</t>
  </si>
  <si>
    <t>2022-10-16</t>
  </si>
  <si>
    <t>6101222010410135</t>
  </si>
  <si>
    <t>6101222010510281</t>
  </si>
  <si>
    <t>6101222010710074</t>
  </si>
  <si>
    <t>2022-11-17</t>
  </si>
  <si>
    <t>李菲</t>
  </si>
  <si>
    <t>6101222010910388</t>
  </si>
  <si>
    <t>6101222011010184</t>
  </si>
  <si>
    <t>6101222011110167</t>
  </si>
  <si>
    <t>6101222011110247</t>
  </si>
  <si>
    <t>6101222011210031</t>
  </si>
  <si>
    <t>王彩琴</t>
  </si>
  <si>
    <t>6101222011310089</t>
  </si>
  <si>
    <t>2022-11-11</t>
  </si>
  <si>
    <t>林焕希</t>
  </si>
  <si>
    <t>6101222011310154</t>
  </si>
  <si>
    <t>2022-10-11</t>
  </si>
  <si>
    <t>梅四洋</t>
  </si>
  <si>
    <t>6101222011510123</t>
  </si>
  <si>
    <t>2022-01-15</t>
  </si>
  <si>
    <t>2023-08-15</t>
  </si>
  <si>
    <t>2022-11-01</t>
  </si>
  <si>
    <t>6101222011910513</t>
  </si>
  <si>
    <t>2022-10-30</t>
  </si>
  <si>
    <t>李维近</t>
  </si>
  <si>
    <t>6101222012210534</t>
  </si>
  <si>
    <t>王建荣</t>
  </si>
  <si>
    <t>6101222012310582</t>
  </si>
  <si>
    <t>2022-10-22</t>
  </si>
  <si>
    <t>6101222012410462</t>
  </si>
  <si>
    <t>阮红</t>
  </si>
  <si>
    <t>6101222012510040</t>
  </si>
  <si>
    <t>卢强</t>
  </si>
  <si>
    <t>6101222012510063</t>
  </si>
  <si>
    <t>李建</t>
  </si>
  <si>
    <t>6101222012510726</t>
  </si>
  <si>
    <t>6101222013010237</t>
  </si>
  <si>
    <t>6101222020210104</t>
  </si>
  <si>
    <t>李永亮</t>
  </si>
  <si>
    <t>6101222020410002</t>
  </si>
  <si>
    <t>代海龙</t>
  </si>
  <si>
    <t>6101222020410270</t>
  </si>
  <si>
    <t>6101222020510121</t>
  </si>
  <si>
    <t>6101222020510141</t>
  </si>
  <si>
    <t>肖文斌</t>
  </si>
  <si>
    <t>6101222020810326</t>
  </si>
  <si>
    <t>6101222021010113</t>
  </si>
  <si>
    <t>王亮亮</t>
  </si>
  <si>
    <t>6101222021110124</t>
  </si>
  <si>
    <t>2022-10-12</t>
  </si>
  <si>
    <t>沈春儒</t>
  </si>
  <si>
    <t>6101222021110224</t>
  </si>
  <si>
    <t>6101222021310094</t>
  </si>
  <si>
    <t>陈永芬</t>
  </si>
  <si>
    <t>6101222021310236</t>
  </si>
  <si>
    <t>张莉莉</t>
  </si>
  <si>
    <t>6101222021410336</t>
  </si>
  <si>
    <t>白军锋</t>
  </si>
  <si>
    <t>6101222021610279</t>
  </si>
  <si>
    <t>2023-09-16</t>
  </si>
  <si>
    <t>程先进</t>
  </si>
  <si>
    <t>6101222022110393</t>
  </si>
  <si>
    <t>2023-09-21</t>
  </si>
  <si>
    <t>和建龙</t>
  </si>
  <si>
    <t>6101222022310141</t>
  </si>
  <si>
    <t>2022-10-18</t>
  </si>
  <si>
    <t>董关虎</t>
  </si>
  <si>
    <t>6101222022310319</t>
  </si>
  <si>
    <t>2022-10-02</t>
  </si>
  <si>
    <t>王贤彬</t>
  </si>
  <si>
    <t>6101222030110599</t>
  </si>
  <si>
    <t>2022-12-19</t>
  </si>
  <si>
    <t>贺红梅</t>
  </si>
  <si>
    <t>6101222030110631</t>
  </si>
  <si>
    <t>6101222030110648</t>
  </si>
  <si>
    <t>6101222030210394</t>
  </si>
  <si>
    <t>6101222030410226</t>
  </si>
  <si>
    <t>侯小婷</t>
  </si>
  <si>
    <t>6101222030410335</t>
  </si>
  <si>
    <t>陈鑫阳</t>
  </si>
  <si>
    <t>6101222030410483</t>
  </si>
  <si>
    <t>6101222030410593</t>
  </si>
  <si>
    <t>6101222030510145</t>
  </si>
  <si>
    <t>同春娉</t>
  </si>
  <si>
    <t>6101222030510486</t>
  </si>
  <si>
    <t>2022-11-08</t>
  </si>
  <si>
    <t>6101222030710018</t>
  </si>
  <si>
    <t>2022-03-07</t>
  </si>
  <si>
    <t>2023-10-07</t>
  </si>
  <si>
    <t>王府川</t>
  </si>
  <si>
    <t>6101222030710439</t>
  </si>
  <si>
    <t>孙洁</t>
  </si>
  <si>
    <t>6101222031310188</t>
  </si>
  <si>
    <t>2022-11-25</t>
  </si>
  <si>
    <t>6101222031410124</t>
  </si>
  <si>
    <t>2023-10-14</t>
  </si>
  <si>
    <t>6101222031410254</t>
  </si>
  <si>
    <t>6101222031410337</t>
  </si>
  <si>
    <t>王芳芹</t>
  </si>
  <si>
    <t>6101222031410427</t>
  </si>
  <si>
    <t>6101222031610354</t>
  </si>
  <si>
    <t>关浩</t>
  </si>
  <si>
    <t>6101222031810189</t>
  </si>
  <si>
    <t>马小刚</t>
  </si>
  <si>
    <t>6101222032110171</t>
  </si>
  <si>
    <t>2023-10-21</t>
  </si>
  <si>
    <t>6101222032110412</t>
  </si>
  <si>
    <t>李伟鹏</t>
  </si>
  <si>
    <t>6101222032310162</t>
  </si>
  <si>
    <t>2022-03-23</t>
  </si>
  <si>
    <t>2023-10-23</t>
  </si>
  <si>
    <t>6101222050710322</t>
  </si>
  <si>
    <t>2023-12-07</t>
  </si>
  <si>
    <t>6101222051510935</t>
  </si>
  <si>
    <t>2023-12-15</t>
  </si>
  <si>
    <t>鲁冰</t>
  </si>
  <si>
    <t>6101222051510946</t>
  </si>
  <si>
    <t>6101222051610780</t>
  </si>
  <si>
    <t>赖际发</t>
  </si>
  <si>
    <t>6101222052110442</t>
  </si>
  <si>
    <t>2023-12-21</t>
  </si>
  <si>
    <t>6101222052310423</t>
  </si>
  <si>
    <t>2023-12-23</t>
  </si>
  <si>
    <t>6101222052310432</t>
  </si>
  <si>
    <t>鲁浩亮</t>
  </si>
  <si>
    <t>6101222052410627</t>
  </si>
  <si>
    <t>2023-12-24</t>
  </si>
  <si>
    <t>6101222060110485</t>
  </si>
  <si>
    <t>2024-01-01</t>
  </si>
  <si>
    <t>6101222060510075</t>
  </si>
  <si>
    <t>2024-01-05</t>
  </si>
  <si>
    <t>6101222060810146</t>
  </si>
  <si>
    <t>2024-01-08</t>
  </si>
  <si>
    <t>6101222062110204</t>
  </si>
  <si>
    <t>2024-01-21</t>
  </si>
  <si>
    <t>6101222062110247</t>
  </si>
  <si>
    <t>李春玲</t>
  </si>
  <si>
    <t>6100121091819129</t>
  </si>
  <si>
    <t>雒创社</t>
  </si>
  <si>
    <t>6100121091819136</t>
  </si>
  <si>
    <t>6100121091219089</t>
  </si>
  <si>
    <t>2021-09-12</t>
  </si>
  <si>
    <t>2023-04-12</t>
  </si>
  <si>
    <t>2022-12-09</t>
  </si>
  <si>
    <t>刘博明</t>
  </si>
  <si>
    <t>6100121091419172</t>
  </si>
  <si>
    <t>王刚</t>
  </si>
  <si>
    <t>6100121092419083</t>
  </si>
  <si>
    <t>任守军</t>
  </si>
  <si>
    <t>6100121092219139</t>
  </si>
  <si>
    <t>吴春莉</t>
  </si>
  <si>
    <t>6100121091719240</t>
  </si>
  <si>
    <t>孔纯方</t>
  </si>
  <si>
    <t>6100121090119110</t>
  </si>
  <si>
    <t>2023-04-01</t>
  </si>
  <si>
    <t>石磊磊</t>
  </si>
  <si>
    <t>6100121092019238</t>
  </si>
  <si>
    <t>展鹏雁</t>
  </si>
  <si>
    <t>6100121091119271</t>
  </si>
  <si>
    <t>杨敬来</t>
  </si>
  <si>
    <t>6100121092319202</t>
  </si>
  <si>
    <t>田永刚</t>
  </si>
  <si>
    <t>6100121092719211</t>
  </si>
  <si>
    <t>6100121092419246</t>
  </si>
  <si>
    <t>6101222050510547</t>
  </si>
  <si>
    <t>2023-12-05</t>
  </si>
  <si>
    <t>王振锋</t>
  </si>
  <si>
    <t>6101222040310568</t>
  </si>
  <si>
    <t>6101222040610514</t>
  </si>
  <si>
    <t>2023-11-06</t>
  </si>
  <si>
    <t>6101222040810595</t>
  </si>
  <si>
    <t>6101222041110328</t>
  </si>
  <si>
    <t>2023-11-11</t>
  </si>
  <si>
    <t>6101222041810251</t>
  </si>
  <si>
    <t>2023-11-18</t>
  </si>
  <si>
    <t>6101222041810281</t>
  </si>
  <si>
    <t>6101222042210251</t>
  </si>
  <si>
    <t>2023-11-22</t>
  </si>
  <si>
    <t>李洋</t>
  </si>
  <si>
    <t>6101221102310260</t>
  </si>
  <si>
    <t>李波</t>
  </si>
  <si>
    <t>6101221102410297</t>
  </si>
  <si>
    <t>贺治媛</t>
  </si>
  <si>
    <t>6101221101310092</t>
  </si>
  <si>
    <t>陈菊红</t>
  </si>
  <si>
    <t>6101221100710043</t>
  </si>
  <si>
    <t>张瑶</t>
  </si>
  <si>
    <t>6101221100810097</t>
  </si>
  <si>
    <t>刘占国</t>
  </si>
  <si>
    <t>6101221100910101</t>
  </si>
  <si>
    <t>2022-11-07</t>
  </si>
  <si>
    <t>杨增涛</t>
  </si>
  <si>
    <t>6101221101010093</t>
  </si>
  <si>
    <t>鲜冬英</t>
  </si>
  <si>
    <t>6101221100410136</t>
  </si>
  <si>
    <t>2022-11-15</t>
  </si>
  <si>
    <t>王强</t>
  </si>
  <si>
    <t>6101221100410145</t>
  </si>
  <si>
    <t>舒建虎</t>
  </si>
  <si>
    <t>6101221110210012</t>
  </si>
  <si>
    <t>2022-11-05</t>
  </si>
  <si>
    <t>王巍</t>
  </si>
  <si>
    <t>6101221110310051</t>
  </si>
  <si>
    <t>吴先卫</t>
  </si>
  <si>
    <t>6101221110810054</t>
  </si>
  <si>
    <t>庞兴富</t>
  </si>
  <si>
    <t>6101221111110133</t>
  </si>
  <si>
    <t>李高孝</t>
  </si>
  <si>
    <t>6101221111210097</t>
  </si>
  <si>
    <t>马秉仁</t>
  </si>
  <si>
    <t>6101221111510094</t>
  </si>
  <si>
    <t>黄云峰</t>
  </si>
  <si>
    <t>6101221111710042</t>
  </si>
  <si>
    <t>2022-11-19</t>
  </si>
  <si>
    <t>王栓</t>
  </si>
  <si>
    <t>6101221112010047</t>
  </si>
  <si>
    <t>2021-11-20</t>
  </si>
  <si>
    <t>2022-12-18</t>
  </si>
  <si>
    <t>高艳玲</t>
  </si>
  <si>
    <t>6101221112410068</t>
  </si>
  <si>
    <t>蔡广明</t>
  </si>
  <si>
    <t>6101221112810055</t>
  </si>
  <si>
    <t>焦小娟</t>
  </si>
  <si>
    <t>6101221121110211</t>
  </si>
  <si>
    <t>史会云</t>
  </si>
  <si>
    <t>6101221121210217</t>
  </si>
  <si>
    <t>2022-12-11</t>
  </si>
  <si>
    <t>许涛</t>
  </si>
  <si>
    <t>6101221120210140</t>
  </si>
  <si>
    <t>李婷</t>
  </si>
  <si>
    <t>6101221122110153</t>
  </si>
  <si>
    <t>钟辉辉</t>
  </si>
  <si>
    <t>6101221122210092</t>
  </si>
  <si>
    <t>2021-12-22</t>
  </si>
  <si>
    <t>2023-07-22</t>
  </si>
  <si>
    <t>2022-12-21</t>
  </si>
  <si>
    <t>邹德朋</t>
  </si>
  <si>
    <t>6101221120110195</t>
  </si>
  <si>
    <t>2023-07-01</t>
  </si>
  <si>
    <t>高朋飞</t>
  </si>
  <si>
    <t>6101222010110053</t>
  </si>
  <si>
    <t>魏奔翔</t>
  </si>
  <si>
    <t>6101222010110136</t>
  </si>
  <si>
    <t>刘楠洋</t>
  </si>
  <si>
    <t>6101222010110352</t>
  </si>
  <si>
    <t>6101222010310013</t>
  </si>
  <si>
    <t>杨强</t>
  </si>
  <si>
    <t>6101222010310101</t>
  </si>
  <si>
    <t>冯羽荣</t>
  </si>
  <si>
    <t>6101222031310239</t>
  </si>
  <si>
    <t>路开丽</t>
  </si>
  <si>
    <t>6101222031410240</t>
  </si>
  <si>
    <t>刘香</t>
  </si>
  <si>
    <t>6101222031410344</t>
  </si>
  <si>
    <t>6101222032410072</t>
  </si>
  <si>
    <t>2023-10-24</t>
  </si>
  <si>
    <t>6101222051311167</t>
  </si>
  <si>
    <t>龚志萌</t>
  </si>
  <si>
    <t>6101222051510668</t>
  </si>
  <si>
    <t>王朝明</t>
  </si>
  <si>
    <t>6101222051810850</t>
  </si>
  <si>
    <t>2022-11-06</t>
  </si>
  <si>
    <t>6101222052010724</t>
  </si>
  <si>
    <t>2023-12-20</t>
  </si>
  <si>
    <t>邹娜娜</t>
  </si>
  <si>
    <t>6101222052110381</t>
  </si>
  <si>
    <t>2022-11-13</t>
  </si>
  <si>
    <t>6101222052910177</t>
  </si>
  <si>
    <t>6101222052011413</t>
  </si>
  <si>
    <t>刘勇康</t>
  </si>
  <si>
    <t>6101222060110414</t>
  </si>
  <si>
    <t>6101222060410231</t>
  </si>
  <si>
    <t>2024-01-04</t>
  </si>
  <si>
    <t>6101222060510031</t>
  </si>
  <si>
    <t>王起升</t>
  </si>
  <si>
    <t>6101222060510142</t>
  </si>
  <si>
    <t>2022-12-03</t>
  </si>
  <si>
    <t>陈诚</t>
  </si>
  <si>
    <t>6101222060510161</t>
  </si>
  <si>
    <t>张芬</t>
  </si>
  <si>
    <t>6101222060710187</t>
  </si>
  <si>
    <t>2024-01-07</t>
  </si>
  <si>
    <t>黄孝野</t>
  </si>
  <si>
    <t>6101222060810215</t>
  </si>
  <si>
    <t>胡定永</t>
  </si>
  <si>
    <t>6101222061310127</t>
  </si>
  <si>
    <t>2024-01-13</t>
  </si>
  <si>
    <t>李文杰</t>
  </si>
  <si>
    <t>6101222070110291</t>
  </si>
  <si>
    <t>2024-02-01</t>
  </si>
  <si>
    <t>6101222070110348</t>
  </si>
  <si>
    <t>6101222071010103</t>
  </si>
  <si>
    <t>2024-02-10</t>
  </si>
  <si>
    <t>白茜毓</t>
  </si>
  <si>
    <t>6100121091319079</t>
  </si>
  <si>
    <t>6100121091919043</t>
  </si>
  <si>
    <t>张国威</t>
  </si>
  <si>
    <t>6100121090519041</t>
  </si>
  <si>
    <t>2022-11-12</t>
  </si>
  <si>
    <t>王艳萍</t>
  </si>
  <si>
    <t>6100121091119098</t>
  </si>
  <si>
    <t>李志文</t>
  </si>
  <si>
    <t>6100121090619087</t>
  </si>
  <si>
    <t>2022-12-04</t>
  </si>
  <si>
    <t>张工厂</t>
  </si>
  <si>
    <t>6100121091619176</t>
  </si>
  <si>
    <t>金忠华</t>
  </si>
  <si>
    <t>6100121092019103</t>
  </si>
  <si>
    <t>2022-11-18</t>
  </si>
  <si>
    <t>高宏义</t>
  </si>
  <si>
    <t>6100121091719219</t>
  </si>
  <si>
    <t>6101222010310201</t>
  </si>
  <si>
    <t>6101222010510357</t>
  </si>
  <si>
    <t>6101222010510403</t>
  </si>
  <si>
    <t>6101222010510464</t>
  </si>
  <si>
    <t>6101222010710219</t>
  </si>
  <si>
    <t>刘晓</t>
  </si>
  <si>
    <t>6101222011310148</t>
  </si>
  <si>
    <t>孙少春</t>
  </si>
  <si>
    <t>6101222011410021</t>
  </si>
  <si>
    <t>兰萌</t>
  </si>
  <si>
    <t>6101222011510208</t>
  </si>
  <si>
    <t>付刚</t>
  </si>
  <si>
    <t>6101222012110685</t>
  </si>
  <si>
    <t>刘丽</t>
  </si>
  <si>
    <t>6101222012310125</t>
  </si>
  <si>
    <t>孙仁宇</t>
  </si>
  <si>
    <t>6101222012510099</t>
  </si>
  <si>
    <t>6101222010210579</t>
  </si>
  <si>
    <t>6101222020610069</t>
  </si>
  <si>
    <t>栗洛锋</t>
  </si>
  <si>
    <t>6101222020610151</t>
  </si>
  <si>
    <t>6101222020610212</t>
  </si>
  <si>
    <t>6101222020910052</t>
  </si>
  <si>
    <t>6101222020910189</t>
  </si>
  <si>
    <t>李朋</t>
  </si>
  <si>
    <t>6101222020910190</t>
  </si>
  <si>
    <t>6101222021010247</t>
  </si>
  <si>
    <t>6101222022210161</t>
  </si>
  <si>
    <t>2023-09-22</t>
  </si>
  <si>
    <t>6101222022410074</t>
  </si>
  <si>
    <t>6101222030110509</t>
  </si>
  <si>
    <t>6101222030410206</t>
  </si>
  <si>
    <t>王美娟</t>
  </si>
  <si>
    <t>6101222030410450</t>
  </si>
  <si>
    <t>6101222030510131</t>
  </si>
  <si>
    <t>王孝莉</t>
  </si>
  <si>
    <t>6101222030510272</t>
  </si>
  <si>
    <t>6101222030810109</t>
  </si>
  <si>
    <t>6101222030910196</t>
  </si>
  <si>
    <t>6101222030910246</t>
  </si>
  <si>
    <t>6100121091519081</t>
  </si>
  <si>
    <t>2023-06-30</t>
  </si>
  <si>
    <t>张伟长</t>
  </si>
  <si>
    <t>6100121090419104</t>
  </si>
  <si>
    <t>林元笋</t>
  </si>
  <si>
    <t>6100121091919176</t>
  </si>
  <si>
    <t>2022-12-27</t>
  </si>
  <si>
    <t>田磊</t>
  </si>
  <si>
    <t>6101222050210431</t>
  </si>
  <si>
    <t>2022-05-02</t>
  </si>
  <si>
    <t>2023-12-02</t>
  </si>
  <si>
    <t>6101222040210537</t>
  </si>
  <si>
    <t>6101222040210541</t>
  </si>
  <si>
    <t>6101222040210704</t>
  </si>
  <si>
    <t>6101222040310409</t>
  </si>
  <si>
    <t>6101222040610638</t>
  </si>
  <si>
    <t>6101222041310410</t>
  </si>
  <si>
    <t>2023-11-13</t>
  </si>
  <si>
    <t>6101222041410401</t>
  </si>
  <si>
    <t>2023-11-14</t>
  </si>
  <si>
    <t>张虹</t>
  </si>
  <si>
    <t>6101222030210366</t>
  </si>
  <si>
    <t>陕西威迈户外用品有限公司</t>
  </si>
  <si>
    <t>6101222051600072</t>
  </si>
  <si>
    <t>县域振兴批量贷（微众快贷</t>
  </si>
  <si>
    <t>2024-05-16</t>
  </si>
  <si>
    <t>西安天之骄广告装饰工程有限公司</t>
  </si>
  <si>
    <t>6101222051700059</t>
  </si>
  <si>
    <t>2024-05-14</t>
  </si>
  <si>
    <t>省担自营</t>
  </si>
  <si>
    <t>西安市临潼区大秦温室工程有限公司</t>
  </si>
  <si>
    <t>6101222040500335</t>
  </si>
  <si>
    <t>2024-04-16</t>
  </si>
  <si>
    <t>6101222041600118</t>
  </si>
  <si>
    <t>陕西航宇通信息科技有限公司</t>
  </si>
  <si>
    <t>6102521110500065</t>
  </si>
  <si>
    <t>长安银行宝鸡创新路支行</t>
  </si>
  <si>
    <t>比例再担保（陕再银担快易贷）</t>
  </si>
  <si>
    <t>2023-07-20</t>
  </si>
  <si>
    <t>宝鸡市润辰商砼有限公司</t>
  </si>
  <si>
    <t>6102521110500066</t>
  </si>
  <si>
    <t>咸阳泰嘉光电科技有限公司</t>
  </si>
  <si>
    <t>6102621122800004</t>
  </si>
  <si>
    <t>交通银行咸阳分行</t>
  </si>
  <si>
    <t>郭希鹏</t>
  </si>
  <si>
    <t>6101221102010085</t>
  </si>
  <si>
    <t>王勇</t>
  </si>
  <si>
    <t>6101221102010092</t>
  </si>
  <si>
    <t>2022-12-26</t>
  </si>
  <si>
    <t>张韧</t>
  </si>
  <si>
    <t>6101221102010142</t>
  </si>
  <si>
    <t>2022-12-16</t>
  </si>
  <si>
    <t>李正儒</t>
  </si>
  <si>
    <t>6101221102010147</t>
  </si>
  <si>
    <t>2022-12-10</t>
  </si>
  <si>
    <t>张艳妮</t>
  </si>
  <si>
    <t>6101221100910095</t>
  </si>
  <si>
    <t>2022-12-31</t>
  </si>
  <si>
    <t>党李飞</t>
  </si>
  <si>
    <t>6101221101110024</t>
  </si>
  <si>
    <t>2023-01-05</t>
  </si>
  <si>
    <t>屠利茹</t>
  </si>
  <si>
    <t>6101221101110119</t>
  </si>
  <si>
    <t>惠书琼</t>
  </si>
  <si>
    <t>6101221100210006</t>
  </si>
  <si>
    <t>吕布</t>
  </si>
  <si>
    <t>6101221100310096</t>
  </si>
  <si>
    <t>冯瑶</t>
  </si>
  <si>
    <t>6101221100510147</t>
  </si>
  <si>
    <t>张克胜</t>
  </si>
  <si>
    <t>6101221110310077</t>
  </si>
  <si>
    <t>6101221110410021</t>
  </si>
  <si>
    <t>2022-12-15</t>
  </si>
  <si>
    <t>高永平</t>
  </si>
  <si>
    <t>6101221110510139</t>
  </si>
  <si>
    <t>王新民</t>
  </si>
  <si>
    <t>6101221110510154</t>
  </si>
  <si>
    <t>2022-12-17</t>
  </si>
  <si>
    <t>孟红英</t>
  </si>
  <si>
    <t>6101221110710051</t>
  </si>
  <si>
    <t>2023-01-07</t>
  </si>
  <si>
    <t>晁攀</t>
  </si>
  <si>
    <t>6101221110810095</t>
  </si>
  <si>
    <t>杨小其</t>
  </si>
  <si>
    <t>6101221110910175</t>
  </si>
  <si>
    <t>赵庆庆</t>
  </si>
  <si>
    <t>6101221111010023</t>
  </si>
  <si>
    <t>2022-12-02</t>
  </si>
  <si>
    <t>刘龙</t>
  </si>
  <si>
    <t>6101221111110037</t>
  </si>
  <si>
    <t>2022-12-30</t>
  </si>
  <si>
    <t>柳定军</t>
  </si>
  <si>
    <t>6101221111510150</t>
  </si>
  <si>
    <t>段贝贝</t>
  </si>
  <si>
    <t>6101221111610069</t>
  </si>
  <si>
    <t>2023-01-16</t>
  </si>
  <si>
    <t>滕庆</t>
  </si>
  <si>
    <t>6101221112410040</t>
  </si>
  <si>
    <t>郭张永</t>
  </si>
  <si>
    <t>6101221112410054</t>
  </si>
  <si>
    <t>2022-12-24</t>
  </si>
  <si>
    <t>郭松</t>
  </si>
  <si>
    <t>6101221112610063</t>
  </si>
  <si>
    <t>刘伟</t>
  </si>
  <si>
    <t>6101221121210233</t>
  </si>
  <si>
    <t>2022-12-08</t>
  </si>
  <si>
    <t>薛长红</t>
  </si>
  <si>
    <t>6101221121210236</t>
  </si>
  <si>
    <t>2023-01-14</t>
  </si>
  <si>
    <t>马海江</t>
  </si>
  <si>
    <t>6101221121610116</t>
  </si>
  <si>
    <t>2023-07-16</t>
  </si>
  <si>
    <t>黄业华</t>
  </si>
  <si>
    <t>6101221121710173</t>
  </si>
  <si>
    <t>韩建勋</t>
  </si>
  <si>
    <t>6101221122010160</t>
  </si>
  <si>
    <t>2021-12-20</t>
  </si>
  <si>
    <t>2022-12-23</t>
  </si>
  <si>
    <t>余少博</t>
  </si>
  <si>
    <t>6101221120410007</t>
  </si>
  <si>
    <t>吴俊业</t>
  </si>
  <si>
    <t>6101221120510028</t>
  </si>
  <si>
    <t>2023-01-01</t>
  </si>
  <si>
    <t>6101222010210048</t>
  </si>
  <si>
    <t>赵晓宁</t>
  </si>
  <si>
    <t>6101222010210072</t>
  </si>
  <si>
    <t>6101222010210478</t>
  </si>
  <si>
    <t>白伟</t>
  </si>
  <si>
    <t>6101222010410076</t>
  </si>
  <si>
    <t>朱金泉</t>
  </si>
  <si>
    <t>6101222010410138</t>
  </si>
  <si>
    <t>6101222010410242</t>
  </si>
  <si>
    <t>徐定坤</t>
  </si>
  <si>
    <t>6101222010510148</t>
  </si>
  <si>
    <t>史文煜</t>
  </si>
  <si>
    <t>6101222010510324</t>
  </si>
  <si>
    <t>6101222010610242</t>
  </si>
  <si>
    <t>2023-01-02</t>
  </si>
  <si>
    <t>6101222010710078</t>
  </si>
  <si>
    <t>姜文珠</t>
  </si>
  <si>
    <t>6101222010710380</t>
  </si>
  <si>
    <t>2022-12-06</t>
  </si>
  <si>
    <t>燕闯</t>
  </si>
  <si>
    <t>6101222010910224</t>
  </si>
  <si>
    <t>6101222011310157</t>
  </si>
  <si>
    <t>杨思明</t>
  </si>
  <si>
    <t>6101222011910287</t>
  </si>
  <si>
    <t>习芳</t>
  </si>
  <si>
    <t>6101222011910358</t>
  </si>
  <si>
    <t>余涛</t>
  </si>
  <si>
    <t>6101222012010257</t>
  </si>
  <si>
    <t>杨朝阳</t>
  </si>
  <si>
    <t>6101222012010367</t>
  </si>
  <si>
    <t>相涛</t>
  </si>
  <si>
    <t>6101222012010602</t>
  </si>
  <si>
    <t>刘赞</t>
  </si>
  <si>
    <t>6101222012110011</t>
  </si>
  <si>
    <t>孔资华</t>
  </si>
  <si>
    <t>6101222012110149</t>
  </si>
  <si>
    <t>窦文全</t>
  </si>
  <si>
    <t>6101222012110656</t>
  </si>
  <si>
    <t>张涛</t>
  </si>
  <si>
    <t>6101222012210174</t>
  </si>
  <si>
    <t>6101222012210307</t>
  </si>
  <si>
    <t>刘庭军</t>
  </si>
  <si>
    <t>6101222012210440</t>
  </si>
  <si>
    <t>李宏亮</t>
  </si>
  <si>
    <t>6101222012310250</t>
  </si>
  <si>
    <t>陶小军</t>
  </si>
  <si>
    <t>6101222012310547</t>
  </si>
  <si>
    <t>任朋岗</t>
  </si>
  <si>
    <t>6101222012410512</t>
  </si>
  <si>
    <t>张开仓</t>
  </si>
  <si>
    <t>6101222012410716</t>
  </si>
  <si>
    <t>王峥</t>
  </si>
  <si>
    <t>6101222012510563</t>
  </si>
  <si>
    <t>李佳明</t>
  </si>
  <si>
    <t>6101222012710302</t>
  </si>
  <si>
    <t>6101222012910148</t>
  </si>
  <si>
    <t>李勇</t>
  </si>
  <si>
    <t>6101222013010019</t>
  </si>
  <si>
    <t>6101222020210005</t>
  </si>
  <si>
    <t>6101222020210018</t>
  </si>
  <si>
    <t>6101222020210031</t>
  </si>
  <si>
    <t>6101222020510127</t>
  </si>
  <si>
    <t>6101222020510253</t>
  </si>
  <si>
    <t>2023-01-03</t>
  </si>
  <si>
    <t>王蜜</t>
  </si>
  <si>
    <t>6101222020510268</t>
  </si>
  <si>
    <t>6101222020610243</t>
  </si>
  <si>
    <t>张海艳</t>
  </si>
  <si>
    <t>6101222020610321</t>
  </si>
  <si>
    <t>6101222020710087</t>
  </si>
  <si>
    <t>郝学龙</t>
  </si>
  <si>
    <t>6101222020710462</t>
  </si>
  <si>
    <t>6101222020810006</t>
  </si>
  <si>
    <t>杨国强</t>
  </si>
  <si>
    <t>6101222020910077</t>
  </si>
  <si>
    <t>孟强</t>
  </si>
  <si>
    <t>6101222020910289</t>
  </si>
  <si>
    <t>6101222020910389</t>
  </si>
  <si>
    <t>黄锦汉</t>
  </si>
  <si>
    <t>6101222021110154</t>
  </si>
  <si>
    <t>2023-01-17</t>
  </si>
  <si>
    <t>毕保军</t>
  </si>
  <si>
    <t>6101222021210220</t>
  </si>
  <si>
    <t>6101222021410054</t>
  </si>
  <si>
    <t>崔军锁</t>
  </si>
  <si>
    <t>6101222021510173</t>
  </si>
  <si>
    <t>6101222021510374</t>
  </si>
  <si>
    <t>6101222021610246</t>
  </si>
  <si>
    <t>白琼</t>
  </si>
  <si>
    <t>6101222021710049</t>
  </si>
  <si>
    <t>杨海军</t>
  </si>
  <si>
    <t>6101222021810063</t>
  </si>
  <si>
    <t>王荣</t>
  </si>
  <si>
    <t>6101222021910204</t>
  </si>
  <si>
    <t>申红斌</t>
  </si>
  <si>
    <t>6101222021910241</t>
  </si>
  <si>
    <t>李小平</t>
  </si>
  <si>
    <t>6101222022010009</t>
  </si>
  <si>
    <t>2022-12-25</t>
  </si>
  <si>
    <t>孙卫涛</t>
  </si>
  <si>
    <t>6101222022110056</t>
  </si>
  <si>
    <t>6101222022210220</t>
  </si>
  <si>
    <t>6101222022310065</t>
  </si>
  <si>
    <t>韩继堂</t>
  </si>
  <si>
    <t>6101222022310259</t>
  </si>
  <si>
    <t>胡云鹏</t>
  </si>
  <si>
    <t>6101222022410099</t>
  </si>
  <si>
    <t>韦永康</t>
  </si>
  <si>
    <t>6101222022710175</t>
  </si>
  <si>
    <t>李飞龙</t>
  </si>
  <si>
    <t>6101222022710294</t>
  </si>
  <si>
    <t>6101222022810196</t>
  </si>
  <si>
    <t>6101222030210052</t>
  </si>
  <si>
    <t>陈炳强</t>
  </si>
  <si>
    <t>6101222030210123</t>
  </si>
  <si>
    <t>6101222030210362</t>
  </si>
  <si>
    <t>6101222030210422</t>
  </si>
  <si>
    <t>2022-12-13</t>
  </si>
  <si>
    <t>6101222030210726</t>
  </si>
  <si>
    <t>6101222030510010</t>
  </si>
  <si>
    <t>6101222030510319</t>
  </si>
  <si>
    <t>6101222030610176</t>
  </si>
  <si>
    <t>2023-10-06</t>
  </si>
  <si>
    <t>刘磊</t>
  </si>
  <si>
    <t>6101222030610318</t>
  </si>
  <si>
    <t>6101222030610527</t>
  </si>
  <si>
    <t>郑霞利</t>
  </si>
  <si>
    <t>6101222030710275</t>
  </si>
  <si>
    <t>6101222030810283</t>
  </si>
  <si>
    <t>高峰</t>
  </si>
  <si>
    <t>6101222030810457</t>
  </si>
  <si>
    <t>6101222030810476</t>
  </si>
  <si>
    <t>2023-03-11</t>
  </si>
  <si>
    <t>鲍欢</t>
  </si>
  <si>
    <t>6101222031110008</t>
  </si>
  <si>
    <t>6101222031410312</t>
  </si>
  <si>
    <t>兰彬</t>
  </si>
  <si>
    <t>6101222031410371</t>
  </si>
  <si>
    <t>郑云</t>
  </si>
  <si>
    <t>6101222031410470</t>
  </si>
  <si>
    <t>6101222031710086</t>
  </si>
  <si>
    <t>2023-10-17</t>
  </si>
  <si>
    <t>黄建博</t>
  </si>
  <si>
    <t>6101222031710203</t>
  </si>
  <si>
    <t>张春艳</t>
  </si>
  <si>
    <t>6101222031810087</t>
  </si>
  <si>
    <t>6101222031910296</t>
  </si>
  <si>
    <t>2023-10-19</t>
  </si>
  <si>
    <t>姬成成</t>
  </si>
  <si>
    <t>6101222032110113</t>
  </si>
  <si>
    <t>6101222032210064</t>
  </si>
  <si>
    <t>成强</t>
  </si>
  <si>
    <t>6101222032410037</t>
  </si>
  <si>
    <t>刘红艳</t>
  </si>
  <si>
    <t>6101222032510200</t>
  </si>
  <si>
    <t>2023-10-25</t>
  </si>
  <si>
    <t>6101222032810103</t>
  </si>
  <si>
    <t>2023-10-28</t>
  </si>
  <si>
    <t>张宗凯</t>
  </si>
  <si>
    <t>6101222052710130</t>
  </si>
  <si>
    <t>2023-12-27</t>
  </si>
  <si>
    <t>刘鹏</t>
  </si>
  <si>
    <t>6101222050910217</t>
  </si>
  <si>
    <t>2023-12-09</t>
  </si>
  <si>
    <t>2023-02-03</t>
  </si>
  <si>
    <t>6101222051410798</t>
  </si>
  <si>
    <t>2023-12-14</t>
  </si>
  <si>
    <t>6101222051710525</t>
  </si>
  <si>
    <t>2023-12-17</t>
  </si>
  <si>
    <t>高亚妮</t>
  </si>
  <si>
    <t>6101222051710620</t>
  </si>
  <si>
    <t>6101222051710641</t>
  </si>
  <si>
    <t>陈淼</t>
  </si>
  <si>
    <t>6101222051910991</t>
  </si>
  <si>
    <t>6101222052010637</t>
  </si>
  <si>
    <t>刘绍波</t>
  </si>
  <si>
    <t>6101222052510459</t>
  </si>
  <si>
    <t>6101222052710398</t>
  </si>
  <si>
    <t>6101222052810386</t>
  </si>
  <si>
    <t>2023-12-28</t>
  </si>
  <si>
    <t>侯恩平</t>
  </si>
  <si>
    <t>6101222053010310</t>
  </si>
  <si>
    <t>2023-12-30</t>
  </si>
  <si>
    <t>6101222052011349</t>
  </si>
  <si>
    <t>6101222052011520</t>
  </si>
  <si>
    <t>王万枝</t>
  </si>
  <si>
    <t>6101222060210040</t>
  </si>
  <si>
    <t>2024-01-02</t>
  </si>
  <si>
    <t>6101222060210083</t>
  </si>
  <si>
    <t>6101222060210191</t>
  </si>
  <si>
    <t>宋哲</t>
  </si>
  <si>
    <t>6101222060210327</t>
  </si>
  <si>
    <t>张增睿</t>
  </si>
  <si>
    <t>6101222060710200</t>
  </si>
  <si>
    <t>6101222061410191</t>
  </si>
  <si>
    <t>2024-01-14</t>
  </si>
  <si>
    <t>6101222061710154</t>
  </si>
  <si>
    <t>2024-01-17</t>
  </si>
  <si>
    <t>6101222062410291</t>
  </si>
  <si>
    <t>2024-01-24</t>
  </si>
  <si>
    <t>6101222062410336</t>
  </si>
  <si>
    <t>岳亚洲</t>
  </si>
  <si>
    <t>6101222050210398</t>
  </si>
  <si>
    <t>6101222050210474</t>
  </si>
  <si>
    <t>6101222050510515</t>
  </si>
  <si>
    <t>周学成</t>
  </si>
  <si>
    <t>6101222050510574</t>
  </si>
  <si>
    <t>6101222040110626</t>
  </si>
  <si>
    <t>6101222040110909</t>
  </si>
  <si>
    <t>赖振松</t>
  </si>
  <si>
    <t>6101222040210496</t>
  </si>
  <si>
    <t>2023-01-30</t>
  </si>
  <si>
    <t>刘敏峰</t>
  </si>
  <si>
    <t>6101222040210618</t>
  </si>
  <si>
    <t>6101222040310421</t>
  </si>
  <si>
    <t>6101222040410427</t>
  </si>
  <si>
    <t>2023-11-04</t>
  </si>
  <si>
    <t>6101222040410565</t>
  </si>
  <si>
    <t>6101222040810533</t>
  </si>
  <si>
    <t>6101222041110326</t>
  </si>
  <si>
    <t>6101222041210312</t>
  </si>
  <si>
    <t>2023-11-12</t>
  </si>
  <si>
    <t>6101222041210473</t>
  </si>
  <si>
    <t>罗甜</t>
  </si>
  <si>
    <t>6101222041310434</t>
  </si>
  <si>
    <t>6101222041410410</t>
  </si>
  <si>
    <t>英超</t>
  </si>
  <si>
    <t>6101222041410465</t>
  </si>
  <si>
    <t>6101222041910175</t>
  </si>
  <si>
    <t>2023-11-19</t>
  </si>
  <si>
    <t>6101222042110206</t>
  </si>
  <si>
    <t>2022-04-21</t>
  </si>
  <si>
    <t>2023-11-21</t>
  </si>
  <si>
    <t>王保成</t>
  </si>
  <si>
    <t>6101222042210188</t>
  </si>
  <si>
    <t>6101222070210177</t>
  </si>
  <si>
    <t>2024-02-02</t>
  </si>
  <si>
    <t>6101222070310065</t>
  </si>
  <si>
    <t>2024-02-03</t>
  </si>
  <si>
    <t>6101222070410019</t>
  </si>
  <si>
    <t>2024-02-04</t>
  </si>
  <si>
    <t>6101222070510048</t>
  </si>
  <si>
    <t>2024-02-05</t>
  </si>
  <si>
    <t>6101222070810106</t>
  </si>
  <si>
    <t>2024-02-08</t>
  </si>
  <si>
    <t>6101222070810120</t>
  </si>
  <si>
    <t>刘防震</t>
  </si>
  <si>
    <t>6101222071410021</t>
  </si>
  <si>
    <t>2024-02-14</t>
  </si>
  <si>
    <t>6101222071710059</t>
  </si>
  <si>
    <t>2022-07-17</t>
  </si>
  <si>
    <t>2024-02-17</t>
  </si>
  <si>
    <t>6101222071810087</t>
  </si>
  <si>
    <t>2024-02-18</t>
  </si>
  <si>
    <t>6101222072810069</t>
  </si>
  <si>
    <t>2024-02-28</t>
  </si>
  <si>
    <t>2023-01-26</t>
  </si>
  <si>
    <t>6101222072810082</t>
  </si>
  <si>
    <t>6101222073010073</t>
  </si>
  <si>
    <t>2024-02-29</t>
  </si>
  <si>
    <t>6101222080210038</t>
  </si>
  <si>
    <t>2024-03-02</t>
  </si>
  <si>
    <t>6101222080210070</t>
  </si>
  <si>
    <t>6101222080210356</t>
  </si>
  <si>
    <t>6101222081010011</t>
  </si>
  <si>
    <t>2024-03-10</t>
  </si>
  <si>
    <t>6101222081310062</t>
  </si>
  <si>
    <t>2024-03-13</t>
  </si>
  <si>
    <t>6101222080510270</t>
  </si>
  <si>
    <t>2024-03-05</t>
  </si>
  <si>
    <t>6100121091419054</t>
  </si>
  <si>
    <t>叶长军</t>
  </si>
  <si>
    <t>6100121091819119</t>
  </si>
  <si>
    <t>赵园</t>
  </si>
  <si>
    <t>6100121091419115</t>
  </si>
  <si>
    <t>6100121091819205</t>
  </si>
  <si>
    <t>耿杨军</t>
  </si>
  <si>
    <t>6100121092019120</t>
  </si>
  <si>
    <t>6100121091719215</t>
  </si>
  <si>
    <t>6100121090519095</t>
  </si>
  <si>
    <t>李拴平</t>
  </si>
  <si>
    <t>6100121092119039</t>
  </si>
  <si>
    <t>2023-01-20</t>
  </si>
  <si>
    <t>6100121092819148</t>
  </si>
  <si>
    <t>吴茜</t>
  </si>
  <si>
    <t>6100121092619126</t>
  </si>
  <si>
    <t>呼哲</t>
  </si>
  <si>
    <t>6100121092019199</t>
  </si>
  <si>
    <t>杨泽伟</t>
  </si>
  <si>
    <t>6100121092119104</t>
  </si>
  <si>
    <t>徐涛</t>
  </si>
  <si>
    <t>6100121092519155</t>
  </si>
  <si>
    <t>2023-01-24</t>
  </si>
  <si>
    <t>6100121091019382</t>
  </si>
  <si>
    <t>陈凯</t>
  </si>
  <si>
    <t>6100121092219216</t>
  </si>
  <si>
    <t>张景</t>
  </si>
  <si>
    <t>6100121091019405</t>
  </si>
  <si>
    <t>卜琼琼</t>
  </si>
  <si>
    <t>6100121091219184</t>
  </si>
  <si>
    <t>2023-01-19</t>
  </si>
  <si>
    <t>杨科</t>
  </si>
  <si>
    <t>6100121091619309</t>
  </si>
  <si>
    <t>李满团</t>
  </si>
  <si>
    <t>6100121092419221</t>
  </si>
  <si>
    <t>段庆龙</t>
  </si>
  <si>
    <t>6100121092119135</t>
  </si>
  <si>
    <t>西安邦致祥物资有限公司</t>
  </si>
  <si>
    <t>6101222032700141</t>
  </si>
  <si>
    <t>2024-03-27</t>
  </si>
  <si>
    <t>6101222053000043</t>
  </si>
  <si>
    <t>2024-05-27</t>
  </si>
  <si>
    <t>西安熹耀商贸有限公司</t>
  </si>
  <si>
    <t>6101222051900042</t>
  </si>
  <si>
    <t>2024-05-28</t>
  </si>
  <si>
    <t>2023-02-06</t>
  </si>
  <si>
    <t>西安龙合林创知识产权代理有限公司</t>
  </si>
  <si>
    <t>6101222062600023</t>
  </si>
  <si>
    <t>2024-06-28</t>
  </si>
  <si>
    <t>陕西润诚建筑劳务有限公司</t>
  </si>
  <si>
    <t>6101222073100091</t>
  </si>
  <si>
    <t>2024-07-28</t>
  </si>
  <si>
    <t>西安朗开广告文化传播有限公司</t>
  </si>
  <si>
    <t>6101222072700139</t>
  </si>
  <si>
    <t>2024-07-19</t>
  </si>
  <si>
    <t>6101222072900167</t>
  </si>
  <si>
    <t>2022-07-29</t>
  </si>
  <si>
    <t>2024-07-27</t>
  </si>
  <si>
    <t>陕西速捷预应力机械有限公司</t>
  </si>
  <si>
    <t>6101222072500198</t>
  </si>
  <si>
    <t>2024-07-21</t>
  </si>
  <si>
    <t>6101222081900116</t>
  </si>
  <si>
    <t>2024-08-19</t>
  </si>
  <si>
    <t>宝鸡市中辉装饰工程有限责任公司</t>
  </si>
  <si>
    <t>6101222080900460</t>
  </si>
  <si>
    <t>2024-08-08</t>
  </si>
  <si>
    <t>6101222082200104</t>
  </si>
  <si>
    <t>2024-08-21</t>
  </si>
  <si>
    <t>6101222042100161</t>
  </si>
  <si>
    <t>2024-04-21</t>
  </si>
  <si>
    <t>6101222042700167</t>
  </si>
  <si>
    <t>2024-04-27</t>
  </si>
  <si>
    <t>西安万行计算机科技有限公司</t>
  </si>
  <si>
    <t>6101222042000210</t>
  </si>
  <si>
    <t>2024-04-09</t>
  </si>
  <si>
    <t>西安鸿昶盛园林绿化工程有限公司</t>
  </si>
  <si>
    <t>6101222040100551</t>
  </si>
  <si>
    <t>2024-03-28</t>
  </si>
  <si>
    <t>陕西亿农翌高工贸有限公司</t>
  </si>
  <si>
    <t>6102521111700088</t>
  </si>
  <si>
    <t>陕西陇县长银村镇银行</t>
  </si>
  <si>
    <t>陈康</t>
  </si>
  <si>
    <t>6103221051419005</t>
  </si>
  <si>
    <t>扶贫专项</t>
  </si>
  <si>
    <t>2021-05-14</t>
  </si>
  <si>
    <t>李荣兴</t>
  </si>
  <si>
    <t>6103221091419002</t>
  </si>
  <si>
    <t>岐山县永顺供热设备安装有限公司</t>
  </si>
  <si>
    <t>6102521112400085</t>
  </si>
  <si>
    <t>陕西岐山长银村镇银行</t>
  </si>
  <si>
    <t>韩晋星</t>
  </si>
  <si>
    <t>6101221112610028</t>
  </si>
  <si>
    <t>2023-03-17</t>
  </si>
  <si>
    <t>梁洋</t>
  </si>
  <si>
    <t>6100121091019421</t>
  </si>
  <si>
    <t>许友茂</t>
  </si>
  <si>
    <t>6101221102510326</t>
  </si>
  <si>
    <t>杨刚强</t>
  </si>
  <si>
    <t>6101221103110088</t>
  </si>
  <si>
    <t>奥秦</t>
  </si>
  <si>
    <t>6101221101810116</t>
  </si>
  <si>
    <t>2021-10-18</t>
  </si>
  <si>
    <t>邵文珠</t>
  </si>
  <si>
    <t>6101221100110055</t>
  </si>
  <si>
    <t>白鹏</t>
  </si>
  <si>
    <t>6101221100310136</t>
  </si>
  <si>
    <t>王亚娟</t>
  </si>
  <si>
    <t>6101221110810098</t>
  </si>
  <si>
    <t>2023-01-22</t>
  </si>
  <si>
    <t>汤绍林</t>
  </si>
  <si>
    <t>6101221111110033</t>
  </si>
  <si>
    <t>武龙磊</t>
  </si>
  <si>
    <t>6101221111210062</t>
  </si>
  <si>
    <t>杨志春</t>
  </si>
  <si>
    <t>6101221111310039</t>
  </si>
  <si>
    <t>徐二孟</t>
  </si>
  <si>
    <t>6101221111410015</t>
  </si>
  <si>
    <t>2023-01-23</t>
  </si>
  <si>
    <t>王福江</t>
  </si>
  <si>
    <t>6101221111910130</t>
  </si>
  <si>
    <t>姚振华</t>
  </si>
  <si>
    <t>6101221112110088</t>
  </si>
  <si>
    <t>邢俊霞</t>
  </si>
  <si>
    <t>6101221121510249</t>
  </si>
  <si>
    <t>王虎强</t>
  </si>
  <si>
    <t>6101221121710194</t>
  </si>
  <si>
    <t>6101221121810029</t>
  </si>
  <si>
    <t>李彦宝</t>
  </si>
  <si>
    <t>6101221122010187</t>
  </si>
  <si>
    <t>龚英毅</t>
  </si>
  <si>
    <t>6101221122310115</t>
  </si>
  <si>
    <t>2021-12-23</t>
  </si>
  <si>
    <t>2023-07-23</t>
  </si>
  <si>
    <t>2023-01-21</t>
  </si>
  <si>
    <t>刘敏</t>
  </si>
  <si>
    <t>6101221122410088</t>
  </si>
  <si>
    <t>习宁</t>
  </si>
  <si>
    <t>6101221120510021</t>
  </si>
  <si>
    <t>龙波</t>
  </si>
  <si>
    <t>6101221120510077</t>
  </si>
  <si>
    <t>马社茹</t>
  </si>
  <si>
    <t>6101221120710124</t>
  </si>
  <si>
    <t>2023-07-07</t>
  </si>
  <si>
    <t>6101222010210192</t>
  </si>
  <si>
    <t>洪滨红</t>
  </si>
  <si>
    <t>6101222010310021</t>
  </si>
  <si>
    <t>李洁</t>
  </si>
  <si>
    <t>6101222010310118</t>
  </si>
  <si>
    <t>6101222010310228</t>
  </si>
  <si>
    <t>2023-02-21</t>
  </si>
  <si>
    <t>6101222010310470</t>
  </si>
  <si>
    <t>6101222010410170</t>
  </si>
  <si>
    <t>张乐</t>
  </si>
  <si>
    <t>6101222010410415</t>
  </si>
  <si>
    <t>6101222010410425</t>
  </si>
  <si>
    <t>邹大璐</t>
  </si>
  <si>
    <t>6101222010610033</t>
  </si>
  <si>
    <t>6101222010610142</t>
  </si>
  <si>
    <t>王磊</t>
  </si>
  <si>
    <t>6101222010910003</t>
  </si>
  <si>
    <t>王蓉</t>
  </si>
  <si>
    <t>6101222011110094</t>
  </si>
  <si>
    <t>范会巧</t>
  </si>
  <si>
    <t>6101222011310059</t>
  </si>
  <si>
    <t>陈治国</t>
  </si>
  <si>
    <t>6101222011810057</t>
  </si>
  <si>
    <t>2022-01-18</t>
  </si>
  <si>
    <t>2023-08-18</t>
  </si>
  <si>
    <t>梁明明</t>
  </si>
  <si>
    <t>6101222011910048</t>
  </si>
  <si>
    <t>6101222011910246</t>
  </si>
  <si>
    <t>2023-01-13</t>
  </si>
  <si>
    <t>杨振良</t>
  </si>
  <si>
    <t>6101222012010089</t>
  </si>
  <si>
    <t>张景旭</t>
  </si>
  <si>
    <t>6101222012010509</t>
  </si>
  <si>
    <t>杨茹</t>
  </si>
  <si>
    <t>6101222012010833</t>
  </si>
  <si>
    <t>2023-01-18</t>
  </si>
  <si>
    <t>惠良芝</t>
  </si>
  <si>
    <t>6101222012210305</t>
  </si>
  <si>
    <t>6101222012210437</t>
  </si>
  <si>
    <t>周红霞</t>
  </si>
  <si>
    <t>6101222012310153</t>
  </si>
  <si>
    <t>贺相生</t>
  </si>
  <si>
    <t>6101222012610365</t>
  </si>
  <si>
    <t>6101222012610387</t>
  </si>
  <si>
    <t>苑宗武</t>
  </si>
  <si>
    <t>6101222013010202</t>
  </si>
  <si>
    <t>2023-01-11</t>
  </si>
  <si>
    <t>成秋艳</t>
  </si>
  <si>
    <t>6101222020110303</t>
  </si>
  <si>
    <t>2023-03-02</t>
  </si>
  <si>
    <t>董力谦</t>
  </si>
  <si>
    <t>6101222020210014</t>
  </si>
  <si>
    <t>6101222020410013</t>
  </si>
  <si>
    <t>文刚</t>
  </si>
  <si>
    <t>6101222020410057</t>
  </si>
  <si>
    <t>6101222020510117</t>
  </si>
  <si>
    <t>徐梦</t>
  </si>
  <si>
    <t>6101222020510129</t>
  </si>
  <si>
    <t>郑辉辉</t>
  </si>
  <si>
    <t>6101222020710134</t>
  </si>
  <si>
    <t>2023-01-25</t>
  </si>
  <si>
    <t>6101222020810216</t>
  </si>
  <si>
    <t>6101222020910430</t>
  </si>
  <si>
    <t>张丁</t>
  </si>
  <si>
    <t>6101222021110013</t>
  </si>
  <si>
    <t>王宁</t>
  </si>
  <si>
    <t>6101222021110077</t>
  </si>
  <si>
    <t>胡森</t>
  </si>
  <si>
    <t>6101222021310104</t>
  </si>
  <si>
    <t>2023-02-11</t>
  </si>
  <si>
    <t>张雷</t>
  </si>
  <si>
    <t>6101222021410098</t>
  </si>
  <si>
    <t>冯哲</t>
  </si>
  <si>
    <t>6101222021410136</t>
  </si>
  <si>
    <t>6101222021610169</t>
  </si>
  <si>
    <t>6101222021610181</t>
  </si>
  <si>
    <t>胡斌</t>
  </si>
  <si>
    <t>6101222021610357</t>
  </si>
  <si>
    <t>2023-01-15</t>
  </si>
  <si>
    <t>李学龙</t>
  </si>
  <si>
    <t>6101222021710279</t>
  </si>
  <si>
    <t>张迎青</t>
  </si>
  <si>
    <t>6101222021910057</t>
  </si>
  <si>
    <t>孙建平</t>
  </si>
  <si>
    <t>6101222021910254</t>
  </si>
  <si>
    <t>李娟</t>
  </si>
  <si>
    <t>6101222022010052</t>
  </si>
  <si>
    <t>6101222022010358</t>
  </si>
  <si>
    <t>刘顺利</t>
  </si>
  <si>
    <t>6101222022210035</t>
  </si>
  <si>
    <t>胡曦丹</t>
  </si>
  <si>
    <t>6101222022510027</t>
  </si>
  <si>
    <t>6101222022510104</t>
  </si>
  <si>
    <t>6101222022510292</t>
  </si>
  <si>
    <t>刘军辉</t>
  </si>
  <si>
    <t>6101222022710046</t>
  </si>
  <si>
    <t>6101222022810296</t>
  </si>
  <si>
    <t>6101222030110119</t>
  </si>
  <si>
    <t>6101222030110262</t>
  </si>
  <si>
    <t>6101222030210281</t>
  </si>
  <si>
    <t>6101222030210491</t>
  </si>
  <si>
    <t>6101222030210758</t>
  </si>
  <si>
    <t>陈鹏</t>
  </si>
  <si>
    <t>6101222030310357</t>
  </si>
  <si>
    <t>6101222030410027</t>
  </si>
  <si>
    <t>夏腾</t>
  </si>
  <si>
    <t>6101222030410050</t>
  </si>
  <si>
    <t>吴建立</t>
  </si>
  <si>
    <t>6101222030410311</t>
  </si>
  <si>
    <t>2023-02-18</t>
  </si>
  <si>
    <t>6101222030510153</t>
  </si>
  <si>
    <t>洪志福</t>
  </si>
  <si>
    <t>6101222030510174</t>
  </si>
  <si>
    <t>李俊平</t>
  </si>
  <si>
    <t>6101222030510329</t>
  </si>
  <si>
    <t>井丽</t>
  </si>
  <si>
    <t>6101222030610053</t>
  </si>
  <si>
    <t>6101222030610190</t>
  </si>
  <si>
    <t>陈媛</t>
  </si>
  <si>
    <t>6101222030610325</t>
  </si>
  <si>
    <t>6101222030610482</t>
  </si>
  <si>
    <t>王会芳</t>
  </si>
  <si>
    <t>6101222030710647</t>
  </si>
  <si>
    <t>2023-02-12</t>
  </si>
  <si>
    <t>党德刚</t>
  </si>
  <si>
    <t>6101222030810607</t>
  </si>
  <si>
    <t>6101222031310107</t>
  </si>
  <si>
    <t>6101222031510270</t>
  </si>
  <si>
    <t>6101222031910030</t>
  </si>
  <si>
    <t>6101222031910063</t>
  </si>
  <si>
    <t>6101222032010459</t>
  </si>
  <si>
    <t>2022-03-20</t>
  </si>
  <si>
    <t>2023-10-20</t>
  </si>
  <si>
    <t>谢晓月</t>
  </si>
  <si>
    <t>6101222032510061</t>
  </si>
  <si>
    <t>李鸿飞</t>
  </si>
  <si>
    <t>6101222033010027</t>
  </si>
  <si>
    <t>2023-10-30</t>
  </si>
  <si>
    <t>吕转</t>
  </si>
  <si>
    <t>6101222052610240</t>
  </si>
  <si>
    <t>2023-12-26</t>
  </si>
  <si>
    <t>石秀业</t>
  </si>
  <si>
    <t>6101222050910284</t>
  </si>
  <si>
    <t>程利娟</t>
  </si>
  <si>
    <t>6101222050910298</t>
  </si>
  <si>
    <t>6101222051110247</t>
  </si>
  <si>
    <t>2022-05-11</t>
  </si>
  <si>
    <t>2023-12-11</t>
  </si>
  <si>
    <t>6101222051311304</t>
  </si>
  <si>
    <t>张磊</t>
  </si>
  <si>
    <t>6101222051510955</t>
  </si>
  <si>
    <t>周运儿</t>
  </si>
  <si>
    <t>6101222051511041</t>
  </si>
  <si>
    <t>苏婷</t>
  </si>
  <si>
    <t>6101222051611009</t>
  </si>
  <si>
    <t>2023-02-14</t>
  </si>
  <si>
    <t>张东阳</t>
  </si>
  <si>
    <t>6101222051611093</t>
  </si>
  <si>
    <t>6101222051710858</t>
  </si>
  <si>
    <t>祁利利</t>
  </si>
  <si>
    <t>6101222051910708</t>
  </si>
  <si>
    <t>6101222052010705</t>
  </si>
  <si>
    <t>杜前修</t>
  </si>
  <si>
    <t>6101222052210315</t>
  </si>
  <si>
    <t>2023-12-22</t>
  </si>
  <si>
    <t>2023-02-20</t>
  </si>
  <si>
    <t>范柏孜</t>
  </si>
  <si>
    <t>6101222052310370</t>
  </si>
  <si>
    <t>苏亮</t>
  </si>
  <si>
    <t>6101222052410382</t>
  </si>
  <si>
    <t>6101222052410406</t>
  </si>
  <si>
    <t>6101222052510509</t>
  </si>
  <si>
    <t>6101222052510573</t>
  </si>
  <si>
    <t>高国才</t>
  </si>
  <si>
    <t>6101222053110434</t>
  </si>
  <si>
    <t>2023-12-31</t>
  </si>
  <si>
    <t>6101222052011513</t>
  </si>
  <si>
    <t>梁丽</t>
  </si>
  <si>
    <t>6101222052011593</t>
  </si>
  <si>
    <t>贾建慧</t>
  </si>
  <si>
    <t>6101222060210125</t>
  </si>
  <si>
    <t>6101222060210314</t>
  </si>
  <si>
    <t>张美娥</t>
  </si>
  <si>
    <t>6101222060610312</t>
  </si>
  <si>
    <t>2024-01-06</t>
  </si>
  <si>
    <t>6101222061010237</t>
  </si>
  <si>
    <t>2024-01-10</t>
  </si>
  <si>
    <t>张环宇</t>
  </si>
  <si>
    <t>6101222061210095</t>
  </si>
  <si>
    <t>2024-01-12</t>
  </si>
  <si>
    <t>2023-01-10</t>
  </si>
  <si>
    <t>6101222061310180</t>
  </si>
  <si>
    <t>6101222061410131</t>
  </si>
  <si>
    <t>6101222061610210</t>
  </si>
  <si>
    <t>2024-01-16</t>
  </si>
  <si>
    <t>6101222061710102</t>
  </si>
  <si>
    <t>6101222062010174</t>
  </si>
  <si>
    <t>2024-01-20</t>
  </si>
  <si>
    <t>6101222062510188</t>
  </si>
  <si>
    <t>2024-01-25</t>
  </si>
  <si>
    <t>6101222062610059</t>
  </si>
  <si>
    <t>2024-01-26</t>
  </si>
  <si>
    <t>6101222070110072</t>
  </si>
  <si>
    <t>6101222070110203</t>
  </si>
  <si>
    <t>6101222070610180</t>
  </si>
  <si>
    <t>2024-02-06</t>
  </si>
  <si>
    <t>6101222070810148</t>
  </si>
  <si>
    <t>朱永生</t>
  </si>
  <si>
    <t>6101222070810260</t>
  </si>
  <si>
    <t>6101222070910022</t>
  </si>
  <si>
    <t>2024-02-09</t>
  </si>
  <si>
    <t>冯一潇</t>
  </si>
  <si>
    <t>6101222071210010</t>
  </si>
  <si>
    <t>2024-02-12</t>
  </si>
  <si>
    <t>6101222071310156</t>
  </si>
  <si>
    <t>2024-02-13</t>
  </si>
  <si>
    <t>6101222072110007</t>
  </si>
  <si>
    <t>2022-07-21</t>
  </si>
  <si>
    <t>2024-02-21</t>
  </si>
  <si>
    <t>6101222072510115</t>
  </si>
  <si>
    <t>2024-02-25</t>
  </si>
  <si>
    <t>6101222080210258</t>
  </si>
  <si>
    <t>6101222081110010</t>
  </si>
  <si>
    <t>2024-03-11</t>
  </si>
  <si>
    <t>6101222081410110</t>
  </si>
  <si>
    <t>6101222080910423</t>
  </si>
  <si>
    <t>2024-03-09</t>
  </si>
  <si>
    <t>张吉祥</t>
  </si>
  <si>
    <t>6101222090310037</t>
  </si>
  <si>
    <t>2024-04-03</t>
  </si>
  <si>
    <t>岳甜</t>
  </si>
  <si>
    <t>6101222090410023</t>
  </si>
  <si>
    <t>2024-04-04</t>
  </si>
  <si>
    <t>6101222091510035</t>
  </si>
  <si>
    <t>2024-04-15</t>
  </si>
  <si>
    <t>张耀武</t>
  </si>
  <si>
    <t>6100121090219049</t>
  </si>
  <si>
    <t>2023-04-02</t>
  </si>
  <si>
    <t>2023-02-17</t>
  </si>
  <si>
    <t>6100121091219045</t>
  </si>
  <si>
    <t>于治房</t>
  </si>
  <si>
    <t>6100121091819167</t>
  </si>
  <si>
    <t>6100121092519055</t>
  </si>
  <si>
    <t>贺梦韬</t>
  </si>
  <si>
    <t>6100121092419133</t>
  </si>
  <si>
    <t>6100121092519121</t>
  </si>
  <si>
    <t>6100121091619297</t>
  </si>
  <si>
    <t>6100121092119143</t>
  </si>
  <si>
    <t>祝恒贵</t>
  </si>
  <si>
    <t>6100121093019258</t>
  </si>
  <si>
    <t>6101222050110472</t>
  </si>
  <si>
    <t>2022-05-01</t>
  </si>
  <si>
    <t>2023-12-01</t>
  </si>
  <si>
    <t>6101222050210407</t>
  </si>
  <si>
    <t>6101222050210409</t>
  </si>
  <si>
    <t>6101222050310413</t>
  </si>
  <si>
    <t>2023-12-03</t>
  </si>
  <si>
    <t>6101222040410357</t>
  </si>
  <si>
    <t>6101222040410391</t>
  </si>
  <si>
    <t>6101222040510647</t>
  </si>
  <si>
    <t>2023-11-05</t>
  </si>
  <si>
    <t>6101222040610612</t>
  </si>
  <si>
    <t>6101222041010433</t>
  </si>
  <si>
    <t>2022-04-10</t>
  </si>
  <si>
    <t>2023-11-10</t>
  </si>
  <si>
    <t>6101222041310371</t>
  </si>
  <si>
    <t>常建国</t>
  </si>
  <si>
    <t>6101222041610164</t>
  </si>
  <si>
    <t>2023-11-16</t>
  </si>
  <si>
    <t>6101222041710171</t>
  </si>
  <si>
    <t>2023-11-17</t>
  </si>
  <si>
    <t>李云龙</t>
  </si>
  <si>
    <t>6101222041910176</t>
  </si>
  <si>
    <t>6101222042010234</t>
  </si>
  <si>
    <t>2023-11-20</t>
  </si>
  <si>
    <t>6101222042510247</t>
  </si>
  <si>
    <t>2023-11-25</t>
  </si>
  <si>
    <t>石建平</t>
  </si>
  <si>
    <t>6101222042910275</t>
  </si>
  <si>
    <t>2023-11-29</t>
  </si>
  <si>
    <t>何仲豪</t>
  </si>
  <si>
    <t>6103121102910001</t>
  </si>
  <si>
    <t>农业银行汉中东大街支行</t>
  </si>
  <si>
    <t>2021-10-29</t>
  </si>
  <si>
    <t>2024-10-28</t>
  </si>
  <si>
    <t>2023-01-29</t>
  </si>
  <si>
    <t>2023-7-24</t>
  </si>
  <si>
    <t>王永兴</t>
  </si>
  <si>
    <t>6103121102810003</t>
  </si>
  <si>
    <t>农业银行汉中天台路支行</t>
  </si>
  <si>
    <t>2024-10-27</t>
  </si>
  <si>
    <t>尤飞</t>
  </si>
  <si>
    <t>农业银行留坝县支行</t>
  </si>
  <si>
    <t>2024-10-07</t>
  </si>
  <si>
    <t>宝鸡正鼎信信息科技有限公司</t>
  </si>
  <si>
    <t>6102521122300059</t>
  </si>
  <si>
    <t>2023-07-19</t>
  </si>
  <si>
    <t>高辉</t>
  </si>
  <si>
    <t>6100121091119085</t>
  </si>
  <si>
    <t>2023-03-25</t>
  </si>
  <si>
    <t>呼永毛</t>
  </si>
  <si>
    <t>6101221100710129</t>
  </si>
  <si>
    <t>王炜</t>
  </si>
  <si>
    <t>6101221100410137</t>
  </si>
  <si>
    <t>2023-02-07</t>
  </si>
  <si>
    <t>王伟峰</t>
  </si>
  <si>
    <t>6101221110410038</t>
  </si>
  <si>
    <t>宋丽娜</t>
  </si>
  <si>
    <t>6101221110810008</t>
  </si>
  <si>
    <t>2023-02-09</t>
  </si>
  <si>
    <t>王爱爱</t>
  </si>
  <si>
    <t>6101221110910088</t>
  </si>
  <si>
    <t>2023-02-04</t>
  </si>
  <si>
    <t>王志辉</t>
  </si>
  <si>
    <t>6101221111710025</t>
  </si>
  <si>
    <t>2023-02-23</t>
  </si>
  <si>
    <t>张党国</t>
  </si>
  <si>
    <t>6101221112310051</t>
  </si>
  <si>
    <t>张红霞</t>
  </si>
  <si>
    <t>6101221112810060</t>
  </si>
  <si>
    <t>2023-02-24</t>
  </si>
  <si>
    <t>钟亮</t>
  </si>
  <si>
    <t>6101221120810151</t>
  </si>
  <si>
    <t>张彬博</t>
  </si>
  <si>
    <t>6101221121110140</t>
  </si>
  <si>
    <t>肖红亮</t>
  </si>
  <si>
    <t>6101221121510137</t>
  </si>
  <si>
    <t>冯雷</t>
  </si>
  <si>
    <t>6101221121910009</t>
  </si>
  <si>
    <t>2021-12-19</t>
  </si>
  <si>
    <t>刘任之</t>
  </si>
  <si>
    <t>6101221122310054</t>
  </si>
  <si>
    <t>林文强</t>
  </si>
  <si>
    <t>6101222010110579</t>
  </si>
  <si>
    <t>2023-03-24</t>
  </si>
  <si>
    <t>6101222010210004</t>
  </si>
  <si>
    <t>2023-02-19</t>
  </si>
  <si>
    <t>6101222010310468</t>
  </si>
  <si>
    <t>6101222010310487</t>
  </si>
  <si>
    <t>6101222010410061</t>
  </si>
  <si>
    <t>王庆霖</t>
  </si>
  <si>
    <t>6101222010610298</t>
  </si>
  <si>
    <t>张刚</t>
  </si>
  <si>
    <t>6101222010710184</t>
  </si>
  <si>
    <t>潘远财</t>
  </si>
  <si>
    <t>6101222010810089</t>
  </si>
  <si>
    <t>郭荣</t>
  </si>
  <si>
    <t>6101222010810142</t>
  </si>
  <si>
    <t>2023-02-02</t>
  </si>
  <si>
    <t>王砚</t>
  </si>
  <si>
    <t>6101222010910220</t>
  </si>
  <si>
    <t>张丽</t>
  </si>
  <si>
    <t>6101222011210056</t>
  </si>
  <si>
    <t>谭龙</t>
  </si>
  <si>
    <t>6101222011910029</t>
  </si>
  <si>
    <t>汤璐</t>
  </si>
  <si>
    <t>6101222012210063</t>
  </si>
  <si>
    <t>周正泽</t>
  </si>
  <si>
    <t>6101222012210548</t>
  </si>
  <si>
    <t>2023-02-05</t>
  </si>
  <si>
    <t>贺二勇</t>
  </si>
  <si>
    <t>6101222012510628</t>
  </si>
  <si>
    <t>2023-02-22</t>
  </si>
  <si>
    <t>周刚</t>
  </si>
  <si>
    <t>6101222012710168</t>
  </si>
  <si>
    <t>2023-02-25</t>
  </si>
  <si>
    <t>崔喜平</t>
  </si>
  <si>
    <t>6101222012810102</t>
  </si>
  <si>
    <t>6101222020810044</t>
  </si>
  <si>
    <t>王稳利</t>
  </si>
  <si>
    <t>6101222021110281</t>
  </si>
  <si>
    <t>6101222021210055</t>
  </si>
  <si>
    <t>陈承志</t>
  </si>
  <si>
    <t>6101222021210194</t>
  </si>
  <si>
    <t>6101222021310241</t>
  </si>
  <si>
    <t>王博</t>
  </si>
  <si>
    <t>6101222021310286</t>
  </si>
  <si>
    <t>刘明乐</t>
  </si>
  <si>
    <t>6101222021410419</t>
  </si>
  <si>
    <t>6101222021610153</t>
  </si>
  <si>
    <t>张锴</t>
  </si>
  <si>
    <t>6101222021810311</t>
  </si>
  <si>
    <t>2023-02-16</t>
  </si>
  <si>
    <t>6101222021910039</t>
  </si>
  <si>
    <t>6101222021910233</t>
  </si>
  <si>
    <t>阮玲琰</t>
  </si>
  <si>
    <t>6101222022010143</t>
  </si>
  <si>
    <t>2023-02-26</t>
  </si>
  <si>
    <t>6101222022010223</t>
  </si>
  <si>
    <t>6101222022110009</t>
  </si>
  <si>
    <t>张帆</t>
  </si>
  <si>
    <t>6101222022110267</t>
  </si>
  <si>
    <t>李建刚</t>
  </si>
  <si>
    <t>6101222022410371</t>
  </si>
  <si>
    <t>6101222022510165</t>
  </si>
  <si>
    <t>段铁炼</t>
  </si>
  <si>
    <t>6101222022810392</t>
  </si>
  <si>
    <t>6101222030210535</t>
  </si>
  <si>
    <t>6101222030310669</t>
  </si>
  <si>
    <t>夏功辉</t>
  </si>
  <si>
    <t>6101222030410117</t>
  </si>
  <si>
    <t>李刚</t>
  </si>
  <si>
    <t>6101222030610104</t>
  </si>
  <si>
    <t>6101222030710290</t>
  </si>
  <si>
    <t>张乐乐</t>
  </si>
  <si>
    <t>6101222030810618</t>
  </si>
  <si>
    <t>张娇娇</t>
  </si>
  <si>
    <t>6101222031010529</t>
  </si>
  <si>
    <t>2022-03-10</t>
  </si>
  <si>
    <t>2023-10-10</t>
  </si>
  <si>
    <t>6101222031310158</t>
  </si>
  <si>
    <t>汤小波</t>
  </si>
  <si>
    <t>6101222031310369</t>
  </si>
  <si>
    <t>6101222031610371</t>
  </si>
  <si>
    <t>曹会莉</t>
  </si>
  <si>
    <t>6101222032010392</t>
  </si>
  <si>
    <t>6101222032110014</t>
  </si>
  <si>
    <t>6101222032410058</t>
  </si>
  <si>
    <t>杨菊兰</t>
  </si>
  <si>
    <t>6101222050710346</t>
  </si>
  <si>
    <t>其乐格日其其格</t>
  </si>
  <si>
    <t>6101222051010218</t>
  </si>
  <si>
    <t>2023-12-10</t>
  </si>
  <si>
    <t>6101222051311301</t>
  </si>
  <si>
    <t>陈敦吉</t>
  </si>
  <si>
    <t>6101222051410597</t>
  </si>
  <si>
    <t>6101222051410620</t>
  </si>
  <si>
    <t>鱼洋</t>
  </si>
  <si>
    <t>6101222051410775</t>
  </si>
  <si>
    <t>戴炎君</t>
  </si>
  <si>
    <t>6101222051511044</t>
  </si>
  <si>
    <t>周冰</t>
  </si>
  <si>
    <t>6101222051511123</t>
  </si>
  <si>
    <t>周超</t>
  </si>
  <si>
    <t>6101222051910858</t>
  </si>
  <si>
    <t>6101222052010694</t>
  </si>
  <si>
    <t>6101222052110319</t>
  </si>
  <si>
    <t>6101222052110484</t>
  </si>
  <si>
    <t>董焰平</t>
  </si>
  <si>
    <t>6101222052310333</t>
  </si>
  <si>
    <t>薛亚宏</t>
  </si>
  <si>
    <t>6101222052710294</t>
  </si>
  <si>
    <t>陆祥祥</t>
  </si>
  <si>
    <t>6101222052710300</t>
  </si>
  <si>
    <t>王晓龙</t>
  </si>
  <si>
    <t>6101222052810277</t>
  </si>
  <si>
    <t>2023-02-15</t>
  </si>
  <si>
    <t>6101222053110329</t>
  </si>
  <si>
    <t>6101222060110042</t>
  </si>
  <si>
    <t>6101222060110488</t>
  </si>
  <si>
    <t>王宝珠</t>
  </si>
  <si>
    <t>6101222060110530</t>
  </si>
  <si>
    <t>6101222060110579</t>
  </si>
  <si>
    <t>6101222060310326</t>
  </si>
  <si>
    <t>2024-01-03</t>
  </si>
  <si>
    <t>王宇明</t>
  </si>
  <si>
    <t>6101222060410192</t>
  </si>
  <si>
    <t>6101222060610248</t>
  </si>
  <si>
    <t>乔建宏</t>
  </si>
  <si>
    <t>6101222060710194</t>
  </si>
  <si>
    <t>6101222060710240</t>
  </si>
  <si>
    <t>6101222061310073</t>
  </si>
  <si>
    <t>2023-03-19</t>
  </si>
  <si>
    <t>6101222061310080</t>
  </si>
  <si>
    <t>6101222061410071</t>
  </si>
  <si>
    <t>6101222062510102</t>
  </si>
  <si>
    <t>6101222070210291</t>
  </si>
  <si>
    <t>6101222070610231</t>
  </si>
  <si>
    <t>6101222070610265</t>
  </si>
  <si>
    <t>2023-03-06</t>
  </si>
  <si>
    <t>6101222070810199</t>
  </si>
  <si>
    <t>杨建哲</t>
  </si>
  <si>
    <t>6101222071010089</t>
  </si>
  <si>
    <t>6101222072210019</t>
  </si>
  <si>
    <t>2024-02-22</t>
  </si>
  <si>
    <t>李天元</t>
  </si>
  <si>
    <t>6101222080210177</t>
  </si>
  <si>
    <t>2023-12-32</t>
  </si>
  <si>
    <t>6101222081010122</t>
  </si>
  <si>
    <t>2023-12-33</t>
  </si>
  <si>
    <t>6101222081210104</t>
  </si>
  <si>
    <t>2024-03-12</t>
  </si>
  <si>
    <t>2023-12-34</t>
  </si>
  <si>
    <t>6101222081410001</t>
  </si>
  <si>
    <t>2023-12-35</t>
  </si>
  <si>
    <t>雷波</t>
  </si>
  <si>
    <t>6101222082210007</t>
  </si>
  <si>
    <t>2024-03-22</t>
  </si>
  <si>
    <t>2023-12-36</t>
  </si>
  <si>
    <t>段德雄</t>
  </si>
  <si>
    <t>6101222080410419</t>
  </si>
  <si>
    <t>2024-03-04</t>
  </si>
  <si>
    <t>2023-12-37</t>
  </si>
  <si>
    <t>6101222080610280</t>
  </si>
  <si>
    <t>2024-03-06</t>
  </si>
  <si>
    <t>2023-12-38</t>
  </si>
  <si>
    <t>6101222090510037</t>
  </si>
  <si>
    <t>2024-04-05</t>
  </si>
  <si>
    <t>2023-03-05</t>
  </si>
  <si>
    <t>2023-12-39</t>
  </si>
  <si>
    <t>瑚冬琴</t>
  </si>
  <si>
    <t>6101222091410010</t>
  </si>
  <si>
    <t>2024-04-14</t>
  </si>
  <si>
    <t>2023-12-40</t>
  </si>
  <si>
    <t>陈利</t>
  </si>
  <si>
    <t>6101222091410037</t>
  </si>
  <si>
    <t>2023-12-41</t>
  </si>
  <si>
    <t>6101222092410006</t>
  </si>
  <si>
    <t>2024-04-24</t>
  </si>
  <si>
    <t>2023-12-42</t>
  </si>
  <si>
    <t>6101222100510244</t>
  </si>
  <si>
    <t>2024-05-05</t>
  </si>
  <si>
    <t>2023-12-43</t>
  </si>
  <si>
    <t>6101222102610368</t>
  </si>
  <si>
    <t>2024-05-26</t>
  </si>
  <si>
    <t>2023-12-44</t>
  </si>
  <si>
    <t>张云鹏</t>
  </si>
  <si>
    <t>6100121090819118</t>
  </si>
  <si>
    <t>2021-09-08</t>
  </si>
  <si>
    <t>2023-04-08</t>
  </si>
  <si>
    <t>2023-02-08</t>
  </si>
  <si>
    <t>2023-12-45</t>
  </si>
  <si>
    <t>6100121091819195</t>
  </si>
  <si>
    <t>2023-12-46</t>
  </si>
  <si>
    <t>6100121091419244</t>
  </si>
  <si>
    <t>2023-12-47</t>
  </si>
  <si>
    <t>6100121092819153</t>
  </si>
  <si>
    <t>6101222050110489</t>
  </si>
  <si>
    <t>朱海强</t>
  </si>
  <si>
    <t>6101222050410369</t>
  </si>
  <si>
    <t>2023-12-04</t>
  </si>
  <si>
    <t>2023-02-13</t>
  </si>
  <si>
    <t>6101222050510528</t>
  </si>
  <si>
    <t>6101222040610494</t>
  </si>
  <si>
    <t>6101222041510206</t>
  </si>
  <si>
    <t>陈朝阳</t>
  </si>
  <si>
    <t>6101222041810278</t>
  </si>
  <si>
    <t>6101222042010313</t>
  </si>
  <si>
    <t>陕西君正智能科技有限公司</t>
  </si>
  <si>
    <t>6101222032400220</t>
  </si>
  <si>
    <t>县域振兴批量贷（微众快贷）</t>
  </si>
  <si>
    <t>西安兴岳嵘商贸有限公司</t>
  </si>
  <si>
    <t>6101222033000154</t>
  </si>
  <si>
    <t>2024-03-23</t>
  </si>
  <si>
    <t>陕西联强铁艺装饰工程有限公司</t>
  </si>
  <si>
    <t>6101222031700437</t>
  </si>
  <si>
    <t>陕西盛世天元信息技术有限公司</t>
  </si>
  <si>
    <t>6101222053000041</t>
  </si>
  <si>
    <t>2024-06-07</t>
  </si>
  <si>
    <t>陕西康辰动力科技有限公司</t>
  </si>
  <si>
    <t>6101222051900063</t>
  </si>
  <si>
    <t>2024-05-18</t>
  </si>
  <si>
    <t>陕西锦立方商贸有限公司</t>
  </si>
  <si>
    <t>6101222061400064</t>
  </si>
  <si>
    <t>2024-06-14</t>
  </si>
  <si>
    <t>6101222042300119</t>
  </si>
  <si>
    <t>2022-04-23</t>
  </si>
  <si>
    <t>2024-04-22</t>
  </si>
  <si>
    <t>6101222042500197</t>
  </si>
  <si>
    <t>2024-04-23</t>
  </si>
  <si>
    <t>刘婧</t>
  </si>
  <si>
    <t>6104121110810033</t>
  </si>
  <si>
    <t>陕西神木农村商业银行滨河大道支行</t>
  </si>
  <si>
    <t>2023-03-08</t>
  </si>
  <si>
    <t>夏美如</t>
  </si>
  <si>
    <t>6100121092319018</t>
  </si>
  <si>
    <t>陕西神木农村商业银行麻家塔分理处</t>
  </si>
  <si>
    <t>2024-01-22</t>
  </si>
  <si>
    <t>王锋</t>
  </si>
  <si>
    <t>6104522032810023</t>
  </si>
  <si>
    <t>陕西佳县农村商业银行王家砭支行</t>
  </si>
  <si>
    <t>6104522032810024</t>
  </si>
  <si>
    <t>王义军</t>
  </si>
  <si>
    <t>6101222060710270</t>
  </si>
  <si>
    <t>2023-08-16</t>
  </si>
  <si>
    <t>赵永春</t>
  </si>
  <si>
    <t>6101221102410329</t>
  </si>
  <si>
    <t>曹声威</t>
  </si>
  <si>
    <t>6101221102010116</t>
  </si>
  <si>
    <t>2023-03-09</t>
  </si>
  <si>
    <t>王亚韬</t>
  </si>
  <si>
    <t>6101221121210138</t>
  </si>
  <si>
    <t>2023-03-14</t>
  </si>
  <si>
    <t>杨新伟</t>
  </si>
  <si>
    <t>6101221121410279</t>
  </si>
  <si>
    <t>2023-03-26</t>
  </si>
  <si>
    <t>许军</t>
  </si>
  <si>
    <t>6101221120110128</t>
  </si>
  <si>
    <t>廉隆</t>
  </si>
  <si>
    <t>6101221120210188</t>
  </si>
  <si>
    <t>2023-03-03</t>
  </si>
  <si>
    <t>郑玉萍</t>
  </si>
  <si>
    <t>6101221121910084</t>
  </si>
  <si>
    <t>毛从光</t>
  </si>
  <si>
    <t>6101221121910104</t>
  </si>
  <si>
    <t>6101221122010143</t>
  </si>
  <si>
    <t>龚智红</t>
  </si>
  <si>
    <t>6101221122310081</t>
  </si>
  <si>
    <t>2023-03-23</t>
  </si>
  <si>
    <t>瞿丹</t>
  </si>
  <si>
    <t>6101221122710119</t>
  </si>
  <si>
    <t>王毅江</t>
  </si>
  <si>
    <t>6101222010210007</t>
  </si>
  <si>
    <t>6101222010210493</t>
  </si>
  <si>
    <t>王引全</t>
  </si>
  <si>
    <t>6101222010310333</t>
  </si>
  <si>
    <t>周鑫鑫</t>
  </si>
  <si>
    <t>6101222010310490</t>
  </si>
  <si>
    <t>高翔</t>
  </si>
  <si>
    <t>6101222010410038</t>
  </si>
  <si>
    <t>邹俊峰</t>
  </si>
  <si>
    <t>6101222010410056</t>
  </si>
  <si>
    <t>6101222010410494</t>
  </si>
  <si>
    <t>6101222010510033</t>
  </si>
  <si>
    <t>2023-03-15</t>
  </si>
  <si>
    <t>王能成</t>
  </si>
  <si>
    <t>6101222010510409</t>
  </si>
  <si>
    <t>2023-03-12</t>
  </si>
  <si>
    <t>沈斌</t>
  </si>
  <si>
    <t>6101222010710020</t>
  </si>
  <si>
    <t>同晓锋</t>
  </si>
  <si>
    <t>6101222010810032</t>
  </si>
  <si>
    <t>2023-03-13</t>
  </si>
  <si>
    <t>6101222010810250</t>
  </si>
  <si>
    <t>眭陕西</t>
  </si>
  <si>
    <t>6101222010910183</t>
  </si>
  <si>
    <t>杨天权</t>
  </si>
  <si>
    <t>6101222011310156</t>
  </si>
  <si>
    <t>6101222011410002</t>
  </si>
  <si>
    <t>杨社武</t>
  </si>
  <si>
    <t>6101222011410223</t>
  </si>
  <si>
    <t>宋永青</t>
  </si>
  <si>
    <t>6101222011410276</t>
  </si>
  <si>
    <t>6101222011810115</t>
  </si>
  <si>
    <t>2023-03-20</t>
  </si>
  <si>
    <t>6101222011810199</t>
  </si>
  <si>
    <t>童强强</t>
  </si>
  <si>
    <t>6101222011910238</t>
  </si>
  <si>
    <t>车亚萍</t>
  </si>
  <si>
    <t>6101222012010185</t>
  </si>
  <si>
    <t>雒天恒</t>
  </si>
  <si>
    <t>6101222012010219</t>
  </si>
  <si>
    <t>王彬彬</t>
  </si>
  <si>
    <t>6101222012010310</t>
  </si>
  <si>
    <t>2023-03-16</t>
  </si>
  <si>
    <t>任娟萍</t>
  </si>
  <si>
    <t>6101222012010360</t>
  </si>
  <si>
    <t>2023-03-28</t>
  </si>
  <si>
    <t>周鹏</t>
  </si>
  <si>
    <t>6101222012011021</t>
  </si>
  <si>
    <t>杨凯</t>
  </si>
  <si>
    <t>6101222012110003</t>
  </si>
  <si>
    <t>唐伟</t>
  </si>
  <si>
    <t>6101222012110400</t>
  </si>
  <si>
    <t>朱朝阳</t>
  </si>
  <si>
    <t>6101222012210011</t>
  </si>
  <si>
    <t>2023-03-22</t>
  </si>
  <si>
    <t>6101222012210070</t>
  </si>
  <si>
    <t>6101222012210347</t>
  </si>
  <si>
    <t>6101222012310239</t>
  </si>
  <si>
    <t>李晨晨</t>
  </si>
  <si>
    <t>6101222012310309</t>
  </si>
  <si>
    <t>高恒</t>
  </si>
  <si>
    <t>6101222012310329</t>
  </si>
  <si>
    <t>郭花梅</t>
  </si>
  <si>
    <t>6101222012410018</t>
  </si>
  <si>
    <t>宋若丹</t>
  </si>
  <si>
    <t>6101222012410676</t>
  </si>
  <si>
    <t>2023-03-01</t>
  </si>
  <si>
    <t>杜方</t>
  </si>
  <si>
    <t>6101222012510708</t>
  </si>
  <si>
    <t>贾仕瑞</t>
  </si>
  <si>
    <t>6101222012810075</t>
  </si>
  <si>
    <t>6101222010210585</t>
  </si>
  <si>
    <t>汪超</t>
  </si>
  <si>
    <t>6101222020210298</t>
  </si>
  <si>
    <t>戚传为宇</t>
  </si>
  <si>
    <t>6101222020410216</t>
  </si>
  <si>
    <t>6101222020510348</t>
  </si>
  <si>
    <t>张军</t>
  </si>
  <si>
    <t>6101222020610057</t>
  </si>
  <si>
    <t>2023-03-10</t>
  </si>
  <si>
    <t>6101222020610256</t>
  </si>
  <si>
    <t>李新昌</t>
  </si>
  <si>
    <t>6101222020610328</t>
  </si>
  <si>
    <t>6101222020710216</t>
  </si>
  <si>
    <t>6101222020710475</t>
  </si>
  <si>
    <t>6101222021010351</t>
  </si>
  <si>
    <t>郭富伟</t>
  </si>
  <si>
    <t>6101222021110071</t>
  </si>
  <si>
    <t>2023-03-21</t>
  </si>
  <si>
    <t>巨立</t>
  </si>
  <si>
    <t>6101222021110233</t>
  </si>
  <si>
    <t>6101222021210005</t>
  </si>
  <si>
    <t>6101222021210026</t>
  </si>
  <si>
    <t>谭喜媛</t>
  </si>
  <si>
    <t>6101222021310313</t>
  </si>
  <si>
    <t>沈川来</t>
  </si>
  <si>
    <t>6101222021410191</t>
  </si>
  <si>
    <t>6101222021510013</t>
  </si>
  <si>
    <t>王海云</t>
  </si>
  <si>
    <t>6101222021810248</t>
  </si>
  <si>
    <t>郭明轩</t>
  </si>
  <si>
    <t>6101222022010432</t>
  </si>
  <si>
    <t>6101222022310142</t>
  </si>
  <si>
    <t>6101222022710107</t>
  </si>
  <si>
    <t>6101222022810206</t>
  </si>
  <si>
    <t>陈卫军</t>
  </si>
  <si>
    <t>6101222030110315</t>
  </si>
  <si>
    <t>6101222030110802</t>
  </si>
  <si>
    <t>6101222030110814</t>
  </si>
  <si>
    <t>6101222030210501</t>
  </si>
  <si>
    <t>6101222030210675</t>
  </si>
  <si>
    <t>6101222030310657</t>
  </si>
  <si>
    <t>6101222030410012</t>
  </si>
  <si>
    <t>孟丽</t>
  </si>
  <si>
    <t>6101222030510475</t>
  </si>
  <si>
    <t>王永昌</t>
  </si>
  <si>
    <t>6101222030510593</t>
  </si>
  <si>
    <t>6101222030610011</t>
  </si>
  <si>
    <t>董永波</t>
  </si>
  <si>
    <t>6101222030710350</t>
  </si>
  <si>
    <t>2023-03-07</t>
  </si>
  <si>
    <t>6101222030910657</t>
  </si>
  <si>
    <t>6101222031210033</t>
  </si>
  <si>
    <t>刘传根</t>
  </si>
  <si>
    <t>6101222031210059</t>
  </si>
  <si>
    <t>6101222031210080</t>
  </si>
  <si>
    <t>高宝荣</t>
  </si>
  <si>
    <t>6101222031310172</t>
  </si>
  <si>
    <t>6101222031610096</t>
  </si>
  <si>
    <t>李倩倩</t>
  </si>
  <si>
    <t>6101222032110256</t>
  </si>
  <si>
    <t>袁博</t>
  </si>
  <si>
    <t>6101222032210080</t>
  </si>
  <si>
    <t>杨苏玲</t>
  </si>
  <si>
    <t>6101222032310083</t>
  </si>
  <si>
    <t>赵炫婵</t>
  </si>
  <si>
    <t>6101222052610304</t>
  </si>
  <si>
    <t>张佳</t>
  </si>
  <si>
    <t>6101222050810141</t>
  </si>
  <si>
    <t>2023-12-08</t>
  </si>
  <si>
    <t>王瑾</t>
  </si>
  <si>
    <t>6101222051210371</t>
  </si>
  <si>
    <t>6101222051310829</t>
  </si>
  <si>
    <t>任丹</t>
  </si>
  <si>
    <t>6101222051410936</t>
  </si>
  <si>
    <t>6101222051610882</t>
  </si>
  <si>
    <t>王雷雷</t>
  </si>
  <si>
    <t>6101222051710634</t>
  </si>
  <si>
    <t>6101222052110418</t>
  </si>
  <si>
    <t>6101222052110498</t>
  </si>
  <si>
    <t>6101222052210426</t>
  </si>
  <si>
    <t>6101222052410591</t>
  </si>
  <si>
    <t>6101222052510551</t>
  </si>
  <si>
    <t>6101222053110344</t>
  </si>
  <si>
    <t>6101222052011373</t>
  </si>
  <si>
    <t>杨小卫</t>
  </si>
  <si>
    <t>6101222052011442</t>
  </si>
  <si>
    <t>原栋</t>
  </si>
  <si>
    <t>6101222060110096</t>
  </si>
  <si>
    <t>6101222060210312</t>
  </si>
  <si>
    <t>高祥</t>
  </si>
  <si>
    <t>6101222060410074</t>
  </si>
  <si>
    <t>2023-03-04</t>
  </si>
  <si>
    <t>6101222060410179</t>
  </si>
  <si>
    <t>6101222060710045</t>
  </si>
  <si>
    <t>李明明</t>
  </si>
  <si>
    <t>6101222060710181</t>
  </si>
  <si>
    <t>谭晓鹏</t>
  </si>
  <si>
    <t>6101222061210147</t>
  </si>
  <si>
    <t>6101222062710227</t>
  </si>
  <si>
    <t>2022-06-27</t>
  </si>
  <si>
    <t>2024-01-27</t>
  </si>
  <si>
    <t>贾学成</t>
  </si>
  <si>
    <t>6101222062810264</t>
  </si>
  <si>
    <t>2024-01-28</t>
  </si>
  <si>
    <t>6101222070110320</t>
  </si>
  <si>
    <t>许冬岳</t>
  </si>
  <si>
    <t>6101222070210006</t>
  </si>
  <si>
    <t>6101222070510229</t>
  </si>
  <si>
    <t>雷俊锋</t>
  </si>
  <si>
    <t>6101222070510265</t>
  </si>
  <si>
    <t>6101222071210025</t>
  </si>
  <si>
    <t>6101222071310167</t>
  </si>
  <si>
    <t>安飞</t>
  </si>
  <si>
    <t>6101222072010062</t>
  </si>
  <si>
    <t>2024-02-20</t>
  </si>
  <si>
    <t>6101222072110091</t>
  </si>
  <si>
    <t>巩长宝</t>
  </si>
  <si>
    <t>6101222072710117</t>
  </si>
  <si>
    <t>2024-02-27</t>
  </si>
  <si>
    <t>6101222080210256</t>
  </si>
  <si>
    <t>6101222081210018</t>
  </si>
  <si>
    <t>韩维春</t>
  </si>
  <si>
    <t>6101222081410019</t>
  </si>
  <si>
    <t>6101222081510005</t>
  </si>
  <si>
    <t>2024-03-15</t>
  </si>
  <si>
    <t>6101222081510150</t>
  </si>
  <si>
    <t>6101222081510186</t>
  </si>
  <si>
    <t>6101222080410318</t>
  </si>
  <si>
    <t>6101222080910400</t>
  </si>
  <si>
    <t>穆浩磊</t>
  </si>
  <si>
    <t>6101222090110004</t>
  </si>
  <si>
    <t>2024-04-01</t>
  </si>
  <si>
    <t>6101222090210045</t>
  </si>
  <si>
    <t>2024-04-02</t>
  </si>
  <si>
    <t>6101222091010005</t>
  </si>
  <si>
    <t>2024-04-10</t>
  </si>
  <si>
    <t>甘容翠</t>
  </si>
  <si>
    <t>6101222091110013</t>
  </si>
  <si>
    <t>2024-04-11</t>
  </si>
  <si>
    <t>潘兴虎</t>
  </si>
  <si>
    <t>6101222100710361</t>
  </si>
  <si>
    <t>2024-05-07</t>
  </si>
  <si>
    <t>6101222100310290</t>
  </si>
  <si>
    <t>2024-05-03</t>
  </si>
  <si>
    <t>6101222102810244</t>
  </si>
  <si>
    <t>2022-10-28</t>
  </si>
  <si>
    <t>6101222100910533</t>
  </si>
  <si>
    <t>2024-05-09</t>
  </si>
  <si>
    <t>6101222101910263</t>
  </si>
  <si>
    <t>2024-05-19</t>
  </si>
  <si>
    <t>6101222110410248</t>
  </si>
  <si>
    <t>2024-06-04</t>
  </si>
  <si>
    <t>6101222050110553</t>
  </si>
  <si>
    <t>6101222050310459</t>
  </si>
  <si>
    <t>朱会斌</t>
  </si>
  <si>
    <t>6101222050410506</t>
  </si>
  <si>
    <t>万忠飞</t>
  </si>
  <si>
    <t>6101222040210503</t>
  </si>
  <si>
    <t>刘鹤</t>
  </si>
  <si>
    <t>6101222040210695</t>
  </si>
  <si>
    <t>6101222040210727</t>
  </si>
  <si>
    <t>王鹏亮</t>
  </si>
  <si>
    <t>6101222040410595</t>
  </si>
  <si>
    <t>6101222040610441</t>
  </si>
  <si>
    <t>6101222040610774</t>
  </si>
  <si>
    <t>孙世良</t>
  </si>
  <si>
    <t>6101222040910510</t>
  </si>
  <si>
    <t>6101222041210324</t>
  </si>
  <si>
    <t>6101222041210452</t>
  </si>
  <si>
    <t>何富强</t>
  </si>
  <si>
    <t>6101222041310460</t>
  </si>
  <si>
    <t>6101222041410447</t>
  </si>
  <si>
    <t>郑拥军</t>
  </si>
  <si>
    <t>6101222041810240</t>
  </si>
  <si>
    <t>6101222041910179</t>
  </si>
  <si>
    <t>6101222042310168</t>
  </si>
  <si>
    <t>2023-11-23</t>
  </si>
  <si>
    <t>宋利军</t>
  </si>
  <si>
    <t>6192020122419001</t>
  </si>
  <si>
    <t>邮储银行陕西省子长县支行</t>
  </si>
  <si>
    <t>西安顺得福茶业有限责任公司</t>
  </si>
  <si>
    <t>6100121070119007</t>
  </si>
  <si>
    <t>建设银行陕西省分行</t>
  </si>
  <si>
    <t>2024-07-01</t>
  </si>
  <si>
    <t>2024-01--28</t>
  </si>
  <si>
    <t>西安盈达信息科技有限公司</t>
  </si>
  <si>
    <t>6101222042600211</t>
  </si>
  <si>
    <t>2024-04-28</t>
  </si>
  <si>
    <t>6101222042600212</t>
  </si>
  <si>
    <t>6101222042600213</t>
  </si>
  <si>
    <t>6101222042600214</t>
  </si>
  <si>
    <t>6101222042600215</t>
  </si>
  <si>
    <t>6101222042600216</t>
  </si>
  <si>
    <t>6101222042600217</t>
  </si>
  <si>
    <t>6101222042600218</t>
  </si>
  <si>
    <t>6101222042600219</t>
  </si>
  <si>
    <t>6101222042600220</t>
  </si>
  <si>
    <t>6101222042600221</t>
  </si>
  <si>
    <t>6101222042600222</t>
  </si>
  <si>
    <t>6101222042600223</t>
  </si>
  <si>
    <t>6101222042600224</t>
  </si>
  <si>
    <t>6101222042600225</t>
  </si>
  <si>
    <t>6101222042600226</t>
  </si>
  <si>
    <t>6101222042600227</t>
  </si>
  <si>
    <t>6101222042600228</t>
  </si>
  <si>
    <t>6101222042600229</t>
  </si>
  <si>
    <t>6101222042600230</t>
  </si>
  <si>
    <t>6101222042600231</t>
  </si>
  <si>
    <t>6101222042600232</t>
  </si>
  <si>
    <t>6101222042600233</t>
  </si>
  <si>
    <t>6101222042600234</t>
  </si>
  <si>
    <t>史亮</t>
  </si>
  <si>
    <t>6101221122510063</t>
  </si>
  <si>
    <t>金江康</t>
  </si>
  <si>
    <t>6101222010310100</t>
  </si>
  <si>
    <t>李发才</t>
  </si>
  <si>
    <t>6101222010310462</t>
  </si>
  <si>
    <t>王少堂</t>
  </si>
  <si>
    <t>6101222010410112</t>
  </si>
  <si>
    <t>刘荣荣</t>
  </si>
  <si>
    <t>6101222010410300</t>
  </si>
  <si>
    <t>张战营</t>
  </si>
  <si>
    <t>6101222010810388</t>
  </si>
  <si>
    <t>鄢山奇</t>
  </si>
  <si>
    <t>6101222010910149</t>
  </si>
  <si>
    <t>6101222011010296</t>
  </si>
  <si>
    <t>池文锋</t>
  </si>
  <si>
    <t>6101222011210053</t>
  </si>
  <si>
    <t>潘高峰</t>
  </si>
  <si>
    <t>6101222011610123</t>
  </si>
  <si>
    <t>2022-01-16</t>
  </si>
  <si>
    <t>刘金花</t>
  </si>
  <si>
    <t>6101222011910032</t>
  </si>
  <si>
    <t>李坤</t>
  </si>
  <si>
    <t>6101222012010021</t>
  </si>
  <si>
    <t>葛雷雷</t>
  </si>
  <si>
    <t>6101222012010805</t>
  </si>
  <si>
    <t>2023-04-07</t>
  </si>
  <si>
    <t>马科</t>
  </si>
  <si>
    <t>6101222012110120</t>
  </si>
  <si>
    <t>李清春</t>
  </si>
  <si>
    <t>6101222012110207</t>
  </si>
  <si>
    <t>任江辉</t>
  </si>
  <si>
    <t>6101222012110651</t>
  </si>
  <si>
    <t>李万</t>
  </si>
  <si>
    <t>6101222012210543</t>
  </si>
  <si>
    <t>张惠</t>
  </si>
  <si>
    <t>6101222012510227</t>
  </si>
  <si>
    <t>刘晨雨</t>
  </si>
  <si>
    <t>6101222012510499</t>
  </si>
  <si>
    <t>侯云峰</t>
  </si>
  <si>
    <t>6101222012910152</t>
  </si>
  <si>
    <t>6101222020110008</t>
  </si>
  <si>
    <t>王永娟</t>
  </si>
  <si>
    <t>6101222020210177</t>
  </si>
  <si>
    <t>6101222020410252</t>
  </si>
  <si>
    <t>孙路敏</t>
  </si>
  <si>
    <t>6101222020510271</t>
  </si>
  <si>
    <t>樊珈尘</t>
  </si>
  <si>
    <t>6101222020710023</t>
  </si>
  <si>
    <t>6101222021110377</t>
  </si>
  <si>
    <t>韩峰</t>
  </si>
  <si>
    <t>6101222021410241</t>
  </si>
  <si>
    <t>6101222021510078</t>
  </si>
  <si>
    <t>侯建国</t>
  </si>
  <si>
    <t>6101222021510278</t>
  </si>
  <si>
    <t>罗红星</t>
  </si>
  <si>
    <t>6101222022610143</t>
  </si>
  <si>
    <t>6101222030110230</t>
  </si>
  <si>
    <t>6101222030110810</t>
  </si>
  <si>
    <t>6101222030110934</t>
  </si>
  <si>
    <t>孙亚平</t>
  </si>
  <si>
    <t>6101222030210393</t>
  </si>
  <si>
    <t>张也</t>
  </si>
  <si>
    <t>6101222030410398</t>
  </si>
  <si>
    <t>6101222030410446</t>
  </si>
  <si>
    <t>李天顺</t>
  </si>
  <si>
    <t>6101222030510348</t>
  </si>
  <si>
    <t>6101222030710569</t>
  </si>
  <si>
    <t>6101222030910032</t>
  </si>
  <si>
    <t>张国栋</t>
  </si>
  <si>
    <t>6101222030910263</t>
  </si>
  <si>
    <t>鱼银胜</t>
  </si>
  <si>
    <t>6101222031010541</t>
  </si>
  <si>
    <t>6101222031110404</t>
  </si>
  <si>
    <t>梁荣斌</t>
  </si>
  <si>
    <t>6101222031310055</t>
  </si>
  <si>
    <t>6101222031310090</t>
  </si>
  <si>
    <t>王宁宁</t>
  </si>
  <si>
    <t>6101222031410175</t>
  </si>
  <si>
    <t>穆战程</t>
  </si>
  <si>
    <t>6101222031510440</t>
  </si>
  <si>
    <t>6101222031810273</t>
  </si>
  <si>
    <t>陈邦德</t>
  </si>
  <si>
    <t>6101222031910342</t>
  </si>
  <si>
    <t>沈桂林</t>
  </si>
  <si>
    <t>6101222032010017</t>
  </si>
  <si>
    <t>孔超</t>
  </si>
  <si>
    <t>6101222032010042</t>
  </si>
  <si>
    <t>巩洪洛</t>
  </si>
  <si>
    <t>6101222032110295</t>
  </si>
  <si>
    <t>徐晓静</t>
  </si>
  <si>
    <t>6101222032210030</t>
  </si>
  <si>
    <t>韩世杰</t>
  </si>
  <si>
    <t>6101222032210031</t>
  </si>
  <si>
    <t>姜莉莉</t>
  </si>
  <si>
    <t>6101222032210228</t>
  </si>
  <si>
    <t>魏阳</t>
  </si>
  <si>
    <t>6101222032410134</t>
  </si>
  <si>
    <t>6101222032510153</t>
  </si>
  <si>
    <t>张永红</t>
  </si>
  <si>
    <t>6101222032610089</t>
  </si>
  <si>
    <t>2023-10-26</t>
  </si>
  <si>
    <t>温帅</t>
  </si>
  <si>
    <t>6101222052710148</t>
  </si>
  <si>
    <t>路静</t>
  </si>
  <si>
    <t>6101222050610379</t>
  </si>
  <si>
    <t>2023-12-06</t>
  </si>
  <si>
    <t>任艳红</t>
  </si>
  <si>
    <t>6101222050810187</t>
  </si>
  <si>
    <t>来超权</t>
  </si>
  <si>
    <t>6101222051310752</t>
  </si>
  <si>
    <t>6101222051411054</t>
  </si>
  <si>
    <t>6101222051510620</t>
  </si>
  <si>
    <t>高翠</t>
  </si>
  <si>
    <t>6101222051510638</t>
  </si>
  <si>
    <t>6101222052010662</t>
  </si>
  <si>
    <t>6101222052110331</t>
  </si>
  <si>
    <t>郭长会</t>
  </si>
  <si>
    <t>6101222052210305</t>
  </si>
  <si>
    <t>6101222052210383</t>
  </si>
  <si>
    <t>高建斌</t>
  </si>
  <si>
    <t>6101222052310443</t>
  </si>
  <si>
    <t>6101222052510549</t>
  </si>
  <si>
    <t>6101222052510606</t>
  </si>
  <si>
    <t>6101222052011479</t>
  </si>
  <si>
    <t>6101222060110308</t>
  </si>
  <si>
    <t>高超锋</t>
  </si>
  <si>
    <t>6101222060110345</t>
  </si>
  <si>
    <t>6101222060210052</t>
  </si>
  <si>
    <t>唐大虎</t>
  </si>
  <si>
    <t>6101222060210269</t>
  </si>
  <si>
    <t>6101222060410048</t>
  </si>
  <si>
    <t>郝颖</t>
  </si>
  <si>
    <t>6101222060510073</t>
  </si>
  <si>
    <t>6101222060810201</t>
  </si>
  <si>
    <t>王嘉文</t>
  </si>
  <si>
    <t>6101222060910261</t>
  </si>
  <si>
    <t>2024-01-09</t>
  </si>
  <si>
    <t>6101222061010308</t>
  </si>
  <si>
    <t>6101222061510117</t>
  </si>
  <si>
    <t>2024-01-15</t>
  </si>
  <si>
    <t>曹峰</t>
  </si>
  <si>
    <t>6101222061710094</t>
  </si>
  <si>
    <t>6101222061810116</t>
  </si>
  <si>
    <t>2024-01-18</t>
  </si>
  <si>
    <t>6101222062010250</t>
  </si>
  <si>
    <t>刘淑敬</t>
  </si>
  <si>
    <t>6101222062110325</t>
  </si>
  <si>
    <t>6101222050110551</t>
  </si>
  <si>
    <t>6101222050110564</t>
  </si>
  <si>
    <t>6101222040210486</t>
  </si>
  <si>
    <t>6101222040210672</t>
  </si>
  <si>
    <t>6101222040310477</t>
  </si>
  <si>
    <t>6101222040710593</t>
  </si>
  <si>
    <t>2023-11-07</t>
  </si>
  <si>
    <t>6101222040710701</t>
  </si>
  <si>
    <t>6101222040810464</t>
  </si>
  <si>
    <t>6101222040910419</t>
  </si>
  <si>
    <t>6101222041010365</t>
  </si>
  <si>
    <t>6101222041310311</t>
  </si>
  <si>
    <t>6101222041410375</t>
  </si>
  <si>
    <t>6101222042310155</t>
  </si>
  <si>
    <t>6101222042510271</t>
  </si>
  <si>
    <t>6101222070310117</t>
  </si>
  <si>
    <t>6101222070910151</t>
  </si>
  <si>
    <t>6101222072410101</t>
  </si>
  <si>
    <t>2024-02-24</t>
  </si>
  <si>
    <t>6101222080110259</t>
  </si>
  <si>
    <t>2024-03-01</t>
  </si>
  <si>
    <t>赵志斌</t>
  </si>
  <si>
    <t>6101222080210335</t>
  </si>
  <si>
    <t>李勇辉</t>
  </si>
  <si>
    <t>6101222081110027</t>
  </si>
  <si>
    <t>6101222081510062</t>
  </si>
  <si>
    <t>陈怀星</t>
  </si>
  <si>
    <t>6101222090710042</t>
  </si>
  <si>
    <t>2024-04-07</t>
  </si>
  <si>
    <t>6101222090910028</t>
  </si>
  <si>
    <t>6101222100110305</t>
  </si>
  <si>
    <t>2024-05-01</t>
  </si>
  <si>
    <t>龚梅珠</t>
  </si>
  <si>
    <t>6101222102110285</t>
  </si>
  <si>
    <t>2024-05-21</t>
  </si>
  <si>
    <t>毕朋刚</t>
  </si>
  <si>
    <t>6101222101610136</t>
  </si>
  <si>
    <t>6101222100410313</t>
  </si>
  <si>
    <t>2024-05-04</t>
  </si>
  <si>
    <t>6101222102410369</t>
  </si>
  <si>
    <t>2024-05-24</t>
  </si>
  <si>
    <t>梁静</t>
  </si>
  <si>
    <t>6101222112210301</t>
  </si>
  <si>
    <t>2024-06-22</t>
  </si>
  <si>
    <t>赖文华</t>
  </si>
  <si>
    <t>6101222112610294</t>
  </si>
  <si>
    <t>2024-06-26</t>
  </si>
  <si>
    <t>6101222112810343</t>
  </si>
  <si>
    <t>魏华</t>
  </si>
  <si>
    <t>6101222112810374</t>
  </si>
  <si>
    <t>6101222110310329</t>
  </si>
  <si>
    <t>2024-06-03</t>
  </si>
  <si>
    <t>6101222110110313</t>
  </si>
  <si>
    <t>2024-06-01</t>
  </si>
  <si>
    <t>6101222110810295</t>
  </si>
  <si>
    <t>2024-06-08</t>
  </si>
  <si>
    <t>6101222120110541</t>
  </si>
  <si>
    <t>6101222120410437</t>
  </si>
  <si>
    <t>2024-07-04</t>
  </si>
  <si>
    <t>6101222120610515</t>
  </si>
  <si>
    <t>2024-07-06</t>
  </si>
  <si>
    <t>6101222120910362</t>
  </si>
  <si>
    <t>2024-07-09</t>
  </si>
  <si>
    <t>黄身香</t>
  </si>
  <si>
    <t>6101222121110222</t>
  </si>
  <si>
    <t>2024-07-11</t>
  </si>
  <si>
    <t>6101222121410158</t>
  </si>
  <si>
    <t>2024-07-14</t>
  </si>
  <si>
    <t>王之宇</t>
  </si>
  <si>
    <t>6101222122410170</t>
  </si>
  <si>
    <t>2024-07-24</t>
  </si>
  <si>
    <t>刘羽馨</t>
  </si>
  <si>
    <t>6101222122710173</t>
  </si>
  <si>
    <t>2025-07-27</t>
  </si>
  <si>
    <t>段言</t>
  </si>
  <si>
    <t>6101222122810121</t>
  </si>
  <si>
    <t>2022-12-28</t>
  </si>
  <si>
    <t>6101223010310717</t>
  </si>
  <si>
    <t>2024-08-03</t>
  </si>
  <si>
    <t>派峰供应链(陕西)有限责任公司</t>
  </si>
  <si>
    <t>6105022090700078</t>
  </si>
  <si>
    <t>平安银行西安分行</t>
  </si>
  <si>
    <t>高世平</t>
  </si>
  <si>
    <t>6104022033110277</t>
  </si>
  <si>
    <t>长安银行定边县支行</t>
  </si>
  <si>
    <t>西安少普文化传媒有限公司</t>
  </si>
  <si>
    <t>6101222032800221</t>
  </si>
  <si>
    <t>陕西舒顺建筑装饰设计工程有限责任公司</t>
  </si>
  <si>
    <t>6101222052300059</t>
  </si>
  <si>
    <t>6101222061700058</t>
  </si>
  <si>
    <t>2024-06-18</t>
  </si>
  <si>
    <t>陕西千润达建筑装饰工程有限公司</t>
  </si>
  <si>
    <t>6101222062700171</t>
  </si>
  <si>
    <t>2024-06-25</t>
  </si>
  <si>
    <t>82500。02</t>
  </si>
  <si>
    <t>西安西城会展服务有限公司</t>
  </si>
  <si>
    <t>6101222041300287</t>
  </si>
  <si>
    <t>26666。64</t>
  </si>
  <si>
    <t>6101222043000089</t>
  </si>
  <si>
    <t>2022-04-30</t>
  </si>
  <si>
    <t>2024-05-02</t>
  </si>
  <si>
    <t>14166。69</t>
  </si>
  <si>
    <t>西安唐鹏建筑工程有限公司</t>
  </si>
  <si>
    <t>6101222041700113</t>
  </si>
  <si>
    <t>陕西启龙建材有限公司</t>
  </si>
  <si>
    <t>6101222041900162</t>
  </si>
  <si>
    <t>蔺飞</t>
  </si>
  <si>
    <t>6104822032810001</t>
  </si>
  <si>
    <t>陕西杨凌农村商业银行高新区支行</t>
  </si>
  <si>
    <t>李治才</t>
  </si>
  <si>
    <t>6104822012410001</t>
  </si>
  <si>
    <t>陕西周至农科村镇银行楼观支行</t>
  </si>
  <si>
    <t>2024-01-23</t>
  </si>
  <si>
    <t>2023-11-27</t>
  </si>
  <si>
    <t>宋鹏飞</t>
  </si>
  <si>
    <t>6103122032210007</t>
  </si>
  <si>
    <t>农业银行汉中市汉台区支行营业部</t>
  </si>
  <si>
    <t>陕西德凯电力机械有限公司</t>
  </si>
  <si>
    <t>6101322091600004</t>
  </si>
  <si>
    <t>建设银行西安南大街支行</t>
  </si>
  <si>
    <t>2022-09-16</t>
  </si>
  <si>
    <t>宝鸡泰顺矿业有限公司</t>
  </si>
  <si>
    <t>6102522050700003</t>
  </si>
  <si>
    <t>西安市舒舒管道工程有限公司</t>
  </si>
  <si>
    <t>6101222072500194</t>
  </si>
  <si>
    <t>2024-07-22</t>
  </si>
  <si>
    <t>2023-11-30</t>
  </si>
  <si>
    <t>西安飞迅数码科技有限公司</t>
  </si>
  <si>
    <t>6101222060200021</t>
  </si>
  <si>
    <t>2024-05-22</t>
  </si>
  <si>
    <t>陕西臻筑贸易有限公司</t>
  </si>
  <si>
    <t>6101222062100063</t>
  </si>
  <si>
    <t>2024-06-21</t>
  </si>
  <si>
    <t>6101222080300307</t>
  </si>
  <si>
    <t>6101222051700060</t>
  </si>
  <si>
    <t>西安多目传媒有限公司</t>
  </si>
  <si>
    <t>6101222052800025</t>
  </si>
  <si>
    <t>西安时美快印有限公司</t>
  </si>
  <si>
    <t>6101222032500257</t>
  </si>
  <si>
    <t>西安江海装饰工程有限公司</t>
  </si>
  <si>
    <t>6101222081900123</t>
  </si>
  <si>
    <t>6101222080100430</t>
  </si>
  <si>
    <t>吉中奇</t>
  </si>
  <si>
    <t>6103122031410009</t>
  </si>
  <si>
    <t>农业银行洋县支行营业部</t>
  </si>
  <si>
    <t>税国华</t>
  </si>
  <si>
    <t>6103122062110009</t>
  </si>
  <si>
    <t>2025-06-20</t>
  </si>
  <si>
    <t>2024-02-26</t>
  </si>
  <si>
    <t>6101222033000152</t>
  </si>
  <si>
    <t>西安盈厚商贸有限公司</t>
  </si>
  <si>
    <t>6101222052600069</t>
  </si>
  <si>
    <t>6101222051500023</t>
  </si>
  <si>
    <t>6101222062900097</t>
  </si>
  <si>
    <t>6101222062900096</t>
  </si>
  <si>
    <t>6101222072600182</t>
  </si>
  <si>
    <t>2024-07-26</t>
  </si>
  <si>
    <t>6101222081000229</t>
  </si>
  <si>
    <t>西安欧文办公用品有限责任公司</t>
  </si>
  <si>
    <t>6101222072600159</t>
  </si>
  <si>
    <t>凤翔县喜来悦实业有限公司</t>
  </si>
  <si>
    <t>6101222061800011</t>
  </si>
  <si>
    <t>陕西木铝缘装饰工程有限公司</t>
  </si>
  <si>
    <t>6101222082100077</t>
  </si>
  <si>
    <t>陕西安洋建筑劳务有限公司</t>
  </si>
  <si>
    <t>6101222082000094</t>
  </si>
  <si>
    <t>2024-08-22</t>
  </si>
  <si>
    <t>陕西荣军环保科技有限公司</t>
  </si>
  <si>
    <t>6101222062800122</t>
  </si>
  <si>
    <t>6101222072600169</t>
  </si>
  <si>
    <t>2024-07-25</t>
  </si>
  <si>
    <t>6101222062600037</t>
  </si>
  <si>
    <t>6101222063000117</t>
  </si>
  <si>
    <t>6101222042700194</t>
  </si>
  <si>
    <t>2024-04-26</t>
  </si>
  <si>
    <t>6101222042100185</t>
  </si>
  <si>
    <t>6101222040700401</t>
  </si>
  <si>
    <t>2024-03-26</t>
  </si>
  <si>
    <t>6101222050500732</t>
  </si>
  <si>
    <t>西安宏润胶粘制品有限公司</t>
  </si>
  <si>
    <t>6101222041900161</t>
  </si>
  <si>
    <t>2024-04-19</t>
  </si>
  <si>
    <t>陕西锦诚实业发展有限公司</t>
  </si>
  <si>
    <t>6101222041500191</t>
  </si>
  <si>
    <t>西安泾渭健康管理有限公司</t>
  </si>
  <si>
    <t>6101522061700005</t>
  </si>
  <si>
    <t>王波</t>
  </si>
  <si>
    <t>6103222042410001</t>
  </si>
  <si>
    <t>邮储银行安康市汉滨区支行</t>
  </si>
  <si>
    <t>西安麒鼎安装工程有限责任公司</t>
  </si>
  <si>
    <t>6101222082100080</t>
  </si>
  <si>
    <t>2024-09-02</t>
  </si>
  <si>
    <t>2023.-12-20</t>
  </si>
  <si>
    <t>西安冠松商贸有限公司</t>
  </si>
  <si>
    <t>6101222032900195</t>
  </si>
  <si>
    <t>2022-03-29</t>
  </si>
  <si>
    <t>6101222041500198</t>
  </si>
  <si>
    <t>西安斯迈尔机械科技有限公司</t>
  </si>
  <si>
    <t>6101222060800033</t>
  </si>
  <si>
    <t>2024-06-10</t>
  </si>
  <si>
    <t>陕西群玉恒冠建设工程有限公司</t>
  </si>
  <si>
    <t>6101222081300132</t>
  </si>
  <si>
    <t>2024-08-13</t>
  </si>
  <si>
    <t>西安龙泰保安服务有限公司</t>
  </si>
  <si>
    <t>6101222062800080</t>
  </si>
  <si>
    <t>6101223050800167</t>
  </si>
  <si>
    <t>2024-11-04</t>
  </si>
  <si>
    <t>2024-12-13</t>
  </si>
  <si>
    <t>6101223083000112</t>
  </si>
  <si>
    <t>2025-08-28</t>
  </si>
  <si>
    <t>2024-06-12</t>
  </si>
  <si>
    <t>2024-11-18</t>
  </si>
  <si>
    <t>2024-11-20</t>
  </si>
  <si>
    <t>6101223042100183</t>
  </si>
  <si>
    <t>2025-04-28</t>
  </si>
  <si>
    <t>2024-12-25</t>
  </si>
  <si>
    <t>6101223051100139</t>
  </si>
  <si>
    <t>6101223051100141</t>
  </si>
  <si>
    <t>6102624031510020</t>
  </si>
  <si>
    <t>陕西咸阳渭城农村商业银行</t>
  </si>
  <si>
    <t>地方批量-比例再担保（2024）</t>
  </si>
  <si>
    <t>2024-11-28</t>
  </si>
  <si>
    <t>6101223122010006</t>
  </si>
  <si>
    <t>比例再担保（2024）</t>
  </si>
  <si>
    <t>2024-11-12</t>
  </si>
  <si>
    <t>6101423010110052</t>
  </si>
  <si>
    <t>6101423010310096</t>
  </si>
  <si>
    <t>6101423010610037</t>
  </si>
  <si>
    <t>6101423020710015</t>
  </si>
  <si>
    <t>2024-11-27</t>
  </si>
  <si>
    <t>2024-12-04</t>
  </si>
  <si>
    <t>6101423022410037</t>
  </si>
  <si>
    <t>6101323061500031</t>
  </si>
  <si>
    <t>兴业银行股份有限公司西安分行</t>
  </si>
  <si>
    <t>2024-12-10</t>
  </si>
  <si>
    <t>6101223051110148</t>
  </si>
  <si>
    <t>2024-07-12</t>
  </si>
  <si>
    <t>6101223051110149</t>
  </si>
  <si>
    <t>6101223061900141</t>
  </si>
  <si>
    <t>6101223060700231</t>
  </si>
  <si>
    <t>2024-12-21</t>
  </si>
  <si>
    <t>6101222062400430</t>
  </si>
  <si>
    <t>6102622083100003</t>
  </si>
  <si>
    <t>长安银行咸阳分行</t>
  </si>
  <si>
    <t>6101423021610013</t>
  </si>
  <si>
    <t>中国农业银行西安鄠邑区支行</t>
  </si>
  <si>
    <t>6101423033110060</t>
  </si>
  <si>
    <t>中国农业银行周至县支行</t>
  </si>
  <si>
    <t>2024-12-12</t>
  </si>
  <si>
    <t>6101423011110082</t>
  </si>
  <si>
    <t>中国农业银行西安临潼区支行</t>
  </si>
  <si>
    <t>6101423032310144</t>
  </si>
  <si>
    <t>2024-12-20</t>
  </si>
  <si>
    <t>6101423021310013</t>
  </si>
  <si>
    <t>6101423110910001</t>
  </si>
  <si>
    <t>浙商银行西安东关正街支行</t>
  </si>
  <si>
    <t>6102523082410012</t>
  </si>
  <si>
    <t>陕西眉县农村商业银行股份有限公司</t>
  </si>
  <si>
    <t>6102523071110001</t>
  </si>
  <si>
    <t>县域振兴批量贷（2023）</t>
  </si>
  <si>
    <t>杨栓科</t>
  </si>
  <si>
    <t>6102522070710009</t>
  </si>
  <si>
    <t>2024-12-27</t>
  </si>
  <si>
    <t>6102523072110007</t>
  </si>
  <si>
    <t>6101223072500028</t>
  </si>
  <si>
    <t>陕西秦农农村商业银行高新支行</t>
  </si>
  <si>
    <t>2025-01-13</t>
  </si>
  <si>
    <t>6103122032910006</t>
  </si>
  <si>
    <t>中国农业银行勉县支行</t>
  </si>
  <si>
    <t>6103122060710008</t>
  </si>
  <si>
    <t>中国农业银行南郑县支行</t>
  </si>
  <si>
    <t>2024-12-24</t>
  </si>
  <si>
    <t>2024-12-31</t>
  </si>
  <si>
    <t>6101223062710052</t>
  </si>
  <si>
    <t>陕再·银担快易贷（2023）</t>
  </si>
  <si>
    <t>2025-01-10</t>
  </si>
  <si>
    <t>6101423031010070</t>
  </si>
  <si>
    <t>6101423030710042</t>
  </si>
  <si>
    <t>6101323060100024</t>
  </si>
  <si>
    <t>中国银行咸阳分行</t>
  </si>
  <si>
    <t>6101323053100102</t>
  </si>
  <si>
    <t>6101224020700047</t>
  </si>
  <si>
    <t>渤海银行股份有限公司西安分行</t>
  </si>
  <si>
    <t>6101223092800102</t>
  </si>
  <si>
    <t>2025-09-28</t>
  </si>
  <si>
    <t>2024-08-09</t>
  </si>
  <si>
    <t>6101223081400171</t>
  </si>
  <si>
    <t>2025-08-14</t>
  </si>
  <si>
    <t>6101223100700040</t>
  </si>
  <si>
    <t>2025-10-20</t>
  </si>
  <si>
    <t>6101223091300060</t>
  </si>
  <si>
    <t>2025-09-13</t>
  </si>
  <si>
    <t>王春翠</t>
  </si>
  <si>
    <t>6101422052410115</t>
  </si>
  <si>
    <t>农业银行西安纺一路支行</t>
  </si>
  <si>
    <t>2025-05-23</t>
  </si>
  <si>
    <t>吴永虎</t>
  </si>
  <si>
    <t>6100121070819006</t>
  </si>
  <si>
    <t>陕西旬阳农村商业银行小河支行</t>
  </si>
  <si>
    <t>2021-07-08</t>
  </si>
  <si>
    <t>2023-09-5</t>
  </si>
  <si>
    <t>2024-01-19</t>
  </si>
  <si>
    <t>2024-09-18</t>
  </si>
  <si>
    <t>6103122052810002</t>
  </si>
  <si>
    <t>2025-05-27</t>
  </si>
  <si>
    <t>6103122062310019</t>
  </si>
  <si>
    <t>农业银行洋县支行</t>
  </si>
  <si>
    <t>2025-06-22</t>
  </si>
  <si>
    <t>6103122042210006</t>
  </si>
  <si>
    <t>2025-04-21</t>
  </si>
  <si>
    <t>商南县巅峰商贸有限责任公司</t>
  </si>
  <si>
    <t>6103322062000002</t>
  </si>
  <si>
    <t>2023-8-28</t>
  </si>
  <si>
    <t>2024-04-12</t>
  </si>
  <si>
    <t>宝鸡市宏润泽达科技有限公司</t>
  </si>
  <si>
    <t>6102522111700014</t>
  </si>
  <si>
    <t>长安银行股份有限公司宝鸡高新支行</t>
  </si>
  <si>
    <t>宝鸡市宇达通实业发展有限公司</t>
  </si>
  <si>
    <t>6102522111400017</t>
  </si>
  <si>
    <t>任少博</t>
  </si>
  <si>
    <t>6101422070110005</t>
  </si>
  <si>
    <t>长安银行曲江支行</t>
  </si>
  <si>
    <t>2023-06-29</t>
  </si>
  <si>
    <t>程安红</t>
  </si>
  <si>
    <t>6105022063010094</t>
  </si>
  <si>
    <t>何亮亮</t>
  </si>
  <si>
    <t>6100121081319005</t>
  </si>
  <si>
    <t>皇甫萌萌</t>
  </si>
  <si>
    <t>6101422081110001</t>
  </si>
  <si>
    <t>长安银行西安曲江新区支行</t>
  </si>
  <si>
    <t>宝鸡市佳悦工贸有限公司</t>
  </si>
  <si>
    <t>6102522072900016</t>
  </si>
  <si>
    <t>陕西映象洛河生态庄园有限公司</t>
  </si>
  <si>
    <t>6103222032500001</t>
  </si>
  <si>
    <t>2024-03-29</t>
  </si>
  <si>
    <t>6105022070800032</t>
  </si>
  <si>
    <t>2024-03-20</t>
  </si>
  <si>
    <t>6101322092700014</t>
  </si>
  <si>
    <t>北京银行股份有限公司西安分行</t>
  </si>
  <si>
    <t>6102522092000017</t>
  </si>
  <si>
    <t>长安银行股份有限公司宝鸡创新路支行</t>
  </si>
  <si>
    <t>2024-03-18</t>
  </si>
  <si>
    <t>2024-04-17</t>
  </si>
  <si>
    <t>6105022081100065</t>
  </si>
  <si>
    <t>秦农银行内苑支行</t>
  </si>
  <si>
    <t>6101222080100440</t>
  </si>
  <si>
    <t>2023-07-31</t>
  </si>
  <si>
    <t>6101222092800232</t>
  </si>
  <si>
    <t>恒丰银行西安分行</t>
  </si>
  <si>
    <t>6102523011710135</t>
  </si>
  <si>
    <t>陕西岐山长银村镇银行有限公司</t>
  </si>
  <si>
    <t>2024-01-11</t>
  </si>
  <si>
    <t>2024-04-08</t>
  </si>
  <si>
    <t>2024-04-29</t>
  </si>
  <si>
    <t>6101422052010116</t>
  </si>
  <si>
    <t>农业银行西安阎良区支行</t>
  </si>
  <si>
    <t>2025-05-19</t>
  </si>
  <si>
    <t>2024-04-18</t>
  </si>
  <si>
    <t>6104522033010011</t>
  </si>
  <si>
    <t>2023-03-29</t>
  </si>
  <si>
    <t>6103222122710002</t>
  </si>
  <si>
    <t>6101423030910095</t>
  </si>
  <si>
    <t>中国农业银行蓝田县支行</t>
  </si>
  <si>
    <t>2025-03-08</t>
  </si>
  <si>
    <t>2024-05-08</t>
  </si>
  <si>
    <t>2024-05-15</t>
  </si>
  <si>
    <t>2024-05-20</t>
  </si>
  <si>
    <t>西安天翼商旅服务有限公司</t>
  </si>
  <si>
    <t>6101222052300036</t>
  </si>
  <si>
    <t>2023-11-24</t>
  </si>
  <si>
    <t>2024-05-11</t>
  </si>
  <si>
    <t>陕西新航恒达机械有限公司</t>
  </si>
  <si>
    <t>6101222062000074</t>
  </si>
  <si>
    <t>2024-06-17</t>
  </si>
  <si>
    <t>6101222032100460</t>
  </si>
  <si>
    <t>2024-03-16</t>
  </si>
  <si>
    <t>西安美彩信息科技有限公司</t>
  </si>
  <si>
    <t>6101222062000079</t>
  </si>
  <si>
    <t>西安助农为乐电子商务有限公司</t>
  </si>
  <si>
    <t>6101222051500016</t>
  </si>
  <si>
    <t>2024-05-10</t>
  </si>
  <si>
    <t>6101222061900018</t>
  </si>
  <si>
    <t>西安伟恒机电设备有限公司</t>
  </si>
  <si>
    <t>6101222042500183</t>
  </si>
  <si>
    <t>陕西双辉建筑工程有限公司</t>
  </si>
  <si>
    <t>6101222041300296</t>
  </si>
  <si>
    <t>6101222052100007</t>
  </si>
  <si>
    <t>西安满鑫劳务有限公司</t>
  </si>
  <si>
    <t>6101222070800281</t>
  </si>
  <si>
    <t>6101222031900523</t>
  </si>
  <si>
    <t>6101222042200164</t>
  </si>
  <si>
    <t>6101222051000048</t>
  </si>
  <si>
    <t>6101222032500262</t>
  </si>
  <si>
    <t>6101222032900192</t>
  </si>
  <si>
    <t>陕西皖通腾飞建设工程有限公司</t>
  </si>
  <si>
    <t>6101222042800154</t>
  </si>
  <si>
    <t>6101222051200030</t>
  </si>
  <si>
    <t>6102522103110006</t>
  </si>
  <si>
    <t>2023-10-31</t>
  </si>
  <si>
    <t>西安银唐安防科技有限公司</t>
  </si>
  <si>
    <t>6101223040100149</t>
  </si>
  <si>
    <t>2025-03-26</t>
  </si>
  <si>
    <t>西安创睿行汽车销售服务有限公司</t>
  </si>
  <si>
    <t>6101223060600228</t>
  </si>
  <si>
    <t>2025-06-06</t>
  </si>
  <si>
    <t>陕西鑫辰建筑工程有限公司</t>
  </si>
  <si>
    <t>6101222073000104</t>
  </si>
  <si>
    <t>2024-08-04</t>
  </si>
  <si>
    <t>6101222081600115</t>
  </si>
  <si>
    <t>6101222033100203</t>
  </si>
  <si>
    <t>6101222033100204</t>
  </si>
  <si>
    <t>6101222050200543</t>
  </si>
  <si>
    <t>6101222033100202</t>
  </si>
  <si>
    <t>6101222061700062</t>
  </si>
  <si>
    <t>6101222041200292</t>
  </si>
  <si>
    <t>西安普瑞塞斯机械设备制造有限公司</t>
  </si>
  <si>
    <t>6101223053000278</t>
  </si>
  <si>
    <t>2025-05-28</t>
  </si>
  <si>
    <t>西安盛光物流有限公司</t>
  </si>
  <si>
    <t>6101222053000052</t>
  </si>
  <si>
    <t>陕西晨业交通设施工程有限公司</t>
  </si>
  <si>
    <t>6101222061500087</t>
  </si>
  <si>
    <t>6101222063000123</t>
  </si>
  <si>
    <t>陕西连天正商贸有限公司</t>
  </si>
  <si>
    <t>6101222042500170</t>
  </si>
  <si>
    <t>6101223042500235</t>
  </si>
  <si>
    <t>2025-04-26</t>
  </si>
  <si>
    <t>6101222051200048</t>
  </si>
  <si>
    <t>6101222052600067</t>
  </si>
  <si>
    <t>西安雄昊商贸有限公司</t>
  </si>
  <si>
    <t>6101222060900059</t>
  </si>
  <si>
    <t>2024-06-05</t>
  </si>
  <si>
    <t>陕西百胜通通讯科技有限公司</t>
  </si>
  <si>
    <t>6101222062000098</t>
  </si>
  <si>
    <t>2024-06-20</t>
  </si>
  <si>
    <t>6101222081500230</t>
  </si>
  <si>
    <t>陕西米晟源商贸有限公司</t>
  </si>
  <si>
    <t>6101222072600180</t>
  </si>
  <si>
    <t>2024-08-06</t>
  </si>
  <si>
    <t>陕西德赢贸易有限公司</t>
  </si>
  <si>
    <t>6101222080700375</t>
  </si>
  <si>
    <t>6101222062100055</t>
  </si>
  <si>
    <t>6101222042100173</t>
  </si>
  <si>
    <t>6101222061000066</t>
  </si>
  <si>
    <t>2024-02-07</t>
  </si>
  <si>
    <t>2024-07-02</t>
  </si>
  <si>
    <t>陕西致高顺利劳务有限公司</t>
  </si>
  <si>
    <t>6101222042900180</t>
  </si>
  <si>
    <t>西安永诚丰胜商贸有限公司</t>
  </si>
  <si>
    <t>6101223061200209</t>
  </si>
  <si>
    <t>2025-06-01</t>
  </si>
  <si>
    <t>2024-05-30</t>
  </si>
  <si>
    <t>6101223060800275</t>
  </si>
  <si>
    <t>6101223060100194</t>
  </si>
  <si>
    <t>6101223061400160</t>
  </si>
  <si>
    <t>6102523083110013</t>
  </si>
  <si>
    <t>2024-05-29</t>
  </si>
  <si>
    <t>陕西合源建设工程有限公司</t>
  </si>
  <si>
    <t>6101222081600119</t>
  </si>
  <si>
    <t>2024-08-10</t>
  </si>
  <si>
    <t>6101222052700070</t>
  </si>
  <si>
    <t>西安挺进商贸有限公司</t>
  </si>
  <si>
    <t>6101223032000018</t>
  </si>
  <si>
    <t>2025-03-24</t>
  </si>
  <si>
    <t>白水县美佳商贸有限责任公司</t>
  </si>
  <si>
    <t>6101222071500202</t>
  </si>
  <si>
    <t>6101222061300068</t>
  </si>
  <si>
    <t>6101422102710015</t>
  </si>
  <si>
    <t>2022-10-27</t>
  </si>
  <si>
    <t>2024-05-17</t>
  </si>
  <si>
    <t>6101323032400022</t>
  </si>
  <si>
    <t>中国建设银行股份有限公司西安长安区支行</t>
  </si>
  <si>
    <t>2024-03-19</t>
  </si>
  <si>
    <t>2024-05-23</t>
  </si>
  <si>
    <t>6101522093000004</t>
  </si>
  <si>
    <t>陕西秦农银行高陵支行</t>
  </si>
  <si>
    <t>2014-06-07</t>
  </si>
  <si>
    <t>6101323032400021</t>
  </si>
  <si>
    <t>6102522032810002</t>
  </si>
  <si>
    <t>6103723062610001</t>
  </si>
  <si>
    <t>黄陵县农村信用合作联社</t>
  </si>
  <si>
    <t>2024-05-25</t>
  </si>
  <si>
    <t>2024-08-26</t>
  </si>
  <si>
    <t>6101423040410002</t>
  </si>
  <si>
    <t>2024-06-06</t>
  </si>
  <si>
    <t>6102522093010018</t>
  </si>
  <si>
    <t>2025-09-30</t>
  </si>
  <si>
    <t>6103222043000001</t>
  </si>
  <si>
    <t>陕西汉阴农村商业银行</t>
  </si>
  <si>
    <t>6101522121400002</t>
  </si>
  <si>
    <t>陕西秦农农村商业银行股份有限公司高陵支行</t>
  </si>
  <si>
    <t>宝鸡市胜航汽车服务有限公司</t>
  </si>
  <si>
    <t>6101222040500337</t>
  </si>
  <si>
    <t>2024-01-31</t>
  </si>
  <si>
    <t>6101222041100295</t>
  </si>
  <si>
    <t>陕西迪创建设工程有限公司</t>
  </si>
  <si>
    <t>6101223042300174</t>
  </si>
  <si>
    <t>2024-07-30</t>
  </si>
  <si>
    <t>6101222041900152</t>
  </si>
  <si>
    <t>6101222032000609</t>
  </si>
  <si>
    <t>6101222082000091</t>
  </si>
  <si>
    <t>陕西辉昂建设工程有限公司</t>
  </si>
  <si>
    <t>6101222032200259</t>
  </si>
  <si>
    <t>陕西丰宁建筑工程有限公司</t>
  </si>
  <si>
    <t>6101222051100056</t>
  </si>
  <si>
    <t>6101222051100055</t>
  </si>
  <si>
    <t>6101222051100057</t>
  </si>
  <si>
    <t>6101222051100058</t>
  </si>
  <si>
    <t>陕西中恒天润环境科技有限公司</t>
  </si>
  <si>
    <t>6101222051800074</t>
  </si>
  <si>
    <t>6101222051100059</t>
  </si>
  <si>
    <t>6101222061600080</t>
  </si>
  <si>
    <t>2024-06-13</t>
  </si>
  <si>
    <t>6101222062300117</t>
  </si>
  <si>
    <t>6101222040500336</t>
  </si>
  <si>
    <t>6101222082100078</t>
  </si>
  <si>
    <t>6101222051600090</t>
  </si>
  <si>
    <t>6101222070200341</t>
  </si>
  <si>
    <t>2024-07-13</t>
  </si>
  <si>
    <t>6101222052600080</t>
  </si>
  <si>
    <t>6101222071800176</t>
  </si>
  <si>
    <t>6101223042300175</t>
  </si>
  <si>
    <t>6102522112900031</t>
  </si>
  <si>
    <t>长安银行股份有限公司宝鸡科技支行</t>
  </si>
  <si>
    <t>2023-11-28</t>
  </si>
  <si>
    <t>2024-09-04</t>
  </si>
  <si>
    <t>6102522112900032</t>
  </si>
  <si>
    <t>6102522112900033</t>
  </si>
  <si>
    <t>6103222102700003</t>
  </si>
  <si>
    <t>陕西白河农村商业银行</t>
  </si>
  <si>
    <t>比例再担保（2024）-乡村振兴</t>
  </si>
  <si>
    <t>2024-2-8</t>
  </si>
  <si>
    <t>2024-08-05</t>
  </si>
  <si>
    <t>2024-08-30</t>
  </si>
  <si>
    <t>6102522121500026</t>
  </si>
  <si>
    <t>陕西岐山农村商业银行股份有限公司</t>
  </si>
  <si>
    <t>三秦融担贷-创业担保</t>
  </si>
  <si>
    <t>2024-09-06</t>
  </si>
  <si>
    <t>6102523012000146</t>
  </si>
  <si>
    <t>长安银行股份有限公司宝鸡陈仓区支行</t>
  </si>
  <si>
    <t>陕再•银担快易贷</t>
  </si>
  <si>
    <t>6102523011300085</t>
  </si>
  <si>
    <t>长安银行股份有限公司宝鸡广安路支行</t>
  </si>
  <si>
    <t>6102523011900204</t>
  </si>
  <si>
    <t>2024-08-01</t>
  </si>
  <si>
    <t>6104121110810039</t>
  </si>
  <si>
    <t>陕西神木农村商业银行股份有限公司东兴南路分理处</t>
  </si>
  <si>
    <t>2024-08-28</t>
  </si>
  <si>
    <t>6101523012000001</t>
  </si>
  <si>
    <t>2024-08-29</t>
  </si>
  <si>
    <t>6102523011810181</t>
  </si>
  <si>
    <t>2024-03-25</t>
  </si>
  <si>
    <t>2024-08-23</t>
  </si>
  <si>
    <t>2024-09-03</t>
  </si>
  <si>
    <t>6103222093000009</t>
  </si>
  <si>
    <t>中国邮政储蓄银行陕西省安康市分行营业部</t>
  </si>
  <si>
    <t>比例再担保-乡村振兴</t>
  </si>
  <si>
    <t>6101323022400029</t>
  </si>
  <si>
    <t>2024-3-15</t>
  </si>
  <si>
    <t>2024-09-19</t>
  </si>
  <si>
    <t>6102523021000011</t>
  </si>
  <si>
    <t>长安银行股份有限公司宝鸡金陵支行</t>
  </si>
  <si>
    <t>陕再银担快易贷</t>
  </si>
  <si>
    <t>6101423101110003</t>
  </si>
  <si>
    <t>上海浦东发展银行股份有限公司西安分行</t>
  </si>
  <si>
    <t>比例再担保（2023）-自营</t>
  </si>
  <si>
    <t>2024-08-27</t>
  </si>
  <si>
    <t>6101422120910009</t>
  </si>
  <si>
    <t>2024-04-30</t>
  </si>
  <si>
    <t>6101423041810006</t>
  </si>
  <si>
    <t>6103222032510004</t>
  </si>
  <si>
    <t>2024-09-05</t>
  </si>
  <si>
    <t xml:space="preserve"> 6101422120510006</t>
  </si>
  <si>
    <t>6101422102610021</t>
  </si>
  <si>
    <t>中国农业银行蓝田县蓝新路支行</t>
  </si>
  <si>
    <t>2024-09-24</t>
  </si>
  <si>
    <t>6103222093000002</t>
  </si>
  <si>
    <t>长安银行股份有限公司镇坪县支行</t>
  </si>
  <si>
    <t>西安达观时代设计工程股份有限公司</t>
  </si>
  <si>
    <t>6101222060700018</t>
  </si>
  <si>
    <t>2024-09-09</t>
  </si>
  <si>
    <t>6101222073000101</t>
  </si>
  <si>
    <t>6101222072800148</t>
  </si>
  <si>
    <t>6101222042700182</t>
  </si>
  <si>
    <t>西安埃伯格制冷设备有限公司</t>
  </si>
  <si>
    <t>6101222051300074</t>
  </si>
  <si>
    <t>6101222051700038</t>
  </si>
  <si>
    <t>陕西清品建筑装饰设计工程有限公司</t>
  </si>
  <si>
    <t>6101223082100105</t>
  </si>
  <si>
    <t>2025-08-13</t>
  </si>
  <si>
    <t>陕西科诺迪工贸有限公司</t>
  </si>
  <si>
    <t>6101223082400102</t>
  </si>
  <si>
    <t>西安卓群力达餐饮运营管理有限公司</t>
  </si>
  <si>
    <t>6101222032200257</t>
  </si>
  <si>
    <t>西安发时达工程设备有限公司</t>
  </si>
  <si>
    <t>6101222080300308</t>
  </si>
  <si>
    <t>西安泰明食品有限公司</t>
  </si>
  <si>
    <t>6101222072000192</t>
  </si>
  <si>
    <t>2024-07-17</t>
  </si>
  <si>
    <t>西安勇瑞涛建筑工程有限公司</t>
  </si>
  <si>
    <t>6101223033000162</t>
  </si>
  <si>
    <t>陕西清尚商贸有限公司</t>
  </si>
  <si>
    <t>6101222061900016</t>
  </si>
  <si>
    <t>6101222061800010</t>
  </si>
  <si>
    <t>6101222061500056</t>
  </si>
  <si>
    <t>陕西矗泽建设工程有限公司</t>
  </si>
  <si>
    <t>6101222062100079</t>
  </si>
  <si>
    <t>陕西凯正物资有限公司</t>
  </si>
  <si>
    <t>6101222080400543</t>
  </si>
  <si>
    <t>西安舜华恒宇装饰设计工程有限公司</t>
  </si>
  <si>
    <t>6101222040100549</t>
  </si>
  <si>
    <t>6101222071400193</t>
  </si>
  <si>
    <t>6101222040700388</t>
  </si>
  <si>
    <t>2024-04-13</t>
  </si>
  <si>
    <t>6101222061700084</t>
  </si>
  <si>
    <t>西安瓦特电气有限公司</t>
  </si>
  <si>
    <t>6101222062400134</t>
  </si>
  <si>
    <t>2024-06-24</t>
  </si>
  <si>
    <t>陕西创祥石材工程有限公司</t>
  </si>
  <si>
    <t>6101222032800214</t>
  </si>
  <si>
    <t>6101222071400192</t>
  </si>
  <si>
    <t>陕西豪邦建材有限公司</t>
  </si>
  <si>
    <t>6101223090700091</t>
  </si>
  <si>
    <t>2025-08-27</t>
  </si>
  <si>
    <t>6101222062300079</t>
  </si>
  <si>
    <t>2024-07-07</t>
  </si>
  <si>
    <t>6101222061400037</t>
  </si>
  <si>
    <t>2024-10-10</t>
  </si>
  <si>
    <t>6101222052500033</t>
  </si>
  <si>
    <t>6103122072910005</t>
  </si>
  <si>
    <t>6101223033100303</t>
  </si>
  <si>
    <t>6101223060500169</t>
  </si>
  <si>
    <t>6103122092810040</t>
  </si>
  <si>
    <t>2024-10-15</t>
  </si>
  <si>
    <t>6101422111110003</t>
  </si>
  <si>
    <t>2024-4-25</t>
  </si>
  <si>
    <t>6101223062600165</t>
  </si>
  <si>
    <t>2025-06-26</t>
  </si>
  <si>
    <t>6104120120919001</t>
  </si>
  <si>
    <t>陕西神木农村商业银行城区支行</t>
  </si>
  <si>
    <t>国担非专项业务</t>
  </si>
  <si>
    <t>2024-03-08</t>
  </si>
  <si>
    <t>6100121092819251</t>
  </si>
  <si>
    <t>中国农业银行股份有限公司/汉台区支行</t>
  </si>
  <si>
    <t>6100121090819201</t>
  </si>
  <si>
    <t>6100121093019282</t>
  </si>
  <si>
    <t>6101423071210023</t>
  </si>
  <si>
    <t>2024-09-12</t>
  </si>
  <si>
    <t>2024-09-13</t>
  </si>
  <si>
    <t>6101422120610008</t>
  </si>
  <si>
    <t>2024-10-08</t>
  </si>
  <si>
    <t>6101223033000505</t>
  </si>
  <si>
    <t>6103321010419001</t>
  </si>
  <si>
    <t>商洛市商州区农村信用合作联社</t>
  </si>
  <si>
    <t>2024-9-19</t>
  </si>
  <si>
    <t>2024-09-26</t>
  </si>
  <si>
    <t>6103120122019001</t>
  </si>
  <si>
    <t>勉县农村信用合作联社</t>
  </si>
  <si>
    <t>2024-03-31</t>
  </si>
  <si>
    <t>6101222053100452</t>
  </si>
  <si>
    <t>长安银行西安鄠邑区支行</t>
  </si>
  <si>
    <t>6102523041900005</t>
  </si>
  <si>
    <t>6100121082319058</t>
  </si>
  <si>
    <t>6100121090119126</t>
  </si>
  <si>
    <t>农业银行汉中南郑区支行</t>
  </si>
  <si>
    <t>6102523041410020</t>
  </si>
  <si>
    <t>2024-09-10</t>
  </si>
  <si>
    <t>2024-09-14</t>
  </si>
  <si>
    <t>2024-09-20</t>
  </si>
  <si>
    <t>2024-10-25</t>
  </si>
  <si>
    <t>6103121122810006</t>
  </si>
  <si>
    <t>中国农业银行略阳县支行</t>
  </si>
  <si>
    <t>专项-扶贫开发</t>
  </si>
  <si>
    <t>6102522041310013</t>
  </si>
  <si>
    <t>2024-05-13</t>
  </si>
  <si>
    <t>2024-09-11</t>
  </si>
  <si>
    <t>省担保自营</t>
  </si>
  <si>
    <t>6105023103110021</t>
  </si>
  <si>
    <t>6100121091619320</t>
  </si>
  <si>
    <t>中国建设银行股份有限公司陕西省分行</t>
  </si>
  <si>
    <t>6101423032410005</t>
  </si>
  <si>
    <t>2024-10-16</t>
  </si>
  <si>
    <t>2024-10-18</t>
  </si>
  <si>
    <t>6101423032910150</t>
  </si>
  <si>
    <t>中国农业银行西安纺一路支行</t>
  </si>
  <si>
    <t>6103122071310022</t>
  </si>
  <si>
    <t>中国农业银行城固县支行</t>
  </si>
  <si>
    <t>6102523033100001</t>
  </si>
  <si>
    <t>陕西陇县长银村镇银行股份有限公司</t>
  </si>
  <si>
    <t>6103122071810032</t>
  </si>
  <si>
    <t>6103122061410015</t>
  </si>
  <si>
    <t>6102623040310007</t>
  </si>
  <si>
    <t>旬邑县农村信用合作联社</t>
  </si>
  <si>
    <t>2024-09-21</t>
  </si>
  <si>
    <t>2024-10-14</t>
  </si>
  <si>
    <t>6102523032400001</t>
  </si>
  <si>
    <t>2024-09-23</t>
  </si>
  <si>
    <t>2024-11-14</t>
  </si>
  <si>
    <t>6103222121500001</t>
  </si>
  <si>
    <t>中国邮政储蓄银行股份有限公司旬阳县支行</t>
  </si>
  <si>
    <t>创业担保贷</t>
  </si>
  <si>
    <t>6105023032100001</t>
  </si>
  <si>
    <t>招商银行西安分行</t>
  </si>
  <si>
    <t>2024-10-09</t>
  </si>
  <si>
    <t>6103322120800002</t>
  </si>
  <si>
    <t>比例再担保（2023）（银担分险）</t>
  </si>
  <si>
    <t>6102523040300013</t>
  </si>
  <si>
    <t>2024-09-27</t>
  </si>
  <si>
    <t>6101322053100119</t>
  </si>
  <si>
    <t>比例再担保非银担分险</t>
  </si>
  <si>
    <t>2024-10-12</t>
  </si>
  <si>
    <t>6104022121310056</t>
  </si>
  <si>
    <t>陕西榆林农村商业银行</t>
  </si>
  <si>
    <t>2024-09-29</t>
  </si>
  <si>
    <t>6104023022310012</t>
  </si>
  <si>
    <t>6103123032110051</t>
  </si>
  <si>
    <t>2024-11-05</t>
  </si>
  <si>
    <t>6102523062100050</t>
  </si>
  <si>
    <t>陕西太白长银村镇银行</t>
  </si>
  <si>
    <t>6102623040710001</t>
  </si>
  <si>
    <t>三原县农村信用合作联社</t>
  </si>
  <si>
    <t>6103221013019002</t>
  </si>
  <si>
    <t>陕西平利农村商业银行股份有限公司</t>
  </si>
  <si>
    <t>6102523032700002</t>
  </si>
  <si>
    <t>2024-10-8</t>
  </si>
  <si>
    <t>第二次备案为省担自营，第三次本案为无还本续贷,仅申请再担20%</t>
  </si>
  <si>
    <t>6101223032900532</t>
  </si>
  <si>
    <t>比例再担保（2023）（非银担分险）</t>
  </si>
  <si>
    <t>6103323022100003</t>
  </si>
  <si>
    <t>中国农业银行商洛分行</t>
  </si>
  <si>
    <t>6103323041300003</t>
  </si>
  <si>
    <t>中国建设银行商洛分行</t>
  </si>
  <si>
    <t>6103122060110002</t>
  </si>
  <si>
    <t>2025-01-17</t>
  </si>
  <si>
    <t>6103122060710006</t>
  </si>
  <si>
    <t>6100121062419065</t>
  </si>
  <si>
    <t>中国农业银行股份有限公司/南郑县支行</t>
  </si>
  <si>
    <t>陕西紫阳吴氏专业修脚保健连锁服务有限公</t>
  </si>
  <si>
    <t>6103222092700001</t>
  </si>
  <si>
    <t>2025-01-26</t>
  </si>
  <si>
    <t>6101123082900001</t>
  </si>
  <si>
    <t>2025-02-06</t>
  </si>
  <si>
    <t>6105023081710079</t>
  </si>
  <si>
    <t>秦农银行周至支行</t>
  </si>
  <si>
    <t>2025-01-21</t>
  </si>
  <si>
    <t>2025-04-29</t>
  </si>
  <si>
    <t>6192723063010002</t>
  </si>
  <si>
    <t>白水县农村信用合作联社城区信用社</t>
  </si>
  <si>
    <t>2025-01-15</t>
  </si>
  <si>
    <t>2025-04-15</t>
  </si>
  <si>
    <t>6103122061410009</t>
  </si>
  <si>
    <t>2025-02-23</t>
  </si>
  <si>
    <t>6103122092310046</t>
  </si>
  <si>
    <t>2025-05-09</t>
  </si>
  <si>
    <t>6100121070219002</t>
  </si>
  <si>
    <t>中国建设银行股份有限公司/陕西省分行</t>
  </si>
  <si>
    <t>6100121060219012</t>
  </si>
  <si>
    <t>比例再担保（非担分险）</t>
  </si>
  <si>
    <t>6103222112400001</t>
  </si>
  <si>
    <t>安康农村商业银行股份有限公司</t>
  </si>
  <si>
    <t>6100121061819041</t>
  </si>
  <si>
    <t>中国农业银行股份有限公司汉台区支行</t>
  </si>
  <si>
    <t>2025-01-20</t>
  </si>
  <si>
    <t>2025-02-13</t>
  </si>
  <si>
    <t>6103122051810013</t>
  </si>
  <si>
    <t>6102523082210006</t>
  </si>
  <si>
    <t>6101423032910160</t>
  </si>
  <si>
    <t>6101423032210117</t>
  </si>
  <si>
    <t>6101423012010028</t>
  </si>
  <si>
    <t>2026-01-19</t>
  </si>
  <si>
    <t>6103122070810014</t>
  </si>
  <si>
    <t>2025-02-05</t>
  </si>
  <si>
    <t>6103122101310004</t>
  </si>
  <si>
    <t>2024-09-25</t>
  </si>
  <si>
    <t>6100121090919253</t>
  </si>
  <si>
    <t>中国农业银行股份有限公司/南郑区支行</t>
  </si>
  <si>
    <t>2025-03-03</t>
  </si>
  <si>
    <t>6100121062519066</t>
  </si>
  <si>
    <t>中国农业银行股份有限公司/镇巴县支行</t>
  </si>
  <si>
    <t>扶贫开发贷款再担保</t>
  </si>
  <si>
    <t>2025-02--28</t>
  </si>
  <si>
    <t>6103122030210014</t>
  </si>
  <si>
    <t>6101423042710044</t>
  </si>
  <si>
    <t>2025-07-01</t>
  </si>
  <si>
    <t>6105023090600037</t>
  </si>
  <si>
    <t>6103123050510002</t>
  </si>
  <si>
    <t>中国农业银行汉中市汉台区支行营业部</t>
  </si>
  <si>
    <t>2025-03-18</t>
  </si>
  <si>
    <t>6100121051319001</t>
  </si>
  <si>
    <t>中国农业银行股份有限公司/略阳县支行</t>
  </si>
  <si>
    <t>6101223071500020</t>
  </si>
  <si>
    <t>6101223072100002</t>
  </si>
  <si>
    <t>6101223060700232</t>
  </si>
  <si>
    <t>6101223091100079</t>
  </si>
  <si>
    <t>6100121090319207</t>
  </si>
  <si>
    <t>6100121080519032</t>
  </si>
  <si>
    <t>6101422051310099</t>
  </si>
  <si>
    <t>2025-03-21</t>
  </si>
  <si>
    <t>6101423030910091</t>
  </si>
  <si>
    <t>6100121080619019</t>
  </si>
  <si>
    <t>陕西柞水农村商业银行</t>
  </si>
  <si>
    <t>6192824051300028</t>
  </si>
  <si>
    <t>6192824032500206</t>
  </si>
  <si>
    <t>6101223082400093</t>
  </si>
  <si>
    <t>6102623092800004</t>
  </si>
  <si>
    <t>省的自营项目</t>
  </si>
  <si>
    <t>6101423062510024</t>
  </si>
  <si>
    <t>李云峰</t>
  </si>
  <si>
    <t>6101423072410083</t>
  </si>
  <si>
    <t>2025-04-18</t>
  </si>
  <si>
    <t>6105023091200020</t>
  </si>
  <si>
    <t>中国建设银行陕西省分行营业部</t>
  </si>
  <si>
    <t>6105023090600044</t>
  </si>
  <si>
    <t>6103222102600001</t>
  </si>
  <si>
    <t>乡村振兴贷款担保支持计划</t>
  </si>
  <si>
    <t>2025-05-30</t>
  </si>
  <si>
    <t>6103122092900100</t>
  </si>
  <si>
    <t>陕西佛坪农村商业银行</t>
  </si>
  <si>
    <t>因超过产品代偿上限，直担时间代偿比例21.86%，再担实际代偿比例10.93%，向国担申请实际比例5.47%</t>
  </si>
  <si>
    <t>6101422061410050</t>
  </si>
  <si>
    <t>6103222103100002</t>
  </si>
  <si>
    <t>比例再担保（银担分险）乡村振兴</t>
  </si>
  <si>
    <t>6100121062719003</t>
  </si>
  <si>
    <t>2025-05-06</t>
  </si>
  <si>
    <t>6103122052510008</t>
  </si>
  <si>
    <t>6103122091810029</t>
  </si>
  <si>
    <t>6105023091500030</t>
  </si>
  <si>
    <t>中国建设银行西安劳动路支行</t>
  </si>
  <si>
    <t>6101422062810085</t>
  </si>
  <si>
    <t>6105023092010035</t>
  </si>
  <si>
    <t>6105023092810050</t>
  </si>
  <si>
    <t>6105023092810051</t>
  </si>
  <si>
    <t>6103223100700005</t>
  </si>
  <si>
    <t>陕西旬阳农村商业银行股份有限公司</t>
  </si>
  <si>
    <t>6102522110910010</t>
  </si>
  <si>
    <t>6102522110410019</t>
  </si>
  <si>
    <t>6101423062910052</t>
  </si>
  <si>
    <t>6105024032100048</t>
  </si>
  <si>
    <t>中国建设银行西安长安区支行</t>
  </si>
  <si>
    <t>2025-06-17</t>
  </si>
  <si>
    <t>6101123121100001</t>
  </si>
  <si>
    <t>重庆银行西安雁塔南路支行</t>
  </si>
  <si>
    <t>6103223011800004</t>
  </si>
  <si>
    <t>6101322111000011</t>
  </si>
  <si>
    <t>2025-06-25</t>
  </si>
  <si>
    <t>6100121090319211</t>
  </si>
  <si>
    <t>2025-01-03</t>
  </si>
  <si>
    <t>2025-06-04</t>
  </si>
  <si>
    <t>6100121072919041</t>
  </si>
  <si>
    <t>中国农业银行股份有限公司/南郑支行</t>
  </si>
  <si>
    <t>2025-06-09</t>
  </si>
  <si>
    <t>6100121080419048</t>
  </si>
  <si>
    <t>2025-01-14</t>
  </si>
  <si>
    <t>6103122050610006</t>
  </si>
  <si>
    <t>6192823102010173</t>
  </si>
  <si>
    <t>西安银行高新支行</t>
  </si>
  <si>
    <t>陕再•银担快易贷（2023）-自营</t>
  </si>
  <si>
    <t>2024-10-19</t>
  </si>
  <si>
    <t>6192823102310102</t>
  </si>
  <si>
    <t>2024-10-22</t>
  </si>
  <si>
    <t>6105023110200022</t>
  </si>
  <si>
    <t>陕西秦农农村商业银行经开支行</t>
  </si>
  <si>
    <t>地方批量-县域振兴批量贷（2023）</t>
  </si>
  <si>
    <t>2025-07-17</t>
  </si>
  <si>
    <t>6100121080419051</t>
  </si>
  <si>
    <t>6102523112310011</t>
  </si>
  <si>
    <t>扶风县农村信用合作联社</t>
  </si>
  <si>
    <t>2025-07-02</t>
  </si>
  <si>
    <t>6103221120600001</t>
  </si>
  <si>
    <t>6101323113000026</t>
  </si>
  <si>
    <t>中国银行股份有限公司西安高新技术开发区支行</t>
  </si>
  <si>
    <t>彬州意境装饰工程有限责任公司</t>
  </si>
  <si>
    <t>6192824080500029</t>
  </si>
  <si>
    <t>2025-06-10</t>
  </si>
  <si>
    <t>陕西灿航钻探工程有限公司</t>
  </si>
  <si>
    <t>6192824062000088</t>
  </si>
  <si>
    <t>张龙</t>
  </si>
  <si>
    <t>6192824060510063</t>
  </si>
  <si>
    <t>宝鸡易潼成建筑工程有限公司</t>
  </si>
  <si>
    <t>6192824062100067</t>
  </si>
  <si>
    <t>宝鸡正皓窑炉科技有限公司</t>
  </si>
  <si>
    <t>6192824051600025</t>
  </si>
  <si>
    <t>6192824040200093</t>
  </si>
  <si>
    <t>6192824042400165</t>
  </si>
  <si>
    <t>6192824032700202</t>
  </si>
  <si>
    <t>陕西汇杰教育科技有限公司</t>
  </si>
  <si>
    <t>6192824032500171</t>
  </si>
  <si>
    <t>陕西顺圆成业建筑工程有限公司</t>
  </si>
  <si>
    <t>6192824060600086</t>
  </si>
  <si>
    <t>6192824052400025</t>
  </si>
  <si>
    <t>6192824032800226</t>
  </si>
  <si>
    <t>西安福尔摩莎机电设备有限公司</t>
  </si>
  <si>
    <t>6192824041600138</t>
  </si>
  <si>
    <t>西安易派软件技术有限公司</t>
  </si>
  <si>
    <t>6192824040900098</t>
  </si>
  <si>
    <t>西安兆麟建材有限公司</t>
  </si>
  <si>
    <t>6192824060600080</t>
  </si>
  <si>
    <t>陕西俊扬电子科技有限公司</t>
  </si>
  <si>
    <t>6101223082200109</t>
  </si>
  <si>
    <t>6101223061700064</t>
  </si>
  <si>
    <t>西安泰方商贸有限公司</t>
  </si>
  <si>
    <t>6101223061400175</t>
  </si>
  <si>
    <t>2025-07-03</t>
  </si>
  <si>
    <t>6101223062600173</t>
  </si>
  <si>
    <t>6103122091410042</t>
  </si>
  <si>
    <t>6103122092910060</t>
  </si>
  <si>
    <t>6100121091619330</t>
  </si>
  <si>
    <t>2024-09-15</t>
  </si>
  <si>
    <t>6102523120700001</t>
  </si>
  <si>
    <t>陕西宝鸡渭滨农村商业银行股份有限公司</t>
  </si>
  <si>
    <t>地方批量-比例再担保（2024）创业自营</t>
  </si>
  <si>
    <t>2024-12-05</t>
  </si>
  <si>
    <t>6105023111010021</t>
  </si>
  <si>
    <t>地方批量-陕再•银担快易贷（2023）</t>
  </si>
  <si>
    <t>2024-11-09</t>
  </si>
  <si>
    <t>2025-08-05</t>
  </si>
  <si>
    <t>6105023110610022</t>
  </si>
  <si>
    <t>2025-07-09</t>
  </si>
  <si>
    <t>6105023110610023</t>
  </si>
  <si>
    <t>6103122080310003</t>
  </si>
  <si>
    <t>中国农业银行略阳县支行营业部</t>
  </si>
  <si>
    <t>2025-07-04</t>
  </si>
  <si>
    <t>6100121092619225</t>
  </si>
  <si>
    <t>6105023103110019</t>
  </si>
  <si>
    <t>6105023110310025</t>
  </si>
  <si>
    <t>2025-09-15</t>
  </si>
  <si>
    <t>6101423122910001</t>
  </si>
  <si>
    <t>6100121092919231</t>
  </si>
  <si>
    <t>陕西神木农村商业银行尔林兔分理处</t>
  </si>
  <si>
    <t>6103223102710002</t>
  </si>
  <si>
    <t>长安银行股份有限公司旬阳县支行</t>
  </si>
  <si>
    <t>6100121082319059</t>
  </si>
  <si>
    <t>中国农业银行股份有限公司/留坝支行</t>
  </si>
  <si>
    <t>6105023112410027</t>
  </si>
  <si>
    <t>2025-07-16</t>
  </si>
  <si>
    <t>6103223112400002</t>
  </si>
  <si>
    <t>2025-07-24</t>
  </si>
  <si>
    <t>6104023010300029</t>
  </si>
  <si>
    <t>陕西榆林横山汇发村镇银行</t>
  </si>
  <si>
    <t>6192823102310101</t>
  </si>
  <si>
    <t>西安银行营业部</t>
  </si>
  <si>
    <t>6192823102710066</t>
  </si>
  <si>
    <t>6192823102610089</t>
  </si>
  <si>
    <t>6103123022010005</t>
  </si>
  <si>
    <t>2025-07-23</t>
  </si>
  <si>
    <t>6103222092610001</t>
  </si>
  <si>
    <t>长安银行平利县支行</t>
  </si>
  <si>
    <t>2025-08-08</t>
  </si>
  <si>
    <t>6192823112010001</t>
  </si>
  <si>
    <t>6192823112810002</t>
  </si>
  <si>
    <t>2025-07-08</t>
  </si>
  <si>
    <t>6192823110910004</t>
  </si>
  <si>
    <t>西安银行临潼支行</t>
  </si>
  <si>
    <t>6105023122600013</t>
  </si>
  <si>
    <t>陕西秦农农村商业银行营业部</t>
  </si>
  <si>
    <t>6100121091819288</t>
  </si>
  <si>
    <t>中国农业银行股份有限公司/勉县支行</t>
  </si>
  <si>
    <t>2025-07-29</t>
  </si>
  <si>
    <t>6100121090319215</t>
  </si>
  <si>
    <t>6101423061210048</t>
  </si>
  <si>
    <t>6192823102710068</t>
  </si>
  <si>
    <t>6192823112210002</t>
  </si>
  <si>
    <t>6105023081800017</t>
  </si>
  <si>
    <t>2025-08-18</t>
  </si>
  <si>
    <t>6100121092719264</t>
  </si>
  <si>
    <t>20255-07-15</t>
  </si>
  <si>
    <t>6100121092519209</t>
  </si>
  <si>
    <t>6104121110410072</t>
  </si>
  <si>
    <t>陕西神木农村商业银行股份有限公司开发区分理处</t>
  </si>
  <si>
    <t>6104121110210058</t>
  </si>
  <si>
    <t>2025-08-04</t>
  </si>
  <si>
    <t>6105023110110020</t>
  </si>
  <si>
    <t>6105023111310026</t>
  </si>
  <si>
    <t>495.528.17</t>
  </si>
  <si>
    <t>6104823111010001</t>
  </si>
  <si>
    <t>陕西周至农科村镇银行</t>
  </si>
  <si>
    <t>2025-08-29</t>
  </si>
  <si>
    <t>6105023121310028</t>
  </si>
  <si>
    <t>6192823122510015</t>
  </si>
  <si>
    <t>2025-08-25</t>
  </si>
  <si>
    <t>6100121093019033</t>
  </si>
  <si>
    <t>陕西旬阳农村商业银行股份有限公司/营业部</t>
  </si>
  <si>
    <t>2025-08-26</t>
  </si>
  <si>
    <t>6101522120710002</t>
  </si>
  <si>
    <t>2025-08-06</t>
  </si>
  <si>
    <t>6101523042510002</t>
  </si>
  <si>
    <t>6100121092419267</t>
  </si>
  <si>
    <t>中国农业银行佛坪县支行</t>
  </si>
  <si>
    <t>6100121092819249</t>
  </si>
  <si>
    <t>中国农业银行股份有限公司/留坝县支行</t>
  </si>
  <si>
    <t>6100121092719268</t>
  </si>
  <si>
    <t>中国农业银行西乡县支行</t>
  </si>
  <si>
    <t>6100121092219283</t>
  </si>
  <si>
    <t>6100121092719275</t>
  </si>
  <si>
    <t>6192823122510013</t>
  </si>
  <si>
    <t>6192823122810031</t>
  </si>
  <si>
    <t>6192823122210004</t>
  </si>
  <si>
    <t>6191524022910003</t>
  </si>
  <si>
    <t>西安长安新华村镇银行</t>
  </si>
  <si>
    <t>6101423120110056</t>
  </si>
  <si>
    <t>6101423122210002</t>
  </si>
  <si>
    <t>2025-09-03</t>
  </si>
  <si>
    <t>6101423120810001</t>
  </si>
  <si>
    <t>2025-09-06</t>
  </si>
  <si>
    <t>6101223092600091</t>
  </si>
  <si>
    <t>6101423122810799</t>
  </si>
  <si>
    <t>中国农业银行西安兴庆路支行</t>
  </si>
  <si>
    <t>6105024010210055</t>
  </si>
  <si>
    <t>6192824072400093</t>
  </si>
  <si>
    <t>陕西金正建设项目管理有限公司</t>
  </si>
  <si>
    <t>6192824022100033</t>
  </si>
  <si>
    <t>6192824042400163</t>
  </si>
  <si>
    <t>西安万佳园林绿化养护有限公司</t>
  </si>
  <si>
    <t>6192824032400057</t>
  </si>
  <si>
    <t>西安卓智网络科技有限公司</t>
  </si>
  <si>
    <t>6192824052900020</t>
  </si>
  <si>
    <t>陕西鸿悦泰达工贸有限公司</t>
  </si>
  <si>
    <t>6192824061400100</t>
  </si>
  <si>
    <t>6192824061700084</t>
  </si>
  <si>
    <t>6192824051400018</t>
  </si>
  <si>
    <t>6101224020700048</t>
  </si>
  <si>
    <t>陕西秦农农村商业银行股份有限公司西关支行</t>
  </si>
  <si>
    <t>2025-09-01</t>
  </si>
  <si>
    <t>6192322121110081</t>
  </si>
  <si>
    <t>比例再担保-创业担保</t>
  </si>
  <si>
    <t>2025-09-05</t>
  </si>
  <si>
    <t>6105023102400015</t>
  </si>
  <si>
    <t>6105024012210048</t>
  </si>
  <si>
    <t>6102524011810016</t>
  </si>
  <si>
    <t>中国邮政储蓄银行股份有限公司眉县支行</t>
  </si>
  <si>
    <t>2025-11-07</t>
  </si>
  <si>
    <t>6102523030710012</t>
  </si>
  <si>
    <t>6105024012310070</t>
  </si>
  <si>
    <t>2025-09-19</t>
  </si>
  <si>
    <t>6105024020210058</t>
  </si>
  <si>
    <t>2025-09-17</t>
  </si>
  <si>
    <t>6105024012310069</t>
  </si>
  <si>
    <t>2025-10-09</t>
  </si>
  <si>
    <t>6101423112710052</t>
  </si>
  <si>
    <t>地方批量-比例再担保（2023）</t>
  </si>
  <si>
    <t>6103223111710002</t>
  </si>
  <si>
    <t>长安银行安康恒口示范区小微支行</t>
  </si>
  <si>
    <t>2025-09-25</t>
  </si>
  <si>
    <t>6102424032900001</t>
  </si>
  <si>
    <t>中国银行铜川分行</t>
  </si>
  <si>
    <t>比例再担保（25）-国企-自营-银担</t>
  </si>
  <si>
    <t xml:space="preserve">尹程
</t>
  </si>
  <si>
    <t>6104122121010013</t>
  </si>
  <si>
    <t>陕西神木农村商业银行股份有限公司迎宾路分理处</t>
  </si>
  <si>
    <t>三秦融担贷</t>
  </si>
  <si>
    <t>6101423111410019</t>
  </si>
  <si>
    <t>2025-09-29</t>
  </si>
  <si>
    <t>6101423122910469</t>
  </si>
  <si>
    <t>2025-10-10</t>
  </si>
  <si>
    <t>6192824020210021</t>
  </si>
  <si>
    <t>西安银行阎良支行</t>
  </si>
  <si>
    <t>2025-12-12</t>
  </si>
  <si>
    <t>6101324030100010</t>
  </si>
  <si>
    <t>2025-10-28</t>
  </si>
  <si>
    <t>6101223041200227</t>
  </si>
  <si>
    <t>6192824010810059</t>
  </si>
  <si>
    <t>6104024020610004</t>
  </si>
  <si>
    <t>触发产品代偿上限，直担在3%上限内进行代偿，省再担分担比例下降至1.16%</t>
  </si>
  <si>
    <t>6104024051510010</t>
  </si>
  <si>
    <t>6103222111110003</t>
  </si>
  <si>
    <t>2025-11-12</t>
  </si>
  <si>
    <t>6192824020510025</t>
  </si>
  <si>
    <t>2025-11-20</t>
  </si>
  <si>
    <t>6105024020610082</t>
  </si>
  <si>
    <t>6102624030410010</t>
  </si>
  <si>
    <t>2025-12-10</t>
  </si>
  <si>
    <t>西安日兆信息科技有限公司</t>
  </si>
  <si>
    <t>6192824051000029</t>
  </si>
  <si>
    <t>陕西合聚工贸有限公司</t>
  </si>
  <si>
    <t>6192824062600118</t>
  </si>
  <si>
    <t>地方批量-比例再担保微众</t>
  </si>
  <si>
    <t>6192824080100037</t>
  </si>
  <si>
    <t>陕西王牌信息科技有限公司</t>
  </si>
  <si>
    <t>6192824071500092</t>
  </si>
  <si>
    <t>6102624020810009</t>
  </si>
  <si>
    <t>6105024020600083</t>
  </si>
  <si>
    <t>陕西秦农农村商业银行灞桥支行</t>
  </si>
  <si>
    <t>2025-12-08</t>
  </si>
  <si>
    <t>6105024011810067</t>
  </si>
  <si>
    <t>6105024020510057</t>
  </si>
  <si>
    <t>6105024020700060</t>
  </si>
  <si>
    <t>2025-11-24</t>
  </si>
  <si>
    <t>6103223031700004</t>
  </si>
  <si>
    <t>6191523031010001</t>
  </si>
  <si>
    <t>2025-10-27</t>
  </si>
  <si>
    <t>6101524041910002</t>
  </si>
  <si>
    <t>地方批量担保产品</t>
  </si>
  <si>
    <t>陕西越景亿商贸有限公司</t>
  </si>
  <si>
    <t>6101223082800140</t>
  </si>
  <si>
    <t>微众快贷（2023）</t>
  </si>
  <si>
    <t>2025-12-04</t>
  </si>
  <si>
    <t>西安骏钢隆商贸有限公司</t>
  </si>
  <si>
    <t>6101223032400233</t>
  </si>
  <si>
    <t>6101423032810207</t>
  </si>
  <si>
    <t>2025-10-17</t>
  </si>
  <si>
    <t>6105024031300050</t>
  </si>
  <si>
    <t>中国建设银行西安曲江支行</t>
  </si>
  <si>
    <t>6101324041900012</t>
  </si>
  <si>
    <t>北京银行股份有限公司西安分</t>
  </si>
  <si>
    <t>比例再担保（25）-非银担</t>
  </si>
  <si>
    <t>6103123112900001</t>
  </si>
  <si>
    <t>比例再担保（2023）非银担分险</t>
  </si>
  <si>
    <t>6101423112110035</t>
  </si>
  <si>
    <t>中国农业银行西安钟楼支行</t>
  </si>
  <si>
    <t>6192824022910016</t>
  </si>
  <si>
    <t>宝鸡航天高原机械制造有限公司</t>
  </si>
  <si>
    <t>6192824080500031</t>
  </si>
  <si>
    <t>6105024031310019</t>
  </si>
  <si>
    <t>2025-12-03</t>
  </si>
  <si>
    <t>6105024030710015</t>
  </si>
  <si>
    <t>2025-11-13</t>
  </si>
  <si>
    <t>6103121122810005</t>
  </si>
  <si>
    <t>2025-11-25</t>
  </si>
  <si>
    <t>汉中市朝顺针织工贸有限责任公司-自营</t>
  </si>
  <si>
    <t>6103123041700010</t>
  </si>
  <si>
    <t>陕西南郑农村商业银行</t>
  </si>
  <si>
    <t xml:space="preserve">曲江担保 </t>
  </si>
  <si>
    <t>6101424010510364</t>
  </si>
  <si>
    <t>2025-11-18</t>
  </si>
  <si>
    <t>6105024022910074</t>
  </si>
  <si>
    <t>2025-11-19</t>
  </si>
  <si>
    <t xml:space="preserve">陈喜锋
</t>
  </si>
  <si>
    <t>6101423020710019</t>
  </si>
  <si>
    <t xml:space="preserve">107,987.75
</t>
  </si>
  <si>
    <t>2025-12-05</t>
  </si>
  <si>
    <t>6103121122810007</t>
  </si>
  <si>
    <t>2025-11-21</t>
  </si>
  <si>
    <t>赵芹蕾-自营</t>
  </si>
  <si>
    <t>6103123042410015</t>
  </si>
  <si>
    <t>城固县农村信用合作联社三里桥分社</t>
  </si>
  <si>
    <t>6103122010110012</t>
  </si>
  <si>
    <t>6103221121400003</t>
  </si>
  <si>
    <t>陕西宁陕农村商业银行股份有限公司</t>
  </si>
  <si>
    <t>2026-02-10</t>
  </si>
  <si>
    <t>6103121122310003</t>
  </si>
  <si>
    <t>2026-01-04</t>
  </si>
  <si>
    <t>6101423122910414</t>
  </si>
  <si>
    <t>2025-12-31</t>
  </si>
  <si>
    <t>6101423121110057</t>
  </si>
  <si>
    <t>6105024031300049</t>
  </si>
  <si>
    <t xml:space="preserve">6103523052910013
</t>
  </si>
  <si>
    <t xml:space="preserve">陕西洛川农村商业银行
</t>
  </si>
  <si>
    <t>韩志超</t>
  </si>
  <si>
    <t>6103122012510002</t>
  </si>
  <si>
    <t>陕西鑫聚汇诚供应链管理有限公司-自营</t>
  </si>
  <si>
    <t>6105024031900025</t>
  </si>
  <si>
    <t>中国邮政储蓄银行西安市钟楼支行</t>
  </si>
  <si>
    <t>6101423122910457</t>
  </si>
  <si>
    <t>6103122030310021</t>
  </si>
  <si>
    <t>6105024032900031</t>
  </si>
  <si>
    <t>陕西秦农农村商业银行鱼化支行</t>
  </si>
  <si>
    <t>2025-12-30</t>
  </si>
  <si>
    <t>6101424010610124</t>
  </si>
  <si>
    <t>2025-12-15</t>
  </si>
  <si>
    <t>6105024032110024</t>
  </si>
  <si>
    <t>6105024032710020</t>
  </si>
  <si>
    <t>2025-12-24</t>
  </si>
  <si>
    <t>6104123021710008</t>
  </si>
  <si>
    <t>陕西神木农村商业银行栏杆堡分理处</t>
  </si>
  <si>
    <t>2026-01-15</t>
  </si>
  <si>
    <t xml:space="preserve">6103123041300008
</t>
  </si>
  <si>
    <t xml:space="preserve">洋县农村信用合作联社
</t>
  </si>
  <si>
    <t>2026-02-06</t>
  </si>
  <si>
    <t>商浩-自营</t>
  </si>
  <si>
    <t>6101224082010011</t>
  </si>
  <si>
    <t>中国邮政储蓄银行股份有限公司西安市含光路支行</t>
  </si>
  <si>
    <t>地方批量（25）创业-自营</t>
  </si>
  <si>
    <t>6105024032800094</t>
  </si>
  <si>
    <t>6105024032710018</t>
  </si>
  <si>
    <t>6101423122811132</t>
  </si>
  <si>
    <t>6105024031810018</t>
  </si>
  <si>
    <t>6101423010610033</t>
  </si>
  <si>
    <t>2025-12-27</t>
  </si>
  <si>
    <t>6101423123110241</t>
  </si>
  <si>
    <t>中国农业银行西安西稍门支行</t>
  </si>
  <si>
    <t>2025-12-29</t>
  </si>
  <si>
    <t>陕西大汉聚力控股有限公司-自营</t>
  </si>
  <si>
    <t>6103123042800018</t>
  </si>
  <si>
    <t>城固县农村信用合作联社</t>
  </si>
  <si>
    <t>6102524032600013</t>
  </si>
  <si>
    <t>长安银行宝鸡东风路支行</t>
  </si>
  <si>
    <t>6105024051000048</t>
  </si>
  <si>
    <t>陕西秦农农村商业银行临潼支行</t>
  </si>
  <si>
    <t>2026-02-03</t>
  </si>
  <si>
    <t>6192824092900116</t>
  </si>
  <si>
    <t>陕西咸阳秦都农村商业银行汽车大道支行</t>
  </si>
  <si>
    <t>因银行系统优先划扣全部利息，代偿补偿本金部分比例下降</t>
  </si>
  <si>
    <t>6103324031400001</t>
  </si>
  <si>
    <t>长安银行商洛商州区支行</t>
  </si>
  <si>
    <t>6102924062800003</t>
  </si>
  <si>
    <t>长安银行韩城市支行</t>
  </si>
  <si>
    <t>2026-01-21</t>
  </si>
  <si>
    <t>6105024022300050</t>
  </si>
  <si>
    <t>2024-02-23</t>
  </si>
  <si>
    <t>2025-02-22</t>
  </si>
  <si>
    <t>2025-12-25</t>
  </si>
  <si>
    <t>6105024032910018</t>
  </si>
  <si>
    <t>地方批量-比例再担保（2024）-银担快易贷</t>
  </si>
  <si>
    <t>2025-12-19</t>
  </si>
  <si>
    <t>6101424010710161</t>
  </si>
  <si>
    <t>2026-02-04</t>
  </si>
  <si>
    <t>6105024110500019</t>
  </si>
  <si>
    <t>6103122081010022</t>
  </si>
  <si>
    <t>2025-08-09</t>
  </si>
  <si>
    <t>6103123020810012</t>
  </si>
  <si>
    <t>比例再担保（2023）银担分险</t>
  </si>
  <si>
    <t>2026-02-07</t>
  </si>
  <si>
    <t>2025-06-30</t>
  </si>
  <si>
    <t>6103122030210011</t>
  </si>
  <si>
    <t>2025-03-01</t>
  </si>
  <si>
    <t>6103123032210041</t>
  </si>
  <si>
    <t>2026-03-21</t>
  </si>
  <si>
    <t>6103123022710005</t>
  </si>
  <si>
    <t>2026-02-26</t>
  </si>
  <si>
    <t>6105024041500027</t>
  </si>
  <si>
    <t>中国建设银行股份有限公司西安公园南路南段支行</t>
  </si>
  <si>
    <t>2026-02-05</t>
  </si>
  <si>
    <t>6101424010410148</t>
  </si>
  <si>
    <t>2026-02-12</t>
  </si>
  <si>
    <t>6101423012910011</t>
  </si>
  <si>
    <t>6101424050810001</t>
  </si>
  <si>
    <t>比例再担保（2024）（非银担分险）</t>
  </si>
  <si>
    <t>2026-01-20</t>
  </si>
  <si>
    <t>6101423011710042</t>
  </si>
  <si>
    <t>6103123060710001</t>
  </si>
  <si>
    <t>略阳县农村信用合作联社城关信用社</t>
  </si>
  <si>
    <t>6103122030310029</t>
  </si>
  <si>
    <t>2026-01-08</t>
  </si>
  <si>
    <t>6102523062810032</t>
  </si>
  <si>
    <t>三秦融担贷（2023</t>
  </si>
  <si>
    <t>2026-01-09</t>
  </si>
  <si>
    <t>6105024053100058</t>
  </si>
  <si>
    <t>制表部门：再担保业务部</t>
  </si>
  <si>
    <t>制表日期：2025年9月5日</t>
  </si>
  <si>
    <t>国担版银担总对总项目代偿补偿项目审核明细表</t>
  </si>
  <si>
    <t>备付金划扣日期</t>
  </si>
  <si>
    <t>担保代偿金额（80%）</t>
  </si>
  <si>
    <t>直担担承担金额(30%)</t>
  </si>
  <si>
    <t>再担保承担金额（20%)</t>
  </si>
  <si>
    <t>国担承担金额(30%)</t>
  </si>
  <si>
    <t>榆林市中小企业融资担保有限责任公司</t>
  </si>
  <si>
    <t>6104021121110012</t>
  </si>
  <si>
    <t>中国邮政储蓄银行定边县支行</t>
  </si>
  <si>
    <t>6104022010110269</t>
  </si>
  <si>
    <t>中国邮政储蓄银行榆林市分行营业部</t>
  </si>
  <si>
    <t>6104022010410043</t>
  </si>
  <si>
    <t>中国邮政储蓄银行米脂县支行</t>
  </si>
  <si>
    <t>6104022031410030</t>
  </si>
  <si>
    <t>中国农业银行股份有限公司佳县支行</t>
  </si>
  <si>
    <t>6104021112919001</t>
  </si>
  <si>
    <t>中国邮政储蓄银行榆林市长城南路支行</t>
  </si>
  <si>
    <t>6104021121700024</t>
  </si>
  <si>
    <t>中国工商银行靖边县支行</t>
  </si>
  <si>
    <t>宝鸡市中小企业融资担保有限公司</t>
  </si>
  <si>
    <t>6102522010510017</t>
  </si>
  <si>
    <t>中国邮政储蓄银行股份有限公司凤翔县支行</t>
  </si>
  <si>
    <t>6102522040210001</t>
  </si>
  <si>
    <t>中国邮政储蓄银行凤翔县支行</t>
  </si>
  <si>
    <t>2021-04-01</t>
  </si>
  <si>
    <t>6104021082019001</t>
  </si>
  <si>
    <t>中国邮政储蓄银行绥德县支行</t>
  </si>
  <si>
    <t>2021-08-20</t>
  </si>
  <si>
    <t>6104021091519003</t>
  </si>
  <si>
    <t>6104021092319001</t>
  </si>
  <si>
    <t>中国邮政储蓄银行神木市支行</t>
  </si>
  <si>
    <t>6104021092619002</t>
  </si>
  <si>
    <t>中国邮政储蓄银行榆林市肤施路支行</t>
  </si>
  <si>
    <t>6104021092719004</t>
  </si>
  <si>
    <t>中国邮政储蓄银行榆林市乡企城支行</t>
  </si>
  <si>
    <t>6104021111219003</t>
  </si>
  <si>
    <t>中国邮政储蓄银行榆林市镇川支行</t>
  </si>
  <si>
    <t>6104021111919002</t>
  </si>
  <si>
    <t>商洛市融资担保有限公司</t>
  </si>
  <si>
    <t>6103321081719001</t>
  </si>
  <si>
    <t>中国工商银行商洛分行业务处理中心</t>
  </si>
  <si>
    <t>6103321111219001</t>
  </si>
  <si>
    <t>中国邮政储蓄银行商洛市分行</t>
  </si>
  <si>
    <t>6103321111819001</t>
  </si>
  <si>
    <t>2021-11-18</t>
  </si>
  <si>
    <t>咸阳市融资担保股份有限公司</t>
  </si>
  <si>
    <t>6102621081019003</t>
  </si>
  <si>
    <t>中国邮政储蓄银行咸阳市分行</t>
  </si>
  <si>
    <t>6102621092419003</t>
  </si>
  <si>
    <t>中国工商银行武功县支行</t>
  </si>
  <si>
    <t>渭南市公信融资担保有限公司</t>
  </si>
  <si>
    <t>6102921092819002</t>
  </si>
  <si>
    <t>中国工商银行渭南蒲城县支行</t>
  </si>
  <si>
    <t>6102922022300001</t>
  </si>
  <si>
    <t>交通银行渭南分行</t>
  </si>
  <si>
    <t>西安创新融资担保有限公司</t>
  </si>
  <si>
    <t>6101322042700012</t>
  </si>
  <si>
    <t>中国建设银行股份有限公司西安高新技术产业开发区支行</t>
  </si>
  <si>
    <t>西安财金融资担保有限公司</t>
  </si>
  <si>
    <t>6105022062900095</t>
  </si>
  <si>
    <t>中国建设银行西安和平路支行</t>
  </si>
  <si>
    <t>6105022092600044</t>
  </si>
  <si>
    <t>西安投融资担保有限公司</t>
  </si>
  <si>
    <t>6101223010600029</t>
  </si>
  <si>
    <t>中国建设银行宝鸡分行营业部</t>
  </si>
  <si>
    <t>6105022113000006</t>
  </si>
  <si>
    <t>6105022112900003</t>
  </si>
  <si>
    <t>2022-11-29</t>
  </si>
  <si>
    <t>6105022112300008</t>
  </si>
  <si>
    <t>6105022120600007</t>
  </si>
  <si>
    <t>6105022113000021</t>
  </si>
  <si>
    <t>6105022111600021</t>
  </si>
  <si>
    <t>6105022111700017</t>
  </si>
  <si>
    <t>中国邮政储蓄银行西安市长乐西路支行</t>
  </si>
  <si>
    <t>6105022120200009</t>
  </si>
  <si>
    <t>6105023020200011</t>
  </si>
  <si>
    <t>中国邮政储蓄银行西安市鄠邑区支行</t>
  </si>
  <si>
    <t>6105022111100005</t>
  </si>
  <si>
    <t>6105022111700006</t>
  </si>
  <si>
    <t>6105022111800013</t>
  </si>
  <si>
    <t>汉中市资信融资担保有限公司</t>
  </si>
  <si>
    <t>6103122090500010</t>
  </si>
  <si>
    <t>中国工商银行汉中人民路支行</t>
  </si>
  <si>
    <t>6105022091500029</t>
  </si>
  <si>
    <t>中国邮政储蓄银行西安市徐家湾支行</t>
  </si>
  <si>
    <t>6105022100800018</t>
  </si>
  <si>
    <t>中国邮政储蓄银行西安市长安区支行</t>
  </si>
  <si>
    <t>6105022110700015</t>
  </si>
  <si>
    <t>中国邮政储蓄银行蓝田县支行</t>
  </si>
  <si>
    <t>6105022041500004</t>
  </si>
  <si>
    <t>中国工商银行西安市未央支行</t>
  </si>
  <si>
    <t>6105022052000013</t>
  </si>
  <si>
    <t>中国工商银行股份有限公司陕西自贸区西安国际港务区支行</t>
  </si>
  <si>
    <t>6105022051700010</t>
  </si>
  <si>
    <t>中国工商银行股份有限公司西安经济技术开发区支行</t>
  </si>
  <si>
    <t>6105022051200008</t>
  </si>
  <si>
    <t>6105022050600003</t>
  </si>
  <si>
    <t>中国工商银行西安市韩森寨支行</t>
  </si>
  <si>
    <t>6105022081100054</t>
  </si>
  <si>
    <t>6105022102400029</t>
  </si>
  <si>
    <t>6105022102000025</t>
  </si>
  <si>
    <t>6105022092700065</t>
  </si>
  <si>
    <t>6105022090900031</t>
  </si>
  <si>
    <t>中国建设银行西安高新技术产业开发区支行</t>
  </si>
  <si>
    <t>6105022101400020</t>
  </si>
  <si>
    <t>6105022091400011</t>
  </si>
  <si>
    <t>中国建设银行西安新城支行</t>
  </si>
  <si>
    <t>6105022092100038</t>
  </si>
  <si>
    <t>6105022110100009</t>
  </si>
  <si>
    <t>6105022121600005</t>
  </si>
  <si>
    <t>6103122010710007</t>
  </si>
  <si>
    <t>中国邮政储蓄银行股份有限公司汉中市汉台区支行</t>
  </si>
  <si>
    <t>6103122112300017</t>
  </si>
  <si>
    <t>中国邮政储蓄银行陕西省南郑县支行</t>
  </si>
  <si>
    <t>6102523032900035</t>
  </si>
  <si>
    <t>中国邮政储蓄银行股份有限公司宝鸡市开发区支行</t>
  </si>
  <si>
    <t>6102523032300018</t>
  </si>
  <si>
    <t>中国邮政储蓄银行股份有限公司宝鸡市分行</t>
  </si>
  <si>
    <t>陕西缆圣电缆有限公司</t>
  </si>
  <si>
    <t>6105023020700014</t>
  </si>
  <si>
    <t>陕西明旭混凝土有限公司</t>
  </si>
  <si>
    <t>6105023022700030</t>
  </si>
  <si>
    <t>中国邮政储蓄银行西安市高陵区支行</t>
  </si>
  <si>
    <t>6101223032200475</t>
  </si>
  <si>
    <t>中国工商银行西安曲江新区新开门支行</t>
  </si>
  <si>
    <t>6101223021700067</t>
  </si>
  <si>
    <t>6101223020100137</t>
  </si>
  <si>
    <t>6101223020100136</t>
  </si>
  <si>
    <t>6101223020100135</t>
  </si>
  <si>
    <t>6101223031800090</t>
  </si>
  <si>
    <t>6101223031800089</t>
  </si>
  <si>
    <t>6101223031700353</t>
  </si>
  <si>
    <t>6101223031700354</t>
  </si>
  <si>
    <t>6101223031700355</t>
  </si>
  <si>
    <t>6101223031700352</t>
  </si>
  <si>
    <t>6101223032200476</t>
  </si>
  <si>
    <t>6101223011800107</t>
  </si>
  <si>
    <t>6101223020100138</t>
  </si>
  <si>
    <t>6103122062900015</t>
  </si>
  <si>
    <t>中国工商银行汉中分行</t>
  </si>
  <si>
    <t>6103122041900005</t>
  </si>
  <si>
    <t>中国工商银行汉中勉县支行</t>
  </si>
  <si>
    <t>6103122012700002</t>
  </si>
  <si>
    <t>中国工商银行股份有限公司汉中市天台路支行</t>
  </si>
  <si>
    <t>2023-01-27</t>
  </si>
  <si>
    <t>6103122052500010</t>
  </si>
  <si>
    <t>工行汉中北团结街支行</t>
  </si>
  <si>
    <t>西安永安环保科技有限公司</t>
  </si>
  <si>
    <t>6105022121200013</t>
  </si>
  <si>
    <t>陕西盛世洪建实业有限责任公司</t>
  </si>
  <si>
    <t>6105022120800015</t>
  </si>
  <si>
    <t>陕西锦弘亨建设工程有限公司</t>
  </si>
  <si>
    <t>6105022120800017</t>
  </si>
  <si>
    <t>陕西心怡岳装饰工程有限责任公司</t>
  </si>
  <si>
    <t>6105022121500004</t>
  </si>
  <si>
    <t>陕西中科威视智能工程有限公司</t>
  </si>
  <si>
    <t>6105022122700009</t>
  </si>
  <si>
    <t>中国建设银行西安兴庆路支行</t>
  </si>
  <si>
    <t>西安坤城九洲建筑劳务工程有限公司</t>
  </si>
  <si>
    <t>6105022122200003</t>
  </si>
  <si>
    <t>陕西新基力建筑工程有限公司</t>
  </si>
  <si>
    <t>6105022123000005</t>
  </si>
  <si>
    <t>西安三友国悦建设工程有限公司</t>
  </si>
  <si>
    <t>6105022121900004</t>
  </si>
  <si>
    <t>陕西安齐兴建设工程有限公司</t>
  </si>
  <si>
    <t>6105022121300016</t>
  </si>
  <si>
    <t>陕西馨居时代建设集团有限公司</t>
  </si>
  <si>
    <t>6105023011300066</t>
  </si>
  <si>
    <t>陕西仁泽实业有限公司</t>
  </si>
  <si>
    <t>6105023011700045</t>
  </si>
  <si>
    <t>陕西幸福林润生态景观工程有限公司</t>
  </si>
  <si>
    <t>6105023011100062</t>
  </si>
  <si>
    <t>陕西奥华森远建设工程有限公司</t>
  </si>
  <si>
    <t>6105023011000070</t>
  </si>
  <si>
    <t>陕西山益建设工程有限公司</t>
  </si>
  <si>
    <t>6105023010600051</t>
  </si>
  <si>
    <t>西安卓创餐饮管理有限公司</t>
  </si>
  <si>
    <t>6105023010500036</t>
  </si>
  <si>
    <t>6105023010400048</t>
  </si>
  <si>
    <t>陕西辉煌盛世建设工程有限公司</t>
  </si>
  <si>
    <t>6105023010300062</t>
  </si>
  <si>
    <t>6105023011900069</t>
  </si>
  <si>
    <t>6102622030300001</t>
  </si>
  <si>
    <t>中国工商银行咸阳人民中路支行</t>
  </si>
  <si>
    <t>6102622102000003</t>
  </si>
  <si>
    <t>6102623052600001</t>
  </si>
  <si>
    <t>6102623031100001</t>
  </si>
  <si>
    <t>6102622092400004</t>
  </si>
  <si>
    <t>6102623010500001</t>
  </si>
  <si>
    <t>中国邮政储蓄银行股份有限公司礼泉县支行</t>
  </si>
  <si>
    <t>6102623021000002</t>
  </si>
  <si>
    <t>中国邮政储蓄银行乾县支行</t>
  </si>
  <si>
    <t>6102623032800003</t>
  </si>
  <si>
    <t>6102623022800004</t>
  </si>
  <si>
    <t>中国邮政储蓄银行礼泉县支行</t>
  </si>
  <si>
    <t>6102622112510001</t>
  </si>
  <si>
    <t>6102623033110036</t>
  </si>
  <si>
    <t>中国邮政储蓄银行股份有限公司三原县支行</t>
  </si>
  <si>
    <t>6104022032310053</t>
  </si>
  <si>
    <t>中国农业银行股份有限公司靖边县支行</t>
  </si>
  <si>
    <t>6104022052510046</t>
  </si>
  <si>
    <t>中国农业银行股份有限公司神木市支行</t>
  </si>
  <si>
    <t>6104021122810059</t>
  </si>
  <si>
    <t>6104022012610157</t>
  </si>
  <si>
    <t>中国农业银行股份有限公司绥德县支行</t>
  </si>
  <si>
    <t>6104022032110065</t>
  </si>
  <si>
    <t>中国农业银行股份有限公司榆林横山区支行</t>
  </si>
  <si>
    <t>6104021123010189</t>
  </si>
  <si>
    <t>6104022031810061</t>
  </si>
  <si>
    <t>中国农业银行股份有限公司清涧县支行</t>
  </si>
  <si>
    <t>6104021122910115</t>
  </si>
  <si>
    <t>6104021123010195</t>
  </si>
  <si>
    <t>6104022073110027</t>
  </si>
  <si>
    <t>6104022090510060</t>
  </si>
  <si>
    <t>中国农业银行股份有限公司吴堡县支行</t>
  </si>
  <si>
    <t>6104022093010010</t>
  </si>
  <si>
    <t>中国农业银行股份有限公司榆阳区支行</t>
  </si>
  <si>
    <t>6104022090110029</t>
  </si>
  <si>
    <t>6104022012410352</t>
  </si>
  <si>
    <t>6104022052710037</t>
  </si>
  <si>
    <t>中国农业银行股份有限公司府谷县支行</t>
  </si>
  <si>
    <t>6104022032810186</t>
  </si>
  <si>
    <t>中国农业银行股份有限公司定边县支行</t>
  </si>
  <si>
    <t>6104022031210014</t>
  </si>
  <si>
    <t>6104022031510098</t>
  </si>
  <si>
    <t>中国农业银行有限公司绥德县支行</t>
  </si>
  <si>
    <t>6104022032610027</t>
  </si>
  <si>
    <t>中国农业银行股份有限公司米脂县支行</t>
  </si>
  <si>
    <t>6104022042700016</t>
  </si>
  <si>
    <t>中国建设银行股份有限公司榆林分行营业部</t>
  </si>
  <si>
    <t>6104022092600008</t>
  </si>
  <si>
    <t>6104023012800019</t>
  </si>
  <si>
    <t>中国建设银行榆林分行营业部</t>
  </si>
  <si>
    <t>6104023032800026</t>
  </si>
  <si>
    <t>6104022070510022</t>
  </si>
  <si>
    <t>6104022062010059</t>
  </si>
  <si>
    <t>中国邮政储蓄银行府谷县支行</t>
  </si>
  <si>
    <t>6105022112200003</t>
  </si>
  <si>
    <t>6105022102100023</t>
  </si>
  <si>
    <t>6105022100800015</t>
  </si>
  <si>
    <t>6105022091900015</t>
  </si>
  <si>
    <t>6105023031500055</t>
  </si>
  <si>
    <t>中国银行西安东新街支行</t>
  </si>
  <si>
    <t>6105023020700060</t>
  </si>
  <si>
    <t>中国银行西安鄠邑区支行</t>
  </si>
  <si>
    <t>6105023032300049</t>
  </si>
  <si>
    <t>中国银行西安北大街支行</t>
  </si>
  <si>
    <t>西安曲江文化产业融资担保有限公司</t>
  </si>
  <si>
    <t>6101422062300025</t>
  </si>
  <si>
    <t>中国邮政储蓄银行股份有限公司西安市小寨支行</t>
  </si>
  <si>
    <t>6101422053100014</t>
  </si>
  <si>
    <t>6105023022000028</t>
  </si>
  <si>
    <t>6105023031900011</t>
  </si>
  <si>
    <t>6105023021000016</t>
  </si>
  <si>
    <t>6105023032200054</t>
  </si>
  <si>
    <t>6102922092500001</t>
  </si>
  <si>
    <t>6102922120800001</t>
  </si>
  <si>
    <t>中国工商银行渭南前进路支行</t>
  </si>
  <si>
    <t>6102922042600001</t>
  </si>
  <si>
    <t>6102923010600002</t>
  </si>
  <si>
    <t>中国工商银行渭南韩城市支行</t>
  </si>
  <si>
    <t>6102922122600001</t>
  </si>
  <si>
    <t>6102923021600002</t>
  </si>
  <si>
    <t>6102923032700001</t>
  </si>
  <si>
    <t>安康市财信融资担保有限公司</t>
  </si>
  <si>
    <t>6103221112919002</t>
  </si>
  <si>
    <t>6103222011800005</t>
  </si>
  <si>
    <t>6103222042800006</t>
  </si>
  <si>
    <t>6103221120810005</t>
  </si>
  <si>
    <t>6103222010400003</t>
  </si>
  <si>
    <t>6103222063010008</t>
  </si>
  <si>
    <t>中国邮政储蓄银行平利县支行</t>
  </si>
  <si>
    <t>6103222042200004</t>
  </si>
  <si>
    <t>中国建设银行安康分行营业部</t>
  </si>
  <si>
    <t>6103223032200003</t>
  </si>
  <si>
    <t>6102622102600001</t>
  </si>
  <si>
    <t>中国建设银行股份有限公司咸阳分行</t>
  </si>
  <si>
    <t>6102621112519001</t>
  </si>
  <si>
    <t>中国建设银行咸阳分行</t>
  </si>
  <si>
    <t>陕西泾阳弘丰建筑工程有限公司</t>
  </si>
  <si>
    <t>6102622101400002</t>
  </si>
  <si>
    <t>6102622092800010</t>
  </si>
  <si>
    <t>6102622101300004</t>
  </si>
  <si>
    <t>6102623031300001</t>
  </si>
  <si>
    <r>
      <rPr>
        <sz val="11"/>
        <rFont val="宋体"/>
        <charset val="134"/>
      </rPr>
      <t>6</t>
    </r>
    <r>
      <rPr>
        <sz val="10.5"/>
        <color theme="1"/>
        <rFont val="宋体"/>
        <charset val="134"/>
        <scheme val="minor"/>
      </rPr>
      <t>103222032100004</t>
    </r>
  </si>
  <si>
    <r>
      <rPr>
        <sz val="11"/>
        <rFont val="宋体"/>
        <charset val="134"/>
      </rPr>
      <t>6</t>
    </r>
    <r>
      <rPr>
        <sz val="10.5"/>
        <color theme="1"/>
        <rFont val="宋体"/>
        <charset val="134"/>
        <scheme val="minor"/>
      </rPr>
      <t>103222020800004</t>
    </r>
  </si>
  <si>
    <r>
      <rPr>
        <sz val="11"/>
        <rFont val="宋体"/>
        <charset val="134"/>
      </rPr>
      <t>6</t>
    </r>
    <r>
      <rPr>
        <sz val="10.5"/>
        <color theme="1"/>
        <rFont val="宋体"/>
        <charset val="134"/>
        <scheme val="minor"/>
      </rPr>
      <t>103222020800003</t>
    </r>
  </si>
  <si>
    <t>6103222090900003</t>
  </si>
  <si>
    <t>61032220702000010</t>
  </si>
  <si>
    <t>中国工商银行股份有限公司安康分行</t>
  </si>
  <si>
    <t>6103222082600009</t>
  </si>
  <si>
    <t>6103222032400003</t>
  </si>
  <si>
    <t>6103222121500003</t>
  </si>
  <si>
    <t>6103222121700007</t>
  </si>
  <si>
    <t>6103223011400010</t>
  </si>
  <si>
    <t>6103223012600001</t>
  </si>
  <si>
    <t>6103223042100003</t>
  </si>
  <si>
    <t>6103223032900005</t>
  </si>
  <si>
    <t>6103223042000003</t>
  </si>
  <si>
    <t>6102923053100007</t>
  </si>
  <si>
    <t>中国银行渭南分行</t>
  </si>
  <si>
    <t>6101223022700066</t>
  </si>
  <si>
    <t>中国工商银行西安市高新技术开发区支行</t>
  </si>
  <si>
    <t>6101223022800046</t>
  </si>
  <si>
    <t>6101223022400032</t>
  </si>
  <si>
    <t>6101223033100553</t>
  </si>
  <si>
    <t>中国建设银行铜川分行营业部</t>
  </si>
  <si>
    <t>6101223033100552</t>
  </si>
  <si>
    <t>6101223033100542</t>
  </si>
  <si>
    <t>6101223030100307</t>
  </si>
  <si>
    <t>中国建设银行汉中分行营业部</t>
  </si>
  <si>
    <t>6101223031600177</t>
  </si>
  <si>
    <t>中国建设银行西安经济技术开发区支行</t>
  </si>
  <si>
    <t>6101223030600191</t>
  </si>
  <si>
    <t>6101223030300162</t>
  </si>
  <si>
    <t>6101223033000482</t>
  </si>
  <si>
    <t>6101223032000223</t>
  </si>
  <si>
    <t>6101223032700345</t>
  </si>
  <si>
    <t>中国建设银行延安分行</t>
  </si>
  <si>
    <t>6101223032200214</t>
  </si>
  <si>
    <t>6101223022300196</t>
  </si>
  <si>
    <t>6101223030200199</t>
  </si>
  <si>
    <t>6101223031600185</t>
  </si>
  <si>
    <t>中国建设银行渭南分行营业部</t>
  </si>
  <si>
    <t>6101223030600189</t>
  </si>
  <si>
    <t>6101223021500256</t>
  </si>
  <si>
    <t>6101223020800257</t>
  </si>
  <si>
    <t>6101223020300209</t>
  </si>
  <si>
    <t>6101223022800381</t>
  </si>
  <si>
    <t>6101223012000021</t>
  </si>
  <si>
    <t>6101223011700017</t>
  </si>
  <si>
    <t>6101223012000026</t>
  </si>
  <si>
    <t>6101223011600040</t>
  </si>
  <si>
    <t>6101223011800021</t>
  </si>
  <si>
    <t>6104022072910209</t>
  </si>
  <si>
    <t>6104022081510063</t>
  </si>
  <si>
    <t>中国农业银行股份有限公司神木市大柳塔支行</t>
  </si>
  <si>
    <t>6104022072110063</t>
  </si>
  <si>
    <t>6104022031610081</t>
  </si>
  <si>
    <t>6104022032410076</t>
  </si>
  <si>
    <t>6103123033000040</t>
  </si>
  <si>
    <t>中国银行勉县支行</t>
  </si>
  <si>
    <t>6103123053000012</t>
  </si>
  <si>
    <t>中国银行汉中椰岛广场支行</t>
  </si>
  <si>
    <t>陕西喜安峰建筑工程有限责任公司</t>
  </si>
  <si>
    <t>6101422062300026</t>
  </si>
  <si>
    <t>中国邮政储蓄银行股份有限公司西安市纺织城支行</t>
  </si>
  <si>
    <t>6101422042500003</t>
  </si>
  <si>
    <t>中国邮政储蓄银行股份有限公司西安市徐家湾支行</t>
  </si>
  <si>
    <t>6102623080900001</t>
  </si>
  <si>
    <t>6103323011300008</t>
  </si>
  <si>
    <t>6103322102500001</t>
  </si>
  <si>
    <t>6105023082500003</t>
  </si>
  <si>
    <t>中国邮政储蓄银行西安市分行</t>
  </si>
  <si>
    <t>6105023081700023</t>
  </si>
  <si>
    <t>6105023080100002</t>
  </si>
  <si>
    <t>6102523012210001</t>
  </si>
  <si>
    <t>中国邮政储蓄银行股份有限公司岐山县支行</t>
  </si>
  <si>
    <t>6105023051500003</t>
  </si>
  <si>
    <t>交通银行西安经济技术开发区支行</t>
  </si>
  <si>
    <t>6105023101300004</t>
  </si>
  <si>
    <t>中国邮政储蓄银行西安市阎良区支行</t>
  </si>
  <si>
    <t>6105023091100004</t>
  </si>
  <si>
    <t>6105023092700001</t>
  </si>
  <si>
    <t>中国邮政储蓄银行杨凌区支行</t>
  </si>
  <si>
    <t>6105023092700003</t>
  </si>
  <si>
    <t>中国邮政储蓄银行西安市含光路支行</t>
  </si>
  <si>
    <t>6105023082200006</t>
  </si>
  <si>
    <t>6105023083000010</t>
  </si>
  <si>
    <t>6105023082100001</t>
  </si>
  <si>
    <t>6104023091100015</t>
  </si>
  <si>
    <t>6103223120700001</t>
  </si>
  <si>
    <t>6105023111700001</t>
  </si>
  <si>
    <t>6105024091300014</t>
  </si>
  <si>
    <t>6102523072800002</t>
  </si>
  <si>
    <t>中国邮政储蓄银行宝鸡市分行</t>
  </si>
  <si>
    <t>6102623073100001</t>
  </si>
  <si>
    <t>6105024020500008</t>
  </si>
  <si>
    <t>中国邮政储蓄银行西安市临潼区支行</t>
  </si>
  <si>
    <t>6105023121300002</t>
  </si>
  <si>
    <t>延安市中小企业融资担保有限责任公司</t>
  </si>
  <si>
    <t>延安市荣兴石油技术服务有限责任公司</t>
  </si>
  <si>
    <t>6103523052500006</t>
  </si>
  <si>
    <t>6103523032900032</t>
  </si>
  <si>
    <r>
      <rPr>
        <sz val="10.5"/>
        <color rgb="FF000000"/>
        <rFont val="Segoe UI"/>
        <charset val="134"/>
      </rPr>
      <t>6103122071410027</t>
    </r>
    <r>
      <rPr>
        <sz val="10.5"/>
        <color rgb="FF000000"/>
        <rFont val="Segoe UI"/>
        <charset val="134"/>
      </rPr>
      <t xml:space="preserve">
</t>
    </r>
  </si>
  <si>
    <t>中国邮政储蓄银行汉中市分行</t>
  </si>
  <si>
    <t>铜川财创融资担保集团有限公司</t>
  </si>
  <si>
    <t>6102422092100003</t>
  </si>
  <si>
    <t>中国工商银行铜川支行</t>
  </si>
  <si>
    <t>6102421102700005</t>
  </si>
  <si>
    <t>西安航天基地融资担保有限公司</t>
  </si>
  <si>
    <t xml:space="preserve">西安天青百果商贸有限公司
</t>
  </si>
  <si>
    <t>6101723032900002</t>
  </si>
  <si>
    <t>6101723011600001</t>
  </si>
  <si>
    <t>中国工商银行西安长安区神舟三路支行</t>
  </si>
  <si>
    <t>6101723011600003</t>
  </si>
  <si>
    <t>6104021111210005</t>
  </si>
  <si>
    <t>6104022042910071</t>
  </si>
  <si>
    <t>6104022032810171</t>
  </si>
  <si>
    <t>6105024010100013</t>
  </si>
  <si>
    <t>6105024090900004</t>
  </si>
  <si>
    <t>中国邮政储蓄银行西安市小寨支行</t>
  </si>
  <si>
    <t>6102523080300003</t>
  </si>
  <si>
    <t>6102623010910001</t>
  </si>
  <si>
    <t>6103524032000001</t>
  </si>
  <si>
    <t>中国邮政储蓄银行延安市分行</t>
  </si>
  <si>
    <t>6104022022610009</t>
  </si>
  <si>
    <t>6104022012810071</t>
  </si>
  <si>
    <t>6104022031110059</t>
  </si>
  <si>
    <t>6102923080100001</t>
  </si>
  <si>
    <t>中国邮政储蓄银行渭南市分行</t>
  </si>
  <si>
    <t>陕西德达汽车服务有限公司</t>
  </si>
  <si>
    <t>6102923081000001</t>
  </si>
  <si>
    <t>6104022030910195</t>
  </si>
  <si>
    <t>6104022042910060</t>
  </si>
  <si>
    <t>6104022032310047</t>
  </si>
  <si>
    <t>6104022031810064</t>
  </si>
  <si>
    <t>6104022032210077</t>
  </si>
  <si>
    <t>6104022031610066</t>
  </si>
  <si>
    <t>6104022030810058</t>
  </si>
  <si>
    <t>6104022030810042</t>
  </si>
  <si>
    <t>6105024010800002</t>
  </si>
  <si>
    <t>6103523030100031</t>
  </si>
  <si>
    <t>中国工商银行延安分行业务处理中心</t>
  </si>
  <si>
    <t>6103523022800043</t>
  </si>
  <si>
    <t>6104022052610044</t>
  </si>
  <si>
    <t>6104022032810161</t>
  </si>
  <si>
    <t>6104022032210101</t>
  </si>
  <si>
    <t>6104022031710033</t>
  </si>
  <si>
    <t>6104022032410094</t>
  </si>
  <si>
    <t>6104022032810228</t>
  </si>
  <si>
    <t>6103522092300004</t>
  </si>
  <si>
    <t>延安德成建筑工程有限公司</t>
  </si>
  <si>
    <t>6103523022300009</t>
  </si>
  <si>
    <t>延安木森建设工程有限公司</t>
  </si>
  <si>
    <t>6103523020300012</t>
  </si>
  <si>
    <t>6104022071910035</t>
  </si>
  <si>
    <t>6104022051810035</t>
  </si>
  <si>
    <t>6104022051010024</t>
  </si>
  <si>
    <t>6104022050910031</t>
  </si>
  <si>
    <t>6104024032600001</t>
  </si>
  <si>
    <t>西安小微企业融资担保有限公司</t>
  </si>
  <si>
    <t>6192824020800001</t>
  </si>
  <si>
    <t>中国工商银行西安长安区支行</t>
  </si>
  <si>
    <t>6103523032000005</t>
  </si>
  <si>
    <t>6103523030100002</t>
  </si>
  <si>
    <t>6102623102700001</t>
  </si>
  <si>
    <t>陕西博盛宏安建筑工程有限公司</t>
  </si>
  <si>
    <t>6103323032400004</t>
  </si>
  <si>
    <t>中国银行商洛分行</t>
  </si>
  <si>
    <t>6103223032900003</t>
  </si>
  <si>
    <t>6102624061900004</t>
  </si>
  <si>
    <t>中国工商银行泾阳县支行</t>
  </si>
  <si>
    <t>6102624032600008</t>
  </si>
  <si>
    <t>中国工商银行咸阳人民东路支行</t>
  </si>
  <si>
    <t>6102624032600009</t>
  </si>
  <si>
    <t>6102624061900003</t>
  </si>
  <si>
    <t>6192824022300010</t>
  </si>
  <si>
    <t>中国工商银行西安北大街支行</t>
  </si>
  <si>
    <t>6192824022300013</t>
  </si>
  <si>
    <t>6192824022300012</t>
  </si>
  <si>
    <t>6192824012600016</t>
  </si>
  <si>
    <t>中国工商银行陕西自贸区西安沣东支行</t>
  </si>
  <si>
    <t>6192824012600015</t>
  </si>
  <si>
    <t>6192824012600017</t>
  </si>
  <si>
    <t>6192824012900012</t>
  </si>
  <si>
    <t>6192824012600018</t>
  </si>
  <si>
    <t>6102924032200003</t>
  </si>
  <si>
    <t>中国工商银行澄城县支行</t>
  </si>
  <si>
    <t>6192824040900007</t>
  </si>
  <si>
    <t>中国工商银行蓝田县支行</t>
  </si>
  <si>
    <t>6192824040700015</t>
  </si>
  <si>
    <t>6192824010900001</t>
  </si>
  <si>
    <t>中国工商银行陕西自贸区西安国际港务区支行</t>
  </si>
  <si>
    <t>6104024062800002</t>
  </si>
  <si>
    <t>中国工商银行榆林榆阳区支行</t>
  </si>
  <si>
    <t>6105024022900004</t>
  </si>
  <si>
    <t>6105024031500019</t>
  </si>
  <si>
    <t>6104022063010106</t>
  </si>
  <si>
    <t>6104022063010097</t>
  </si>
  <si>
    <t>6104022062410053</t>
  </si>
  <si>
    <t>6104022071510012</t>
  </si>
  <si>
    <t>6104022062910104</t>
  </si>
  <si>
    <t>6104022061710033</t>
  </si>
  <si>
    <t>6104022052710036</t>
  </si>
  <si>
    <t>6103522112500002</t>
  </si>
  <si>
    <t>6103522052500001</t>
  </si>
  <si>
    <t>6103522032300003</t>
  </si>
  <si>
    <t>6103522060700001</t>
  </si>
  <si>
    <t>6103523032900022</t>
  </si>
  <si>
    <t>6103522031700004</t>
  </si>
  <si>
    <t>6103522062200001</t>
  </si>
  <si>
    <t>6103523012800003</t>
  </si>
  <si>
    <t>6103523011300023</t>
  </si>
  <si>
    <t>西咸新区融资担保有限公司</t>
  </si>
  <si>
    <t>6101823041300005</t>
  </si>
  <si>
    <t>中国工商银行陕西自贸区西安沣东分行</t>
  </si>
  <si>
    <t>6101823041300006</t>
  </si>
  <si>
    <t>6101823053100006</t>
  </si>
  <si>
    <t>中国银行西安长安区支行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</si>
</sst>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#,##0.00_ "/>
    <numFmt numFmtId="178" formatCode="yyyy\-mm\-dd;@"/>
    <numFmt numFmtId="179" formatCode="yyyy\-m\-d;@"/>
    <numFmt numFmtId="180" formatCode="0.00_ "/>
    <numFmt numFmtId="181" formatCode="0.00_);[Red]\(0.00\)"/>
    <numFmt numFmtId="182" formatCode="#,##0.00_);[Red]\(#,##0.00\)"/>
  </numFmts>
  <fonts count="7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36"/>
      <name val="方正小标宋简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sz val="10.5"/>
      <color rgb="FF000000"/>
      <name val="Segoe UI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indexed="8"/>
      <name val="宋体"/>
      <charset val="134"/>
    </font>
    <font>
      <sz val="10.5"/>
      <color theme="1"/>
      <name val="仿宋"/>
      <charset val="134"/>
    </font>
    <font>
      <b/>
      <sz val="10.5"/>
      <color theme="1"/>
      <name val="仿宋"/>
      <charset val="134"/>
    </font>
    <font>
      <sz val="10.5"/>
      <name val="仿宋"/>
      <charset val="134"/>
    </font>
    <font>
      <sz val="10.5"/>
      <color rgb="FFFF0000"/>
      <name val="仿宋"/>
      <charset val="134"/>
    </font>
    <font>
      <sz val="10"/>
      <color theme="1"/>
      <name val="仿宋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22"/>
      <color theme="1"/>
      <name val="方正小标宋简体"/>
      <charset val="134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8"/>
      <color theme="1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rgb="FF000000"/>
      <name val="宋体"/>
      <charset val="134"/>
    </font>
    <font>
      <sz val="11"/>
      <color rgb="FFFF0000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b/>
      <sz val="11"/>
      <color rgb="FFFF0000"/>
      <name val="宋体"/>
      <charset val="134"/>
    </font>
    <font>
      <sz val="10.5"/>
      <color rgb="FF000000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rgb="FF000000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C00000"/>
      <name val="宋体"/>
      <charset val="134"/>
      <scheme val="minor"/>
    </font>
    <font>
      <sz val="10.5"/>
      <color rgb="FFFF0000"/>
      <name val="宋体"/>
      <charset val="134"/>
      <scheme val="minor"/>
    </font>
    <font>
      <sz val="10.5"/>
      <color rgb="FF203864"/>
      <name val="等线"/>
      <charset val="134"/>
    </font>
    <font>
      <b/>
      <sz val="10.5"/>
      <color rgb="FF417FF9"/>
      <name val="宋体"/>
      <charset val="134"/>
    </font>
    <font>
      <sz val="10.5"/>
      <color rgb="FF417FF9"/>
      <name val="宋体"/>
      <charset val="134"/>
    </font>
    <font>
      <b/>
      <sz val="10.5"/>
      <color rgb="FF000000"/>
      <name val="仿宋"/>
      <charset val="134"/>
    </font>
    <font>
      <sz val="11"/>
      <color rgb="FFFFFFFF"/>
      <name val="宋体"/>
      <charset val="134"/>
      <scheme val="minor"/>
    </font>
    <font>
      <sz val="11"/>
      <color theme="1"/>
      <name val="方正小标宋简体"/>
      <charset val="134"/>
    </font>
    <font>
      <sz val="11"/>
      <color rgb="FFFFFFFF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rgb="FF4472C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EC8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9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E8E8E8"/>
      </right>
      <top/>
      <bottom style="medium">
        <color rgb="FFE8E8E8"/>
      </bottom>
      <diagonal/>
    </border>
    <border>
      <left/>
      <right style="medium">
        <color rgb="FFE8E8E8"/>
      </right>
      <top style="medium">
        <color rgb="FFE8E8E8"/>
      </top>
      <bottom style="medium">
        <color rgb="FFE8E8E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E8E8E8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22" borderId="43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44" applyNumberFormat="0" applyFill="0" applyAlignment="0" applyProtection="0">
      <alignment vertical="center"/>
    </xf>
    <xf numFmtId="0" fontId="65" fillId="0" borderId="44" applyNumberFormat="0" applyFill="0" applyAlignment="0" applyProtection="0">
      <alignment vertical="center"/>
    </xf>
    <xf numFmtId="0" fontId="66" fillId="0" borderId="4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23" borderId="46" applyNumberFormat="0" applyAlignment="0" applyProtection="0">
      <alignment vertical="center"/>
    </xf>
    <xf numFmtId="0" fontId="68" fillId="14" borderId="47" applyNumberFormat="0" applyAlignment="0" applyProtection="0">
      <alignment vertical="center"/>
    </xf>
    <xf numFmtId="0" fontId="69" fillId="14" borderId="46" applyNumberFormat="0" applyAlignment="0" applyProtection="0">
      <alignment vertical="center"/>
    </xf>
    <xf numFmtId="0" fontId="70" fillId="24" borderId="48" applyNumberFormat="0" applyAlignment="0" applyProtection="0">
      <alignment vertical="center"/>
    </xf>
    <xf numFmtId="0" fontId="71" fillId="0" borderId="49" applyNumberFormat="0" applyFill="0" applyAlignment="0" applyProtection="0">
      <alignment vertical="center"/>
    </xf>
    <xf numFmtId="0" fontId="72" fillId="0" borderId="50" applyNumberFormat="0" applyFill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0"/>
  </cellStyleXfs>
  <cellXfs count="125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0" fontId="1" fillId="4" borderId="0" xfId="0" applyFont="1" applyFill="1">
      <alignment vertical="center"/>
    </xf>
    <xf numFmtId="0" fontId="2" fillId="0" borderId="0" xfId="50" applyNumberFormat="1" applyFont="1" applyFill="1" applyBorder="1" applyAlignment="1">
      <alignment horizontal="center" vertical="center" wrapText="1"/>
    </xf>
    <xf numFmtId="0" fontId="3" fillId="0" borderId="0" xfId="50" applyNumberFormat="1" applyFont="1" applyFill="1" applyBorder="1" applyAlignment="1">
      <alignment horizontal="center" vertical="center" wrapText="1"/>
    </xf>
    <xf numFmtId="176" fontId="3" fillId="0" borderId="0" xfId="50" applyNumberFormat="1" applyFont="1" applyFill="1" applyBorder="1" applyAlignment="1">
      <alignment horizontal="center" vertical="center" wrapText="1"/>
    </xf>
    <xf numFmtId="0" fontId="4" fillId="0" borderId="0" xfId="50" applyNumberFormat="1" applyFont="1" applyFill="1" applyBorder="1" applyAlignment="1">
      <alignment vertical="center"/>
    </xf>
    <xf numFmtId="0" fontId="5" fillId="0" borderId="1" xfId="50" applyNumberFormat="1" applyFont="1" applyFill="1" applyBorder="1" applyAlignment="1">
      <alignment horizontal="center" vertical="center"/>
    </xf>
    <xf numFmtId="0" fontId="5" fillId="0" borderId="2" xfId="50" applyNumberFormat="1" applyFont="1" applyFill="1" applyBorder="1" applyAlignment="1">
      <alignment horizontal="center" vertical="center"/>
    </xf>
    <xf numFmtId="49" fontId="5" fillId="0" borderId="1" xfId="50" applyNumberFormat="1" applyFont="1" applyFill="1" applyBorder="1" applyAlignment="1">
      <alignment horizontal="center" vertical="center"/>
    </xf>
    <xf numFmtId="0" fontId="5" fillId="0" borderId="1" xfId="50" applyNumberFormat="1" applyFont="1" applyFill="1" applyBorder="1" applyAlignment="1">
      <alignment horizontal="center" vertical="center" wrapText="1"/>
    </xf>
    <xf numFmtId="176" fontId="5" fillId="0" borderId="1" xfId="50" applyNumberFormat="1" applyFont="1" applyFill="1" applyBorder="1" applyAlignment="1">
      <alignment horizontal="center" vertical="center" wrapText="1"/>
    </xf>
    <xf numFmtId="0" fontId="5" fillId="0" borderId="3" xfId="50" applyNumberFormat="1" applyFont="1" applyFill="1" applyBorder="1" applyAlignment="1">
      <alignment horizontal="center" vertical="center"/>
    </xf>
    <xf numFmtId="0" fontId="5" fillId="0" borderId="1" xfId="5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22" applyFont="1" applyFill="1" applyBorder="1" applyAlignment="1">
      <alignment horizontal="center" vertical="center"/>
    </xf>
    <xf numFmtId="0" fontId="8" fillId="0" borderId="1" xfId="22" applyFont="1" applyFill="1" applyBorder="1" applyAlignment="1">
      <alignment horizontal="left" vertical="center"/>
    </xf>
    <xf numFmtId="177" fontId="8" fillId="0" borderId="1" xfId="22" applyNumberFormat="1" applyFont="1" applyFill="1" applyBorder="1" applyAlignment="1">
      <alignment horizontal="right" vertical="center"/>
    </xf>
    <xf numFmtId="178" fontId="8" fillId="0" borderId="1" xfId="24" applyNumberFormat="1" applyFont="1" applyFill="1" applyBorder="1" applyAlignment="1">
      <alignment horizontal="center" vertical="center"/>
    </xf>
    <xf numFmtId="176" fontId="8" fillId="0" borderId="1" xfId="22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right" vertical="center"/>
    </xf>
    <xf numFmtId="0" fontId="8" fillId="0" borderId="1" xfId="24" applyFont="1" applyFill="1" applyBorder="1" applyAlignment="1">
      <alignment horizontal="left" vertical="center"/>
    </xf>
    <xf numFmtId="177" fontId="8" fillId="0" borderId="1" xfId="24" applyNumberFormat="1" applyFont="1" applyFill="1" applyBorder="1" applyAlignment="1">
      <alignment horizontal="right" vertical="center"/>
    </xf>
    <xf numFmtId="176" fontId="8" fillId="0" borderId="1" xfId="24" applyNumberFormat="1" applyFont="1" applyFill="1" applyBorder="1" applyAlignment="1">
      <alignment horizontal="center" vertical="center"/>
    </xf>
    <xf numFmtId="49" fontId="8" fillId="0" borderId="1" xfId="22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8" fillId="0" borderId="1" xfId="22" applyNumberFormat="1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9" fontId="8" fillId="2" borderId="1" xfId="22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right" vertical="center"/>
    </xf>
    <xf numFmtId="177" fontId="8" fillId="2" borderId="1" xfId="22" applyNumberFormat="1" applyFont="1" applyFill="1" applyBorder="1" applyAlignment="1">
      <alignment horizontal="right" vertical="center"/>
    </xf>
    <xf numFmtId="0" fontId="8" fillId="0" borderId="1" xfId="23" applyFont="1" applyFill="1" applyBorder="1" applyAlignment="1">
      <alignment horizontal="left" vertical="center"/>
    </xf>
    <xf numFmtId="177" fontId="8" fillId="0" borderId="1" xfId="23" applyNumberFormat="1" applyFont="1" applyFill="1" applyBorder="1" applyAlignment="1">
      <alignment horizontal="right" vertical="center"/>
    </xf>
    <xf numFmtId="0" fontId="8" fillId="0" borderId="1" xfId="23" applyFont="1" applyFill="1" applyBorder="1" applyAlignment="1">
      <alignment horizontal="center" vertical="center"/>
    </xf>
    <xf numFmtId="176" fontId="8" fillId="0" borderId="1" xfId="23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49" fontId="5" fillId="3" borderId="1" xfId="22" applyNumberFormat="1" applyFont="1" applyFill="1" applyBorder="1" applyAlignment="1">
      <alignment horizontal="center" vertical="center"/>
    </xf>
    <xf numFmtId="177" fontId="5" fillId="3" borderId="1" xfId="24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49" fontId="8" fillId="0" borderId="5" xfId="22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177" fontId="13" fillId="0" borderId="6" xfId="0" applyNumberFormat="1" applyFont="1" applyBorder="1" applyAlignment="1">
      <alignment horizontal="right" vertical="center"/>
    </xf>
    <xf numFmtId="49" fontId="11" fillId="0" borderId="1" xfId="22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6" fontId="10" fillId="5" borderId="4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176" fontId="10" fillId="5" borderId="5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49" fontId="9" fillId="4" borderId="1" xfId="22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77" fontId="5" fillId="4" borderId="1" xfId="24" applyNumberFormat="1" applyFont="1" applyFill="1" applyBorder="1" applyAlignment="1">
      <alignment horizontal="right" vertical="center"/>
    </xf>
    <xf numFmtId="176" fontId="14" fillId="4" borderId="1" xfId="0" applyNumberFormat="1" applyFont="1" applyFill="1" applyBorder="1" applyAlignment="1">
      <alignment horizontal="center" vertical="center"/>
    </xf>
    <xf numFmtId="177" fontId="14" fillId="4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22" applyNumberFormat="1" applyFont="1" applyFill="1" applyBorder="1" applyAlignment="1">
      <alignment horizontal="center" vertical="center"/>
    </xf>
    <xf numFmtId="177" fontId="5" fillId="0" borderId="1" xfId="24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vertical="center"/>
    </xf>
    <xf numFmtId="176" fontId="10" fillId="6" borderId="4" xfId="0" applyNumberFormat="1" applyFont="1" applyFill="1" applyBorder="1" applyAlignment="1">
      <alignment horizontal="center" vertical="center" wrapText="1"/>
    </xf>
    <xf numFmtId="0" fontId="15" fillId="0" borderId="0" xfId="50" applyFont="1" applyAlignment="1">
      <alignment horizontal="center" vertical="center"/>
    </xf>
    <xf numFmtId="0" fontId="16" fillId="0" borderId="0" xfId="50" applyFont="1" applyAlignment="1">
      <alignment horizontal="center" vertical="center"/>
    </xf>
    <xf numFmtId="0" fontId="16" fillId="4" borderId="0" xfId="50" applyFont="1" applyFill="1" applyAlignment="1">
      <alignment horizontal="center" vertical="center"/>
    </xf>
    <xf numFmtId="0" fontId="17" fillId="0" borderId="0" xfId="50" applyFont="1" applyAlignment="1">
      <alignment horizontal="center" vertical="center"/>
    </xf>
    <xf numFmtId="0" fontId="15" fillId="4" borderId="0" xfId="50" applyFont="1" applyFill="1" applyAlignment="1">
      <alignment horizontal="center" vertical="center"/>
    </xf>
    <xf numFmtId="0" fontId="18" fillId="7" borderId="0" xfId="50" applyFont="1" applyFill="1" applyAlignment="1">
      <alignment horizontal="center" vertical="center"/>
    </xf>
    <xf numFmtId="0" fontId="15" fillId="8" borderId="0" xfId="50" applyFont="1" applyFill="1" applyAlignment="1">
      <alignment horizontal="center" vertical="center"/>
    </xf>
    <xf numFmtId="0" fontId="15" fillId="9" borderId="0" xfId="50" applyFont="1" applyFill="1" applyAlignment="1">
      <alignment horizontal="center" vertical="center"/>
    </xf>
    <xf numFmtId="0" fontId="15" fillId="2" borderId="0" xfId="50" applyFont="1" applyFill="1" applyAlignment="1">
      <alignment horizontal="center" vertical="center"/>
    </xf>
    <xf numFmtId="0" fontId="15" fillId="0" borderId="0" xfId="50" applyFont="1" applyFill="1" applyAlignment="1">
      <alignment horizontal="center" vertical="center"/>
    </xf>
    <xf numFmtId="0" fontId="15" fillId="0" borderId="0" xfId="50" applyFont="1" applyFill="1" applyBorder="1" applyAlignment="1">
      <alignment horizontal="center" vertical="center"/>
    </xf>
    <xf numFmtId="0" fontId="19" fillId="0" borderId="0" xfId="50" applyFont="1" applyAlignment="1">
      <alignment horizontal="center" vertical="center"/>
    </xf>
    <xf numFmtId="0" fontId="20" fillId="0" borderId="6" xfId="50" applyFont="1" applyFill="1" applyBorder="1" applyAlignment="1">
      <alignment horizontal="center" vertical="center" wrapText="1"/>
    </xf>
    <xf numFmtId="0" fontId="21" fillId="0" borderId="6" xfId="51" applyFont="1" applyFill="1" applyBorder="1" applyAlignment="1">
      <alignment horizontal="center" wrapText="1"/>
    </xf>
    <xf numFmtId="0" fontId="22" fillId="0" borderId="0" xfId="51" applyFont="1" applyFill="1"/>
    <xf numFmtId="0" fontId="22" fillId="0" borderId="0" xfId="51" applyFill="1"/>
    <xf numFmtId="0" fontId="21" fillId="0" borderId="0" xfId="51" applyFont="1" applyFill="1"/>
    <xf numFmtId="0" fontId="21" fillId="0" borderId="6" xfId="51" applyFont="1" applyFill="1" applyBorder="1"/>
    <xf numFmtId="0" fontId="21" fillId="0" borderId="0" xfId="51" applyFont="1" applyFill="1" applyAlignment="1">
      <alignment horizontal="center"/>
    </xf>
    <xf numFmtId="0" fontId="21" fillId="0" borderId="0" xfId="51" applyFont="1" applyFill="1" applyAlignment="1">
      <alignment wrapText="1"/>
    </xf>
    <xf numFmtId="0" fontId="22" fillId="0" borderId="0" xfId="51"/>
    <xf numFmtId="0" fontId="15" fillId="10" borderId="0" xfId="50" applyFont="1" applyFill="1" applyAlignment="1">
      <alignment horizontal="center" vertical="center"/>
    </xf>
    <xf numFmtId="0" fontId="20" fillId="7" borderId="0" xfId="50" applyFont="1" applyFill="1" applyAlignment="1">
      <alignment horizontal="center" vertical="center"/>
    </xf>
    <xf numFmtId="0" fontId="15" fillId="7" borderId="0" xfId="50" applyFont="1" applyFill="1" applyAlignment="1">
      <alignment horizontal="center" vertical="center"/>
    </xf>
    <xf numFmtId="0" fontId="15" fillId="7" borderId="0" xfId="50" applyFont="1" applyFill="1" applyAlignment="1">
      <alignment horizontal="left" vertical="center"/>
    </xf>
    <xf numFmtId="49" fontId="15" fillId="7" borderId="0" xfId="50" applyNumberFormat="1" applyFont="1" applyFill="1" applyBorder="1" applyAlignment="1">
      <alignment horizontal="left" vertical="center"/>
    </xf>
    <xf numFmtId="9" fontId="15" fillId="7" borderId="0" xfId="50" applyNumberFormat="1" applyFont="1" applyFill="1" applyAlignment="1">
      <alignment horizontal="center" vertical="center"/>
    </xf>
    <xf numFmtId="177" fontId="15" fillId="7" borderId="0" xfId="50" applyNumberFormat="1" applyFont="1" applyFill="1" applyAlignment="1">
      <alignment horizontal="right" vertical="center"/>
    </xf>
    <xf numFmtId="178" fontId="15" fillId="7" borderId="0" xfId="50" applyNumberFormat="1" applyFont="1" applyFill="1" applyAlignment="1">
      <alignment horizontal="center" vertical="center"/>
    </xf>
    <xf numFmtId="179" fontId="15" fillId="7" borderId="0" xfId="50" applyNumberFormat="1" applyFont="1" applyFill="1" applyAlignment="1">
      <alignment horizontal="center" vertical="center"/>
    </xf>
    <xf numFmtId="14" fontId="15" fillId="7" borderId="0" xfId="50" applyNumberFormat="1" applyFont="1" applyFill="1" applyAlignment="1">
      <alignment horizontal="center" vertical="center"/>
    </xf>
    <xf numFmtId="177" fontId="20" fillId="7" borderId="0" xfId="50" applyNumberFormat="1" applyFont="1" applyFill="1" applyAlignment="1">
      <alignment horizontal="center" vertical="center"/>
    </xf>
    <xf numFmtId="0" fontId="23" fillId="0" borderId="0" xfId="50" applyFont="1" applyAlignment="1">
      <alignment horizontal="center" vertical="center" wrapText="1"/>
    </xf>
    <xf numFmtId="0" fontId="12" fillId="0" borderId="0" xfId="50" applyFont="1" applyAlignment="1">
      <alignment horizontal="right" vertical="center"/>
    </xf>
    <xf numFmtId="49" fontId="12" fillId="0" borderId="0" xfId="50" applyNumberFormat="1" applyFont="1" applyFill="1" applyBorder="1" applyAlignment="1">
      <alignment horizontal="right" vertical="center"/>
    </xf>
    <xf numFmtId="177" fontId="12" fillId="0" borderId="0" xfId="50" applyNumberFormat="1" applyFont="1" applyAlignment="1">
      <alignment horizontal="right" vertical="center"/>
    </xf>
    <xf numFmtId="178" fontId="12" fillId="0" borderId="0" xfId="50" applyNumberFormat="1" applyFont="1" applyAlignment="1">
      <alignment horizontal="right" vertical="center"/>
    </xf>
    <xf numFmtId="179" fontId="12" fillId="0" borderId="0" xfId="50" applyNumberFormat="1" applyFont="1" applyAlignment="1">
      <alignment horizontal="right" vertical="center"/>
    </xf>
    <xf numFmtId="0" fontId="24" fillId="0" borderId="2" xfId="50" applyFont="1" applyBorder="1" applyAlignment="1">
      <alignment horizontal="center" vertical="center"/>
    </xf>
    <xf numFmtId="49" fontId="24" fillId="0" borderId="2" xfId="50" applyNumberFormat="1" applyFont="1" applyFill="1" applyBorder="1" applyAlignment="1">
      <alignment horizontal="left" vertical="center"/>
    </xf>
    <xf numFmtId="0" fontId="24" fillId="0" borderId="1" xfId="50" applyFont="1" applyBorder="1" applyAlignment="1">
      <alignment horizontal="center" vertical="center" wrapText="1"/>
    </xf>
    <xf numFmtId="0" fontId="24" fillId="0" borderId="2" xfId="50" applyFont="1" applyBorder="1" applyAlignment="1">
      <alignment horizontal="center" vertical="center" wrapText="1"/>
    </xf>
    <xf numFmtId="177" fontId="24" fillId="0" borderId="1" xfId="50" applyNumberFormat="1" applyFont="1" applyBorder="1" applyAlignment="1">
      <alignment horizontal="center" vertical="center" wrapText="1"/>
    </xf>
    <xf numFmtId="178" fontId="24" fillId="0" borderId="1" xfId="50" applyNumberFormat="1" applyFont="1" applyBorder="1" applyAlignment="1">
      <alignment horizontal="center" vertical="center" wrapText="1"/>
    </xf>
    <xf numFmtId="179" fontId="24" fillId="0" borderId="2" xfId="50" applyNumberFormat="1" applyFont="1" applyBorder="1" applyAlignment="1">
      <alignment horizontal="center" vertical="center" wrapText="1"/>
    </xf>
    <xf numFmtId="0" fontId="25" fillId="0" borderId="7" xfId="50" applyFont="1" applyBorder="1" applyAlignment="1">
      <alignment horizontal="center" vertical="center" wrapText="1"/>
    </xf>
    <xf numFmtId="0" fontId="24" fillId="0" borderId="8" xfId="50" applyFont="1" applyBorder="1" applyAlignment="1">
      <alignment horizontal="center" vertical="center" wrapText="1"/>
    </xf>
    <xf numFmtId="0" fontId="24" fillId="0" borderId="8" xfId="50" applyFont="1" applyBorder="1" applyAlignment="1">
      <alignment horizontal="right" vertical="center" wrapText="1"/>
    </xf>
    <xf numFmtId="0" fontId="20" fillId="0" borderId="8" xfId="50" applyFont="1" applyBorder="1" applyAlignment="1">
      <alignment horizontal="center" vertical="center" wrapText="1"/>
    </xf>
    <xf numFmtId="0" fontId="24" fillId="0" borderId="1" xfId="50" applyFont="1" applyBorder="1" applyAlignment="1">
      <alignment horizontal="center" vertical="center"/>
    </xf>
    <xf numFmtId="0" fontId="24" fillId="0" borderId="3" xfId="50" applyFont="1" applyBorder="1" applyAlignment="1">
      <alignment horizontal="center" vertical="center"/>
    </xf>
    <xf numFmtId="49" fontId="24" fillId="0" borderId="3" xfId="50" applyNumberFormat="1" applyFont="1" applyFill="1" applyBorder="1" applyAlignment="1">
      <alignment horizontal="left" vertical="center"/>
    </xf>
    <xf numFmtId="0" fontId="24" fillId="0" borderId="3" xfId="50" applyFont="1" applyBorder="1" applyAlignment="1">
      <alignment horizontal="center" vertical="center" wrapText="1"/>
    </xf>
    <xf numFmtId="179" fontId="24" fillId="0" borderId="3" xfId="50" applyNumberFormat="1" applyFont="1" applyBorder="1" applyAlignment="1">
      <alignment horizontal="center" vertical="center" wrapText="1"/>
    </xf>
    <xf numFmtId="0" fontId="24" fillId="0" borderId="3" xfId="50" applyFont="1" applyBorder="1" applyAlignment="1">
      <alignment horizontal="center"/>
    </xf>
    <xf numFmtId="0" fontId="24" fillId="0" borderId="9" xfId="50" applyFont="1" applyBorder="1" applyAlignment="1">
      <alignment horizontal="center" vertical="center" wrapText="1"/>
    </xf>
    <xf numFmtId="0" fontId="24" fillId="0" borderId="10" xfId="50" applyFont="1" applyBorder="1" applyAlignment="1">
      <alignment horizontal="center" vertical="center" wrapText="1"/>
    </xf>
    <xf numFmtId="0" fontId="24" fillId="0" borderId="11" xfId="50" applyFont="1" applyBorder="1" applyAlignment="1">
      <alignment horizontal="center" vertical="center" wrapText="1"/>
    </xf>
    <xf numFmtId="0" fontId="20" fillId="0" borderId="1" xfId="50" applyFont="1" applyBorder="1" applyAlignment="1">
      <alignment horizontal="center" vertical="center"/>
    </xf>
    <xf numFmtId="0" fontId="20" fillId="0" borderId="2" xfId="50" applyFont="1" applyBorder="1" applyAlignment="1">
      <alignment horizontal="center" vertical="center"/>
    </xf>
    <xf numFmtId="0" fontId="20" fillId="0" borderId="1" xfId="50" applyFont="1" applyBorder="1" applyAlignment="1">
      <alignment horizontal="left" vertical="center"/>
    </xf>
    <xf numFmtId="49" fontId="20" fillId="0" borderId="1" xfId="50" applyNumberFormat="1" applyFont="1" applyFill="1" applyBorder="1" applyAlignment="1">
      <alignment horizontal="left" vertical="center"/>
    </xf>
    <xf numFmtId="0" fontId="20" fillId="0" borderId="1" xfId="50" applyFont="1" applyBorder="1" applyAlignment="1">
      <alignment horizontal="left" vertical="center" wrapText="1"/>
    </xf>
    <xf numFmtId="0" fontId="20" fillId="0" borderId="1" xfId="50" applyFont="1" applyBorder="1" applyAlignment="1">
      <alignment horizontal="center" vertical="center" wrapText="1"/>
    </xf>
    <xf numFmtId="9" fontId="20" fillId="0" borderId="1" xfId="50" applyNumberFormat="1" applyFont="1" applyBorder="1" applyAlignment="1">
      <alignment horizontal="center" vertical="center" wrapText="1"/>
    </xf>
    <xf numFmtId="177" fontId="20" fillId="0" borderId="1" xfId="50" applyNumberFormat="1" applyFont="1" applyBorder="1" applyAlignment="1">
      <alignment horizontal="right" vertical="center"/>
    </xf>
    <xf numFmtId="178" fontId="20" fillId="0" borderId="1" xfId="50" applyNumberFormat="1" applyFont="1" applyBorder="1" applyAlignment="1">
      <alignment horizontal="center" vertical="center" wrapText="1"/>
    </xf>
    <xf numFmtId="9" fontId="20" fillId="0" borderId="1" xfId="50" applyNumberFormat="1" applyFont="1" applyBorder="1" applyAlignment="1">
      <alignment horizontal="center" vertical="center"/>
    </xf>
    <xf numFmtId="179" fontId="20" fillId="0" borderId="1" xfId="50" applyNumberFormat="1" applyFont="1" applyBorder="1" applyAlignment="1">
      <alignment horizontal="center" vertical="center"/>
    </xf>
    <xf numFmtId="49" fontId="20" fillId="0" borderId="1" xfId="50" applyNumberFormat="1" applyFont="1" applyBorder="1" applyAlignment="1">
      <alignment horizontal="center" vertical="center"/>
    </xf>
    <xf numFmtId="176" fontId="26" fillId="0" borderId="6" xfId="0" applyNumberFormat="1" applyFont="1" applyBorder="1" applyAlignment="1">
      <alignment horizontal="center" vertical="center"/>
    </xf>
    <xf numFmtId="14" fontId="20" fillId="0" borderId="1" xfId="50" applyNumberFormat="1" applyFont="1" applyBorder="1" applyAlignment="1">
      <alignment horizontal="center" vertical="center"/>
    </xf>
    <xf numFmtId="31" fontId="20" fillId="0" borderId="1" xfId="50" applyNumberFormat="1" applyFont="1" applyBorder="1" applyAlignment="1">
      <alignment horizontal="center" vertical="center"/>
    </xf>
    <xf numFmtId="177" fontId="20" fillId="0" borderId="11" xfId="50" applyNumberFormat="1" applyFont="1" applyBorder="1" applyAlignment="1">
      <alignment horizontal="center" vertical="center"/>
    </xf>
    <xf numFmtId="0" fontId="15" fillId="0" borderId="1" xfId="50" applyFont="1" applyBorder="1" applyAlignment="1">
      <alignment horizontal="center" vertical="center"/>
    </xf>
    <xf numFmtId="0" fontId="24" fillId="4" borderId="2" xfId="50" applyFont="1" applyFill="1" applyBorder="1" applyAlignment="1">
      <alignment horizontal="center" vertical="center"/>
    </xf>
    <xf numFmtId="0" fontId="24" fillId="4" borderId="1" xfId="50" applyFont="1" applyFill="1" applyBorder="1" applyAlignment="1">
      <alignment horizontal="center" vertical="center"/>
    </xf>
    <xf numFmtId="0" fontId="24" fillId="4" borderId="1" xfId="50" applyFont="1" applyFill="1" applyBorder="1" applyAlignment="1">
      <alignment horizontal="left" vertical="center"/>
    </xf>
    <xf numFmtId="49" fontId="24" fillId="4" borderId="1" xfId="50" applyNumberFormat="1" applyFont="1" applyFill="1" applyBorder="1" applyAlignment="1">
      <alignment horizontal="left" vertical="center"/>
    </xf>
    <xf numFmtId="0" fontId="24" fillId="4" borderId="1" xfId="50" applyFont="1" applyFill="1" applyBorder="1" applyAlignment="1">
      <alignment horizontal="left" vertical="center" wrapText="1"/>
    </xf>
    <xf numFmtId="0" fontId="24" fillId="4" borderId="1" xfId="50" applyFont="1" applyFill="1" applyBorder="1" applyAlignment="1">
      <alignment horizontal="center" vertical="center" wrapText="1"/>
    </xf>
    <xf numFmtId="9" fontId="24" fillId="4" borderId="1" xfId="50" applyNumberFormat="1" applyFont="1" applyFill="1" applyBorder="1" applyAlignment="1">
      <alignment horizontal="center" vertical="center" wrapText="1"/>
    </xf>
    <xf numFmtId="177" fontId="24" fillId="4" borderId="1" xfId="50" applyNumberFormat="1" applyFont="1" applyFill="1" applyBorder="1" applyAlignment="1">
      <alignment horizontal="right" vertical="center"/>
    </xf>
    <xf numFmtId="178" fontId="24" fillId="4" borderId="1" xfId="50" applyNumberFormat="1" applyFont="1" applyFill="1" applyBorder="1" applyAlignment="1">
      <alignment horizontal="center" vertical="center" wrapText="1"/>
    </xf>
    <xf numFmtId="9" fontId="24" fillId="4" borderId="1" xfId="50" applyNumberFormat="1" applyFont="1" applyFill="1" applyBorder="1" applyAlignment="1">
      <alignment horizontal="center" vertical="center"/>
    </xf>
    <xf numFmtId="179" fontId="24" fillId="4" borderId="1" xfId="50" applyNumberFormat="1" applyFont="1" applyFill="1" applyBorder="1" applyAlignment="1">
      <alignment horizontal="center" vertical="center"/>
    </xf>
    <xf numFmtId="14" fontId="24" fillId="4" borderId="1" xfId="50" applyNumberFormat="1" applyFont="1" applyFill="1" applyBorder="1" applyAlignment="1">
      <alignment horizontal="center" vertical="center"/>
    </xf>
    <xf numFmtId="176" fontId="26" fillId="4" borderId="6" xfId="0" applyNumberFormat="1" applyFont="1" applyFill="1" applyBorder="1" applyAlignment="1">
      <alignment horizontal="center" vertical="center"/>
    </xf>
    <xf numFmtId="31" fontId="24" fillId="4" borderId="1" xfId="50" applyNumberFormat="1" applyFont="1" applyFill="1" applyBorder="1" applyAlignment="1">
      <alignment horizontal="center" vertical="center"/>
    </xf>
    <xf numFmtId="177" fontId="20" fillId="4" borderId="11" xfId="50" applyNumberFormat="1" applyFont="1" applyFill="1" applyBorder="1" applyAlignment="1">
      <alignment horizontal="center" vertical="center"/>
    </xf>
    <xf numFmtId="0" fontId="16" fillId="4" borderId="1" xfId="50" applyFont="1" applyFill="1" applyBorder="1" applyAlignment="1">
      <alignment horizontal="center" vertical="center"/>
    </xf>
    <xf numFmtId="177" fontId="21" fillId="0" borderId="1" xfId="50" applyNumberFormat="1" applyFont="1" applyBorder="1" applyAlignment="1">
      <alignment horizontal="right" vertical="center"/>
    </xf>
    <xf numFmtId="0" fontId="21" fillId="0" borderId="1" xfId="50" applyFont="1" applyBorder="1" applyAlignment="1">
      <alignment horizontal="left" vertical="center"/>
    </xf>
    <xf numFmtId="49" fontId="21" fillId="0" borderId="1" xfId="50" applyNumberFormat="1" applyFont="1" applyFill="1" applyBorder="1" applyAlignment="1">
      <alignment horizontal="left" vertical="center"/>
    </xf>
    <xf numFmtId="0" fontId="21" fillId="0" borderId="1" xfId="50" applyFont="1" applyBorder="1" applyAlignment="1">
      <alignment horizontal="left" vertical="center" wrapText="1"/>
    </xf>
    <xf numFmtId="0" fontId="21" fillId="0" borderId="1" xfId="50" applyFont="1" applyBorder="1" applyAlignment="1">
      <alignment horizontal="center" vertical="center"/>
    </xf>
    <xf numFmtId="178" fontId="21" fillId="0" borderId="1" xfId="50" applyNumberFormat="1" applyFont="1" applyBorder="1" applyAlignment="1">
      <alignment horizontal="center" vertical="center" wrapText="1"/>
    </xf>
    <xf numFmtId="9" fontId="21" fillId="0" borderId="1" xfId="50" applyNumberFormat="1" applyFont="1" applyBorder="1" applyAlignment="1">
      <alignment horizontal="center" vertical="center"/>
    </xf>
    <xf numFmtId="179" fontId="21" fillId="0" borderId="1" xfId="50" applyNumberFormat="1" applyFont="1" applyBorder="1" applyAlignment="1">
      <alignment horizontal="center" vertical="center"/>
    </xf>
    <xf numFmtId="49" fontId="21" fillId="0" borderId="1" xfId="50" applyNumberFormat="1" applyFont="1" applyBorder="1" applyAlignment="1">
      <alignment horizontal="center" vertical="center"/>
    </xf>
    <xf numFmtId="0" fontId="17" fillId="0" borderId="1" xfId="50" applyFont="1" applyBorder="1" applyAlignment="1">
      <alignment horizontal="center" vertical="center"/>
    </xf>
    <xf numFmtId="49" fontId="27" fillId="7" borderId="1" xfId="50" applyNumberFormat="1" applyFont="1" applyFill="1" applyBorder="1" applyAlignment="1">
      <alignment horizontal="left" vertical="center"/>
    </xf>
    <xf numFmtId="49" fontId="24" fillId="4" borderId="1" xfId="50" applyNumberFormat="1" applyFont="1" applyFill="1" applyBorder="1" applyAlignment="1">
      <alignment horizontal="center" vertical="center"/>
    </xf>
    <xf numFmtId="49" fontId="20" fillId="0" borderId="1" xfId="50" applyNumberFormat="1" applyFont="1" applyFill="1" applyBorder="1" applyAlignment="1">
      <alignment horizontal="left" vertical="center" wrapText="1"/>
    </xf>
    <xf numFmtId="49" fontId="20" fillId="0" borderId="1" xfId="51" applyNumberFormat="1" applyFont="1" applyBorder="1" applyAlignment="1">
      <alignment horizontal="center" vertical="center"/>
    </xf>
    <xf numFmtId="178" fontId="20" fillId="0" borderId="1" xfId="51" applyNumberFormat="1" applyFont="1" applyBorder="1" applyAlignment="1">
      <alignment horizontal="center" vertical="center"/>
    </xf>
    <xf numFmtId="177" fontId="20" fillId="0" borderId="2" xfId="51" applyNumberFormat="1" applyFont="1" applyBorder="1" applyAlignment="1">
      <alignment horizontal="right" vertical="center"/>
    </xf>
    <xf numFmtId="0" fontId="26" fillId="0" borderId="6" xfId="0" applyFont="1" applyBorder="1" applyAlignment="1">
      <alignment horizontal="left" vertical="center"/>
    </xf>
    <xf numFmtId="49" fontId="28" fillId="0" borderId="1" xfId="50" applyNumberFormat="1" applyFont="1" applyFill="1" applyBorder="1" applyAlignment="1">
      <alignment horizontal="left" vertical="center"/>
    </xf>
    <xf numFmtId="0" fontId="20" fillId="0" borderId="3" xfId="50" applyFont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left" vertical="center"/>
    </xf>
    <xf numFmtId="177" fontId="20" fillId="0" borderId="7" xfId="51" applyNumberFormat="1" applyFont="1" applyBorder="1" applyAlignment="1">
      <alignment horizontal="center" vertical="center"/>
    </xf>
    <xf numFmtId="0" fontId="20" fillId="9" borderId="1" xfId="50" applyFont="1" applyFill="1" applyBorder="1" applyAlignment="1">
      <alignment horizontal="center" vertical="center"/>
    </xf>
    <xf numFmtId="0" fontId="20" fillId="9" borderId="3" xfId="50" applyFont="1" applyFill="1" applyBorder="1" applyAlignment="1">
      <alignment horizontal="center" vertical="center"/>
    </xf>
    <xf numFmtId="0" fontId="20" fillId="9" borderId="1" xfId="50" applyFont="1" applyFill="1" applyBorder="1" applyAlignment="1">
      <alignment horizontal="left" vertical="center"/>
    </xf>
    <xf numFmtId="49" fontId="29" fillId="9" borderId="1" xfId="0" applyNumberFormat="1" applyFont="1" applyFill="1" applyBorder="1" applyAlignment="1">
      <alignment horizontal="left" vertical="center"/>
    </xf>
    <xf numFmtId="0" fontId="20" fillId="9" borderId="1" xfId="50" applyFont="1" applyFill="1" applyBorder="1" applyAlignment="1">
      <alignment horizontal="left" vertical="center" wrapText="1"/>
    </xf>
    <xf numFmtId="0" fontId="20" fillId="9" borderId="1" xfId="50" applyFont="1" applyFill="1" applyBorder="1" applyAlignment="1">
      <alignment horizontal="center" vertical="center" wrapText="1"/>
    </xf>
    <xf numFmtId="9" fontId="20" fillId="9" borderId="1" xfId="50" applyNumberFormat="1" applyFont="1" applyFill="1" applyBorder="1" applyAlignment="1">
      <alignment horizontal="center" vertical="center" wrapText="1"/>
    </xf>
    <xf numFmtId="177" fontId="20" fillId="9" borderId="1" xfId="50" applyNumberFormat="1" applyFont="1" applyFill="1" applyBorder="1" applyAlignment="1">
      <alignment horizontal="right" vertical="center"/>
    </xf>
    <xf numFmtId="178" fontId="20" fillId="9" borderId="1" xfId="51" applyNumberFormat="1" applyFont="1" applyFill="1" applyBorder="1" applyAlignment="1">
      <alignment horizontal="center" vertical="center"/>
    </xf>
    <xf numFmtId="9" fontId="20" fillId="9" borderId="1" xfId="50" applyNumberFormat="1" applyFont="1" applyFill="1" applyBorder="1" applyAlignment="1">
      <alignment horizontal="center" vertical="center"/>
    </xf>
    <xf numFmtId="179" fontId="20" fillId="9" borderId="1" xfId="50" applyNumberFormat="1" applyFont="1" applyFill="1" applyBorder="1" applyAlignment="1">
      <alignment horizontal="center" vertical="center"/>
    </xf>
    <xf numFmtId="49" fontId="20" fillId="9" borderId="1" xfId="51" applyNumberFormat="1" applyFont="1" applyFill="1" applyBorder="1" applyAlignment="1">
      <alignment horizontal="center" vertical="center"/>
    </xf>
    <xf numFmtId="176" fontId="26" fillId="9" borderId="6" xfId="0" applyNumberFormat="1" applyFont="1" applyFill="1" applyBorder="1" applyAlignment="1">
      <alignment horizontal="center" vertical="center"/>
    </xf>
    <xf numFmtId="177" fontId="20" fillId="9" borderId="2" xfId="51" applyNumberFormat="1" applyFont="1" applyFill="1" applyBorder="1" applyAlignment="1">
      <alignment horizontal="right" vertical="center"/>
    </xf>
    <xf numFmtId="177" fontId="20" fillId="9" borderId="11" xfId="50" applyNumberFormat="1" applyFont="1" applyFill="1" applyBorder="1" applyAlignment="1">
      <alignment horizontal="center" vertical="center"/>
    </xf>
    <xf numFmtId="0" fontId="15" fillId="9" borderId="1" xfId="50" applyFont="1" applyFill="1" applyBorder="1" applyAlignment="1">
      <alignment horizontal="center" vertical="center"/>
    </xf>
    <xf numFmtId="0" fontId="20" fillId="9" borderId="2" xfId="50" applyFont="1" applyFill="1" applyBorder="1" applyAlignment="1">
      <alignment horizontal="center" vertical="center"/>
    </xf>
    <xf numFmtId="0" fontId="21" fillId="9" borderId="2" xfId="50" applyFont="1" applyFill="1" applyBorder="1" applyAlignment="1">
      <alignment horizontal="center" vertical="center"/>
    </xf>
    <xf numFmtId="0" fontId="21" fillId="9" borderId="3" xfId="50" applyFont="1" applyFill="1" applyBorder="1" applyAlignment="1">
      <alignment horizontal="center" vertical="center"/>
    </xf>
    <xf numFmtId="0" fontId="21" fillId="9" borderId="1" xfId="50" applyFont="1" applyFill="1" applyBorder="1" applyAlignment="1">
      <alignment horizontal="left" vertical="center"/>
    </xf>
    <xf numFmtId="49" fontId="21" fillId="9" borderId="1" xfId="0" applyNumberFormat="1" applyFont="1" applyFill="1" applyBorder="1" applyAlignment="1">
      <alignment horizontal="left" vertical="center"/>
    </xf>
    <xf numFmtId="0" fontId="21" fillId="9" borderId="1" xfId="50" applyFont="1" applyFill="1" applyBorder="1" applyAlignment="1">
      <alignment horizontal="left" vertical="center" wrapText="1"/>
    </xf>
    <xf numFmtId="0" fontId="21" fillId="9" borderId="1" xfId="50" applyFont="1" applyFill="1" applyBorder="1" applyAlignment="1">
      <alignment horizontal="center" vertical="center" wrapText="1"/>
    </xf>
    <xf numFmtId="9" fontId="21" fillId="9" borderId="1" xfId="50" applyNumberFormat="1" applyFont="1" applyFill="1" applyBorder="1" applyAlignment="1">
      <alignment horizontal="center" vertical="center" wrapText="1"/>
    </xf>
    <xf numFmtId="177" fontId="21" fillId="9" borderId="1" xfId="50" applyNumberFormat="1" applyFont="1" applyFill="1" applyBorder="1" applyAlignment="1">
      <alignment horizontal="right" vertical="center"/>
    </xf>
    <xf numFmtId="178" fontId="21" fillId="9" borderId="1" xfId="51" applyNumberFormat="1" applyFont="1" applyFill="1" applyBorder="1" applyAlignment="1">
      <alignment horizontal="center" vertical="center"/>
    </xf>
    <xf numFmtId="9" fontId="21" fillId="9" borderId="1" xfId="50" applyNumberFormat="1" applyFont="1" applyFill="1" applyBorder="1" applyAlignment="1">
      <alignment horizontal="center" vertical="center"/>
    </xf>
    <xf numFmtId="179" fontId="21" fillId="9" borderId="1" xfId="50" applyNumberFormat="1" applyFont="1" applyFill="1" applyBorder="1" applyAlignment="1">
      <alignment horizontal="center" vertical="center"/>
    </xf>
    <xf numFmtId="49" fontId="21" fillId="9" borderId="1" xfId="51" applyNumberFormat="1" applyFont="1" applyFill="1" applyBorder="1" applyAlignment="1">
      <alignment horizontal="center" vertical="center"/>
    </xf>
    <xf numFmtId="177" fontId="21" fillId="9" borderId="2" xfId="51" applyNumberFormat="1" applyFont="1" applyFill="1" applyBorder="1" applyAlignment="1">
      <alignment horizontal="right" vertical="center"/>
    </xf>
    <xf numFmtId="177" fontId="21" fillId="9" borderId="11" xfId="50" applyNumberFormat="1" applyFont="1" applyFill="1" applyBorder="1" applyAlignment="1">
      <alignment horizontal="center" vertical="center"/>
    </xf>
    <xf numFmtId="0" fontId="17" fillId="9" borderId="1" xfId="50" applyFont="1" applyFill="1" applyBorder="1" applyAlignment="1">
      <alignment horizontal="center" vertical="center"/>
    </xf>
    <xf numFmtId="0" fontId="21" fillId="0" borderId="2" xfId="50" applyFont="1" applyBorder="1" applyAlignment="1">
      <alignment horizontal="center" vertical="center"/>
    </xf>
    <xf numFmtId="0" fontId="21" fillId="0" borderId="3" xfId="50" applyFont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left" vertical="center"/>
    </xf>
    <xf numFmtId="0" fontId="21" fillId="0" borderId="1" xfId="50" applyFont="1" applyBorder="1" applyAlignment="1">
      <alignment horizontal="center" vertical="center" wrapText="1"/>
    </xf>
    <xf numFmtId="178" fontId="21" fillId="0" borderId="1" xfId="51" applyNumberFormat="1" applyFont="1" applyBorder="1" applyAlignment="1">
      <alignment horizontal="center" vertical="center"/>
    </xf>
    <xf numFmtId="49" fontId="21" fillId="0" borderId="1" xfId="51" applyNumberFormat="1" applyFont="1" applyBorder="1" applyAlignment="1">
      <alignment horizontal="center" vertical="center"/>
    </xf>
    <xf numFmtId="179" fontId="21" fillId="9" borderId="1" xfId="51" applyNumberFormat="1" applyFont="1" applyFill="1" applyBorder="1" applyAlignment="1">
      <alignment horizontal="center" vertical="center"/>
    </xf>
    <xf numFmtId="179" fontId="20" fillId="9" borderId="1" xfId="51" applyNumberFormat="1" applyFont="1" applyFill="1" applyBorder="1" applyAlignment="1">
      <alignment horizontal="center" vertical="center"/>
    </xf>
    <xf numFmtId="180" fontId="20" fillId="9" borderId="2" xfId="51" applyNumberFormat="1" applyFont="1" applyFill="1" applyBorder="1" applyAlignment="1">
      <alignment horizontal="right" vertical="center"/>
    </xf>
    <xf numFmtId="180" fontId="20" fillId="9" borderId="11" xfId="50" applyNumberFormat="1" applyFont="1" applyFill="1" applyBorder="1" applyAlignment="1">
      <alignment horizontal="center" vertical="center"/>
    </xf>
    <xf numFmtId="180" fontId="20" fillId="0" borderId="2" xfId="51" applyNumberFormat="1" applyFont="1" applyBorder="1" applyAlignment="1">
      <alignment horizontal="right" vertical="center"/>
    </xf>
    <xf numFmtId="180" fontId="20" fillId="0" borderId="7" xfId="51" applyNumberFormat="1" applyFont="1" applyBorder="1" applyAlignment="1">
      <alignment horizontal="center" vertical="center"/>
    </xf>
    <xf numFmtId="0" fontId="20" fillId="8" borderId="1" xfId="50" applyFont="1" applyFill="1" applyBorder="1" applyAlignment="1">
      <alignment horizontal="center" vertical="center"/>
    </xf>
    <xf numFmtId="0" fontId="20" fillId="8" borderId="2" xfId="50" applyFont="1" applyFill="1" applyBorder="1" applyAlignment="1">
      <alignment horizontal="center" vertical="center"/>
    </xf>
    <xf numFmtId="0" fontId="20" fillId="8" borderId="3" xfId="50" applyFont="1" applyFill="1" applyBorder="1" applyAlignment="1">
      <alignment horizontal="center" vertical="center"/>
    </xf>
    <xf numFmtId="0" fontId="20" fillId="8" borderId="1" xfId="50" applyFont="1" applyFill="1" applyBorder="1" applyAlignment="1">
      <alignment horizontal="left" vertical="center"/>
    </xf>
    <xf numFmtId="49" fontId="29" fillId="8" borderId="1" xfId="0" applyNumberFormat="1" applyFont="1" applyFill="1" applyBorder="1" applyAlignment="1">
      <alignment horizontal="left" vertical="center"/>
    </xf>
    <xf numFmtId="0" fontId="20" fillId="8" borderId="1" xfId="50" applyFont="1" applyFill="1" applyBorder="1" applyAlignment="1">
      <alignment horizontal="left" vertical="center" wrapText="1"/>
    </xf>
    <xf numFmtId="0" fontId="20" fillId="8" borderId="1" xfId="50" applyFont="1" applyFill="1" applyBorder="1" applyAlignment="1">
      <alignment horizontal="center" vertical="center" wrapText="1"/>
    </xf>
    <xf numFmtId="9" fontId="20" fillId="8" borderId="1" xfId="50" applyNumberFormat="1" applyFont="1" applyFill="1" applyBorder="1" applyAlignment="1">
      <alignment horizontal="center" vertical="center" wrapText="1"/>
    </xf>
    <xf numFmtId="177" fontId="20" fillId="8" borderId="1" xfId="50" applyNumberFormat="1" applyFont="1" applyFill="1" applyBorder="1" applyAlignment="1">
      <alignment horizontal="right" vertical="center"/>
    </xf>
    <xf numFmtId="178" fontId="20" fillId="8" borderId="1" xfId="51" applyNumberFormat="1" applyFont="1" applyFill="1" applyBorder="1" applyAlignment="1">
      <alignment horizontal="center" vertical="center"/>
    </xf>
    <xf numFmtId="9" fontId="20" fillId="8" borderId="1" xfId="50" applyNumberFormat="1" applyFont="1" applyFill="1" applyBorder="1" applyAlignment="1">
      <alignment horizontal="center" vertical="center"/>
    </xf>
    <xf numFmtId="179" fontId="20" fillId="8" borderId="1" xfId="50" applyNumberFormat="1" applyFont="1" applyFill="1" applyBorder="1" applyAlignment="1">
      <alignment horizontal="center" vertical="center"/>
    </xf>
    <xf numFmtId="49" fontId="20" fillId="8" borderId="1" xfId="51" applyNumberFormat="1" applyFont="1" applyFill="1" applyBorder="1" applyAlignment="1">
      <alignment horizontal="center" vertical="center"/>
    </xf>
    <xf numFmtId="176" fontId="26" fillId="8" borderId="6" xfId="0" applyNumberFormat="1" applyFont="1" applyFill="1" applyBorder="1" applyAlignment="1">
      <alignment horizontal="center" vertical="center"/>
    </xf>
    <xf numFmtId="180" fontId="21" fillId="8" borderId="2" xfId="51" applyNumberFormat="1" applyFont="1" applyFill="1" applyBorder="1" applyAlignment="1">
      <alignment horizontal="right" vertical="center"/>
    </xf>
    <xf numFmtId="180" fontId="20" fillId="8" borderId="11" xfId="50" applyNumberFormat="1" applyFont="1" applyFill="1" applyBorder="1" applyAlignment="1">
      <alignment horizontal="center" vertical="center"/>
    </xf>
    <xf numFmtId="0" fontId="30" fillId="8" borderId="1" xfId="50" applyFont="1" applyFill="1" applyBorder="1" applyAlignment="1">
      <alignment horizontal="center" vertical="center" wrapText="1"/>
    </xf>
    <xf numFmtId="0" fontId="20" fillId="9" borderId="1" xfId="51" applyFont="1" applyFill="1" applyBorder="1" applyAlignment="1">
      <alignment horizontal="left" vertical="center"/>
    </xf>
    <xf numFmtId="177" fontId="20" fillId="9" borderId="1" xfId="51" applyNumberFormat="1" applyFont="1" applyFill="1" applyBorder="1" applyAlignment="1">
      <alignment horizontal="right" vertical="center"/>
    </xf>
    <xf numFmtId="180" fontId="20" fillId="9" borderId="11" xfId="51" applyNumberFormat="1" applyFont="1" applyFill="1" applyBorder="1" applyAlignment="1">
      <alignment horizontal="center" vertical="center"/>
    </xf>
    <xf numFmtId="180" fontId="20" fillId="9" borderId="7" xfId="51" applyNumberFormat="1" applyFont="1" applyFill="1" applyBorder="1" applyAlignment="1">
      <alignment horizontal="center" vertical="center"/>
    </xf>
    <xf numFmtId="177" fontId="20" fillId="9" borderId="7" xfId="51" applyNumberFormat="1" applyFont="1" applyFill="1" applyBorder="1" applyAlignment="1">
      <alignment horizontal="center" vertical="center"/>
    </xf>
    <xf numFmtId="177" fontId="20" fillId="9" borderId="11" xfId="51" applyNumberFormat="1" applyFont="1" applyFill="1" applyBorder="1" applyAlignment="1">
      <alignment horizontal="center" vertical="center"/>
    </xf>
    <xf numFmtId="0" fontId="21" fillId="9" borderId="1" xfId="51" applyFont="1" applyFill="1" applyBorder="1" applyAlignment="1">
      <alignment horizontal="left" vertical="center"/>
    </xf>
    <xf numFmtId="177" fontId="21" fillId="9" borderId="1" xfId="51" applyNumberFormat="1" applyFont="1" applyFill="1" applyBorder="1" applyAlignment="1">
      <alignment horizontal="right" vertical="center"/>
    </xf>
    <xf numFmtId="49" fontId="28" fillId="9" borderId="1" xfId="0" applyNumberFormat="1" applyFont="1" applyFill="1" applyBorder="1" applyAlignment="1">
      <alignment horizontal="left" vertical="center" wrapText="1"/>
    </xf>
    <xf numFmtId="0" fontId="21" fillId="9" borderId="1" xfId="50" applyFont="1" applyFill="1" applyBorder="1" applyAlignment="1">
      <alignment horizontal="center" vertical="center"/>
    </xf>
    <xf numFmtId="49" fontId="21" fillId="9" borderId="1" xfId="0" applyNumberFormat="1" applyFont="1" applyFill="1" applyBorder="1" applyAlignment="1">
      <alignment horizontal="left" vertical="center" wrapText="1"/>
    </xf>
    <xf numFmtId="177" fontId="21" fillId="9" borderId="11" xfId="51" applyNumberFormat="1" applyFont="1" applyFill="1" applyBorder="1" applyAlignment="1">
      <alignment horizontal="center" vertical="center"/>
    </xf>
    <xf numFmtId="177" fontId="21" fillId="9" borderId="11" xfId="51" applyNumberFormat="1" applyFont="1" applyFill="1" applyBorder="1" applyAlignment="1">
      <alignment horizontal="center" vertical="center" wrapText="1"/>
    </xf>
    <xf numFmtId="0" fontId="21" fillId="0" borderId="1" xfId="51" applyFont="1" applyBorder="1" applyAlignment="1">
      <alignment horizontal="left" vertical="center"/>
    </xf>
    <xf numFmtId="9" fontId="21" fillId="0" borderId="1" xfId="50" applyNumberFormat="1" applyFont="1" applyBorder="1" applyAlignment="1">
      <alignment horizontal="center" vertical="center" wrapText="1"/>
    </xf>
    <xf numFmtId="179" fontId="21" fillId="0" borderId="1" xfId="51" applyNumberFormat="1" applyFont="1" applyBorder="1" applyAlignment="1">
      <alignment horizontal="center" vertical="center"/>
    </xf>
    <xf numFmtId="177" fontId="21" fillId="0" borderId="1" xfId="51" applyNumberFormat="1" applyFont="1" applyBorder="1" applyAlignment="1">
      <alignment horizontal="right" vertical="center"/>
    </xf>
    <xf numFmtId="177" fontId="21" fillId="0" borderId="2" xfId="51" applyNumberFormat="1" applyFont="1" applyBorder="1" applyAlignment="1">
      <alignment horizontal="right" vertical="center"/>
    </xf>
    <xf numFmtId="177" fontId="21" fillId="0" borderId="11" xfId="50" applyNumberFormat="1" applyFont="1" applyBorder="1" applyAlignment="1">
      <alignment horizontal="center" vertical="center"/>
    </xf>
    <xf numFmtId="177" fontId="21" fillId="0" borderId="7" xfId="51" applyNumberFormat="1" applyFont="1" applyBorder="1" applyAlignment="1">
      <alignment horizontal="center" vertical="center"/>
    </xf>
    <xf numFmtId="177" fontId="21" fillId="9" borderId="7" xfId="51" applyNumberFormat="1" applyFont="1" applyFill="1" applyBorder="1" applyAlignment="1">
      <alignment horizontal="center" vertical="center"/>
    </xf>
    <xf numFmtId="0" fontId="20" fillId="0" borderId="1" xfId="51" applyFont="1" applyBorder="1" applyAlignment="1">
      <alignment horizontal="left" vertical="center"/>
    </xf>
    <xf numFmtId="179" fontId="20" fillId="0" borderId="1" xfId="51" applyNumberFormat="1" applyFont="1" applyBorder="1" applyAlignment="1">
      <alignment horizontal="center" vertical="center"/>
    </xf>
    <xf numFmtId="177" fontId="20" fillId="0" borderId="1" xfId="51" applyNumberFormat="1" applyFont="1" applyBorder="1" applyAlignment="1">
      <alignment horizontal="right" vertical="center"/>
    </xf>
    <xf numFmtId="0" fontId="29" fillId="9" borderId="1" xfId="51" applyFont="1" applyFill="1" applyBorder="1" applyAlignment="1">
      <alignment horizontal="left" vertical="center"/>
    </xf>
    <xf numFmtId="179" fontId="29" fillId="9" borderId="1" xfId="51" applyNumberFormat="1" applyFont="1" applyFill="1" applyBorder="1" applyAlignment="1">
      <alignment horizontal="center" vertical="center"/>
    </xf>
    <xf numFmtId="0" fontId="29" fillId="0" borderId="1" xfId="51" applyFont="1" applyBorder="1" applyAlignment="1">
      <alignment horizontal="left" vertical="center"/>
    </xf>
    <xf numFmtId="179" fontId="29" fillId="0" borderId="1" xfId="51" applyNumberFormat="1" applyFont="1" applyBorder="1" applyAlignment="1">
      <alignment horizontal="center" vertical="center"/>
    </xf>
    <xf numFmtId="0" fontId="20" fillId="0" borderId="12" xfId="50" applyFont="1" applyBorder="1" applyAlignment="1">
      <alignment horizontal="center" vertical="center"/>
    </xf>
    <xf numFmtId="0" fontId="29" fillId="0" borderId="2" xfId="51" applyFont="1" applyBorder="1" applyAlignment="1">
      <alignment horizontal="left" vertical="center"/>
    </xf>
    <xf numFmtId="49" fontId="29" fillId="0" borderId="2" xfId="0" applyNumberFormat="1" applyFont="1" applyFill="1" applyBorder="1" applyAlignment="1">
      <alignment horizontal="left" vertical="center"/>
    </xf>
    <xf numFmtId="0" fontId="20" fillId="0" borderId="2" xfId="50" applyFont="1" applyBorder="1" applyAlignment="1">
      <alignment horizontal="left" vertical="center" wrapText="1"/>
    </xf>
    <xf numFmtId="0" fontId="20" fillId="0" borderId="2" xfId="50" applyFont="1" applyBorder="1" applyAlignment="1">
      <alignment horizontal="center" vertical="center" wrapText="1"/>
    </xf>
    <xf numFmtId="9" fontId="20" fillId="0" borderId="2" xfId="50" applyNumberFormat="1" applyFont="1" applyBorder="1" applyAlignment="1">
      <alignment horizontal="center" vertical="center" wrapText="1"/>
    </xf>
    <xf numFmtId="177" fontId="20" fillId="0" borderId="2" xfId="50" applyNumberFormat="1" applyFont="1" applyBorder="1" applyAlignment="1">
      <alignment horizontal="right" vertical="center"/>
    </xf>
    <xf numFmtId="178" fontId="20" fillId="0" borderId="2" xfId="51" applyNumberFormat="1" applyFont="1" applyBorder="1" applyAlignment="1">
      <alignment horizontal="center" vertical="center"/>
    </xf>
    <xf numFmtId="9" fontId="20" fillId="0" borderId="2" xfId="50" applyNumberFormat="1" applyFont="1" applyBorder="1" applyAlignment="1">
      <alignment horizontal="center" vertical="center"/>
    </xf>
    <xf numFmtId="179" fontId="29" fillId="0" borderId="2" xfId="51" applyNumberFormat="1" applyFont="1" applyBorder="1" applyAlignment="1">
      <alignment horizontal="center" vertical="center"/>
    </xf>
    <xf numFmtId="49" fontId="20" fillId="0" borderId="2" xfId="51" applyNumberFormat="1" applyFont="1" applyBorder="1" applyAlignment="1">
      <alignment horizontal="center" vertical="center"/>
    </xf>
    <xf numFmtId="176" fontId="26" fillId="0" borderId="13" xfId="0" applyNumberFormat="1" applyFont="1" applyBorder="1" applyAlignment="1">
      <alignment horizontal="center" vertical="center"/>
    </xf>
    <xf numFmtId="0" fontId="24" fillId="4" borderId="1" xfId="51" applyFont="1" applyFill="1" applyBorder="1" applyAlignment="1">
      <alignment horizontal="left" vertical="center"/>
    </xf>
    <xf numFmtId="178" fontId="24" fillId="4" borderId="1" xfId="50" applyNumberFormat="1" applyFont="1" applyFill="1" applyBorder="1" applyAlignment="1">
      <alignment horizontal="center" vertical="center"/>
    </xf>
    <xf numFmtId="177" fontId="20" fillId="0" borderId="0" xfId="50" applyNumberFormat="1" applyFont="1" applyAlignment="1">
      <alignment horizontal="right" vertical="center"/>
    </xf>
    <xf numFmtId="177" fontId="20" fillId="0" borderId="11" xfId="51" applyNumberFormat="1" applyFont="1" applyBorder="1" applyAlignment="1">
      <alignment horizontal="center" vertical="center"/>
    </xf>
    <xf numFmtId="177" fontId="20" fillId="9" borderId="1" xfId="51" applyNumberFormat="1" applyFont="1" applyFill="1" applyBorder="1" applyAlignment="1">
      <alignment horizontal="center" vertical="center"/>
    </xf>
    <xf numFmtId="0" fontId="20" fillId="0" borderId="1" xfId="50" applyFont="1" applyFill="1" applyBorder="1" applyAlignment="1">
      <alignment horizontal="center" vertical="center"/>
    </xf>
    <xf numFmtId="0" fontId="20" fillId="0" borderId="2" xfId="50" applyFont="1" applyFill="1" applyBorder="1" applyAlignment="1">
      <alignment horizontal="center" vertical="center"/>
    </xf>
    <xf numFmtId="0" fontId="20" fillId="0" borderId="3" xfId="50" applyFont="1" applyFill="1" applyBorder="1" applyAlignment="1">
      <alignment horizontal="center" vertical="center"/>
    </xf>
    <xf numFmtId="0" fontId="29" fillId="0" borderId="1" xfId="51" applyFont="1" applyFill="1" applyBorder="1" applyAlignment="1">
      <alignment horizontal="left" vertical="center"/>
    </xf>
    <xf numFmtId="0" fontId="20" fillId="0" borderId="1" xfId="50" applyFont="1" applyFill="1" applyBorder="1" applyAlignment="1">
      <alignment horizontal="left" vertical="center" wrapText="1"/>
    </xf>
    <xf numFmtId="0" fontId="20" fillId="0" borderId="1" xfId="50" applyFont="1" applyFill="1" applyBorder="1" applyAlignment="1">
      <alignment horizontal="center" vertical="center" wrapText="1"/>
    </xf>
    <xf numFmtId="9" fontId="20" fillId="0" borderId="1" xfId="50" applyNumberFormat="1" applyFont="1" applyFill="1" applyBorder="1" applyAlignment="1">
      <alignment horizontal="center" vertical="center" wrapText="1"/>
    </xf>
    <xf numFmtId="177" fontId="20" fillId="0" borderId="1" xfId="50" applyNumberFormat="1" applyFont="1" applyFill="1" applyBorder="1" applyAlignment="1">
      <alignment horizontal="right" vertical="center"/>
    </xf>
    <xf numFmtId="178" fontId="20" fillId="0" borderId="1" xfId="51" applyNumberFormat="1" applyFont="1" applyFill="1" applyBorder="1" applyAlignment="1">
      <alignment horizontal="center" vertical="center"/>
    </xf>
    <xf numFmtId="9" fontId="20" fillId="0" borderId="1" xfId="50" applyNumberFormat="1" applyFont="1" applyFill="1" applyBorder="1" applyAlignment="1">
      <alignment horizontal="center" vertical="center"/>
    </xf>
    <xf numFmtId="179" fontId="29" fillId="0" borderId="1" xfId="51" applyNumberFormat="1" applyFont="1" applyFill="1" applyBorder="1" applyAlignment="1">
      <alignment horizontal="center" vertical="center"/>
    </xf>
    <xf numFmtId="177" fontId="20" fillId="0" borderId="2" xfId="51" applyNumberFormat="1" applyFont="1" applyFill="1" applyBorder="1" applyAlignment="1">
      <alignment horizontal="right" vertical="center"/>
    </xf>
    <xf numFmtId="177" fontId="20" fillId="0" borderId="1" xfId="51" applyNumberFormat="1" applyFont="1" applyFill="1" applyBorder="1" applyAlignment="1">
      <alignment horizontal="right" vertical="center"/>
    </xf>
    <xf numFmtId="49" fontId="20" fillId="0" borderId="1" xfId="51" applyNumberFormat="1" applyFont="1" applyFill="1" applyBorder="1" applyAlignment="1">
      <alignment horizontal="center" vertical="center"/>
    </xf>
    <xf numFmtId="177" fontId="20" fillId="0" borderId="11" xfId="50" applyNumberFormat="1" applyFont="1" applyFill="1" applyBorder="1" applyAlignment="1">
      <alignment horizontal="center" vertical="center"/>
    </xf>
    <xf numFmtId="0" fontId="28" fillId="0" borderId="1" xfId="50" applyFont="1" applyFill="1" applyBorder="1" applyAlignment="1">
      <alignment horizontal="center" vertical="center"/>
    </xf>
    <xf numFmtId="49" fontId="28" fillId="0" borderId="1" xfId="51" applyNumberFormat="1" applyFont="1" applyBorder="1" applyAlignment="1">
      <alignment horizontal="center" vertical="center"/>
    </xf>
    <xf numFmtId="0" fontId="28" fillId="0" borderId="3" xfId="50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177" fontId="20" fillId="0" borderId="1" xfId="51" applyNumberFormat="1" applyFont="1" applyBorder="1" applyAlignment="1">
      <alignment horizontal="center" vertical="center"/>
    </xf>
    <xf numFmtId="0" fontId="24" fillId="4" borderId="3" xfId="50" applyFont="1" applyFill="1" applyBorder="1" applyAlignment="1">
      <alignment horizontal="center" vertical="center"/>
    </xf>
    <xf numFmtId="0" fontId="31" fillId="4" borderId="1" xfId="51" applyFont="1" applyFill="1" applyBorder="1" applyAlignment="1">
      <alignment horizontal="left" vertical="center"/>
    </xf>
    <xf numFmtId="49" fontId="31" fillId="4" borderId="1" xfId="0" applyNumberFormat="1" applyFont="1" applyFill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49" fontId="28" fillId="0" borderId="1" xfId="0" applyNumberFormat="1" applyFont="1" applyFill="1" applyBorder="1" applyAlignment="1">
      <alignment horizontal="left" vertical="center"/>
    </xf>
    <xf numFmtId="0" fontId="20" fillId="0" borderId="1" xfId="50" applyNumberFormat="1" applyFont="1" applyFill="1" applyBorder="1" applyAlignment="1">
      <alignment horizontal="center" vertical="center" wrapText="1"/>
    </xf>
    <xf numFmtId="178" fontId="20" fillId="0" borderId="1" xfId="50" applyNumberFormat="1" applyFont="1" applyFill="1" applyBorder="1" applyAlignment="1">
      <alignment horizontal="center" vertical="center"/>
    </xf>
    <xf numFmtId="177" fontId="20" fillId="0" borderId="2" xfId="50" applyNumberFormat="1" applyFont="1" applyFill="1" applyBorder="1" applyAlignment="1">
      <alignment horizontal="right" vertical="center"/>
    </xf>
    <xf numFmtId="176" fontId="20" fillId="0" borderId="1" xfId="0" applyNumberFormat="1" applyFont="1" applyFill="1" applyBorder="1" applyAlignment="1">
      <alignment horizontal="center" vertical="center"/>
    </xf>
    <xf numFmtId="180" fontId="20" fillId="0" borderId="1" xfId="50" applyNumberFormat="1" applyFont="1" applyFill="1" applyBorder="1" applyAlignment="1">
      <alignment horizontal="right" vertical="center"/>
    </xf>
    <xf numFmtId="49" fontId="28" fillId="0" borderId="1" xfId="5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24" fillId="0" borderId="1" xfId="50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center" vertical="center"/>
    </xf>
    <xf numFmtId="177" fontId="20" fillId="0" borderId="11" xfId="50" applyNumberFormat="1" applyFont="1" applyFill="1" applyBorder="1" applyAlignment="1">
      <alignment horizontal="right" vertical="center"/>
    </xf>
    <xf numFmtId="0" fontId="28" fillId="0" borderId="1" xfId="0" applyFont="1" applyBorder="1" applyAlignment="1">
      <alignment horizontal="justify" vertical="center"/>
    </xf>
    <xf numFmtId="0" fontId="28" fillId="0" borderId="1" xfId="50" applyFont="1" applyFill="1" applyBorder="1" applyAlignment="1">
      <alignment horizontal="center" vertical="center" wrapText="1"/>
    </xf>
    <xf numFmtId="176" fontId="20" fillId="0" borderId="1" xfId="50" applyNumberFormat="1" applyFont="1" applyFill="1" applyBorder="1" applyAlignment="1">
      <alignment horizontal="center" vertical="center"/>
    </xf>
    <xf numFmtId="0" fontId="28" fillId="0" borderId="1" xfId="50" applyFont="1" applyFill="1" applyBorder="1" applyAlignment="1">
      <alignment horizontal="left" vertical="center" wrapText="1"/>
    </xf>
    <xf numFmtId="178" fontId="28" fillId="0" borderId="1" xfId="0" applyNumberFormat="1" applyFont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0" fontId="28" fillId="0" borderId="1" xfId="51" applyFont="1" applyFill="1" applyBorder="1" applyAlignment="1">
      <alignment horizontal="left" vertical="center"/>
    </xf>
    <xf numFmtId="0" fontId="28" fillId="0" borderId="1" xfId="51" applyFont="1" applyFill="1" applyBorder="1" applyAlignment="1">
      <alignment vertical="center"/>
    </xf>
    <xf numFmtId="179" fontId="20" fillId="0" borderId="1" xfId="50" applyNumberFormat="1" applyFont="1" applyFill="1" applyBorder="1" applyAlignment="1">
      <alignment horizontal="center" vertical="center"/>
    </xf>
    <xf numFmtId="177" fontId="20" fillId="0" borderId="1" xfId="50" applyNumberFormat="1" applyFont="1" applyFill="1" applyBorder="1" applyAlignment="1">
      <alignment horizontal="center" vertical="center"/>
    </xf>
    <xf numFmtId="177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>
      <alignment vertical="center"/>
    </xf>
    <xf numFmtId="4" fontId="28" fillId="0" borderId="2" xfId="0" applyNumberFormat="1" applyFont="1" applyBorder="1" applyAlignment="1">
      <alignment horizontal="right" vertical="center"/>
    </xf>
    <xf numFmtId="0" fontId="20" fillId="0" borderId="1" xfId="50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right" vertical="center"/>
    </xf>
    <xf numFmtId="0" fontId="28" fillId="0" borderId="0" xfId="0" applyFont="1" applyBorder="1">
      <alignment vertical="center"/>
    </xf>
    <xf numFmtId="3" fontId="20" fillId="0" borderId="2" xfId="0" applyNumberFormat="1" applyFont="1" applyBorder="1" applyAlignment="1">
      <alignment horizontal="right" vertical="center"/>
    </xf>
    <xf numFmtId="0" fontId="28" fillId="0" borderId="1" xfId="0" applyNumberFormat="1" applyFont="1" applyFill="1" applyBorder="1" applyAlignment="1">
      <alignment horizontal="left" vertical="center"/>
    </xf>
    <xf numFmtId="178" fontId="20" fillId="0" borderId="1" xfId="50" applyNumberFormat="1" applyFont="1" applyFill="1" applyBorder="1" applyAlignment="1">
      <alignment horizontal="right" vertical="center"/>
    </xf>
    <xf numFmtId="4" fontId="20" fillId="0" borderId="2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178" fontId="20" fillId="0" borderId="1" xfId="0" applyNumberFormat="1" applyFont="1" applyBorder="1" applyAlignment="1">
      <alignment horizontal="right" vertical="center"/>
    </xf>
    <xf numFmtId="3" fontId="28" fillId="0" borderId="2" xfId="0" applyNumberFormat="1" applyFont="1" applyBorder="1" applyAlignment="1">
      <alignment horizontal="right" vertical="center"/>
    </xf>
    <xf numFmtId="177" fontId="20" fillId="0" borderId="2" xfId="0" applyNumberFormat="1" applyFont="1" applyBorder="1" applyAlignment="1">
      <alignment horizontal="right" vertical="center"/>
    </xf>
    <xf numFmtId="49" fontId="20" fillId="0" borderId="1" xfId="50" applyNumberFormat="1" applyFont="1" applyFill="1" applyBorder="1" applyAlignment="1">
      <alignment horizontal="center" vertical="center"/>
    </xf>
    <xf numFmtId="0" fontId="28" fillId="0" borderId="1" xfId="50" applyFont="1" applyFill="1" applyBorder="1" applyAlignment="1">
      <alignment horizontal="left" vertical="center"/>
    </xf>
    <xf numFmtId="181" fontId="20" fillId="0" borderId="2" xfId="0" applyNumberFormat="1" applyFont="1" applyBorder="1" applyAlignment="1">
      <alignment horizontal="right" vertical="center"/>
    </xf>
    <xf numFmtId="181" fontId="28" fillId="0" borderId="2" xfId="0" applyNumberFormat="1" applyFont="1" applyBorder="1" applyAlignment="1">
      <alignment horizontal="right" vertical="center"/>
    </xf>
    <xf numFmtId="0" fontId="28" fillId="0" borderId="1" xfId="0" applyFont="1" applyFill="1" applyBorder="1">
      <alignment vertical="center"/>
    </xf>
    <xf numFmtId="178" fontId="20" fillId="0" borderId="1" xfId="0" applyNumberFormat="1" applyFont="1" applyBorder="1">
      <alignment vertical="center"/>
    </xf>
    <xf numFmtId="177" fontId="20" fillId="0" borderId="2" xfId="0" applyNumberFormat="1" applyFont="1" applyBorder="1">
      <alignment vertical="center"/>
    </xf>
    <xf numFmtId="177" fontId="28" fillId="0" borderId="1" xfId="50" applyNumberFormat="1" applyFont="1" applyFill="1" applyBorder="1" applyAlignment="1">
      <alignment horizontal="right" vertical="center"/>
    </xf>
    <xf numFmtId="49" fontId="24" fillId="0" borderId="1" xfId="50" applyNumberFormat="1" applyFont="1" applyFill="1" applyBorder="1" applyAlignment="1">
      <alignment horizontal="center" vertical="center"/>
    </xf>
    <xf numFmtId="177" fontId="24" fillId="0" borderId="1" xfId="50" applyNumberFormat="1" applyFont="1" applyFill="1" applyBorder="1" applyAlignment="1">
      <alignment horizontal="right" vertical="center"/>
    </xf>
    <xf numFmtId="178" fontId="24" fillId="0" borderId="1" xfId="50" applyNumberFormat="1" applyFont="1" applyFill="1" applyBorder="1" applyAlignment="1">
      <alignment horizontal="right" vertical="center"/>
    </xf>
    <xf numFmtId="0" fontId="25" fillId="0" borderId="1" xfId="50" applyFont="1" applyFill="1" applyBorder="1" applyAlignment="1">
      <alignment horizontal="left" vertical="center"/>
    </xf>
    <xf numFmtId="177" fontId="20" fillId="0" borderId="1" xfId="50" applyNumberFormat="1" applyFont="1" applyBorder="1" applyAlignment="1">
      <alignment horizontal="center" vertical="center"/>
    </xf>
    <xf numFmtId="0" fontId="29" fillId="0" borderId="1" xfId="50" applyFont="1" applyBorder="1" applyAlignment="1">
      <alignment horizontal="left" vertical="center" wrapText="1"/>
    </xf>
    <xf numFmtId="176" fontId="20" fillId="0" borderId="1" xfId="51" applyNumberFormat="1" applyFont="1" applyBorder="1" applyAlignment="1">
      <alignment horizontal="center" vertical="center"/>
    </xf>
    <xf numFmtId="0" fontId="32" fillId="0" borderId="1" xfId="51" applyFont="1" applyBorder="1" applyAlignment="1">
      <alignment vertical="center"/>
    </xf>
    <xf numFmtId="177" fontId="20" fillId="0" borderId="11" xfId="51" applyNumberFormat="1" applyFont="1" applyBorder="1" applyAlignment="1">
      <alignment horizontal="right" vertical="center"/>
    </xf>
    <xf numFmtId="49" fontId="20" fillId="0" borderId="11" xfId="51" applyNumberFormat="1" applyFont="1" applyBorder="1" applyAlignment="1">
      <alignment horizontal="center" vertical="center"/>
    </xf>
    <xf numFmtId="0" fontId="33" fillId="0" borderId="1" xfId="51" applyFont="1" applyBorder="1" applyAlignment="1">
      <alignment vertical="center"/>
    </xf>
    <xf numFmtId="178" fontId="20" fillId="0" borderId="0" xfId="51" applyNumberFormat="1" applyFont="1" applyBorder="1" applyAlignment="1">
      <alignment horizontal="center" vertical="center"/>
    </xf>
    <xf numFmtId="178" fontId="20" fillId="0" borderId="6" xfId="51" applyNumberFormat="1" applyFont="1" applyBorder="1" applyAlignment="1">
      <alignment horizontal="center" vertical="center"/>
    </xf>
    <xf numFmtId="9" fontId="20" fillId="0" borderId="10" xfId="50" applyNumberFormat="1" applyFont="1" applyBorder="1" applyAlignment="1">
      <alignment horizontal="center" vertical="center"/>
    </xf>
    <xf numFmtId="179" fontId="29" fillId="0" borderId="0" xfId="51" applyNumberFormat="1" applyFont="1" applyBorder="1" applyAlignment="1">
      <alignment horizontal="center" vertical="center"/>
    </xf>
    <xf numFmtId="178" fontId="20" fillId="0" borderId="3" xfId="51" applyNumberFormat="1" applyFont="1" applyBorder="1" applyAlignment="1">
      <alignment horizontal="center" vertical="center"/>
    </xf>
    <xf numFmtId="0" fontId="20" fillId="0" borderId="2" xfId="50" applyNumberFormat="1" applyFont="1" applyFill="1" applyBorder="1" applyAlignment="1">
      <alignment horizontal="center" vertical="center"/>
    </xf>
    <xf numFmtId="0" fontId="20" fillId="0" borderId="3" xfId="50" applyNumberFormat="1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left" vertical="center"/>
    </xf>
    <xf numFmtId="0" fontId="20" fillId="0" borderId="1" xfId="50" applyNumberFormat="1" applyFont="1" applyFill="1" applyBorder="1" applyAlignment="1">
      <alignment horizontal="left" vertical="center" wrapText="1"/>
    </xf>
    <xf numFmtId="178" fontId="20" fillId="0" borderId="1" xfId="0" applyNumberFormat="1" applyFont="1" applyFill="1" applyBorder="1" applyAlignment="1">
      <alignment horizontal="center" vertical="center"/>
    </xf>
    <xf numFmtId="179" fontId="29" fillId="0" borderId="1" xfId="0" applyNumberFormat="1" applyFont="1" applyFill="1" applyBorder="1" applyAlignment="1">
      <alignment horizontal="center" vertical="center"/>
    </xf>
    <xf numFmtId="177" fontId="20" fillId="0" borderId="2" xfId="0" applyNumberFormat="1" applyFont="1" applyFill="1" applyBorder="1" applyAlignment="1">
      <alignment horizontal="right" vertical="center"/>
    </xf>
    <xf numFmtId="49" fontId="20" fillId="0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left" vertical="center"/>
    </xf>
    <xf numFmtId="0" fontId="20" fillId="0" borderId="12" xfId="50" applyNumberFormat="1" applyFont="1" applyFill="1" applyBorder="1" applyAlignment="1">
      <alignment horizontal="center" vertical="center"/>
    </xf>
    <xf numFmtId="0" fontId="29" fillId="0" borderId="2" xfId="0" applyNumberFormat="1" applyFont="1" applyFill="1" applyBorder="1" applyAlignment="1">
      <alignment horizontal="left" vertical="center"/>
    </xf>
    <xf numFmtId="0" fontId="20" fillId="0" borderId="2" xfId="50" applyNumberFormat="1" applyFont="1" applyFill="1" applyBorder="1" applyAlignment="1">
      <alignment horizontal="left" vertical="center" wrapText="1"/>
    </xf>
    <xf numFmtId="0" fontId="20" fillId="0" borderId="2" xfId="50" applyNumberFormat="1" applyFont="1" applyFill="1" applyBorder="1" applyAlignment="1">
      <alignment horizontal="center" vertical="center" wrapText="1"/>
    </xf>
    <xf numFmtId="178" fontId="20" fillId="0" borderId="2" xfId="0" applyNumberFormat="1" applyFont="1" applyFill="1" applyBorder="1" applyAlignment="1">
      <alignment horizontal="center" vertical="center"/>
    </xf>
    <xf numFmtId="9" fontId="20" fillId="0" borderId="2" xfId="50" applyNumberFormat="1" applyFont="1" applyFill="1" applyBorder="1" applyAlignment="1">
      <alignment horizontal="center" vertical="center"/>
    </xf>
    <xf numFmtId="179" fontId="29" fillId="0" borderId="2" xfId="0" applyNumberFormat="1" applyFont="1" applyFill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center" vertical="center"/>
    </xf>
    <xf numFmtId="49" fontId="28" fillId="0" borderId="2" xfId="51" applyNumberFormat="1" applyFont="1" applyBorder="1" applyAlignment="1">
      <alignment horizontal="center" vertical="center"/>
    </xf>
    <xf numFmtId="177" fontId="20" fillId="0" borderId="7" xfId="0" applyNumberFormat="1" applyFont="1" applyFill="1" applyBorder="1" applyAlignment="1">
      <alignment horizontal="right" vertical="center"/>
    </xf>
    <xf numFmtId="177" fontId="20" fillId="0" borderId="2" xfId="50" applyNumberFormat="1" applyFont="1" applyFill="1" applyBorder="1" applyAlignment="1">
      <alignment horizontal="center" vertical="center"/>
    </xf>
    <xf numFmtId="0" fontId="20" fillId="0" borderId="6" xfId="50" applyFont="1" applyBorder="1" applyAlignment="1">
      <alignment horizontal="center" vertical="center"/>
    </xf>
    <xf numFmtId="0" fontId="20" fillId="0" borderId="6" xfId="50" applyNumberFormat="1" applyFont="1" applyFill="1" applyBorder="1" applyAlignment="1">
      <alignment horizontal="center" vertical="center"/>
    </xf>
    <xf numFmtId="49" fontId="29" fillId="0" borderId="6" xfId="0" applyNumberFormat="1" applyFont="1" applyFill="1" applyBorder="1" applyAlignment="1">
      <alignment horizontal="left" vertical="center"/>
    </xf>
    <xf numFmtId="0" fontId="20" fillId="0" borderId="6" xfId="50" applyNumberFormat="1" applyFont="1" applyFill="1" applyBorder="1" applyAlignment="1">
      <alignment horizontal="left" vertical="center" wrapText="1"/>
    </xf>
    <xf numFmtId="0" fontId="20" fillId="0" borderId="6" xfId="50" applyNumberFormat="1" applyFont="1" applyFill="1" applyBorder="1" applyAlignment="1">
      <alignment horizontal="center" vertical="center" wrapText="1"/>
    </xf>
    <xf numFmtId="177" fontId="20" fillId="0" borderId="6" xfId="50" applyNumberFormat="1" applyFont="1" applyFill="1" applyBorder="1" applyAlignment="1">
      <alignment horizontal="right" vertical="center"/>
    </xf>
    <xf numFmtId="178" fontId="20" fillId="0" borderId="6" xfId="0" applyNumberFormat="1" applyFont="1" applyFill="1" applyBorder="1" applyAlignment="1">
      <alignment horizontal="center" vertical="center"/>
    </xf>
    <xf numFmtId="9" fontId="20" fillId="0" borderId="6" xfId="50" applyNumberFormat="1" applyFont="1" applyFill="1" applyBorder="1" applyAlignment="1">
      <alignment horizontal="center" vertical="center"/>
    </xf>
    <xf numFmtId="179" fontId="29" fillId="0" borderId="6" xfId="0" applyNumberFormat="1" applyFont="1" applyFill="1" applyBorder="1" applyAlignment="1">
      <alignment horizontal="center" vertical="center"/>
    </xf>
    <xf numFmtId="177" fontId="20" fillId="0" borderId="6" xfId="0" applyNumberFormat="1" applyFont="1" applyFill="1" applyBorder="1" applyAlignment="1">
      <alignment horizontal="right" vertical="center"/>
    </xf>
    <xf numFmtId="49" fontId="20" fillId="0" borderId="6" xfId="0" applyNumberFormat="1" applyFont="1" applyFill="1" applyBorder="1" applyAlignment="1">
      <alignment horizontal="center" vertical="center"/>
    </xf>
    <xf numFmtId="49" fontId="20" fillId="0" borderId="6" xfId="0" applyNumberFormat="1" applyFont="1" applyFill="1" applyBorder="1" applyAlignment="1">
      <alignment horizontal="left" vertical="center"/>
    </xf>
    <xf numFmtId="49" fontId="28" fillId="0" borderId="6" xfId="0" applyNumberFormat="1" applyFont="1" applyFill="1" applyBorder="1" applyAlignment="1">
      <alignment horizontal="center" vertical="center"/>
    </xf>
    <xf numFmtId="178" fontId="20" fillId="0" borderId="3" xfId="0" applyNumberFormat="1" applyFont="1" applyFill="1" applyBorder="1" applyAlignment="1">
      <alignment horizontal="center" vertical="center"/>
    </xf>
    <xf numFmtId="9" fontId="20" fillId="0" borderId="3" xfId="50" applyNumberFormat="1" applyFont="1" applyFill="1" applyBorder="1" applyAlignment="1">
      <alignment horizontal="center" vertical="center"/>
    </xf>
    <xf numFmtId="179" fontId="29" fillId="0" borderId="3" xfId="0" applyNumberFormat="1" applyFont="1" applyFill="1" applyBorder="1" applyAlignment="1">
      <alignment horizontal="center" vertical="center"/>
    </xf>
    <xf numFmtId="177" fontId="20" fillId="0" borderId="12" xfId="0" applyNumberFormat="1" applyFont="1" applyFill="1" applyBorder="1" applyAlignment="1">
      <alignment horizontal="right" vertical="center"/>
    </xf>
    <xf numFmtId="49" fontId="20" fillId="0" borderId="3" xfId="0" applyNumberFormat="1" applyFont="1" applyFill="1" applyBorder="1" applyAlignment="1">
      <alignment horizontal="center" vertical="center"/>
    </xf>
    <xf numFmtId="177" fontId="20" fillId="0" borderId="3" xfId="0" applyNumberFormat="1" applyFont="1" applyFill="1" applyBorder="1" applyAlignment="1">
      <alignment horizontal="right" vertical="center"/>
    </xf>
    <xf numFmtId="177" fontId="20" fillId="0" borderId="3" xfId="50" applyNumberFormat="1" applyFont="1" applyFill="1" applyBorder="1" applyAlignment="1">
      <alignment horizontal="center" vertical="center"/>
    </xf>
    <xf numFmtId="49" fontId="28" fillId="0" borderId="3" xfId="0" applyNumberFormat="1" applyFont="1" applyFill="1" applyBorder="1" applyAlignment="1">
      <alignment horizontal="left" vertical="center"/>
    </xf>
    <xf numFmtId="9" fontId="20" fillId="0" borderId="10" xfId="50" applyNumberFormat="1" applyFont="1" applyFill="1" applyBorder="1" applyAlignment="1">
      <alignment horizontal="center" vertical="center"/>
    </xf>
    <xf numFmtId="177" fontId="20" fillId="0" borderId="3" xfId="50" applyNumberFormat="1" applyFont="1" applyFill="1" applyBorder="1" applyAlignment="1">
      <alignment horizontal="right" vertical="center"/>
    </xf>
    <xf numFmtId="177" fontId="20" fillId="0" borderId="0" xfId="0" applyNumberFormat="1" applyFont="1" applyFill="1" applyBorder="1" applyAlignment="1">
      <alignment horizontal="right" vertical="center"/>
    </xf>
    <xf numFmtId="0" fontId="28" fillId="0" borderId="1" xfId="51" applyFont="1" applyBorder="1" applyAlignment="1">
      <alignment horizontal="left" vertical="center"/>
    </xf>
    <xf numFmtId="0" fontId="28" fillId="0" borderId="1" xfId="50" applyFont="1" applyBorder="1" applyAlignment="1">
      <alignment horizontal="left" vertical="center" wrapText="1"/>
    </xf>
    <xf numFmtId="0" fontId="28" fillId="0" borderId="1" xfId="50" applyFont="1" applyBorder="1" applyAlignment="1">
      <alignment horizontal="center" vertical="center" wrapText="1"/>
    </xf>
    <xf numFmtId="178" fontId="28" fillId="0" borderId="1" xfId="51" applyNumberFormat="1" applyFont="1" applyBorder="1" applyAlignment="1">
      <alignment horizontal="center" vertical="center"/>
    </xf>
    <xf numFmtId="179" fontId="28" fillId="0" borderId="1" xfId="51" applyNumberFormat="1" applyFont="1" applyBorder="1" applyAlignment="1">
      <alignment horizontal="center" vertical="center"/>
    </xf>
    <xf numFmtId="49" fontId="20" fillId="0" borderId="1" xfId="51" applyNumberFormat="1" applyFont="1" applyBorder="1" applyAlignment="1">
      <alignment horizontal="left" vertical="center"/>
    </xf>
    <xf numFmtId="178" fontId="34" fillId="0" borderId="1" xfId="0" applyNumberFormat="1" applyFont="1" applyBorder="1" applyAlignment="1">
      <alignment horizontal="center" vertical="center"/>
    </xf>
    <xf numFmtId="179" fontId="28" fillId="0" borderId="1" xfId="0" applyNumberFormat="1" applyFont="1" applyBorder="1" applyAlignment="1">
      <alignment horizontal="center" vertical="center"/>
    </xf>
    <xf numFmtId="0" fontId="28" fillId="0" borderId="3" xfId="50" applyNumberFormat="1" applyFont="1" applyFill="1" applyBorder="1" applyAlignment="1">
      <alignment horizontal="center" vertical="center"/>
    </xf>
    <xf numFmtId="0" fontId="28" fillId="0" borderId="1" xfId="50" applyNumberFormat="1" applyFont="1" applyFill="1" applyBorder="1" applyAlignment="1">
      <alignment horizontal="left" vertical="center" wrapText="1"/>
    </xf>
    <xf numFmtId="0" fontId="28" fillId="0" borderId="1" xfId="50" applyNumberFormat="1" applyFont="1" applyFill="1" applyBorder="1" applyAlignment="1">
      <alignment horizontal="center" vertical="center" wrapText="1"/>
    </xf>
    <xf numFmtId="178" fontId="28" fillId="0" borderId="1" xfId="0" applyNumberFormat="1" applyFont="1" applyFill="1" applyBorder="1" applyAlignment="1">
      <alignment horizontal="center" vertical="center"/>
    </xf>
    <xf numFmtId="179" fontId="28" fillId="0" borderId="1" xfId="0" applyNumberFormat="1" applyFont="1" applyFill="1" applyBorder="1" applyAlignment="1">
      <alignment horizontal="center" vertical="center"/>
    </xf>
    <xf numFmtId="0" fontId="20" fillId="0" borderId="12" xfId="50" applyFont="1" applyFill="1" applyBorder="1" applyAlignment="1">
      <alignment horizontal="center" vertical="center"/>
    </xf>
    <xf numFmtId="0" fontId="28" fillId="0" borderId="3" xfId="5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178" fontId="28" fillId="0" borderId="1" xfId="50" applyNumberFormat="1" applyFont="1" applyFill="1" applyBorder="1" applyAlignment="1">
      <alignment horizontal="center" vertical="center"/>
    </xf>
    <xf numFmtId="179" fontId="28" fillId="0" borderId="1" xfId="51" applyNumberFormat="1" applyFont="1" applyFill="1" applyBorder="1" applyAlignment="1">
      <alignment horizontal="center" vertical="center" wrapText="1"/>
    </xf>
    <xf numFmtId="179" fontId="28" fillId="0" borderId="1" xfId="50" applyNumberFormat="1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left" vertical="center" wrapText="1"/>
    </xf>
    <xf numFmtId="177" fontId="28" fillId="0" borderId="1" xfId="0" applyNumberFormat="1" applyFont="1" applyFill="1" applyBorder="1" applyAlignment="1">
      <alignment horizontal="right" vertical="center" wrapText="1"/>
    </xf>
    <xf numFmtId="0" fontId="28" fillId="0" borderId="12" xfId="50" applyFont="1" applyBorder="1" applyAlignment="1">
      <alignment horizontal="center" vertical="center"/>
    </xf>
    <xf numFmtId="0" fontId="28" fillId="0" borderId="2" xfId="51" applyFont="1" applyBorder="1" applyAlignment="1">
      <alignment horizontal="left" vertical="center"/>
    </xf>
    <xf numFmtId="49" fontId="28" fillId="0" borderId="2" xfId="0" applyNumberFormat="1" applyFont="1" applyFill="1" applyBorder="1" applyAlignment="1">
      <alignment horizontal="left" vertical="center"/>
    </xf>
    <xf numFmtId="0" fontId="28" fillId="0" borderId="2" xfId="50" applyFont="1" applyBorder="1" applyAlignment="1">
      <alignment horizontal="left" vertical="center" wrapText="1"/>
    </xf>
    <xf numFmtId="0" fontId="28" fillId="0" borderId="2" xfId="50" applyFont="1" applyBorder="1" applyAlignment="1">
      <alignment horizontal="center" vertical="center" wrapText="1"/>
    </xf>
    <xf numFmtId="179" fontId="28" fillId="0" borderId="2" xfId="51" applyNumberFormat="1" applyFont="1" applyBorder="1" applyAlignment="1">
      <alignment horizontal="center" vertical="center"/>
    </xf>
    <xf numFmtId="177" fontId="20" fillId="0" borderId="6" xfId="51" applyNumberFormat="1" applyFont="1" applyBorder="1" applyAlignment="1">
      <alignment horizontal="right" vertical="center"/>
    </xf>
    <xf numFmtId="49" fontId="20" fillId="0" borderId="2" xfId="51" applyNumberFormat="1" applyFont="1" applyBorder="1" applyAlignment="1">
      <alignment horizontal="left" vertical="center"/>
    </xf>
    <xf numFmtId="0" fontId="28" fillId="0" borderId="6" xfId="50" applyFont="1" applyBorder="1" applyAlignment="1">
      <alignment horizontal="center" vertical="center"/>
    </xf>
    <xf numFmtId="0" fontId="28" fillId="0" borderId="6" xfId="51" applyFont="1" applyBorder="1" applyAlignment="1">
      <alignment horizontal="left" vertical="center"/>
    </xf>
    <xf numFmtId="49" fontId="28" fillId="0" borderId="6" xfId="0" applyNumberFormat="1" applyFont="1" applyFill="1" applyBorder="1" applyAlignment="1">
      <alignment horizontal="left" vertical="center"/>
    </xf>
    <xf numFmtId="0" fontId="20" fillId="0" borderId="6" xfId="50" applyFont="1" applyBorder="1" applyAlignment="1">
      <alignment horizontal="left" vertical="center" wrapText="1"/>
    </xf>
    <xf numFmtId="0" fontId="20" fillId="0" borderId="6" xfId="50" applyFont="1" applyBorder="1" applyAlignment="1">
      <alignment horizontal="center" vertical="center" wrapText="1"/>
    </xf>
    <xf numFmtId="177" fontId="20" fillId="0" borderId="6" xfId="50" applyNumberFormat="1" applyFont="1" applyBorder="1" applyAlignment="1">
      <alignment horizontal="right" vertical="center"/>
    </xf>
    <xf numFmtId="9" fontId="20" fillId="0" borderId="6" xfId="50" applyNumberFormat="1" applyFont="1" applyBorder="1" applyAlignment="1">
      <alignment horizontal="center" vertical="center"/>
    </xf>
    <xf numFmtId="179" fontId="28" fillId="0" borderId="6" xfId="51" applyNumberFormat="1" applyFont="1" applyBorder="1" applyAlignment="1">
      <alignment horizontal="center" vertical="center"/>
    </xf>
    <xf numFmtId="49" fontId="28" fillId="0" borderId="6" xfId="51" applyNumberFormat="1" applyFont="1" applyBorder="1" applyAlignment="1">
      <alignment horizontal="center" vertical="center"/>
    </xf>
    <xf numFmtId="49" fontId="28" fillId="0" borderId="6" xfId="51" applyNumberFormat="1" applyFont="1" applyBorder="1" applyAlignment="1">
      <alignment horizontal="left" vertical="center"/>
    </xf>
    <xf numFmtId="0" fontId="20" fillId="0" borderId="6" xfId="50" applyFont="1" applyFill="1" applyBorder="1" applyAlignment="1">
      <alignment horizontal="center" vertical="center"/>
    </xf>
    <xf numFmtId="0" fontId="28" fillId="0" borderId="6" xfId="50" applyFont="1" applyFill="1" applyBorder="1" applyAlignment="1">
      <alignment horizontal="center" vertical="center"/>
    </xf>
    <xf numFmtId="0" fontId="28" fillId="0" borderId="6" xfId="51" applyFont="1" applyFill="1" applyBorder="1" applyAlignment="1">
      <alignment horizontal="left" vertical="center"/>
    </xf>
    <xf numFmtId="0" fontId="28" fillId="0" borderId="6" xfId="0" applyFont="1" applyFill="1" applyBorder="1" applyAlignment="1">
      <alignment horizontal="center" vertical="center" wrapText="1"/>
    </xf>
    <xf numFmtId="177" fontId="20" fillId="0" borderId="6" xfId="50" applyNumberFormat="1" applyFont="1" applyFill="1" applyBorder="1" applyAlignment="1">
      <alignment horizontal="right" vertical="center" wrapText="1"/>
    </xf>
    <xf numFmtId="178" fontId="20" fillId="0" borderId="6" xfId="50" applyNumberFormat="1" applyFont="1" applyFill="1" applyBorder="1" applyAlignment="1">
      <alignment horizontal="center" vertical="center"/>
    </xf>
    <xf numFmtId="179" fontId="28" fillId="0" borderId="6" xfId="51" applyNumberFormat="1" applyFont="1" applyFill="1" applyBorder="1" applyAlignment="1">
      <alignment horizontal="center" vertical="center" wrapText="1"/>
    </xf>
    <xf numFmtId="49" fontId="28" fillId="0" borderId="6" xfId="50" applyNumberFormat="1" applyFont="1" applyFill="1" applyBorder="1" applyAlignment="1">
      <alignment horizontal="center" vertical="center"/>
    </xf>
    <xf numFmtId="0" fontId="24" fillId="0" borderId="6" xfId="50" applyFont="1" applyFill="1" applyBorder="1" applyAlignment="1">
      <alignment horizontal="left" vertical="center"/>
    </xf>
    <xf numFmtId="0" fontId="28" fillId="0" borderId="6" xfId="50" applyFont="1" applyBorder="1" applyAlignment="1">
      <alignment horizontal="center" vertical="center" wrapText="1"/>
    </xf>
    <xf numFmtId="49" fontId="20" fillId="0" borderId="3" xfId="51" applyNumberFormat="1" applyFont="1" applyBorder="1" applyAlignment="1">
      <alignment horizontal="left" vertical="center"/>
    </xf>
    <xf numFmtId="0" fontId="20" fillId="0" borderId="2" xfId="50" applyFont="1" applyFill="1" applyBorder="1" applyAlignment="1">
      <alignment horizontal="left" vertical="center" wrapText="1"/>
    </xf>
    <xf numFmtId="179" fontId="28" fillId="0" borderId="6" xfId="50" applyNumberFormat="1" applyFont="1" applyFill="1" applyBorder="1" applyAlignment="1">
      <alignment horizontal="center" vertical="center"/>
    </xf>
    <xf numFmtId="4" fontId="20" fillId="0" borderId="6" xfId="0" applyNumberFormat="1" applyFont="1" applyBorder="1" applyAlignment="1">
      <alignment horizontal="right" vertical="center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49" fontId="28" fillId="0" borderId="6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9" fontId="28" fillId="0" borderId="1" xfId="0" applyNumberFormat="1" applyFont="1" applyBorder="1" applyAlignment="1">
      <alignment horizontal="center" vertical="center" wrapText="1"/>
    </xf>
    <xf numFmtId="177" fontId="28" fillId="0" borderId="6" xfId="0" applyNumberFormat="1" applyFont="1" applyBorder="1" applyAlignment="1">
      <alignment horizontal="right" vertical="center"/>
    </xf>
    <xf numFmtId="178" fontId="28" fillId="0" borderId="6" xfId="0" applyNumberFormat="1" applyFont="1" applyBorder="1" applyAlignment="1">
      <alignment horizontal="center" vertical="center"/>
    </xf>
    <xf numFmtId="9" fontId="28" fillId="0" borderId="6" xfId="0" applyNumberFormat="1" applyFont="1" applyBorder="1" applyAlignment="1">
      <alignment horizontal="center" vertical="center"/>
    </xf>
    <xf numFmtId="4" fontId="28" fillId="0" borderId="6" xfId="0" applyNumberFormat="1" applyFont="1" applyBorder="1" applyAlignment="1">
      <alignment horizontal="right" vertical="center"/>
    </xf>
    <xf numFmtId="49" fontId="28" fillId="0" borderId="6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77" fontId="20" fillId="0" borderId="7" xfId="50" applyNumberFormat="1" applyFont="1" applyFill="1" applyBorder="1" applyAlignment="1">
      <alignment horizontal="right" vertical="center"/>
    </xf>
    <xf numFmtId="49" fontId="28" fillId="0" borderId="0" xfId="0" applyNumberFormat="1" applyFont="1" applyFill="1" applyBorder="1" applyAlignment="1">
      <alignment horizontal="left" vertical="center"/>
    </xf>
    <xf numFmtId="0" fontId="20" fillId="0" borderId="6" xfId="50" applyFont="1" applyFill="1" applyBorder="1" applyAlignment="1">
      <alignment horizontal="left" vertical="center" wrapText="1"/>
    </xf>
    <xf numFmtId="177" fontId="20" fillId="0" borderId="10" xfId="50" applyNumberFormat="1" applyFont="1" applyFill="1" applyBorder="1" applyAlignment="1">
      <alignment horizontal="right" vertical="center"/>
    </xf>
    <xf numFmtId="177" fontId="20" fillId="0" borderId="14" xfId="50" applyNumberFormat="1" applyFont="1" applyFill="1" applyBorder="1" applyAlignment="1">
      <alignment horizontal="right" vertical="center"/>
    </xf>
    <xf numFmtId="177" fontId="20" fillId="0" borderId="13" xfId="50" applyNumberFormat="1" applyFont="1" applyFill="1" applyBorder="1" applyAlignment="1">
      <alignment horizontal="right" vertical="center"/>
    </xf>
    <xf numFmtId="49" fontId="28" fillId="0" borderId="10" xfId="50" applyNumberFormat="1" applyFont="1" applyFill="1" applyBorder="1" applyAlignment="1">
      <alignment horizontal="center" vertical="center"/>
    </xf>
    <xf numFmtId="0" fontId="20" fillId="0" borderId="13" xfId="50" applyFont="1" applyFill="1" applyBorder="1" applyAlignment="1">
      <alignment horizontal="center" vertical="center"/>
    </xf>
    <xf numFmtId="0" fontId="28" fillId="0" borderId="15" xfId="50" applyFont="1" applyFill="1" applyBorder="1" applyAlignment="1">
      <alignment horizontal="center" vertical="center"/>
    </xf>
    <xf numFmtId="9" fontId="20" fillId="0" borderId="6" xfId="50" applyNumberFormat="1" applyFont="1" applyBorder="1" applyAlignment="1">
      <alignment horizontal="center" vertical="center" wrapText="1"/>
    </xf>
    <xf numFmtId="177" fontId="20" fillId="0" borderId="16" xfId="50" applyNumberFormat="1" applyFont="1" applyFill="1" applyBorder="1" applyAlignment="1">
      <alignment horizontal="right" vertical="center"/>
    </xf>
    <xf numFmtId="176" fontId="20" fillId="0" borderId="6" xfId="50" applyNumberFormat="1" applyFont="1" applyFill="1" applyBorder="1" applyAlignment="1">
      <alignment horizontal="center" vertical="center"/>
    </xf>
    <xf numFmtId="178" fontId="24" fillId="0" borderId="6" xfId="50" applyNumberFormat="1" applyFont="1" applyFill="1" applyBorder="1" applyAlignment="1">
      <alignment horizontal="right" vertical="center"/>
    </xf>
    <xf numFmtId="177" fontId="20" fillId="0" borderId="17" xfId="50" applyNumberFormat="1" applyFont="1" applyFill="1" applyBorder="1" applyAlignment="1">
      <alignment horizontal="right" vertical="center"/>
    </xf>
    <xf numFmtId="9" fontId="20" fillId="0" borderId="16" xfId="50" applyNumberFormat="1" applyFont="1" applyFill="1" applyBorder="1" applyAlignment="1">
      <alignment horizontal="center" vertical="center"/>
    </xf>
    <xf numFmtId="0" fontId="28" fillId="0" borderId="13" xfId="50" applyFont="1" applyFill="1" applyBorder="1" applyAlignment="1">
      <alignment horizontal="center" vertical="center"/>
    </xf>
    <xf numFmtId="9" fontId="20" fillId="0" borderId="8" xfId="50" applyNumberFormat="1" applyFont="1" applyFill="1" applyBorder="1" applyAlignment="1">
      <alignment horizontal="center" vertical="center"/>
    </xf>
    <xf numFmtId="177" fontId="20" fillId="0" borderId="18" xfId="50" applyNumberFormat="1" applyFont="1" applyFill="1" applyBorder="1" applyAlignment="1">
      <alignment horizontal="right" vertical="center"/>
    </xf>
    <xf numFmtId="0" fontId="20" fillId="0" borderId="0" xfId="50" applyNumberFormat="1" applyFont="1" applyFill="1" applyBorder="1" applyAlignment="1">
      <alignment horizontal="center" vertical="center" wrapText="1"/>
    </xf>
    <xf numFmtId="177" fontId="20" fillId="0" borderId="12" xfId="50" applyNumberFormat="1" applyFont="1" applyFill="1" applyBorder="1" applyAlignment="1">
      <alignment horizontal="right" vertical="center"/>
    </xf>
    <xf numFmtId="0" fontId="20" fillId="0" borderId="13" xfId="50" applyFont="1" applyFill="1" applyBorder="1" applyAlignment="1">
      <alignment horizontal="center" vertical="center" wrapText="1"/>
    </xf>
    <xf numFmtId="0" fontId="28" fillId="0" borderId="13" xfId="50" applyFont="1" applyFill="1" applyBorder="1" applyAlignment="1">
      <alignment horizontal="center" vertical="center" wrapText="1"/>
    </xf>
    <xf numFmtId="177" fontId="28" fillId="0" borderId="11" xfId="0" applyNumberFormat="1" applyFont="1" applyFill="1" applyBorder="1" applyAlignment="1">
      <alignment horizontal="right" vertical="center" wrapText="1"/>
    </xf>
    <xf numFmtId="178" fontId="28" fillId="0" borderId="6" xfId="0" applyNumberFormat="1" applyFont="1" applyFill="1" applyBorder="1" applyAlignment="1">
      <alignment horizontal="center" vertical="center" wrapText="1"/>
    </xf>
    <xf numFmtId="9" fontId="20" fillId="0" borderId="8" xfId="50" applyNumberFormat="1" applyFont="1" applyFill="1" applyBorder="1" applyAlignment="1">
      <alignment horizontal="center" vertical="center" wrapText="1"/>
    </xf>
    <xf numFmtId="4" fontId="20" fillId="0" borderId="18" xfId="0" applyNumberFormat="1" applyFont="1" applyFill="1" applyBorder="1" applyAlignment="1">
      <alignment horizontal="right" vertical="center" wrapText="1"/>
    </xf>
    <xf numFmtId="177" fontId="20" fillId="0" borderId="7" xfId="51" applyNumberFormat="1" applyFont="1" applyBorder="1" applyAlignment="1">
      <alignment horizontal="right" vertical="center"/>
    </xf>
    <xf numFmtId="49" fontId="28" fillId="0" borderId="1" xfId="51" applyNumberFormat="1" applyFont="1" applyFill="1" applyBorder="1" applyAlignment="1">
      <alignment horizontal="center" vertical="center" wrapText="1"/>
    </xf>
    <xf numFmtId="177" fontId="20" fillId="0" borderId="10" xfId="50" applyNumberFormat="1" applyFont="1" applyFill="1" applyBorder="1" applyAlignment="1">
      <alignment horizontal="right" vertical="center" wrapText="1"/>
    </xf>
    <xf numFmtId="176" fontId="20" fillId="0" borderId="1" xfId="50" applyNumberFormat="1" applyFont="1" applyFill="1" applyBorder="1" applyAlignment="1">
      <alignment horizontal="center" vertical="center" wrapText="1"/>
    </xf>
    <xf numFmtId="177" fontId="20" fillId="0" borderId="0" xfId="50" applyNumberFormat="1" applyFont="1" applyFill="1" applyBorder="1" applyAlignment="1">
      <alignment horizontal="right" vertical="center"/>
    </xf>
    <xf numFmtId="177" fontId="20" fillId="0" borderId="18" xfId="51" applyNumberFormat="1" applyFont="1" applyBorder="1" applyAlignment="1">
      <alignment horizontal="right" vertical="center"/>
    </xf>
    <xf numFmtId="177" fontId="20" fillId="0" borderId="11" xfId="0" applyNumberFormat="1" applyFont="1" applyFill="1" applyBorder="1" applyAlignment="1">
      <alignment horizontal="right" vertical="center" wrapText="1"/>
    </xf>
    <xf numFmtId="49" fontId="28" fillId="0" borderId="6" xfId="51" applyNumberFormat="1" applyFont="1" applyFill="1" applyBorder="1" applyAlignment="1">
      <alignment horizontal="center" vertical="center" wrapText="1"/>
    </xf>
    <xf numFmtId="49" fontId="20" fillId="0" borderId="1" xfId="51" applyNumberFormat="1" applyFont="1" applyFill="1" applyBorder="1" applyAlignment="1">
      <alignment horizontal="center" vertical="center" wrapText="1"/>
    </xf>
    <xf numFmtId="177" fontId="20" fillId="0" borderId="11" xfId="50" applyNumberFormat="1" applyFont="1" applyFill="1" applyBorder="1" applyAlignment="1">
      <alignment horizontal="right" vertical="center" wrapText="1"/>
    </xf>
    <xf numFmtId="0" fontId="28" fillId="0" borderId="13" xfId="51" applyFont="1" applyFill="1" applyBorder="1" applyAlignment="1">
      <alignment horizontal="left" vertical="center"/>
    </xf>
    <xf numFmtId="0" fontId="20" fillId="0" borderId="2" xfId="50" applyFont="1" applyFill="1" applyBorder="1" applyAlignment="1">
      <alignment horizontal="center" vertical="center" wrapText="1"/>
    </xf>
    <xf numFmtId="178" fontId="20" fillId="0" borderId="13" xfId="50" applyNumberFormat="1" applyFont="1" applyFill="1" applyBorder="1" applyAlignment="1">
      <alignment horizontal="center" vertical="center"/>
    </xf>
    <xf numFmtId="9" fontId="20" fillId="0" borderId="19" xfId="50" applyNumberFormat="1" applyFont="1" applyFill="1" applyBorder="1" applyAlignment="1">
      <alignment horizontal="center" vertical="center"/>
    </xf>
    <xf numFmtId="179" fontId="28" fillId="0" borderId="13" xfId="50" applyNumberFormat="1" applyFont="1" applyFill="1" applyBorder="1" applyAlignment="1">
      <alignment horizontal="center" vertical="center"/>
    </xf>
    <xf numFmtId="49" fontId="28" fillId="0" borderId="2" xfId="50" applyNumberFormat="1" applyFont="1" applyFill="1" applyBorder="1" applyAlignment="1">
      <alignment horizontal="center" vertical="center"/>
    </xf>
    <xf numFmtId="0" fontId="28" fillId="0" borderId="6" xfId="50" applyFont="1" applyFill="1" applyBorder="1" applyAlignment="1">
      <alignment horizontal="center" vertical="center" wrapText="1"/>
    </xf>
    <xf numFmtId="179" fontId="20" fillId="0" borderId="6" xfId="50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center" vertical="center" wrapText="1"/>
    </xf>
    <xf numFmtId="9" fontId="28" fillId="0" borderId="6" xfId="0" applyNumberFormat="1" applyFont="1" applyBorder="1" applyAlignment="1">
      <alignment horizontal="center" vertical="center" wrapText="1"/>
    </xf>
    <xf numFmtId="179" fontId="28" fillId="0" borderId="6" xfId="0" applyNumberFormat="1" applyFont="1" applyBorder="1" applyAlignment="1">
      <alignment horizontal="center" vertical="center"/>
    </xf>
    <xf numFmtId="0" fontId="20" fillId="0" borderId="20" xfId="50" applyFont="1" applyBorder="1" applyAlignment="1">
      <alignment horizontal="center" vertical="center"/>
    </xf>
    <xf numFmtId="9" fontId="20" fillId="0" borderId="6" xfId="50" applyNumberFormat="1" applyFont="1" applyFill="1" applyBorder="1" applyAlignment="1">
      <alignment horizontal="center" vertical="center" wrapText="1"/>
    </xf>
    <xf numFmtId="177" fontId="20" fillId="0" borderId="6" xfId="50" applyNumberFormat="1" applyFont="1" applyFill="1" applyBorder="1" applyAlignment="1">
      <alignment vertical="center"/>
    </xf>
    <xf numFmtId="0" fontId="20" fillId="0" borderId="3" xfId="50" applyFont="1" applyFill="1" applyBorder="1" applyAlignment="1">
      <alignment horizontal="left" vertical="center" wrapText="1"/>
    </xf>
    <xf numFmtId="177" fontId="20" fillId="0" borderId="9" xfId="50" applyNumberFormat="1" applyFont="1" applyFill="1" applyBorder="1" applyAlignment="1">
      <alignment horizontal="right" vertical="center"/>
    </xf>
    <xf numFmtId="178" fontId="20" fillId="0" borderId="9" xfId="50" applyNumberFormat="1" applyFont="1" applyFill="1" applyBorder="1" applyAlignment="1">
      <alignment horizontal="center" vertical="center"/>
    </xf>
    <xf numFmtId="179" fontId="28" fillId="0" borderId="15" xfId="50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left" vertical="center"/>
    </xf>
    <xf numFmtId="177" fontId="28" fillId="0" borderId="9" xfId="0" applyNumberFormat="1" applyFont="1" applyBorder="1" applyAlignment="1">
      <alignment horizontal="right" vertical="center"/>
    </xf>
    <xf numFmtId="178" fontId="28" fillId="0" borderId="9" xfId="0" applyNumberFormat="1" applyFont="1" applyBorder="1" applyAlignment="1">
      <alignment horizontal="center" vertical="center"/>
    </xf>
    <xf numFmtId="0" fontId="28" fillId="0" borderId="3" xfId="51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3" fontId="20" fillId="0" borderId="6" xfId="0" applyNumberFormat="1" applyFont="1" applyBorder="1" applyAlignment="1">
      <alignment horizontal="right" vertical="center"/>
    </xf>
    <xf numFmtId="49" fontId="28" fillId="0" borderId="2" xfId="0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9" fontId="26" fillId="0" borderId="6" xfId="0" applyNumberFormat="1" applyFont="1" applyBorder="1" applyAlignment="1">
      <alignment horizontal="center" vertical="center" wrapText="1"/>
    </xf>
    <xf numFmtId="177" fontId="26" fillId="0" borderId="9" xfId="0" applyNumberFormat="1" applyFont="1" applyBorder="1" applyAlignment="1">
      <alignment horizontal="right" vertical="center"/>
    </xf>
    <xf numFmtId="178" fontId="26" fillId="0" borderId="9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177" fontId="26" fillId="0" borderId="6" xfId="0" applyNumberFormat="1" applyFont="1" applyBorder="1" applyAlignment="1">
      <alignment horizontal="right" vertical="center"/>
    </xf>
    <xf numFmtId="4" fontId="26" fillId="0" borderId="6" xfId="0" applyNumberFormat="1" applyFont="1" applyBorder="1" applyAlignment="1">
      <alignment horizontal="right" vertical="center"/>
    </xf>
    <xf numFmtId="49" fontId="26" fillId="0" borderId="1" xfId="0" applyNumberFormat="1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right" vertical="center"/>
    </xf>
    <xf numFmtId="0" fontId="35" fillId="0" borderId="6" xfId="0" applyFont="1" applyBorder="1" applyAlignment="1">
      <alignment horizontal="left" vertical="center"/>
    </xf>
    <xf numFmtId="49" fontId="20" fillId="0" borderId="6" xfId="50" applyNumberFormat="1" applyFont="1" applyFill="1" applyBorder="1" applyAlignment="1">
      <alignment horizontal="center" vertical="center"/>
    </xf>
    <xf numFmtId="0" fontId="28" fillId="0" borderId="6" xfId="50" applyFont="1" applyFill="1" applyBorder="1" applyAlignment="1">
      <alignment horizontal="left" vertical="center"/>
    </xf>
    <xf numFmtId="178" fontId="20" fillId="0" borderId="6" xfId="50" applyNumberFormat="1" applyFont="1" applyFill="1" applyBorder="1" applyAlignment="1">
      <alignment horizontal="right" vertical="center"/>
    </xf>
    <xf numFmtId="0" fontId="20" fillId="0" borderId="15" xfId="50" applyFont="1" applyFill="1" applyBorder="1" applyAlignment="1">
      <alignment horizontal="center" vertical="center"/>
    </xf>
    <xf numFmtId="0" fontId="28" fillId="0" borderId="3" xfId="50" applyFont="1" applyFill="1" applyBorder="1" applyAlignment="1">
      <alignment horizontal="center" vertical="center" wrapText="1"/>
    </xf>
    <xf numFmtId="178" fontId="20" fillId="0" borderId="3" xfId="50" applyNumberFormat="1" applyFont="1" applyFill="1" applyBorder="1" applyAlignment="1">
      <alignment horizontal="center" vertical="center"/>
    </xf>
    <xf numFmtId="177" fontId="20" fillId="0" borderId="15" xfId="50" applyNumberFormat="1" applyFont="1" applyFill="1" applyBorder="1" applyAlignment="1">
      <alignment horizontal="right" vertical="center"/>
    </xf>
    <xf numFmtId="49" fontId="28" fillId="0" borderId="3" xfId="0" applyNumberFormat="1" applyFont="1" applyFill="1" applyBorder="1" applyAlignment="1">
      <alignment horizontal="center" vertical="center"/>
    </xf>
    <xf numFmtId="0" fontId="24" fillId="0" borderId="3" xfId="50" applyFont="1" applyFill="1" applyBorder="1" applyAlignment="1">
      <alignment horizontal="left" vertical="center"/>
    </xf>
    <xf numFmtId="0" fontId="28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center" wrapText="1"/>
    </xf>
    <xf numFmtId="179" fontId="28" fillId="0" borderId="15" xfId="0" applyNumberFormat="1" applyFont="1" applyBorder="1" applyAlignment="1">
      <alignment horizontal="center" vertical="center"/>
    </xf>
    <xf numFmtId="177" fontId="28" fillId="0" borderId="15" xfId="0" applyNumberFormat="1" applyFont="1" applyBorder="1" applyAlignment="1">
      <alignment horizontal="right" vertical="center"/>
    </xf>
    <xf numFmtId="177" fontId="28" fillId="0" borderId="3" xfId="0" applyNumberFormat="1" applyFont="1" applyBorder="1" applyAlignment="1">
      <alignment horizontal="right" vertical="center"/>
    </xf>
    <xf numFmtId="49" fontId="28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28" fillId="0" borderId="3" xfId="50" applyFont="1" applyFill="1" applyBorder="1" applyAlignment="1">
      <alignment horizontal="left" vertical="center" wrapText="1"/>
    </xf>
    <xf numFmtId="4" fontId="20" fillId="0" borderId="15" xfId="0" applyNumberFormat="1" applyFont="1" applyBorder="1" applyAlignment="1">
      <alignment horizontal="right" vertical="center"/>
    </xf>
    <xf numFmtId="0" fontId="20" fillId="0" borderId="3" xfId="50" applyFont="1" applyFill="1" applyBorder="1" applyAlignment="1">
      <alignment horizontal="left" vertical="center"/>
    </xf>
    <xf numFmtId="0" fontId="20" fillId="0" borderId="3" xfId="50" applyFont="1" applyFill="1" applyBorder="1" applyAlignment="1">
      <alignment horizontal="center" vertical="center" wrapText="1"/>
    </xf>
    <xf numFmtId="176" fontId="26" fillId="0" borderId="15" xfId="0" applyNumberFormat="1" applyFont="1" applyBorder="1" applyAlignment="1">
      <alignment horizontal="center" vertical="center"/>
    </xf>
    <xf numFmtId="49" fontId="28" fillId="0" borderId="3" xfId="50" applyNumberFormat="1" applyFont="1" applyFill="1" applyBorder="1" applyAlignment="1">
      <alignment horizontal="center" vertical="center"/>
    </xf>
    <xf numFmtId="178" fontId="20" fillId="0" borderId="3" xfId="50" applyNumberFormat="1" applyFont="1" applyFill="1" applyBorder="1" applyAlignment="1">
      <alignment horizontal="right" vertical="center"/>
    </xf>
    <xf numFmtId="0" fontId="34" fillId="0" borderId="6" xfId="0" applyFont="1" applyBorder="1" applyAlignment="1">
      <alignment horizontal="right" vertical="center"/>
    </xf>
    <xf numFmtId="178" fontId="28" fillId="0" borderId="3" xfId="0" applyNumberFormat="1" applyFont="1" applyBorder="1" applyAlignment="1">
      <alignment horizontal="center" vertical="center"/>
    </xf>
    <xf numFmtId="4" fontId="28" fillId="0" borderId="15" xfId="0" applyNumberFormat="1" applyFont="1" applyBorder="1" applyAlignment="1">
      <alignment horizontal="right" vertical="center"/>
    </xf>
    <xf numFmtId="49" fontId="20" fillId="0" borderId="3" xfId="50" applyNumberFormat="1" applyFont="1" applyFill="1" applyBorder="1" applyAlignment="1">
      <alignment horizontal="center" vertical="center"/>
    </xf>
    <xf numFmtId="0" fontId="28" fillId="0" borderId="3" xfId="50" applyFont="1" applyFill="1" applyBorder="1" applyAlignment="1">
      <alignment horizontal="left" vertical="center"/>
    </xf>
    <xf numFmtId="0" fontId="20" fillId="0" borderId="15" xfId="50" applyFont="1" applyBorder="1" applyAlignment="1">
      <alignment horizontal="center" vertical="center"/>
    </xf>
    <xf numFmtId="0" fontId="28" fillId="0" borderId="15" xfId="50" applyFont="1" applyBorder="1" applyAlignment="1">
      <alignment horizontal="center" vertical="center"/>
    </xf>
    <xf numFmtId="0" fontId="28" fillId="0" borderId="3" xfId="50" applyFont="1" applyBorder="1" applyAlignment="1">
      <alignment horizontal="left" vertical="center" wrapText="1"/>
    </xf>
    <xf numFmtId="0" fontId="28" fillId="0" borderId="3" xfId="50" applyFont="1" applyBorder="1" applyAlignment="1">
      <alignment horizontal="center" vertical="center" wrapText="1"/>
    </xf>
    <xf numFmtId="177" fontId="20" fillId="0" borderId="9" xfId="50" applyNumberFormat="1" applyFont="1" applyBorder="1" applyAlignment="1">
      <alignment horizontal="right" vertical="center"/>
    </xf>
    <xf numFmtId="179" fontId="29" fillId="0" borderId="15" xfId="51" applyNumberFormat="1" applyFont="1" applyBorder="1" applyAlignment="1">
      <alignment horizontal="center" vertical="center"/>
    </xf>
    <xf numFmtId="177" fontId="20" fillId="0" borderId="15" xfId="51" applyNumberFormat="1" applyFont="1" applyBorder="1" applyAlignment="1">
      <alignment horizontal="right" vertical="center"/>
    </xf>
    <xf numFmtId="49" fontId="28" fillId="0" borderId="3" xfId="51" applyNumberFormat="1" applyFont="1" applyBorder="1" applyAlignment="1">
      <alignment horizontal="center" vertical="center"/>
    </xf>
    <xf numFmtId="177" fontId="20" fillId="0" borderId="3" xfId="51" applyNumberFormat="1" applyFont="1" applyBorder="1" applyAlignment="1">
      <alignment horizontal="right" vertical="center"/>
    </xf>
    <xf numFmtId="49" fontId="20" fillId="0" borderId="3" xfId="51" applyNumberFormat="1" applyFont="1" applyBorder="1" applyAlignment="1">
      <alignment horizontal="center" vertical="center"/>
    </xf>
    <xf numFmtId="0" fontId="28" fillId="0" borderId="6" xfId="0" applyFont="1" applyBorder="1">
      <alignment vertical="center"/>
    </xf>
    <xf numFmtId="179" fontId="20" fillId="0" borderId="15" xfId="50" applyNumberFormat="1" applyFont="1" applyFill="1" applyBorder="1" applyAlignment="1">
      <alignment horizontal="center" vertical="center"/>
    </xf>
    <xf numFmtId="49" fontId="25" fillId="0" borderId="1" xfId="50" applyNumberFormat="1" applyFont="1" applyFill="1" applyBorder="1" applyAlignment="1">
      <alignment horizontal="center" vertical="center"/>
    </xf>
    <xf numFmtId="177" fontId="24" fillId="0" borderId="6" xfId="50" applyNumberFormat="1" applyFont="1" applyFill="1" applyBorder="1" applyAlignment="1">
      <alignment horizontal="right" vertical="center"/>
    </xf>
    <xf numFmtId="178" fontId="24" fillId="0" borderId="3" xfId="50" applyNumberFormat="1" applyFont="1" applyFill="1" applyBorder="1" applyAlignment="1">
      <alignment horizontal="right" vertical="center"/>
    </xf>
    <xf numFmtId="0" fontId="25" fillId="0" borderId="3" xfId="50" applyFont="1" applyFill="1" applyBorder="1" applyAlignment="1">
      <alignment horizontal="left" vertical="center"/>
    </xf>
    <xf numFmtId="9" fontId="20" fillId="0" borderId="3" xfId="50" applyNumberFormat="1" applyFont="1" applyFill="1" applyBorder="1" applyAlignment="1">
      <alignment horizontal="center" vertical="center" wrapText="1"/>
    </xf>
    <xf numFmtId="49" fontId="28" fillId="0" borderId="21" xfId="50" applyNumberFormat="1" applyFont="1" applyFill="1" applyBorder="1" applyAlignment="1">
      <alignment horizontal="center" vertical="center"/>
    </xf>
    <xf numFmtId="49" fontId="25" fillId="0" borderId="3" xfId="50" applyNumberFormat="1" applyFont="1" applyFill="1" applyBorder="1" applyAlignment="1">
      <alignment horizontal="center" vertical="center"/>
    </xf>
    <xf numFmtId="177" fontId="24" fillId="0" borderId="3" xfId="50" applyNumberFormat="1" applyFont="1" applyFill="1" applyBorder="1" applyAlignment="1">
      <alignment horizontal="right" vertical="center"/>
    </xf>
    <xf numFmtId="0" fontId="28" fillId="0" borderId="0" xfId="50" applyFont="1" applyFill="1" applyBorder="1" applyAlignment="1">
      <alignment horizontal="center" vertical="center" wrapText="1"/>
    </xf>
    <xf numFmtId="49" fontId="20" fillId="0" borderId="21" xfId="50" applyNumberFormat="1" applyFont="1" applyFill="1" applyBorder="1" applyAlignment="1">
      <alignment horizontal="center" vertical="center"/>
    </xf>
    <xf numFmtId="0" fontId="28" fillId="0" borderId="0" xfId="0" applyNumberFormat="1" applyFont="1" applyFill="1" applyBorder="1" applyAlignment="1">
      <alignment horizontal="left" vertical="center"/>
    </xf>
    <xf numFmtId="0" fontId="20" fillId="0" borderId="0" xfId="50" applyFont="1" applyFill="1" applyBorder="1" applyAlignment="1">
      <alignment horizontal="center" vertical="center" wrapText="1"/>
    </xf>
    <xf numFmtId="177" fontId="20" fillId="0" borderId="22" xfId="50" applyNumberFormat="1" applyFont="1" applyFill="1" applyBorder="1" applyAlignment="1">
      <alignment horizontal="right" vertical="center"/>
    </xf>
    <xf numFmtId="49" fontId="28" fillId="0" borderId="16" xfId="0" applyNumberFormat="1" applyFont="1" applyBorder="1" applyAlignment="1">
      <alignment horizontal="center" vertical="center"/>
    </xf>
    <xf numFmtId="0" fontId="28" fillId="0" borderId="3" xfId="0" applyFont="1" applyBorder="1">
      <alignment vertical="center"/>
    </xf>
    <xf numFmtId="49" fontId="20" fillId="0" borderId="16" xfId="5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center" wrapText="1"/>
    </xf>
    <xf numFmtId="49" fontId="28" fillId="0" borderId="12" xfId="0" applyNumberFormat="1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center" vertical="center" wrapText="1"/>
    </xf>
    <xf numFmtId="9" fontId="28" fillId="0" borderId="13" xfId="0" applyNumberFormat="1" applyFont="1" applyBorder="1" applyAlignment="1">
      <alignment horizontal="center" vertical="center" wrapText="1"/>
    </xf>
    <xf numFmtId="177" fontId="28" fillId="0" borderId="23" xfId="0" applyNumberFormat="1" applyFont="1" applyBorder="1" applyAlignment="1">
      <alignment horizontal="right" vertical="center" wrapText="1"/>
    </xf>
    <xf numFmtId="178" fontId="28" fillId="0" borderId="12" xfId="0" applyNumberFormat="1" applyFont="1" applyBorder="1" applyAlignment="1">
      <alignment horizontal="center" vertical="center" wrapText="1"/>
    </xf>
    <xf numFmtId="179" fontId="28" fillId="0" borderId="13" xfId="0" applyNumberFormat="1" applyFont="1" applyBorder="1" applyAlignment="1">
      <alignment horizontal="center" vertical="center" wrapText="1"/>
    </xf>
    <xf numFmtId="177" fontId="28" fillId="0" borderId="13" xfId="0" applyNumberFormat="1" applyFont="1" applyBorder="1" applyAlignment="1">
      <alignment horizontal="right" vertical="center" wrapText="1"/>
    </xf>
    <xf numFmtId="4" fontId="28" fillId="0" borderId="13" xfId="0" applyNumberFormat="1" applyFont="1" applyBorder="1" applyAlignment="1">
      <alignment horizontal="right" vertical="center" wrapText="1"/>
    </xf>
    <xf numFmtId="49" fontId="28" fillId="0" borderId="21" xfId="0" applyNumberFormat="1" applyFont="1" applyBorder="1" applyAlignment="1">
      <alignment horizontal="center" vertical="center" wrapText="1"/>
    </xf>
    <xf numFmtId="177" fontId="28" fillId="0" borderId="3" xfId="0" applyNumberFormat="1" applyFont="1" applyBorder="1" applyAlignment="1">
      <alignment horizontal="right" vertical="center" wrapText="1"/>
    </xf>
    <xf numFmtId="176" fontId="26" fillId="0" borderId="6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178" fontId="28" fillId="0" borderId="3" xfId="0" applyNumberFormat="1" applyFont="1" applyBorder="1" applyAlignment="1">
      <alignment horizontal="right" vertical="center" wrapText="1"/>
    </xf>
    <xf numFmtId="49" fontId="28" fillId="0" borderId="21" xfId="0" applyNumberFormat="1" applyFont="1" applyBorder="1" applyAlignment="1">
      <alignment horizontal="center" vertical="center"/>
    </xf>
    <xf numFmtId="0" fontId="28" fillId="0" borderId="6" xfId="50" applyFont="1" applyFill="1" applyBorder="1" applyAlignment="1">
      <alignment horizontal="left" vertical="center" wrapText="1"/>
    </xf>
    <xf numFmtId="176" fontId="26" fillId="0" borderId="24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justify" vertical="center"/>
    </xf>
    <xf numFmtId="176" fontId="20" fillId="0" borderId="3" xfId="0" applyNumberFormat="1" applyFont="1" applyFill="1" applyBorder="1" applyAlignment="1">
      <alignment horizontal="center" vertical="center"/>
    </xf>
    <xf numFmtId="178" fontId="20" fillId="0" borderId="6" xfId="0" applyNumberFormat="1" applyFont="1" applyBorder="1" applyAlignment="1">
      <alignment horizontal="right" vertical="center"/>
    </xf>
    <xf numFmtId="181" fontId="20" fillId="0" borderId="6" xfId="0" applyNumberFormat="1" applyFont="1" applyBorder="1" applyAlignment="1">
      <alignment horizontal="right" vertical="center"/>
    </xf>
    <xf numFmtId="181" fontId="28" fillId="0" borderId="6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horizontal="justify" vertical="center"/>
    </xf>
    <xf numFmtId="176" fontId="20" fillId="0" borderId="22" xfId="50" applyNumberFormat="1" applyFont="1" applyFill="1" applyBorder="1" applyAlignment="1">
      <alignment horizontal="center" vertical="center"/>
    </xf>
    <xf numFmtId="9" fontId="20" fillId="0" borderId="9" xfId="50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177" fontId="24" fillId="0" borderId="3" xfId="50" applyNumberFormat="1" applyFont="1" applyFill="1" applyBorder="1" applyAlignment="1">
      <alignment horizontal="left" vertical="center"/>
    </xf>
    <xf numFmtId="177" fontId="28" fillId="0" borderId="15" xfId="50" applyNumberFormat="1" applyFont="1" applyFill="1" applyBorder="1" applyAlignment="1">
      <alignment horizontal="right" vertical="center"/>
    </xf>
    <xf numFmtId="177" fontId="25" fillId="0" borderId="3" xfId="50" applyNumberFormat="1" applyFont="1" applyFill="1" applyBorder="1" applyAlignment="1">
      <alignment horizontal="left" vertical="center"/>
    </xf>
    <xf numFmtId="177" fontId="25" fillId="0" borderId="3" xfId="50" applyNumberFormat="1" applyFont="1" applyFill="1" applyBorder="1" applyAlignment="1">
      <alignment horizontal="left" vertical="center" wrapText="1"/>
    </xf>
    <xf numFmtId="178" fontId="26" fillId="0" borderId="15" xfId="0" applyNumberFormat="1" applyFont="1" applyBorder="1" applyAlignment="1">
      <alignment horizontal="center" vertical="center"/>
    </xf>
    <xf numFmtId="177" fontId="20" fillId="0" borderId="9" xfId="50" applyNumberFormat="1" applyFont="1" applyFill="1" applyBorder="1" applyAlignment="1">
      <alignment horizontal="center" vertical="center"/>
    </xf>
    <xf numFmtId="176" fontId="28" fillId="0" borderId="22" xfId="50" applyNumberFormat="1" applyFont="1" applyFill="1" applyBorder="1" applyAlignment="1">
      <alignment horizontal="center" vertical="center"/>
    </xf>
    <xf numFmtId="176" fontId="20" fillId="0" borderId="25" xfId="50" applyNumberFormat="1" applyFont="1" applyFill="1" applyBorder="1" applyAlignment="1">
      <alignment horizontal="center" vertical="center"/>
    </xf>
    <xf numFmtId="177" fontId="20" fillId="0" borderId="26" xfId="50" applyNumberFormat="1" applyFont="1" applyFill="1" applyBorder="1" applyAlignment="1">
      <alignment horizontal="right" vertical="center"/>
    </xf>
    <xf numFmtId="177" fontId="20" fillId="0" borderId="24" xfId="50" applyNumberFormat="1" applyFont="1" applyFill="1" applyBorder="1" applyAlignment="1">
      <alignment horizontal="right" vertical="center"/>
    </xf>
    <xf numFmtId="0" fontId="28" fillId="0" borderId="15" xfId="0" applyFont="1" applyBorder="1" applyAlignment="1">
      <alignment horizontal="left" vertical="center" wrapText="1"/>
    </xf>
    <xf numFmtId="0" fontId="28" fillId="0" borderId="1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36" fillId="0" borderId="0" xfId="0" applyFont="1">
      <alignment vertical="center"/>
    </xf>
    <xf numFmtId="177" fontId="24" fillId="4" borderId="1" xfId="50" applyNumberFormat="1" applyFont="1" applyFill="1" applyBorder="1" applyAlignment="1">
      <alignment horizontal="center" vertical="center"/>
    </xf>
    <xf numFmtId="177" fontId="24" fillId="4" borderId="3" xfId="50" applyNumberFormat="1" applyFont="1" applyFill="1" applyBorder="1" applyAlignment="1">
      <alignment horizontal="center" vertical="center"/>
    </xf>
    <xf numFmtId="177" fontId="24" fillId="4" borderId="1" xfId="50" applyNumberFormat="1" applyFont="1" applyFill="1" applyBorder="1" applyAlignment="1">
      <alignment horizontal="left" vertical="center"/>
    </xf>
    <xf numFmtId="0" fontId="20" fillId="10" borderId="6" xfId="50" applyFont="1" applyFill="1" applyBorder="1" applyAlignment="1">
      <alignment horizontal="center" vertical="center"/>
    </xf>
    <xf numFmtId="0" fontId="28" fillId="10" borderId="15" xfId="0" applyFont="1" applyFill="1" applyBorder="1" applyAlignment="1">
      <alignment horizontal="center" vertical="center"/>
    </xf>
    <xf numFmtId="0" fontId="28" fillId="10" borderId="15" xfId="0" applyFont="1" applyFill="1" applyBorder="1" applyAlignment="1">
      <alignment horizontal="left" vertical="center"/>
    </xf>
    <xf numFmtId="49" fontId="28" fillId="10" borderId="3" xfId="0" applyNumberFormat="1" applyFont="1" applyFill="1" applyBorder="1" applyAlignment="1">
      <alignment horizontal="left" vertical="center"/>
    </xf>
    <xf numFmtId="0" fontId="28" fillId="10" borderId="6" xfId="50" applyFont="1" applyFill="1" applyBorder="1" applyAlignment="1">
      <alignment horizontal="left" vertical="center" wrapText="1"/>
    </xf>
    <xf numFmtId="0" fontId="28" fillId="10" borderId="1" xfId="50" applyFont="1" applyFill="1" applyBorder="1" applyAlignment="1">
      <alignment horizontal="left" vertical="center" wrapText="1"/>
    </xf>
    <xf numFmtId="9" fontId="20" fillId="10" borderId="3" xfId="50" applyNumberFormat="1" applyFont="1" applyFill="1" applyBorder="1" applyAlignment="1">
      <alignment horizontal="center" vertical="center" wrapText="1"/>
    </xf>
    <xf numFmtId="177" fontId="20" fillId="10" borderId="3" xfId="50" applyNumberFormat="1" applyFont="1" applyFill="1" applyBorder="1" applyAlignment="1">
      <alignment horizontal="right" vertical="center"/>
    </xf>
    <xf numFmtId="178" fontId="20" fillId="10" borderId="3" xfId="50" applyNumberFormat="1" applyFont="1" applyFill="1" applyBorder="1" applyAlignment="1">
      <alignment horizontal="center" vertical="center"/>
    </xf>
    <xf numFmtId="9" fontId="20" fillId="10" borderId="9" xfId="50" applyNumberFormat="1" applyFont="1" applyFill="1" applyBorder="1" applyAlignment="1">
      <alignment horizontal="center" vertical="center"/>
    </xf>
    <xf numFmtId="177" fontId="20" fillId="10" borderId="15" xfId="50" applyNumberFormat="1" applyFont="1" applyFill="1" applyBorder="1" applyAlignment="1">
      <alignment horizontal="right" vertical="center"/>
    </xf>
    <xf numFmtId="176" fontId="20" fillId="10" borderId="22" xfId="50" applyNumberFormat="1" applyFont="1" applyFill="1" applyBorder="1" applyAlignment="1">
      <alignment horizontal="center" vertical="center"/>
    </xf>
    <xf numFmtId="49" fontId="28" fillId="10" borderId="3" xfId="0" applyNumberFormat="1" applyFont="1" applyFill="1" applyBorder="1" applyAlignment="1">
      <alignment horizontal="center" vertical="center"/>
    </xf>
    <xf numFmtId="177" fontId="20" fillId="10" borderId="9" xfId="50" applyNumberFormat="1" applyFont="1" applyFill="1" applyBorder="1" applyAlignment="1">
      <alignment horizontal="center" vertical="center"/>
    </xf>
    <xf numFmtId="177" fontId="24" fillId="10" borderId="3" xfId="50" applyNumberFormat="1" applyFont="1" applyFill="1" applyBorder="1" applyAlignment="1">
      <alignment horizontal="left" vertical="center"/>
    </xf>
    <xf numFmtId="0" fontId="22" fillId="10" borderId="0" xfId="51" applyFill="1"/>
    <xf numFmtId="0" fontId="25" fillId="4" borderId="3" xfId="50" applyFont="1" applyFill="1" applyBorder="1" applyAlignment="1">
      <alignment horizontal="center" vertical="center"/>
    </xf>
    <xf numFmtId="0" fontId="37" fillId="0" borderId="0" xfId="50" applyFont="1" applyAlignment="1">
      <alignment vertical="center"/>
    </xf>
    <xf numFmtId="0" fontId="24" fillId="0" borderId="0" xfId="50" applyFont="1" applyAlignment="1">
      <alignment vertical="center"/>
    </xf>
    <xf numFmtId="49" fontId="15" fillId="0" borderId="0" xfId="50" applyNumberFormat="1" applyFont="1" applyFill="1" applyBorder="1" applyAlignment="1">
      <alignment horizontal="left" vertical="center"/>
    </xf>
    <xf numFmtId="0" fontId="24" fillId="0" borderId="0" xfId="50" applyFont="1" applyAlignment="1">
      <alignment horizontal="center" vertical="center"/>
    </xf>
    <xf numFmtId="177" fontId="24" fillId="0" borderId="0" xfId="50" applyNumberFormat="1" applyFont="1" applyAlignment="1">
      <alignment horizontal="right" vertical="center"/>
    </xf>
    <xf numFmtId="178" fontId="24" fillId="0" borderId="0" xfId="50" applyNumberFormat="1" applyFont="1" applyAlignment="1">
      <alignment horizontal="center" vertical="center"/>
    </xf>
    <xf numFmtId="179" fontId="24" fillId="0" borderId="0" xfId="50" applyNumberFormat="1" applyFont="1" applyAlignment="1">
      <alignment horizontal="center" vertical="center"/>
    </xf>
    <xf numFmtId="0" fontId="24" fillId="0" borderId="0" xfId="50" applyFont="1" applyAlignment="1">
      <alignment horizontal="right" vertical="center"/>
    </xf>
    <xf numFmtId="0" fontId="20" fillId="0" borderId="0" xfId="50" applyFont="1" applyAlignment="1">
      <alignment horizontal="center" vertical="center"/>
    </xf>
    <xf numFmtId="0" fontId="38" fillId="0" borderId="0" xfId="50" applyFont="1" applyAlignment="1">
      <alignment horizontal="right" vertical="center"/>
    </xf>
    <xf numFmtId="0" fontId="0" fillId="0" borderId="0" xfId="49" applyFont="1">
      <alignment vertical="center"/>
    </xf>
    <xf numFmtId="0" fontId="39" fillId="0" borderId="0" xfId="49" applyFont="1">
      <alignment vertical="center"/>
    </xf>
    <xf numFmtId="0" fontId="39" fillId="0" borderId="0" xfId="49" applyFont="1" applyAlignment="1">
      <alignment horizontal="center" vertical="center"/>
    </xf>
    <xf numFmtId="0" fontId="7" fillId="0" borderId="0" xfId="49" applyFont="1">
      <alignment vertical="center"/>
    </xf>
    <xf numFmtId="0" fontId="0" fillId="5" borderId="0" xfId="49" applyFill="1">
      <alignment vertical="center"/>
    </xf>
    <xf numFmtId="0" fontId="7" fillId="0" borderId="0" xfId="49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49">
      <alignment vertical="center"/>
    </xf>
    <xf numFmtId="0" fontId="0" fillId="0" borderId="0" xfId="49" applyAlignment="1">
      <alignment horizontal="center" vertical="center"/>
    </xf>
    <xf numFmtId="0" fontId="0" fillId="0" borderId="0" xfId="49" applyFill="1" applyAlignment="1">
      <alignment horizontal="center" vertical="center"/>
    </xf>
    <xf numFmtId="0" fontId="0" fillId="0" borderId="0" xfId="49" applyAlignment="1">
      <alignment horizontal="right" vertical="center"/>
    </xf>
    <xf numFmtId="178" fontId="0" fillId="0" borderId="0" xfId="49" applyNumberFormat="1">
      <alignment vertical="center"/>
    </xf>
    <xf numFmtId="0" fontId="23" fillId="0" borderId="1" xfId="49" applyFont="1" applyBorder="1" applyAlignment="1">
      <alignment horizontal="center" vertical="center"/>
    </xf>
    <xf numFmtId="0" fontId="40" fillId="0" borderId="1" xfId="49" applyFont="1" applyBorder="1" applyAlignment="1">
      <alignment horizontal="center" vertical="center"/>
    </xf>
    <xf numFmtId="0" fontId="40" fillId="0" borderId="1" xfId="49" applyFont="1" applyFill="1" applyBorder="1" applyAlignment="1">
      <alignment horizontal="center" vertical="center"/>
    </xf>
    <xf numFmtId="0" fontId="40" fillId="0" borderId="1" xfId="49" applyFont="1" applyBorder="1" applyAlignment="1">
      <alignment horizontal="right" vertical="center"/>
    </xf>
    <xf numFmtId="178" fontId="40" fillId="0" borderId="1" xfId="49" applyNumberFormat="1" applyFont="1" applyBorder="1" applyAlignment="1">
      <alignment horizontal="center" vertical="center"/>
    </xf>
    <xf numFmtId="0" fontId="12" fillId="0" borderId="1" xfId="49" applyFont="1" applyBorder="1" applyAlignment="1">
      <alignment horizontal="center" vertical="center"/>
    </xf>
    <xf numFmtId="0" fontId="12" fillId="0" borderId="1" xfId="49" applyFont="1" applyFill="1" applyBorder="1" applyAlignment="1">
      <alignment horizontal="center" vertical="center"/>
    </xf>
    <xf numFmtId="0" fontId="9" fillId="0" borderId="1" xfId="49" applyFont="1" applyFill="1" applyBorder="1" applyAlignment="1">
      <alignment horizontal="center" vertical="center"/>
    </xf>
    <xf numFmtId="0" fontId="9" fillId="0" borderId="1" xfId="49" applyFont="1" applyBorder="1" applyAlignment="1">
      <alignment horizontal="right" vertical="center"/>
    </xf>
    <xf numFmtId="178" fontId="12" fillId="0" borderId="2" xfId="49" applyNumberFormat="1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11" fillId="0" borderId="1" xfId="49" applyFont="1" applyBorder="1" applyAlignment="1">
      <alignment horizontal="center" vertical="center"/>
    </xf>
    <xf numFmtId="0" fontId="11" fillId="0" borderId="1" xfId="49" applyFont="1" applyFill="1" applyBorder="1" applyAlignment="1">
      <alignment horizontal="center" vertical="center"/>
    </xf>
    <xf numFmtId="0" fontId="11" fillId="0" borderId="11" xfId="49" applyFont="1" applyFill="1" applyBorder="1" applyAlignment="1">
      <alignment horizontal="center" vertical="center"/>
    </xf>
    <xf numFmtId="177" fontId="11" fillId="0" borderId="11" xfId="49" applyNumberFormat="1" applyFont="1" applyBorder="1" applyAlignment="1">
      <alignment horizontal="right" vertical="center"/>
    </xf>
    <xf numFmtId="178" fontId="7" fillId="0" borderId="2" xfId="49" applyNumberFormat="1" applyFont="1" applyBorder="1" applyAlignment="1">
      <alignment horizontal="center" vertical="center"/>
    </xf>
    <xf numFmtId="0" fontId="7" fillId="0" borderId="10" xfId="49" applyFont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/>
    </xf>
    <xf numFmtId="177" fontId="7" fillId="0" borderId="11" xfId="49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11" xfId="49" applyFont="1" applyFill="1" applyBorder="1" applyAlignment="1">
      <alignment horizontal="center" vertical="center"/>
    </xf>
    <xf numFmtId="0" fontId="9" fillId="0" borderId="1" xfId="49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7" fillId="0" borderId="1" xfId="49" applyNumberFormat="1" applyFont="1" applyBorder="1" applyAlignment="1">
      <alignment horizontal="center" vertical="center"/>
    </xf>
    <xf numFmtId="0" fontId="7" fillId="0" borderId="6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177" fontId="8" fillId="0" borderId="11" xfId="49" applyNumberFormat="1" applyFont="1" applyBorder="1" applyAlignment="1">
      <alignment horizontal="right" vertical="center"/>
    </xf>
    <xf numFmtId="0" fontId="8" fillId="0" borderId="10" xfId="49" applyFont="1" applyBorder="1" applyAlignment="1">
      <alignment horizontal="center" vertical="center"/>
    </xf>
    <xf numFmtId="0" fontId="8" fillId="0" borderId="1" xfId="49" applyFont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/>
    </xf>
    <xf numFmtId="0" fontId="11" fillId="0" borderId="6" xfId="49" applyFont="1" applyFill="1" applyBorder="1" applyAlignment="1">
      <alignment horizontal="center" vertical="center"/>
    </xf>
    <xf numFmtId="0" fontId="11" fillId="0" borderId="6" xfId="49" applyFont="1" applyBorder="1" applyAlignment="1">
      <alignment horizontal="center" vertical="center"/>
    </xf>
    <xf numFmtId="0" fontId="7" fillId="0" borderId="0" xfId="49" applyFont="1" applyFill="1" applyBorder="1" applyAlignment="1">
      <alignment horizontal="center" vertical="center"/>
    </xf>
    <xf numFmtId="177" fontId="7" fillId="0" borderId="0" xfId="49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81" fontId="0" fillId="0" borderId="11" xfId="0" applyNumberFormat="1" applyFont="1" applyBorder="1" applyAlignment="1">
      <alignment horizontal="right" vertical="center"/>
    </xf>
    <xf numFmtId="178" fontId="0" fillId="0" borderId="6" xfId="0" applyNumberFormat="1" applyFont="1" applyBorder="1" applyAlignment="1">
      <alignment horizontal="center" vertical="center"/>
    </xf>
    <xf numFmtId="0" fontId="11" fillId="0" borderId="10" xfId="49" applyFont="1" applyBorder="1" applyAlignment="1">
      <alignment horizontal="center" vertical="center"/>
    </xf>
    <xf numFmtId="0" fontId="11" fillId="0" borderId="1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left" vertical="center" wrapText="1"/>
    </xf>
    <xf numFmtId="0" fontId="8" fillId="0" borderId="0" xfId="49" applyFont="1" applyBorder="1" applyAlignment="1">
      <alignment horizontal="center" vertical="center"/>
    </xf>
    <xf numFmtId="0" fontId="0" fillId="0" borderId="10" xfId="49" applyBorder="1">
      <alignment vertical="center"/>
    </xf>
    <xf numFmtId="0" fontId="7" fillId="0" borderId="0" xfId="49" applyFont="1" applyBorder="1" applyAlignment="1">
      <alignment horizontal="center" vertical="center"/>
    </xf>
    <xf numFmtId="0" fontId="0" fillId="0" borderId="10" xfId="0" applyBorder="1">
      <alignment vertical="center"/>
    </xf>
    <xf numFmtId="0" fontId="7" fillId="0" borderId="10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180" fontId="0" fillId="0" borderId="11" xfId="0" applyNumberFormat="1" applyFont="1" applyBorder="1">
      <alignment vertical="center"/>
    </xf>
    <xf numFmtId="178" fontId="11" fillId="0" borderId="6" xfId="0" applyNumberFormat="1" applyFont="1" applyBorder="1" applyAlignment="1">
      <alignment horizontal="center" vertical="center"/>
    </xf>
    <xf numFmtId="0" fontId="7" fillId="0" borderId="18" xfId="49" applyFont="1" applyBorder="1" applyAlignment="1">
      <alignment horizontal="center" vertical="center"/>
    </xf>
    <xf numFmtId="49" fontId="11" fillId="0" borderId="1" xfId="49" applyNumberFormat="1" applyFont="1" applyBorder="1" applyAlignment="1">
      <alignment horizontal="center" vertical="center"/>
    </xf>
    <xf numFmtId="0" fontId="0" fillId="0" borderId="11" xfId="49" applyFill="1" applyBorder="1" applyAlignment="1">
      <alignment horizontal="center" vertical="center"/>
    </xf>
    <xf numFmtId="176" fontId="10" fillId="5" borderId="6" xfId="0" applyNumberFormat="1" applyFont="1" applyFill="1" applyBorder="1" applyAlignment="1">
      <alignment horizontal="center" vertical="center" wrapText="1"/>
    </xf>
    <xf numFmtId="0" fontId="0" fillId="0" borderId="1" xfId="49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1" fillId="6" borderId="11" xfId="0" applyFont="1" applyFill="1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5" borderId="1" xfId="0" applyFont="1" applyFill="1" applyBorder="1">
      <alignment vertical="center"/>
    </xf>
    <xf numFmtId="0" fontId="7" fillId="6" borderId="0" xfId="0" applyFont="1" applyFill="1" applyBorder="1" applyAlignment="1">
      <alignment horizontal="center" vertical="center" wrapText="1"/>
    </xf>
    <xf numFmtId="0" fontId="11" fillId="6" borderId="0" xfId="0" applyFont="1" applyFill="1" applyBorder="1">
      <alignment vertical="center"/>
    </xf>
    <xf numFmtId="177" fontId="11" fillId="0" borderId="1" xfId="49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1" xfId="0" applyNumberFormat="1" applyFont="1" applyBorder="1">
      <alignment vertical="center"/>
    </xf>
    <xf numFmtId="178" fontId="7" fillId="0" borderId="6" xfId="0" applyNumberFormat="1" applyFont="1" applyBorder="1" applyAlignment="1">
      <alignment horizontal="center" vertical="center"/>
    </xf>
    <xf numFmtId="177" fontId="7" fillId="0" borderId="1" xfId="49" applyNumberFormat="1" applyFont="1" applyBorder="1" applyAlignment="1">
      <alignment horizontal="center" vertical="center"/>
    </xf>
    <xf numFmtId="0" fontId="7" fillId="0" borderId="2" xfId="49" applyFont="1" applyFill="1" applyBorder="1" applyAlignment="1">
      <alignment horizontal="center" vertical="center"/>
    </xf>
    <xf numFmtId="177" fontId="7" fillId="0" borderId="7" xfId="49" applyNumberFormat="1" applyFont="1" applyBorder="1" applyAlignment="1">
      <alignment horizontal="right" vertical="center"/>
    </xf>
    <xf numFmtId="49" fontId="7" fillId="0" borderId="2" xfId="49" applyNumberFormat="1" applyFont="1" applyBorder="1" applyAlignment="1">
      <alignment horizontal="center" vertical="center"/>
    </xf>
    <xf numFmtId="0" fontId="7" fillId="0" borderId="7" xfId="49" applyFont="1" applyFill="1" applyBorder="1" applyAlignment="1">
      <alignment horizontal="center" vertical="center"/>
    </xf>
    <xf numFmtId="0" fontId="11" fillId="0" borderId="8" xfId="49" applyFont="1" applyFill="1" applyBorder="1" applyAlignment="1">
      <alignment horizontal="center" vertical="center"/>
    </xf>
    <xf numFmtId="0" fontId="11" fillId="0" borderId="7" xfId="49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77" fontId="7" fillId="0" borderId="17" xfId="49" applyNumberFormat="1" applyFont="1" applyBorder="1" applyAlignment="1">
      <alignment horizontal="right" vertical="center"/>
    </xf>
    <xf numFmtId="49" fontId="7" fillId="0" borderId="6" xfId="49" applyNumberFormat="1" applyFont="1" applyBorder="1" applyAlignment="1">
      <alignment horizontal="center" vertical="center"/>
    </xf>
    <xf numFmtId="0" fontId="11" fillId="0" borderId="17" xfId="49" applyFont="1" applyFill="1" applyBorder="1" applyAlignment="1">
      <alignment horizontal="center" vertical="center"/>
    </xf>
    <xf numFmtId="14" fontId="36" fillId="5" borderId="5" xfId="0" applyNumberFormat="1" applyFont="1" applyFill="1" applyBorder="1" applyAlignment="1">
      <alignment horizontal="center" vertical="center" wrapText="1"/>
    </xf>
    <xf numFmtId="4" fontId="36" fillId="5" borderId="5" xfId="0" applyNumberFormat="1" applyFont="1" applyFill="1" applyBorder="1" applyAlignment="1">
      <alignment horizontal="center" vertical="center" wrapText="1"/>
    </xf>
    <xf numFmtId="0" fontId="36" fillId="5" borderId="5" xfId="0" applyFont="1" applyFill="1" applyBorder="1" applyAlignment="1">
      <alignment horizontal="center" vertical="center" wrapText="1"/>
    </xf>
    <xf numFmtId="0" fontId="0" fillId="5" borderId="5" xfId="0" applyFill="1" applyBorder="1">
      <alignment vertical="center"/>
    </xf>
    <xf numFmtId="0" fontId="36" fillId="5" borderId="5" xfId="0" applyFont="1" applyFill="1" applyBorder="1" applyAlignment="1">
      <alignment vertical="center" wrapText="1"/>
    </xf>
    <xf numFmtId="0" fontId="0" fillId="5" borderId="27" xfId="0" applyFill="1" applyBorder="1">
      <alignment vertical="center"/>
    </xf>
    <xf numFmtId="0" fontId="7" fillId="0" borderId="6" xfId="49" applyFont="1" applyBorder="1" applyAlignment="1">
      <alignment horizontal="center" vertical="center"/>
    </xf>
    <xf numFmtId="0" fontId="7" fillId="0" borderId="16" xfId="49" applyFont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 wrapText="1"/>
    </xf>
    <xf numFmtId="14" fontId="36" fillId="6" borderId="4" xfId="0" applyNumberFormat="1" applyFont="1" applyFill="1" applyBorder="1" applyAlignment="1">
      <alignment horizontal="center" vertical="center" wrapText="1"/>
    </xf>
    <xf numFmtId="4" fontId="36" fillId="6" borderId="4" xfId="0" applyNumberFormat="1" applyFont="1" applyFill="1" applyBorder="1" applyAlignment="1">
      <alignment horizontal="center" vertical="center" wrapText="1"/>
    </xf>
    <xf numFmtId="0" fontId="0" fillId="6" borderId="4" xfId="0" applyFill="1" applyBorder="1">
      <alignment vertical="center"/>
    </xf>
    <xf numFmtId="0" fontId="36" fillId="6" borderId="4" xfId="0" applyFont="1" applyFill="1" applyBorder="1" applyAlignment="1">
      <alignment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4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>
      <alignment vertical="center"/>
    </xf>
    <xf numFmtId="0" fontId="7" fillId="5" borderId="4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7" xfId="0" applyFont="1" applyFill="1" applyBorder="1">
      <alignment vertical="center"/>
    </xf>
    <xf numFmtId="0" fontId="36" fillId="5" borderId="4" xfId="0" applyFont="1" applyFill="1" applyBorder="1" applyAlignment="1">
      <alignment horizontal="center" vertical="center" wrapText="1"/>
    </xf>
    <xf numFmtId="14" fontId="36" fillId="5" borderId="4" xfId="0" applyNumberFormat="1" applyFont="1" applyFill="1" applyBorder="1" applyAlignment="1">
      <alignment horizontal="center" vertical="center" wrapText="1"/>
    </xf>
    <xf numFmtId="4" fontId="36" fillId="5" borderId="4" xfId="0" applyNumberFormat="1" applyFont="1" applyFill="1" applyBorder="1" applyAlignment="1">
      <alignment horizontal="center" vertical="center" wrapText="1"/>
    </xf>
    <xf numFmtId="3" fontId="36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>
      <alignment vertical="center"/>
    </xf>
    <xf numFmtId="0" fontId="36" fillId="5" borderId="4" xfId="0" applyFont="1" applyFill="1" applyBorder="1" applyAlignment="1">
      <alignment vertical="center" wrapText="1"/>
    </xf>
    <xf numFmtId="4" fontId="7" fillId="0" borderId="17" xfId="0" applyNumberFormat="1" applyFont="1" applyBorder="1">
      <alignment vertical="center"/>
    </xf>
    <xf numFmtId="0" fontId="7" fillId="6" borderId="1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4" fontId="11" fillId="6" borderId="17" xfId="0" applyNumberFormat="1" applyFont="1" applyFill="1" applyBorder="1">
      <alignment vertical="center"/>
    </xf>
    <xf numFmtId="0" fontId="7" fillId="5" borderId="17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3" fontId="36" fillId="6" borderId="4" xfId="0" applyNumberFormat="1" applyFont="1" applyFill="1" applyBorder="1" applyAlignment="1">
      <alignment horizontal="center" vertical="center" wrapText="1"/>
    </xf>
    <xf numFmtId="0" fontId="11" fillId="5" borderId="6" xfId="49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77" fontId="7" fillId="0" borderId="6" xfId="49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" fontId="36" fillId="0" borderId="6" xfId="0" applyNumberFormat="1" applyFont="1" applyBorder="1">
      <alignment vertical="center"/>
    </xf>
    <xf numFmtId="0" fontId="7" fillId="5" borderId="16" xfId="0" applyFont="1" applyFill="1" applyBorder="1" applyAlignment="1">
      <alignment horizontal="center" vertical="center" wrapText="1"/>
    </xf>
    <xf numFmtId="4" fontId="36" fillId="0" borderId="17" xfId="0" applyNumberFormat="1" applyFont="1" applyBorder="1">
      <alignment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6" borderId="14" xfId="0" applyFont="1" applyFill="1" applyBorder="1">
      <alignment vertical="center"/>
    </xf>
    <xf numFmtId="178" fontId="0" fillId="0" borderId="13" xfId="0" applyNumberFormat="1" applyBorder="1" applyAlignment="1">
      <alignment horizontal="center" vertical="center"/>
    </xf>
    <xf numFmtId="0" fontId="0" fillId="5" borderId="0" xfId="0" applyFill="1">
      <alignment vertical="center"/>
    </xf>
    <xf numFmtId="0" fontId="11" fillId="0" borderId="13" xfId="49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7" fillId="0" borderId="14" xfId="49" applyNumberFormat="1" applyFont="1" applyBorder="1" applyAlignment="1">
      <alignment horizontal="right" vertical="center"/>
    </xf>
    <xf numFmtId="0" fontId="42" fillId="0" borderId="6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11" fillId="0" borderId="13" xfId="49" applyFont="1" applyFill="1" applyBorder="1" applyAlignment="1">
      <alignment horizontal="center" vertical="center"/>
    </xf>
    <xf numFmtId="49" fontId="11" fillId="0" borderId="6" xfId="49" applyNumberFormat="1" applyFont="1" applyBorder="1" applyAlignment="1">
      <alignment horizontal="center" vertical="center" wrapText="1"/>
    </xf>
    <xf numFmtId="0" fontId="7" fillId="0" borderId="20" xfId="49" applyFont="1" applyBorder="1" applyAlignment="1">
      <alignment horizontal="center" vertical="center"/>
    </xf>
    <xf numFmtId="0" fontId="7" fillId="0" borderId="20" xfId="49" applyFont="1" applyFill="1" applyBorder="1" applyAlignment="1">
      <alignment horizontal="center" vertical="center"/>
    </xf>
    <xf numFmtId="177" fontId="7" fillId="0" borderId="20" xfId="49" applyNumberFormat="1" applyFont="1" applyBorder="1" applyAlignment="1">
      <alignment horizontal="right" vertical="center"/>
    </xf>
    <xf numFmtId="178" fontId="0" fillId="0" borderId="20" xfId="0" applyNumberFormat="1" applyBorder="1" applyAlignment="1">
      <alignment horizontal="center" vertical="center"/>
    </xf>
    <xf numFmtId="0" fontId="7" fillId="0" borderId="21" xfId="49" applyFont="1" applyBorder="1" applyAlignment="1">
      <alignment horizontal="center" vertical="center"/>
    </xf>
    <xf numFmtId="0" fontId="7" fillId="0" borderId="13" xfId="49" applyFont="1" applyBorder="1" applyAlignment="1">
      <alignment horizontal="center" vertical="center"/>
    </xf>
    <xf numFmtId="49" fontId="11" fillId="0" borderId="13" xfId="49" applyNumberFormat="1" applyFont="1" applyBorder="1" applyAlignment="1">
      <alignment horizontal="center" vertical="center" wrapText="1"/>
    </xf>
    <xf numFmtId="178" fontId="7" fillId="0" borderId="6" xfId="49" applyNumberFormat="1" applyFont="1" applyBorder="1" applyAlignment="1">
      <alignment horizontal="center" vertical="center"/>
    </xf>
    <xf numFmtId="178" fontId="11" fillId="0" borderId="6" xfId="49" applyNumberFormat="1" applyFont="1" applyBorder="1" applyAlignment="1">
      <alignment horizontal="center" vertical="center"/>
    </xf>
    <xf numFmtId="0" fontId="11" fillId="0" borderId="15" xfId="49" applyFont="1" applyBorder="1" applyAlignment="1">
      <alignment horizontal="center" vertical="center"/>
    </xf>
    <xf numFmtId="0" fontId="11" fillId="0" borderId="15" xfId="49" applyFont="1" applyFill="1" applyBorder="1" applyAlignment="1">
      <alignment horizontal="center" vertical="center"/>
    </xf>
    <xf numFmtId="0" fontId="7" fillId="0" borderId="15" xfId="49" applyFont="1" applyFill="1" applyBorder="1" applyAlignment="1">
      <alignment horizontal="center" vertical="center"/>
    </xf>
    <xf numFmtId="177" fontId="7" fillId="0" borderId="15" xfId="49" applyNumberFormat="1" applyFont="1" applyBorder="1" applyAlignment="1">
      <alignment horizontal="right" vertical="center"/>
    </xf>
    <xf numFmtId="178" fontId="11" fillId="0" borderId="15" xfId="0" applyNumberFormat="1" applyFont="1" applyBorder="1" applyAlignment="1">
      <alignment horizontal="center" vertical="center"/>
    </xf>
    <xf numFmtId="178" fontId="7" fillId="0" borderId="15" xfId="49" applyNumberFormat="1" applyFont="1" applyBorder="1" applyAlignment="1">
      <alignment horizontal="center" vertical="center"/>
    </xf>
    <xf numFmtId="0" fontId="7" fillId="0" borderId="15" xfId="49" applyFont="1" applyBorder="1" applyAlignment="1">
      <alignment horizontal="center" vertical="center"/>
    </xf>
    <xf numFmtId="49" fontId="7" fillId="0" borderId="15" xfId="49" applyNumberFormat="1" applyFont="1" applyBorder="1" applyAlignment="1">
      <alignment horizontal="center" vertical="center"/>
    </xf>
    <xf numFmtId="4" fontId="7" fillId="0" borderId="6" xfId="0" applyNumberFormat="1" applyFont="1" applyBorder="1">
      <alignment vertical="center"/>
    </xf>
    <xf numFmtId="49" fontId="11" fillId="0" borderId="15" xfId="49" applyNumberFormat="1" applyFont="1" applyBorder="1" applyAlignment="1">
      <alignment horizontal="center" vertical="center"/>
    </xf>
    <xf numFmtId="4" fontId="36" fillId="0" borderId="15" xfId="0" applyNumberFormat="1" applyFont="1" applyBorder="1">
      <alignment vertical="center"/>
    </xf>
    <xf numFmtId="0" fontId="7" fillId="0" borderId="9" xfId="49" applyFont="1" applyBorder="1" applyAlignment="1">
      <alignment horizontal="center" vertical="center"/>
    </xf>
    <xf numFmtId="0" fontId="11" fillId="0" borderId="0" xfId="49" applyFont="1" applyAlignment="1">
      <alignment horizontal="center" vertical="center"/>
    </xf>
    <xf numFmtId="0" fontId="11" fillId="0" borderId="15" xfId="49" applyFont="1" applyFill="1" applyBorder="1" applyAlignment="1">
      <alignment horizontal="center" vertical="center" wrapText="1"/>
    </xf>
    <xf numFmtId="178" fontId="11" fillId="0" borderId="15" xfId="49" applyNumberFormat="1" applyFont="1" applyBorder="1" applyAlignment="1">
      <alignment horizontal="center" vertical="center"/>
    </xf>
    <xf numFmtId="177" fontId="7" fillId="0" borderId="3" xfId="49" applyNumberFormat="1" applyFont="1" applyBorder="1" applyAlignment="1">
      <alignment horizontal="right" vertical="center"/>
    </xf>
    <xf numFmtId="177" fontId="7" fillId="0" borderId="9" xfId="49" applyNumberFormat="1" applyFont="1" applyBorder="1" applyAlignment="1">
      <alignment horizontal="right" vertical="center"/>
    </xf>
    <xf numFmtId="178" fontId="11" fillId="0" borderId="0" xfId="0" applyNumberFormat="1" applyFont="1" applyBorder="1">
      <alignment vertical="center"/>
    </xf>
    <xf numFmtId="178" fontId="11" fillId="0" borderId="6" xfId="0" applyNumberFormat="1" applyFont="1" applyBorder="1">
      <alignment vertical="center"/>
    </xf>
    <xf numFmtId="178" fontId="11" fillId="0" borderId="15" xfId="0" applyNumberFormat="1" applyFont="1" applyBorder="1">
      <alignment vertical="center"/>
    </xf>
    <xf numFmtId="0" fontId="12" fillId="0" borderId="0" xfId="49" applyFont="1" applyFill="1" applyAlignment="1">
      <alignment horizontal="center" vertical="center"/>
    </xf>
    <xf numFmtId="177" fontId="12" fillId="0" borderId="0" xfId="49" applyNumberFormat="1" applyFont="1" applyAlignment="1">
      <alignment horizontal="right" vertical="center"/>
    </xf>
    <xf numFmtId="178" fontId="12" fillId="0" borderId="0" xfId="49" applyNumberFormat="1" applyFont="1" applyAlignment="1">
      <alignment horizontal="center" vertical="center"/>
    </xf>
    <xf numFmtId="0" fontId="12" fillId="0" borderId="0" xfId="49" applyFont="1" applyAlignment="1">
      <alignment horizontal="center" vertical="center"/>
    </xf>
    <xf numFmtId="0" fontId="11" fillId="0" borderId="0" xfId="49" applyFont="1" applyAlignment="1">
      <alignment horizontal="right" vertical="center"/>
    </xf>
    <xf numFmtId="0" fontId="0" fillId="0" borderId="0" xfId="0" applyAlignment="1">
      <alignment vertical="center" wrapText="1"/>
    </xf>
    <xf numFmtId="0" fontId="12" fillId="0" borderId="0" xfId="50" applyFont="1" applyAlignment="1">
      <alignment horizontal="right" vertical="center" wrapText="1"/>
    </xf>
    <xf numFmtId="0" fontId="28" fillId="0" borderId="15" xfId="0" applyFont="1" applyFill="1" applyBorder="1" applyAlignment="1">
      <alignment horizontal="left" vertical="center" wrapText="1"/>
    </xf>
    <xf numFmtId="178" fontId="28" fillId="0" borderId="3" xfId="50" applyNumberFormat="1" applyFont="1" applyFill="1" applyBorder="1" applyAlignment="1">
      <alignment horizontal="center" vertical="center"/>
    </xf>
    <xf numFmtId="0" fontId="20" fillId="0" borderId="11" xfId="5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0" fillId="0" borderId="17" xfId="50" applyFont="1" applyFill="1" applyBorder="1" applyAlignment="1">
      <alignment horizontal="center" vertical="center"/>
    </xf>
    <xf numFmtId="0" fontId="20" fillId="0" borderId="14" xfId="50" applyFont="1" applyFill="1" applyBorder="1" applyAlignment="1">
      <alignment horizontal="center" vertical="center"/>
    </xf>
    <xf numFmtId="0" fontId="24" fillId="4" borderId="1" xfId="51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11" borderId="0" xfId="0" applyFill="1">
      <alignment vertical="center"/>
    </xf>
    <xf numFmtId="0" fontId="0" fillId="0" borderId="0" xfId="0" applyFill="1">
      <alignment vertical="center"/>
    </xf>
    <xf numFmtId="0" fontId="0" fillId="0" borderId="2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82" fontId="0" fillId="0" borderId="0" xfId="0" applyNumberFormat="1" applyFont="1" applyAlignment="1">
      <alignment horizontal="center" vertical="center"/>
    </xf>
    <xf numFmtId="178" fontId="0" fillId="0" borderId="0" xfId="0" applyNumberFormat="1" applyFont="1">
      <alignment vertical="center"/>
    </xf>
    <xf numFmtId="178" fontId="0" fillId="0" borderId="0" xfId="0" applyNumberFormat="1" applyAlignment="1">
      <alignment horizontal="center" vertical="center"/>
    </xf>
    <xf numFmtId="0" fontId="0" fillId="12" borderId="0" xfId="0" applyFill="1">
      <alignment vertical="center"/>
    </xf>
    <xf numFmtId="0" fontId="0" fillId="0" borderId="6" xfId="0" applyBorder="1">
      <alignment vertical="center"/>
    </xf>
    <xf numFmtId="0" fontId="23" fillId="0" borderId="6" xfId="0" applyFont="1" applyBorder="1" applyAlignment="1">
      <alignment horizontal="center" vertical="center"/>
    </xf>
    <xf numFmtId="182" fontId="23" fillId="0" borderId="6" xfId="0" applyNumberFormat="1" applyFont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82" fontId="12" fillId="0" borderId="6" xfId="0" applyNumberFormat="1" applyFont="1" applyBorder="1" applyAlignment="1">
      <alignment horizontal="center" vertical="center" wrapText="1"/>
    </xf>
    <xf numFmtId="178" fontId="12" fillId="0" borderId="6" xfId="0" applyNumberFormat="1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178" fontId="43" fillId="0" borderId="6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13" borderId="6" xfId="0" applyFont="1" applyFill="1" applyBorder="1" applyAlignment="1">
      <alignment horizontal="center" vertical="center"/>
    </xf>
    <xf numFmtId="0" fontId="44" fillId="13" borderId="6" xfId="0" applyFont="1" applyFill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14" fontId="10" fillId="13" borderId="6" xfId="0" applyNumberFormat="1" applyFont="1" applyFill="1" applyBorder="1" applyAlignment="1">
      <alignment horizontal="center" vertical="center"/>
    </xf>
    <xf numFmtId="14" fontId="13" fillId="13" borderId="6" xfId="0" applyNumberFormat="1" applyFont="1" applyFill="1" applyBorder="1" applyAlignment="1">
      <alignment horizontal="center" vertical="center"/>
    </xf>
    <xf numFmtId="0" fontId="13" fillId="13" borderId="6" xfId="0" applyFont="1" applyFill="1" applyBorder="1">
      <alignment vertical="center"/>
    </xf>
    <xf numFmtId="0" fontId="11" fillId="1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13" borderId="0" xfId="0" applyFont="1" applyFill="1" applyBorder="1">
      <alignment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/>
    </xf>
    <xf numFmtId="14" fontId="10" fillId="12" borderId="6" xfId="0" applyNumberFormat="1" applyFont="1" applyFill="1" applyBorder="1" applyAlignment="1">
      <alignment horizontal="center" vertical="center"/>
    </xf>
    <xf numFmtId="14" fontId="13" fillId="12" borderId="6" xfId="0" applyNumberFormat="1" applyFont="1" applyFill="1" applyBorder="1" applyAlignment="1">
      <alignment horizontal="center" vertical="center"/>
    </xf>
    <xf numFmtId="0" fontId="13" fillId="12" borderId="6" xfId="0" applyFont="1" applyFill="1" applyBorder="1">
      <alignment vertical="center"/>
    </xf>
    <xf numFmtId="0" fontId="13" fillId="0" borderId="6" xfId="0" applyFont="1" applyBorder="1">
      <alignment vertical="center"/>
    </xf>
    <xf numFmtId="0" fontId="11" fillId="0" borderId="0" xfId="0" applyFont="1" applyBorder="1" applyAlignment="1">
      <alignment vertical="center" wrapText="1"/>
    </xf>
    <xf numFmtId="0" fontId="36" fillId="0" borderId="17" xfId="0" applyFont="1" applyBorder="1" applyAlignment="1">
      <alignment horizontal="center" vertical="center" wrapText="1"/>
    </xf>
    <xf numFmtId="4" fontId="36" fillId="0" borderId="1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182" fontId="7" fillId="0" borderId="16" xfId="0" applyNumberFormat="1" applyFont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45" fillId="13" borderId="6" xfId="0" applyFont="1" applyFill="1" applyBorder="1" applyAlignment="1">
      <alignment horizontal="center" vertical="center"/>
    </xf>
    <xf numFmtId="0" fontId="39" fillId="13" borderId="16" xfId="0" applyFont="1" applyFill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/>
    </xf>
    <xf numFmtId="0" fontId="36" fillId="0" borderId="26" xfId="0" applyFont="1" applyFill="1" applyBorder="1" applyAlignment="1">
      <alignment horizontal="center" vertical="center" wrapText="1"/>
    </xf>
    <xf numFmtId="3" fontId="36" fillId="0" borderId="16" xfId="0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/>
    </xf>
    <xf numFmtId="3" fontId="36" fillId="0" borderId="6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/>
    </xf>
    <xf numFmtId="182" fontId="7" fillId="0" borderId="6" xfId="0" applyNumberFormat="1" applyFont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14" fontId="10" fillId="0" borderId="6" xfId="0" applyNumberFormat="1" applyFont="1" applyFill="1" applyBorder="1" applyAlignment="1">
      <alignment horizontal="center" vertical="center"/>
    </xf>
    <xf numFmtId="14" fontId="13" fillId="0" borderId="6" xfId="0" applyNumberFormat="1" applyFont="1" applyFill="1" applyBorder="1" applyAlignment="1">
      <alignment horizontal="center" vertical="center"/>
    </xf>
    <xf numFmtId="0" fontId="46" fillId="0" borderId="6" xfId="0" applyFont="1" applyFill="1" applyBorder="1" applyAlignment="1">
      <alignment horizontal="center" vertical="center"/>
    </xf>
    <xf numFmtId="0" fontId="13" fillId="0" borderId="6" xfId="0" applyFont="1" applyFill="1" applyBorder="1">
      <alignment vertical="center"/>
    </xf>
    <xf numFmtId="0" fontId="0" fillId="0" borderId="6" xfId="0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47" fillId="0" borderId="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 wrapText="1"/>
    </xf>
    <xf numFmtId="182" fontId="7" fillId="0" borderId="15" xfId="0" applyNumberFormat="1" applyFont="1" applyBorder="1" applyAlignment="1">
      <alignment horizontal="center" vertical="center"/>
    </xf>
    <xf numFmtId="178" fontId="7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4" fontId="36" fillId="0" borderId="6" xfId="0" applyNumberFormat="1" applyFont="1" applyBorder="1" applyAlignment="1">
      <alignment horizontal="center" vertical="center"/>
    </xf>
    <xf numFmtId="14" fontId="36" fillId="0" borderId="6" xfId="0" applyNumberFormat="1" applyFont="1" applyBorder="1" applyAlignment="1">
      <alignment horizontal="center" vertical="center"/>
    </xf>
    <xf numFmtId="14" fontId="10" fillId="0" borderId="6" xfId="0" applyNumberFormat="1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47" fillId="0" borderId="6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36" fillId="14" borderId="6" xfId="0" applyFont="1" applyFill="1" applyBorder="1" applyAlignment="1">
      <alignment horizontal="center" vertical="center" wrapText="1"/>
    </xf>
    <xf numFmtId="182" fontId="7" fillId="14" borderId="6" xfId="0" applyNumberFormat="1" applyFont="1" applyFill="1" applyBorder="1" applyAlignment="1">
      <alignment horizontal="center" vertical="center"/>
    </xf>
    <xf numFmtId="178" fontId="7" fillId="14" borderId="6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178" fontId="0" fillId="14" borderId="6" xfId="0" applyNumberFormat="1" applyFill="1" applyBorder="1" applyAlignment="1">
      <alignment horizontal="center" vertical="center"/>
    </xf>
    <xf numFmtId="14" fontId="36" fillId="0" borderId="0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 wrapText="1"/>
    </xf>
    <xf numFmtId="178" fontId="7" fillId="0" borderId="13" xfId="0" applyNumberFormat="1" applyFont="1" applyBorder="1" applyAlignment="1">
      <alignment horizontal="center" vertical="center"/>
    </xf>
    <xf numFmtId="0" fontId="36" fillId="0" borderId="15" xfId="0" applyFont="1" applyFill="1" applyBorder="1" applyAlignment="1">
      <alignment horizontal="center" vertical="center" wrapText="1"/>
    </xf>
    <xf numFmtId="4" fontId="36" fillId="0" borderId="26" xfId="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178" fontId="7" fillId="0" borderId="24" xfId="0" applyNumberFormat="1" applyFont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182" fontId="7" fillId="0" borderId="17" xfId="0" applyNumberFormat="1" applyFont="1" applyBorder="1" applyAlignment="1">
      <alignment horizontal="center" vertical="center"/>
    </xf>
    <xf numFmtId="178" fontId="7" fillId="0" borderId="16" xfId="0" applyNumberFormat="1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 wrapText="1"/>
    </xf>
    <xf numFmtId="3" fontId="36" fillId="0" borderId="17" xfId="0" applyNumberFormat="1" applyFont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 wrapText="1"/>
    </xf>
    <xf numFmtId="4" fontId="36" fillId="0" borderId="17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82" fontId="7" fillId="0" borderId="17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center" vertical="center"/>
    </xf>
    <xf numFmtId="178" fontId="7" fillId="0" borderId="1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9" fillId="11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4" fontId="36" fillId="15" borderId="13" xfId="0" applyNumberFormat="1" applyFont="1" applyFill="1" applyBorder="1" applyAlignment="1">
      <alignment horizontal="center" vertical="center" wrapText="1"/>
    </xf>
    <xf numFmtId="14" fontId="36" fillId="0" borderId="16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182" fontId="7" fillId="0" borderId="13" xfId="0" applyNumberFormat="1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47" fillId="14" borderId="30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/>
    </xf>
    <xf numFmtId="182" fontId="7" fillId="0" borderId="30" xfId="0" applyNumberFormat="1" applyFont="1" applyBorder="1" applyAlignment="1">
      <alignment horizontal="center" vertical="center"/>
    </xf>
    <xf numFmtId="178" fontId="7" fillId="0" borderId="32" xfId="0" applyNumberFormat="1" applyFont="1" applyBorder="1" applyAlignment="1">
      <alignment horizontal="center" vertical="center"/>
    </xf>
    <xf numFmtId="178" fontId="7" fillId="0" borderId="30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47" fillId="14" borderId="6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9" fillId="14" borderId="17" xfId="0" applyFont="1" applyFill="1" applyBorder="1" applyAlignment="1">
      <alignment horizontal="center" vertical="center"/>
    </xf>
    <xf numFmtId="0" fontId="47" fillId="14" borderId="0" xfId="0" applyFont="1" applyFill="1" applyBorder="1" applyAlignment="1">
      <alignment horizontal="center" vertical="center" wrapText="1"/>
    </xf>
    <xf numFmtId="4" fontId="36" fillId="0" borderId="15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14" fontId="36" fillId="15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36" fillId="2" borderId="13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182" fontId="7" fillId="2" borderId="13" xfId="0" applyNumberFormat="1" applyFont="1" applyFill="1" applyBorder="1" applyAlignment="1">
      <alignment horizontal="center" vertical="center"/>
    </xf>
    <xf numFmtId="178" fontId="7" fillId="2" borderId="13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 wrapText="1"/>
    </xf>
    <xf numFmtId="3" fontId="36" fillId="5" borderId="6" xfId="0" applyNumberFormat="1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/>
    </xf>
    <xf numFmtId="0" fontId="11" fillId="16" borderId="6" xfId="0" applyFont="1" applyFill="1" applyBorder="1" applyAlignment="1">
      <alignment horizontal="center" vertical="center"/>
    </xf>
    <xf numFmtId="0" fontId="50" fillId="16" borderId="6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14" fontId="36" fillId="5" borderId="6" xfId="0" applyNumberFormat="1" applyFont="1" applyFill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36" fillId="0" borderId="6" xfId="0" applyFont="1" applyBorder="1">
      <alignment vertical="center"/>
    </xf>
    <xf numFmtId="3" fontId="36" fillId="0" borderId="6" xfId="0" applyNumberFormat="1" applyFont="1" applyBorder="1">
      <alignment vertical="center"/>
    </xf>
    <xf numFmtId="14" fontId="36" fillId="0" borderId="6" xfId="0" applyNumberFormat="1" applyFont="1" applyBorder="1">
      <alignment vertical="center"/>
    </xf>
    <xf numFmtId="0" fontId="7" fillId="0" borderId="3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 wrapText="1"/>
    </xf>
    <xf numFmtId="4" fontId="36" fillId="0" borderId="37" xfId="0" applyNumberFormat="1" applyFont="1" applyBorder="1" applyAlignment="1">
      <alignment horizontal="center" vertical="center"/>
    </xf>
    <xf numFmtId="14" fontId="36" fillId="0" borderId="37" xfId="0" applyNumberFormat="1" applyFont="1" applyBorder="1" applyAlignment="1">
      <alignment horizontal="center" vertical="center"/>
    </xf>
    <xf numFmtId="178" fontId="7" fillId="0" borderId="37" xfId="0" applyNumberFormat="1" applyFont="1" applyBorder="1" applyAlignment="1">
      <alignment horizontal="center" vertical="center"/>
    </xf>
    <xf numFmtId="0" fontId="7" fillId="12" borderId="3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8" fontId="0" fillId="0" borderId="37" xfId="0" applyNumberForma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36" fillId="0" borderId="15" xfId="0" applyFont="1" applyBorder="1">
      <alignment vertical="center"/>
    </xf>
    <xf numFmtId="14" fontId="36" fillId="0" borderId="15" xfId="0" applyNumberFormat="1" applyFont="1" applyBorder="1">
      <alignment vertical="center"/>
    </xf>
    <xf numFmtId="4" fontId="36" fillId="0" borderId="6" xfId="0" applyNumberFormat="1" applyFont="1" applyFill="1" applyBorder="1" applyAlignment="1">
      <alignment horizontal="center" vertical="center" wrapText="1"/>
    </xf>
    <xf numFmtId="0" fontId="0" fillId="12" borderId="6" xfId="0" applyFill="1" applyBorder="1">
      <alignment vertical="center"/>
    </xf>
    <xf numFmtId="0" fontId="0" fillId="0" borderId="6" xfId="0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4" fontId="13" fillId="0" borderId="6" xfId="0" applyNumberFormat="1" applyFont="1" applyBorder="1">
      <alignment vertical="center"/>
    </xf>
    <xf numFmtId="14" fontId="13" fillId="0" borderId="6" xfId="0" applyNumberFormat="1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3" fontId="36" fillId="0" borderId="6" xfId="0" applyNumberFormat="1" applyFont="1" applyFill="1" applyBorder="1" applyAlignment="1">
      <alignment horizontal="center" vertical="center"/>
    </xf>
    <xf numFmtId="14" fontId="36" fillId="0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/>
    </xf>
    <xf numFmtId="0" fontId="42" fillId="17" borderId="6" xfId="0" applyFont="1" applyFill="1" applyBorder="1" applyAlignment="1">
      <alignment horizontal="center" vertical="center" wrapText="1"/>
    </xf>
    <xf numFmtId="14" fontId="36" fillId="0" borderId="6" xfId="0" applyNumberFormat="1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/>
    </xf>
    <xf numFmtId="0" fontId="42" fillId="18" borderId="6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36" fillId="18" borderId="6" xfId="0" applyFont="1" applyFill="1" applyBorder="1" applyAlignment="1">
      <alignment horizontal="center" vertical="center" wrapText="1"/>
    </xf>
    <xf numFmtId="0" fontId="36" fillId="17" borderId="6" xfId="0" applyFont="1" applyFill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47" fillId="18" borderId="6" xfId="0" applyFont="1" applyFill="1" applyBorder="1" applyAlignment="1">
      <alignment horizontal="center" vertical="center" wrapText="1"/>
    </xf>
    <xf numFmtId="0" fontId="47" fillId="18" borderId="6" xfId="0" applyFont="1" applyFill="1" applyBorder="1" applyAlignment="1">
      <alignment horizontal="center" vertical="center"/>
    </xf>
    <xf numFmtId="4" fontId="53" fillId="10" borderId="6" xfId="0" applyNumberFormat="1" applyFont="1" applyFill="1" applyBorder="1" applyAlignment="1">
      <alignment horizontal="center" vertical="center" wrapText="1"/>
    </xf>
    <xf numFmtId="0" fontId="53" fillId="10" borderId="6" xfId="0" applyFont="1" applyFill="1" applyBorder="1" applyAlignment="1">
      <alignment horizontal="center" vertical="center"/>
    </xf>
    <xf numFmtId="4" fontId="36" fillId="0" borderId="0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182" fontId="0" fillId="0" borderId="6" xfId="0" applyNumberFormat="1" applyFont="1" applyBorder="1" applyAlignment="1">
      <alignment horizontal="center" vertical="center"/>
    </xf>
    <xf numFmtId="178" fontId="0" fillId="0" borderId="6" xfId="0" applyNumberFormat="1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3" fontId="36" fillId="0" borderId="0" xfId="0" applyNumberFormat="1" applyFont="1" applyBorder="1" applyAlignment="1">
      <alignment horizontal="center" vertical="center"/>
    </xf>
    <xf numFmtId="14" fontId="36" fillId="0" borderId="0" xfId="0" applyNumberFormat="1" applyFont="1" applyBorder="1">
      <alignment vertical="center"/>
    </xf>
    <xf numFmtId="0" fontId="7" fillId="1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182" fontId="7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4" fillId="19" borderId="0" xfId="0" applyFont="1" applyFill="1">
      <alignment vertical="center"/>
    </xf>
    <xf numFmtId="0" fontId="0" fillId="0" borderId="0" xfId="0" applyFont="1">
      <alignment vertical="center"/>
    </xf>
    <xf numFmtId="0" fontId="0" fillId="20" borderId="0" xfId="0" applyFill="1">
      <alignment vertical="center"/>
    </xf>
    <xf numFmtId="0" fontId="0" fillId="0" borderId="0" xfId="0" applyFont="1" applyAlignment="1">
      <alignment horizontal="center" vertical="center"/>
    </xf>
    <xf numFmtId="182" fontId="0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0" fontId="0" fillId="21" borderId="0" xfId="0" applyFill="1">
      <alignment vertical="center"/>
    </xf>
    <xf numFmtId="0" fontId="23" fillId="0" borderId="3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82" fontId="55" fillId="0" borderId="0" xfId="0" applyNumberFormat="1" applyFont="1" applyAlignment="1">
      <alignment horizontal="right" vertical="center"/>
    </xf>
    <xf numFmtId="0" fontId="55" fillId="0" borderId="0" xfId="0" applyFont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82" fontId="12" fillId="0" borderId="15" xfId="0" applyNumberFormat="1" applyFont="1" applyBorder="1" applyAlignment="1">
      <alignment horizontal="right" vertical="center"/>
    </xf>
    <xf numFmtId="178" fontId="12" fillId="0" borderId="15" xfId="0" applyNumberFormat="1" applyFont="1" applyBorder="1" applyAlignment="1">
      <alignment horizontal="center" vertical="center"/>
    </xf>
    <xf numFmtId="0" fontId="9" fillId="21" borderId="15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178" fontId="43" fillId="0" borderId="0" xfId="0" applyNumberFormat="1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82" fontId="7" fillId="2" borderId="6" xfId="0" applyNumberFormat="1" applyFont="1" applyFill="1" applyBorder="1" applyAlignment="1">
      <alignment horizontal="right" vertical="center"/>
    </xf>
    <xf numFmtId="178" fontId="7" fillId="2" borderId="6" xfId="0" applyNumberFormat="1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182" fontId="7" fillId="0" borderId="6" xfId="0" applyNumberFormat="1" applyFont="1" applyBorder="1" applyAlignment="1">
      <alignment horizontal="right" vertical="center"/>
    </xf>
    <xf numFmtId="0" fontId="7" fillId="21" borderId="6" xfId="0" applyFont="1" applyFill="1" applyBorder="1" applyAlignment="1">
      <alignment horizontal="center" vertical="center"/>
    </xf>
    <xf numFmtId="0" fontId="56" fillId="19" borderId="6" xfId="0" applyFont="1" applyFill="1" applyBorder="1" applyAlignment="1">
      <alignment horizontal="center" vertical="center"/>
    </xf>
    <xf numFmtId="182" fontId="56" fillId="19" borderId="6" xfId="0" applyNumberFormat="1" applyFont="1" applyFill="1" applyBorder="1" applyAlignment="1">
      <alignment horizontal="right" vertical="center"/>
    </xf>
    <xf numFmtId="178" fontId="56" fillId="19" borderId="6" xfId="0" applyNumberFormat="1" applyFont="1" applyFill="1" applyBorder="1" applyAlignment="1">
      <alignment horizontal="center" vertical="center"/>
    </xf>
    <xf numFmtId="0" fontId="56" fillId="21" borderId="6" xfId="0" applyFont="1" applyFill="1" applyBorder="1" applyAlignment="1">
      <alignment horizontal="center" vertical="center"/>
    </xf>
    <xf numFmtId="0" fontId="56" fillId="19" borderId="6" xfId="0" applyFont="1" applyFill="1" applyBorder="1" applyAlignment="1">
      <alignment horizontal="center" vertical="center" wrapText="1"/>
    </xf>
    <xf numFmtId="182" fontId="36" fillId="0" borderId="6" xfId="0" applyNumberFormat="1" applyFont="1" applyBorder="1">
      <alignment vertical="center"/>
    </xf>
    <xf numFmtId="49" fontId="11" fillId="0" borderId="6" xfId="0" applyNumberFormat="1" applyFont="1" applyBorder="1" applyAlignment="1">
      <alignment horizontal="center" vertical="center" wrapText="1"/>
    </xf>
    <xf numFmtId="49" fontId="11" fillId="21" borderId="6" xfId="0" applyNumberFormat="1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21" borderId="6" xfId="0" applyNumberFormat="1" applyFont="1" applyFill="1" applyBorder="1" applyAlignment="1">
      <alignment horizontal="center" vertical="center" wrapText="1"/>
    </xf>
    <xf numFmtId="182" fontId="36" fillId="0" borderId="6" xfId="0" applyNumberFormat="1" applyFont="1" applyFill="1" applyBorder="1">
      <alignment vertical="center"/>
    </xf>
    <xf numFmtId="0" fontId="7" fillId="0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 wrapText="1"/>
    </xf>
    <xf numFmtId="49" fontId="13" fillId="21" borderId="13" xfId="0" applyNumberFormat="1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182" fontId="36" fillId="0" borderId="15" xfId="0" applyNumberFormat="1" applyFont="1" applyBorder="1">
      <alignment vertical="center"/>
    </xf>
    <xf numFmtId="49" fontId="13" fillId="0" borderId="15" xfId="0" applyNumberFormat="1" applyFont="1" applyBorder="1" applyAlignment="1">
      <alignment horizontal="center" vertical="center" wrapText="1"/>
    </xf>
    <xf numFmtId="49" fontId="13" fillId="21" borderId="15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82" fontId="36" fillId="0" borderId="13" xfId="0" applyNumberFormat="1" applyFont="1" applyBorder="1">
      <alignment vertical="center"/>
    </xf>
    <xf numFmtId="49" fontId="11" fillId="0" borderId="13" xfId="0" applyNumberFormat="1" applyFont="1" applyBorder="1" applyAlignment="1">
      <alignment horizontal="center" vertical="center" wrapText="1"/>
    </xf>
    <xf numFmtId="49" fontId="11" fillId="21" borderId="13" xfId="0" applyNumberFormat="1" applyFont="1" applyFill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182" fontId="7" fillId="0" borderId="15" xfId="0" applyNumberFormat="1" applyFont="1" applyBorder="1" applyAlignment="1">
      <alignment horizontal="right" vertical="center"/>
    </xf>
    <xf numFmtId="0" fontId="45" fillId="0" borderId="6" xfId="0" applyFont="1" applyFill="1" applyBorder="1" applyAlignment="1">
      <alignment horizontal="center" vertical="center" wrapText="1"/>
    </xf>
    <xf numFmtId="177" fontId="7" fillId="0" borderId="0" xfId="0" applyNumberFormat="1" applyFont="1" applyBorder="1" applyAlignment="1">
      <alignment horizontal="right" vertical="center"/>
    </xf>
    <xf numFmtId="0" fontId="11" fillId="21" borderId="15" xfId="0" applyFont="1" applyFill="1" applyBorder="1" applyAlignment="1">
      <alignment horizontal="center" vertical="center"/>
    </xf>
    <xf numFmtId="0" fontId="11" fillId="21" borderId="1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7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82" fontId="36" fillId="0" borderId="20" xfId="0" applyNumberFormat="1" applyFont="1" applyBorder="1">
      <alignment vertical="center"/>
    </xf>
    <xf numFmtId="178" fontId="7" fillId="0" borderId="20" xfId="0" applyNumberFormat="1" applyFont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182" fontId="7" fillId="0" borderId="6" xfId="0" applyNumberFormat="1" applyFont="1" applyFill="1" applyBorder="1" applyAlignment="1">
      <alignment horizontal="right" vertical="center"/>
    </xf>
    <xf numFmtId="178" fontId="7" fillId="0" borderId="15" xfId="0" applyNumberFormat="1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7" fillId="0" borderId="6" xfId="0" applyFont="1" applyBorder="1">
      <alignment vertical="center"/>
    </xf>
    <xf numFmtId="177" fontId="0" fillId="0" borderId="6" xfId="0" applyNumberFormat="1" applyFont="1" applyBorder="1" applyAlignment="1">
      <alignment horizontal="right" vertical="center"/>
    </xf>
    <xf numFmtId="177" fontId="7" fillId="0" borderId="6" xfId="0" applyNumberFormat="1" applyFont="1" applyBorder="1" applyAlignment="1">
      <alignment horizontal="right" vertical="center"/>
    </xf>
    <xf numFmtId="177" fontId="0" fillId="0" borderId="6" xfId="0" applyNumberFormat="1" applyFont="1" applyBorder="1" applyAlignment="1">
      <alignment horizontal="center" vertical="center"/>
    </xf>
    <xf numFmtId="4" fontId="0" fillId="0" borderId="6" xfId="0" applyNumberFormat="1" applyFont="1" applyBorder="1" applyAlignment="1">
      <alignment horizontal="right" vertical="center"/>
    </xf>
    <xf numFmtId="0" fontId="0" fillId="0" borderId="6" xfId="0" applyFont="1" applyBorder="1">
      <alignment vertical="center"/>
    </xf>
    <xf numFmtId="0" fontId="11" fillId="21" borderId="0" xfId="0" applyFont="1" applyFill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77" fontId="0" fillId="0" borderId="0" xfId="0" applyNumberFormat="1" applyFont="1" applyBorder="1" applyAlignment="1">
      <alignment horizontal="right" vertical="center"/>
    </xf>
    <xf numFmtId="178" fontId="7" fillId="0" borderId="6" xfId="0" applyNumberFormat="1" applyFont="1" applyFill="1" applyBorder="1" applyAlignment="1">
      <alignment horizontal="center" vertical="center" wrapText="1"/>
    </xf>
    <xf numFmtId="182" fontId="36" fillId="2" borderId="6" xfId="0" applyNumberFormat="1" applyFont="1" applyFill="1" applyBorder="1">
      <alignment vertical="center"/>
    </xf>
    <xf numFmtId="178" fontId="0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178" fontId="0" fillId="0" borderId="15" xfId="0" applyNumberFormat="1" applyFont="1" applyBorder="1" applyAlignment="1">
      <alignment horizontal="center" vertical="center"/>
    </xf>
    <xf numFmtId="177" fontId="0" fillId="0" borderId="0" xfId="0" applyNumberFormat="1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78" fontId="36" fillId="0" borderId="6" xfId="0" applyNumberFormat="1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21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1" fillId="0" borderId="6" xfId="0" applyFont="1" applyBorder="1">
      <alignment vertical="center"/>
    </xf>
    <xf numFmtId="0" fontId="11" fillId="0" borderId="16" xfId="0" applyFont="1" applyBorder="1">
      <alignment vertical="center"/>
    </xf>
    <xf numFmtId="0" fontId="47" fillId="14" borderId="40" xfId="0" applyFont="1" applyFill="1" applyBorder="1" applyAlignment="1">
      <alignment horizontal="center" vertical="center"/>
    </xf>
    <xf numFmtId="0" fontId="57" fillId="14" borderId="15" xfId="0" applyFont="1" applyFill="1" applyBorder="1" applyAlignment="1">
      <alignment horizontal="center" vertical="center"/>
    </xf>
    <xf numFmtId="0" fontId="57" fillId="14" borderId="6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42" fillId="20" borderId="6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center" vertical="center"/>
    </xf>
    <xf numFmtId="4" fontId="36" fillId="20" borderId="6" xfId="0" applyNumberFormat="1" applyFont="1" applyFill="1" applyBorder="1">
      <alignment vertical="center"/>
    </xf>
    <xf numFmtId="178" fontId="7" fillId="20" borderId="6" xfId="0" applyNumberFormat="1" applyFont="1" applyFill="1" applyBorder="1" applyAlignment="1">
      <alignment horizontal="center" vertical="center"/>
    </xf>
    <xf numFmtId="0" fontId="9" fillId="20" borderId="6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 wrapText="1"/>
    </xf>
    <xf numFmtId="0" fontId="0" fillId="20" borderId="6" xfId="0" applyFill="1" applyBorder="1" applyAlignment="1">
      <alignment horizontal="center" vertical="center"/>
    </xf>
    <xf numFmtId="178" fontId="0" fillId="20" borderId="6" xfId="0" applyNumberFormat="1" applyFill="1" applyBorder="1" applyAlignment="1">
      <alignment horizontal="center" vertical="center"/>
    </xf>
    <xf numFmtId="0" fontId="36" fillId="11" borderId="6" xfId="0" applyFont="1" applyFill="1" applyBorder="1" applyAlignment="1">
      <alignment horizontal="center" vertical="center"/>
    </xf>
    <xf numFmtId="14" fontId="36" fillId="0" borderId="13" xfId="0" applyNumberFormat="1" applyFont="1" applyBorder="1" applyAlignment="1">
      <alignment horizontal="center" vertical="center"/>
    </xf>
    <xf numFmtId="0" fontId="58" fillId="20" borderId="6" xfId="0" applyFont="1" applyFill="1" applyBorder="1" applyAlignment="1">
      <alignment horizontal="center" vertical="center"/>
    </xf>
    <xf numFmtId="0" fontId="50" fillId="16" borderId="6" xfId="0" applyFont="1" applyFill="1" applyBorder="1" applyAlignment="1">
      <alignment horizontal="center" vertical="center"/>
    </xf>
    <xf numFmtId="4" fontId="36" fillId="0" borderId="13" xfId="0" applyNumberFormat="1" applyFont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3" fontId="36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182" fontId="7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49" fontId="28" fillId="0" borderId="3" xfId="0" applyNumberFormat="1" applyFont="1" applyFill="1" applyBorder="1" applyAlignment="1" quotePrefix="1">
      <alignment horizontal="left" vertical="center"/>
    </xf>
    <xf numFmtId="0" fontId="28" fillId="0" borderId="15" xfId="0" applyFont="1" applyBorder="1" applyAlignment="1" quotePrefix="1">
      <alignment horizontal="left" vertical="center"/>
    </xf>
    <xf numFmtId="49" fontId="20" fillId="0" borderId="1" xfId="50" applyNumberFormat="1" applyFont="1" applyFill="1" applyBorder="1" applyAlignment="1" quotePrefix="1">
      <alignment horizontal="left" vertical="center"/>
    </xf>
    <xf numFmtId="49" fontId="27" fillId="7" borderId="1" xfId="50" applyNumberFormat="1" applyFont="1" applyFill="1" applyBorder="1" applyAlignment="1" quotePrefix="1">
      <alignment horizontal="left" vertical="center"/>
    </xf>
    <xf numFmtId="49" fontId="20" fillId="0" borderId="1" xfId="50" applyNumberFormat="1" applyFont="1" applyBorder="1" applyAlignment="1" quotePrefix="1">
      <alignment horizontal="center" vertical="center"/>
    </xf>
    <xf numFmtId="178" fontId="20" fillId="0" borderId="1" xfId="51" applyNumberFormat="1" applyFont="1" applyBorder="1" applyAlignment="1" quotePrefix="1">
      <alignment horizontal="center" vertical="center"/>
    </xf>
    <xf numFmtId="179" fontId="20" fillId="0" borderId="1" xfId="50" applyNumberFormat="1" applyFont="1" applyBorder="1" applyAlignment="1" quotePrefix="1">
      <alignment horizontal="center" vertical="center"/>
    </xf>
    <xf numFmtId="49" fontId="20" fillId="0" borderId="1" xfId="51" applyNumberFormat="1" applyFont="1" applyBorder="1" applyAlignment="1" quotePrefix="1">
      <alignment horizontal="center" vertical="center"/>
    </xf>
    <xf numFmtId="179" fontId="20" fillId="9" borderId="1" xfId="50" applyNumberFormat="1" applyFont="1" applyFill="1" applyBorder="1" applyAlignment="1" quotePrefix="1">
      <alignment horizontal="center" vertical="center"/>
    </xf>
    <xf numFmtId="49" fontId="20" fillId="9" borderId="1" xfId="51" applyNumberFormat="1" applyFont="1" applyFill="1" applyBorder="1" applyAlignment="1" quotePrefix="1">
      <alignment horizontal="center" vertical="center"/>
    </xf>
    <xf numFmtId="179" fontId="21" fillId="9" borderId="1" xfId="50" applyNumberFormat="1" applyFont="1" applyFill="1" applyBorder="1" applyAlignment="1" quotePrefix="1">
      <alignment horizontal="center" vertical="center"/>
    </xf>
    <xf numFmtId="49" fontId="21" fillId="9" borderId="1" xfId="51" applyNumberFormat="1" applyFont="1" applyFill="1" applyBorder="1" applyAlignment="1" quotePrefix="1">
      <alignment horizontal="center" vertical="center"/>
    </xf>
    <xf numFmtId="179" fontId="21" fillId="0" borderId="1" xfId="50" applyNumberFormat="1" applyFont="1" applyBorder="1" applyAlignment="1" quotePrefix="1">
      <alignment horizontal="center" vertical="center"/>
    </xf>
    <xf numFmtId="49" fontId="21" fillId="0" borderId="1" xfId="51" applyNumberFormat="1" applyFont="1" applyBorder="1" applyAlignment="1" quotePrefix="1">
      <alignment horizontal="center" vertical="center"/>
    </xf>
    <xf numFmtId="179" fontId="21" fillId="9" borderId="1" xfId="51" applyNumberFormat="1" applyFont="1" applyFill="1" applyBorder="1" applyAlignment="1" quotePrefix="1">
      <alignment horizontal="center" vertical="center"/>
    </xf>
    <xf numFmtId="179" fontId="20" fillId="9" borderId="1" xfId="51" applyNumberFormat="1" applyFont="1" applyFill="1" applyBorder="1" applyAlignment="1" quotePrefix="1">
      <alignment horizontal="center" vertical="center"/>
    </xf>
    <xf numFmtId="179" fontId="20" fillId="8" borderId="1" xfId="50" applyNumberFormat="1" applyFont="1" applyFill="1" applyBorder="1" applyAlignment="1" quotePrefix="1">
      <alignment horizontal="center" vertical="center"/>
    </xf>
    <xf numFmtId="49" fontId="20" fillId="8" borderId="1" xfId="51" applyNumberFormat="1" applyFont="1" applyFill="1" applyBorder="1" applyAlignment="1" quotePrefix="1">
      <alignment horizontal="center" vertical="center"/>
    </xf>
    <xf numFmtId="178" fontId="20" fillId="9" borderId="1" xfId="51" applyNumberFormat="1" applyFont="1" applyFill="1" applyBorder="1" applyAlignment="1" quotePrefix="1">
      <alignment horizontal="center" vertical="center"/>
    </xf>
    <xf numFmtId="178" fontId="21" fillId="9" borderId="1" xfId="51" applyNumberFormat="1" applyFont="1" applyFill="1" applyBorder="1" applyAlignment="1" quotePrefix="1">
      <alignment horizontal="center" vertical="center"/>
    </xf>
    <xf numFmtId="178" fontId="21" fillId="0" borderId="1" xfId="51" applyNumberFormat="1" applyFont="1" applyBorder="1" applyAlignment="1" quotePrefix="1">
      <alignment horizontal="center" vertical="center"/>
    </xf>
    <xf numFmtId="179" fontId="21" fillId="0" borderId="1" xfId="51" applyNumberFormat="1" applyFont="1" applyBorder="1" applyAlignment="1" quotePrefix="1">
      <alignment horizontal="center" vertical="center"/>
    </xf>
    <xf numFmtId="179" fontId="20" fillId="0" borderId="1" xfId="51" applyNumberFormat="1" applyFont="1" applyBorder="1" applyAlignment="1" quotePrefix="1">
      <alignment horizontal="center" vertical="center"/>
    </xf>
    <xf numFmtId="179" fontId="29" fillId="0" borderId="1" xfId="51" applyNumberFormat="1" applyFont="1" applyBorder="1" applyAlignment="1" quotePrefix="1">
      <alignment horizontal="center" vertical="center"/>
    </xf>
    <xf numFmtId="178" fontId="20" fillId="0" borderId="2" xfId="51" applyNumberFormat="1" applyFont="1" applyBorder="1" applyAlignment="1" quotePrefix="1">
      <alignment horizontal="center" vertical="center"/>
    </xf>
    <xf numFmtId="179" fontId="29" fillId="0" borderId="2" xfId="51" applyNumberFormat="1" applyFont="1" applyBorder="1" applyAlignment="1" quotePrefix="1">
      <alignment horizontal="center" vertical="center"/>
    </xf>
    <xf numFmtId="49" fontId="20" fillId="0" borderId="2" xfId="51" applyNumberFormat="1" applyFont="1" applyBorder="1" applyAlignment="1" quotePrefix="1">
      <alignment horizontal="center" vertical="center"/>
    </xf>
    <xf numFmtId="49" fontId="29" fillId="9" borderId="1" xfId="0" applyNumberFormat="1" applyFont="1" applyFill="1" applyBorder="1" applyAlignment="1" quotePrefix="1">
      <alignment horizontal="left" vertical="center"/>
    </xf>
    <xf numFmtId="49" fontId="20" fillId="0" borderId="1" xfId="51" applyNumberFormat="1" applyFont="1" applyFill="1" applyBorder="1" applyAlignment="1" quotePrefix="1">
      <alignment horizontal="center" vertical="center"/>
    </xf>
    <xf numFmtId="49" fontId="29" fillId="0" borderId="1" xfId="0" applyNumberFormat="1" applyFont="1" applyFill="1" applyBorder="1" applyAlignment="1" quotePrefix="1">
      <alignment horizontal="left" vertical="center"/>
    </xf>
    <xf numFmtId="49" fontId="28" fillId="0" borderId="1" xfId="0" applyNumberFormat="1" applyFont="1" applyFill="1" applyBorder="1" applyAlignment="1" quotePrefix="1">
      <alignment horizontal="left" vertical="center"/>
    </xf>
    <xf numFmtId="0" fontId="28" fillId="0" borderId="1" xfId="0" applyFont="1" applyBorder="1" quotePrefix="1">
      <alignment vertical="center"/>
    </xf>
    <xf numFmtId="0" fontId="28" fillId="0" borderId="1" xfId="0" applyNumberFormat="1" applyFont="1" applyFill="1" applyBorder="1" applyAlignment="1" quotePrefix="1">
      <alignment horizontal="left" vertical="center"/>
    </xf>
    <xf numFmtId="0" fontId="28" fillId="0" borderId="1" xfId="0" applyFont="1" applyFill="1" applyBorder="1" quotePrefix="1">
      <alignment vertical="center"/>
    </xf>
    <xf numFmtId="178" fontId="20" fillId="0" borderId="6" xfId="0" applyNumberFormat="1" applyFont="1" applyFill="1" applyBorder="1" applyAlignment="1" quotePrefix="1">
      <alignment horizontal="center" vertical="center"/>
    </xf>
    <xf numFmtId="178" fontId="20" fillId="0" borderId="3" xfId="0" applyNumberFormat="1" applyFont="1" applyFill="1" applyBorder="1" applyAlignment="1" quotePrefix="1">
      <alignment horizontal="center" vertical="center"/>
    </xf>
    <xf numFmtId="178" fontId="20" fillId="0" borderId="1" xfId="0" applyNumberFormat="1" applyFont="1" applyFill="1" applyBorder="1" applyAlignment="1" quotePrefix="1">
      <alignment horizontal="center" vertical="center"/>
    </xf>
    <xf numFmtId="49" fontId="28" fillId="0" borderId="6" xfId="0" applyNumberFormat="1" applyFont="1" applyFill="1" applyBorder="1" applyAlignment="1" quotePrefix="1">
      <alignment horizontal="left" vertical="center"/>
    </xf>
    <xf numFmtId="0" fontId="28" fillId="0" borderId="3" xfId="51" applyFont="1" applyFill="1" applyBorder="1" applyAlignment="1" quotePrefix="1">
      <alignment horizontal="left" vertical="center"/>
    </xf>
    <xf numFmtId="0" fontId="20" fillId="0" borderId="3" xfId="0" applyFont="1" applyBorder="1" applyAlignment="1" quotePrefix="1">
      <alignment horizontal="left" vertical="center"/>
    </xf>
    <xf numFmtId="49" fontId="28" fillId="0" borderId="3" xfId="0" applyNumberFormat="1" applyFont="1" applyBorder="1" applyAlignment="1" quotePrefix="1">
      <alignment horizontal="left" vertical="center"/>
    </xf>
    <xf numFmtId="0" fontId="28" fillId="0" borderId="0" xfId="0" applyNumberFormat="1" applyFont="1" applyFill="1" applyBorder="1" applyAlignment="1" quotePrefix="1">
      <alignment horizontal="left" vertical="center"/>
    </xf>
    <xf numFmtId="0" fontId="28" fillId="0" borderId="6" xfId="50" applyFont="1" applyFill="1" applyBorder="1" applyAlignment="1" quotePrefix="1">
      <alignment horizontal="left" vertical="center" wrapText="1"/>
    </xf>
    <xf numFmtId="49" fontId="8" fillId="0" borderId="1" xfId="22" applyNumberFormat="1" applyFont="1" applyFill="1" applyBorder="1" applyAlignment="1" quotePrefix="1">
      <alignment horizontal="center" vertical="center"/>
    </xf>
    <xf numFmtId="0" fontId="10" fillId="5" borderId="1" xfId="0" applyFont="1" applyFill="1" applyBorder="1" applyAlignment="1" quotePrefix="1">
      <alignment horizontal="center" vertical="center" wrapText="1"/>
    </xf>
    <xf numFmtId="0" fontId="10" fillId="5" borderId="4" xfId="0" applyFont="1" applyFill="1" applyBorder="1" applyAlignment="1" quotePrefix="1">
      <alignment horizontal="center" vertical="center" wrapText="1"/>
    </xf>
    <xf numFmtId="0" fontId="10" fillId="5" borderId="5" xfId="0" applyFont="1" applyFill="1" applyBorder="1" applyAlignment="1" quotePrefix="1">
      <alignment horizontal="center" vertical="center" wrapText="1"/>
    </xf>
    <xf numFmtId="49" fontId="8" fillId="0" borderId="5" xfId="22" applyNumberFormat="1" applyFont="1" applyFill="1" applyBorder="1" applyAlignment="1" quotePrefix="1">
      <alignment horizontal="center" vertical="center"/>
    </xf>
    <xf numFmtId="49" fontId="11" fillId="0" borderId="1" xfId="22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3" xfId="51"/>
  </cellStyles>
  <dxfs count="21">
    <dxf>
      <font>
        <color rgb="FFD73434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FF0000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P633"/>
  <sheetViews>
    <sheetView topLeftCell="V1" workbookViewId="0">
      <pane ySplit="2" topLeftCell="A9" activePane="bottomLeft" state="frozen"/>
      <selection/>
      <selection pane="bottomLeft" activeCell="J74" sqref="J74:K74"/>
    </sheetView>
  </sheetViews>
  <sheetFormatPr defaultColWidth="9" defaultRowHeight="14.1"/>
  <cols>
    <col min="1" max="1" width="8.62162162162162" customWidth="1"/>
    <col min="2" max="2" width="15.6216216216216" customWidth="1"/>
    <col min="3" max="3" width="38.4954954954955" style="1125" customWidth="1"/>
    <col min="4" max="4" width="15.5045045045045" customWidth="1"/>
    <col min="5" max="5" width="30.0630630630631" style="1126" customWidth="1"/>
    <col min="6" max="6" width="15.9189189189189" style="894" customWidth="1"/>
    <col min="7" max="7" width="15.5585585585586" style="1127" customWidth="1"/>
    <col min="8" max="8" width="10.2702702702703" customWidth="1"/>
    <col min="9" max="9" width="12.5855855855856" customWidth="1"/>
    <col min="10" max="10" width="12.7747747747748" customWidth="1"/>
    <col min="11" max="11" width="10.4234234234234" style="1128" customWidth="1"/>
    <col min="12" max="12" width="40.8468468468468" style="878" customWidth="1"/>
    <col min="13" max="13" width="14.3963963963964" customWidth="1"/>
    <col min="14" max="14" width="16.2792792792793" style="895" customWidth="1"/>
    <col min="16" max="16" width="29.7747747747748" customWidth="1"/>
  </cols>
  <sheetData>
    <row r="1" ht="56.7" customHeight="1" spans="1:16">
      <c r="A1" s="1129" t="s">
        <v>0</v>
      </c>
      <c r="B1" s="1130"/>
      <c r="C1" s="1130"/>
      <c r="D1" s="1130"/>
      <c r="E1" s="1131"/>
      <c r="F1" s="1132"/>
      <c r="G1" s="1130"/>
      <c r="H1" s="1130"/>
      <c r="I1" s="1130"/>
      <c r="J1" s="1130"/>
      <c r="K1" s="1133"/>
      <c r="L1" s="1130"/>
      <c r="M1" s="1130"/>
      <c r="N1" s="1130"/>
    </row>
    <row r="2" s="887" customFormat="1" ht="52.2" customHeight="1" spans="1:16">
      <c r="A2" s="1134" t="s">
        <v>1</v>
      </c>
      <c r="B2" s="1134" t="s">
        <v>2</v>
      </c>
      <c r="C2" s="1134" t="s">
        <v>3</v>
      </c>
      <c r="D2" s="1135" t="s">
        <v>4</v>
      </c>
      <c r="E2" s="1136" t="s">
        <v>5</v>
      </c>
      <c r="F2" s="1137" t="s">
        <v>6</v>
      </c>
      <c r="G2" s="1137" t="s">
        <v>7</v>
      </c>
      <c r="H2" s="1134" t="s">
        <v>8</v>
      </c>
      <c r="I2" s="1135" t="s">
        <v>9</v>
      </c>
      <c r="J2" s="1134" t="s">
        <v>10</v>
      </c>
      <c r="K2" s="1138" t="s">
        <v>11</v>
      </c>
      <c r="L2" s="1139" t="s">
        <v>12</v>
      </c>
      <c r="M2" s="1140" t="s">
        <v>13</v>
      </c>
      <c r="N2" s="1141" t="s">
        <v>14</v>
      </c>
    </row>
    <row r="3" ht="25.35" hidden="1" customHeight="1" spans="1:16">
      <c r="A3" s="819">
        <v>4</v>
      </c>
      <c r="B3" s="1142" t="s">
        <v>15</v>
      </c>
      <c r="C3" s="1142" t="s">
        <v>16</v>
      </c>
      <c r="D3" s="1142"/>
      <c r="E3" s="1143">
        <v>680000</v>
      </c>
      <c r="F3" s="1144">
        <v>45174</v>
      </c>
      <c r="G3" s="1144">
        <v>45254</v>
      </c>
      <c r="H3" s="1142" t="s">
        <v>17</v>
      </c>
      <c r="I3" s="1142"/>
      <c r="J3" s="1048" t="s">
        <v>18</v>
      </c>
      <c r="K3" s="1145"/>
      <c r="L3" s="1146" t="s">
        <v>19</v>
      </c>
      <c r="M3" s="919">
        <f ca="1" t="shared" ref="M3:M66" si="0">DATEDIF(F3,TODAY(),"D")</f>
        <v>961</v>
      </c>
      <c r="N3" s="728">
        <f t="shared" ref="N3:N66" si="1">F3+179</f>
        <v>45353</v>
      </c>
      <c r="O3" s="1"/>
      <c r="P3" s="1"/>
    </row>
    <row r="4" ht="17.55" hidden="1" customHeight="1" spans="1:16">
      <c r="A4" s="819">
        <v>16</v>
      </c>
      <c r="B4" s="819" t="s">
        <v>15</v>
      </c>
      <c r="C4" s="819" t="s">
        <v>20</v>
      </c>
      <c r="D4" s="819"/>
      <c r="E4" s="1147">
        <v>2000000</v>
      </c>
      <c r="F4" s="775">
        <v>45196</v>
      </c>
      <c r="G4" s="775">
        <v>45254</v>
      </c>
      <c r="H4" s="819" t="s">
        <v>17</v>
      </c>
      <c r="I4" s="819"/>
      <c r="J4" s="819" t="s">
        <v>21</v>
      </c>
      <c r="K4" s="1148"/>
      <c r="L4" s="932"/>
      <c r="M4" s="919">
        <f ca="1" t="shared" si="0"/>
        <v>939</v>
      </c>
      <c r="N4" s="728">
        <f t="shared" si="1"/>
        <v>45375</v>
      </c>
    </row>
    <row r="5" ht="20.1" hidden="1" customHeight="1" spans="1:16">
      <c r="A5" s="819">
        <v>13</v>
      </c>
      <c r="B5" s="819" t="s">
        <v>22</v>
      </c>
      <c r="C5" s="819" t="s">
        <v>23</v>
      </c>
      <c r="D5" s="819"/>
      <c r="E5" s="1147">
        <v>404628.47</v>
      </c>
      <c r="F5" s="775">
        <v>45191</v>
      </c>
      <c r="G5" s="775">
        <v>45259</v>
      </c>
      <c r="H5" s="819" t="s">
        <v>17</v>
      </c>
      <c r="I5" s="819"/>
      <c r="J5" s="819" t="s">
        <v>21</v>
      </c>
      <c r="K5" s="1148"/>
      <c r="L5" s="932" t="s">
        <v>24</v>
      </c>
      <c r="M5" s="919">
        <f ca="1" t="shared" si="0"/>
        <v>944</v>
      </c>
      <c r="N5" s="728">
        <f t="shared" si="1"/>
        <v>45370</v>
      </c>
    </row>
    <row r="6" s="1" customFormat="1" ht="20.1" hidden="1" customHeight="1" spans="1:16">
      <c r="A6" s="819">
        <v>3</v>
      </c>
      <c r="B6" s="819" t="s">
        <v>25</v>
      </c>
      <c r="C6" s="819" t="s">
        <v>26</v>
      </c>
      <c r="D6" s="819"/>
      <c r="E6" s="1147">
        <v>85200</v>
      </c>
      <c r="F6" s="775">
        <v>45156</v>
      </c>
      <c r="G6" s="775">
        <v>45264</v>
      </c>
      <c r="H6" s="819" t="s">
        <v>27</v>
      </c>
      <c r="I6" s="819"/>
      <c r="J6" s="819" t="s">
        <v>21</v>
      </c>
      <c r="K6" s="1148"/>
      <c r="L6" s="932"/>
      <c r="M6" s="919">
        <f ca="1" t="shared" si="0"/>
        <v>979</v>
      </c>
      <c r="N6" s="728">
        <f t="shared" si="1"/>
        <v>45335</v>
      </c>
      <c r="O6"/>
      <c r="P6"/>
    </row>
    <row r="7" s="1" customFormat="1" ht="20.1" hidden="1" customHeight="1" spans="1:16">
      <c r="A7" s="819">
        <v>29</v>
      </c>
      <c r="B7" s="1142" t="s">
        <v>28</v>
      </c>
      <c r="C7" s="1142" t="s">
        <v>29</v>
      </c>
      <c r="D7" s="1142"/>
      <c r="E7" s="1143">
        <v>159999.64</v>
      </c>
      <c r="F7" s="1144">
        <v>45238</v>
      </c>
      <c r="G7" s="1144">
        <v>45272</v>
      </c>
      <c r="H7" s="1142" t="s">
        <v>27</v>
      </c>
      <c r="I7" s="1142"/>
      <c r="J7" s="1142" t="s">
        <v>30</v>
      </c>
      <c r="K7" s="1148"/>
      <c r="L7" s="1146"/>
      <c r="M7" s="919">
        <f ca="1" t="shared" si="0"/>
        <v>897</v>
      </c>
      <c r="N7" s="728">
        <f t="shared" si="1"/>
        <v>45417</v>
      </c>
    </row>
    <row r="8" s="1" customFormat="1" ht="20.1" hidden="1" customHeight="1" spans="1:16">
      <c r="A8" s="819">
        <v>19</v>
      </c>
      <c r="B8" s="819" t="s">
        <v>31</v>
      </c>
      <c r="C8" s="819" t="s">
        <v>32</v>
      </c>
      <c r="D8" s="819"/>
      <c r="E8" s="1147">
        <v>40672</v>
      </c>
      <c r="F8" s="775">
        <v>45215</v>
      </c>
      <c r="G8" s="775">
        <v>45274</v>
      </c>
      <c r="H8" s="819" t="s">
        <v>27</v>
      </c>
      <c r="I8" s="819"/>
      <c r="J8" s="819" t="s">
        <v>21</v>
      </c>
      <c r="K8" s="1148"/>
      <c r="L8" s="932"/>
      <c r="M8" s="919">
        <f ca="1" t="shared" si="0"/>
        <v>920</v>
      </c>
      <c r="N8" s="728">
        <f t="shared" si="1"/>
        <v>45394</v>
      </c>
      <c r="O8"/>
      <c r="P8"/>
    </row>
    <row r="9" s="1" customFormat="1" ht="20.1" hidden="1" customHeight="1" spans="1:16">
      <c r="A9" s="819">
        <v>35</v>
      </c>
      <c r="B9" s="1142" t="s">
        <v>33</v>
      </c>
      <c r="C9" s="1142" t="s">
        <v>34</v>
      </c>
      <c r="D9" s="1142"/>
      <c r="E9" s="1143">
        <v>110360.33</v>
      </c>
      <c r="F9" s="1144">
        <v>45267</v>
      </c>
      <c r="G9" s="1144">
        <v>45274</v>
      </c>
      <c r="H9" s="1142" t="s">
        <v>27</v>
      </c>
      <c r="I9" s="1142"/>
      <c r="J9" s="1048" t="s">
        <v>35</v>
      </c>
      <c r="K9" s="1145"/>
      <c r="L9" s="1146" t="s">
        <v>36</v>
      </c>
      <c r="M9" s="919">
        <f ca="1" t="shared" si="0"/>
        <v>868</v>
      </c>
      <c r="N9" s="728">
        <f t="shared" si="1"/>
        <v>45446</v>
      </c>
    </row>
    <row r="10" s="1" customFormat="1" ht="20.1" hidden="1" customHeight="1" spans="1:16">
      <c r="A10" s="819">
        <v>34</v>
      </c>
      <c r="B10" s="1142" t="s">
        <v>37</v>
      </c>
      <c r="C10" s="1142" t="s">
        <v>38</v>
      </c>
      <c r="D10" s="1142"/>
      <c r="E10" s="1143">
        <v>339862.75</v>
      </c>
      <c r="F10" s="1144">
        <v>45266</v>
      </c>
      <c r="G10" s="1144">
        <v>45282</v>
      </c>
      <c r="H10" s="1142" t="s">
        <v>27</v>
      </c>
      <c r="I10" s="1142"/>
      <c r="J10" s="1048" t="s">
        <v>39</v>
      </c>
      <c r="K10" s="1145"/>
      <c r="L10" s="1146" t="s">
        <v>40</v>
      </c>
      <c r="M10" s="919">
        <f ca="1" t="shared" si="0"/>
        <v>869</v>
      </c>
      <c r="N10" s="728">
        <f t="shared" si="1"/>
        <v>45445</v>
      </c>
    </row>
    <row r="11" s="1" customFormat="1" ht="20.1" hidden="1" customHeight="1" spans="1:16">
      <c r="A11" s="819">
        <v>38</v>
      </c>
      <c r="B11" s="1142" t="s">
        <v>41</v>
      </c>
      <c r="C11" s="1142" t="s">
        <v>42</v>
      </c>
      <c r="D11" s="1142"/>
      <c r="E11" s="1143">
        <v>800000</v>
      </c>
      <c r="F11" s="1144">
        <v>45271</v>
      </c>
      <c r="G11" s="1144">
        <v>45282</v>
      </c>
      <c r="H11" s="1142" t="s">
        <v>17</v>
      </c>
      <c r="I11" s="1142"/>
      <c r="J11" s="1048" t="s">
        <v>43</v>
      </c>
      <c r="K11" s="1145"/>
      <c r="L11" s="1146"/>
      <c r="M11" s="919">
        <f ca="1" t="shared" si="0"/>
        <v>864</v>
      </c>
      <c r="N11" s="728">
        <f t="shared" si="1"/>
        <v>45450</v>
      </c>
    </row>
    <row r="12" ht="20.1" hidden="1" customHeight="1" spans="1:16">
      <c r="A12" s="819">
        <v>24</v>
      </c>
      <c r="B12" s="819" t="s">
        <v>22</v>
      </c>
      <c r="C12" s="819" t="s">
        <v>44</v>
      </c>
      <c r="D12" s="819"/>
      <c r="E12" s="1147">
        <v>400000</v>
      </c>
      <c r="F12" s="775">
        <v>45225</v>
      </c>
      <c r="G12" s="775">
        <v>45286</v>
      </c>
      <c r="H12" s="819" t="s">
        <v>27</v>
      </c>
      <c r="I12" s="819"/>
      <c r="J12" s="819" t="s">
        <v>21</v>
      </c>
      <c r="K12" s="1148"/>
      <c r="L12" s="932" t="s">
        <v>45</v>
      </c>
      <c r="M12" s="919">
        <f ca="1" t="shared" si="0"/>
        <v>910</v>
      </c>
      <c r="N12" s="728">
        <f t="shared" si="1"/>
        <v>45404</v>
      </c>
    </row>
    <row r="13" s="1122" customFormat="1" ht="20.1" hidden="1" customHeight="1" spans="1:16">
      <c r="A13" s="819">
        <v>5</v>
      </c>
      <c r="B13" s="1142" t="s">
        <v>28</v>
      </c>
      <c r="C13" s="1142" t="s">
        <v>46</v>
      </c>
      <c r="D13" s="1142"/>
      <c r="E13" s="1143">
        <v>120000</v>
      </c>
      <c r="F13" s="1144">
        <v>45174</v>
      </c>
      <c r="G13" s="1144">
        <v>45287</v>
      </c>
      <c r="H13" s="1142" t="s">
        <v>27</v>
      </c>
      <c r="I13" s="1142"/>
      <c r="J13" s="1048" t="s">
        <v>47</v>
      </c>
      <c r="K13" s="1145"/>
      <c r="L13" s="1146"/>
      <c r="M13" s="919">
        <f ca="1" t="shared" si="0"/>
        <v>961</v>
      </c>
      <c r="N13" s="728">
        <f t="shared" si="1"/>
        <v>45353</v>
      </c>
      <c r="O13" s="1"/>
      <c r="P13" s="1"/>
    </row>
    <row r="14" ht="20.1" hidden="1" customHeight="1" spans="1:16">
      <c r="A14" s="819">
        <v>8</v>
      </c>
      <c r="B14" s="1142" t="s">
        <v>28</v>
      </c>
      <c r="C14" s="1142" t="s">
        <v>48</v>
      </c>
      <c r="D14" s="1142"/>
      <c r="E14" s="1143">
        <v>188562.79</v>
      </c>
      <c r="F14" s="1144">
        <v>45181</v>
      </c>
      <c r="G14" s="1144">
        <v>45287</v>
      </c>
      <c r="H14" s="1142" t="s">
        <v>27</v>
      </c>
      <c r="I14" s="1142"/>
      <c r="J14" s="1048" t="s">
        <v>30</v>
      </c>
      <c r="K14" s="1145"/>
      <c r="L14" s="1146"/>
      <c r="M14" s="919">
        <f ca="1" t="shared" si="0"/>
        <v>954</v>
      </c>
      <c r="N14" s="728">
        <f t="shared" si="1"/>
        <v>45360</v>
      </c>
      <c r="O14" s="1"/>
      <c r="P14" s="1"/>
    </row>
    <row r="15" ht="20.1" hidden="1" customHeight="1" spans="1:16">
      <c r="A15" s="819">
        <v>9</v>
      </c>
      <c r="B15" s="1142" t="s">
        <v>28</v>
      </c>
      <c r="C15" s="1142" t="s">
        <v>49</v>
      </c>
      <c r="D15" s="1142"/>
      <c r="E15" s="1143">
        <v>120000</v>
      </c>
      <c r="F15" s="1144">
        <v>45183</v>
      </c>
      <c r="G15" s="1144">
        <v>45288</v>
      </c>
      <c r="H15" s="1142" t="s">
        <v>27</v>
      </c>
      <c r="I15" s="1142"/>
      <c r="J15" s="1048" t="s">
        <v>30</v>
      </c>
      <c r="K15" s="1145"/>
      <c r="L15" s="1146"/>
      <c r="M15" s="919">
        <f ca="1" t="shared" si="0"/>
        <v>952</v>
      </c>
      <c r="N15" s="728">
        <f t="shared" si="1"/>
        <v>45362</v>
      </c>
      <c r="O15" s="1"/>
      <c r="P15" s="1"/>
    </row>
    <row r="16" ht="20.1" hidden="1" customHeight="1" spans="1:16">
      <c r="A16" s="819">
        <v>10</v>
      </c>
      <c r="B16" s="819" t="s">
        <v>15</v>
      </c>
      <c r="C16" s="819" t="s">
        <v>50</v>
      </c>
      <c r="D16" s="819"/>
      <c r="E16" s="1147">
        <v>1200000</v>
      </c>
      <c r="F16" s="775">
        <v>45188</v>
      </c>
      <c r="G16" s="775">
        <v>45288</v>
      </c>
      <c r="H16" s="819" t="s">
        <v>17</v>
      </c>
      <c r="I16" s="819"/>
      <c r="J16" s="819" t="s">
        <v>21</v>
      </c>
      <c r="K16" s="1148"/>
      <c r="L16" s="932"/>
      <c r="M16" s="919">
        <f ca="1" t="shared" si="0"/>
        <v>947</v>
      </c>
      <c r="N16" s="728">
        <f t="shared" si="1"/>
        <v>45367</v>
      </c>
    </row>
    <row r="17" ht="20.1" hidden="1" customHeight="1" spans="1:16">
      <c r="A17" s="819">
        <v>1</v>
      </c>
      <c r="B17" s="819" t="s">
        <v>25</v>
      </c>
      <c r="C17" s="819" t="s">
        <v>51</v>
      </c>
      <c r="D17" s="819"/>
      <c r="E17" s="1147">
        <v>66487.85</v>
      </c>
      <c r="F17" s="775">
        <v>45155</v>
      </c>
      <c r="G17" s="775">
        <v>45289</v>
      </c>
      <c r="H17" s="819" t="s">
        <v>27</v>
      </c>
      <c r="I17" s="819"/>
      <c r="J17" s="819" t="s">
        <v>21</v>
      </c>
      <c r="K17" s="1148"/>
      <c r="L17" s="932"/>
      <c r="M17" s="919">
        <f ca="1" t="shared" si="0"/>
        <v>980</v>
      </c>
      <c r="N17" s="728">
        <f t="shared" si="1"/>
        <v>45334</v>
      </c>
    </row>
    <row r="18" ht="20.1" hidden="1" customHeight="1" spans="1:16">
      <c r="A18" s="819">
        <v>2</v>
      </c>
      <c r="B18" s="819" t="s">
        <v>25</v>
      </c>
      <c r="C18" s="819" t="s">
        <v>52</v>
      </c>
      <c r="D18" s="819"/>
      <c r="E18" s="1147">
        <v>120000</v>
      </c>
      <c r="F18" s="775">
        <v>45155</v>
      </c>
      <c r="G18" s="775">
        <v>45289</v>
      </c>
      <c r="H18" s="819" t="s">
        <v>27</v>
      </c>
      <c r="I18" s="819"/>
      <c r="J18" s="819" t="s">
        <v>21</v>
      </c>
      <c r="K18" s="1148"/>
      <c r="L18" s="932"/>
      <c r="M18" s="919">
        <f ca="1" t="shared" si="0"/>
        <v>980</v>
      </c>
      <c r="N18" s="728">
        <f t="shared" si="1"/>
        <v>45334</v>
      </c>
    </row>
    <row r="19" ht="20.1" hidden="1" customHeight="1" spans="1:16">
      <c r="A19" s="819">
        <v>15</v>
      </c>
      <c r="B19" s="819" t="s">
        <v>31</v>
      </c>
      <c r="C19" s="819" t="s">
        <v>53</v>
      </c>
      <c r="D19" s="819"/>
      <c r="E19" s="1147">
        <v>2000000</v>
      </c>
      <c r="F19" s="775">
        <v>45195</v>
      </c>
      <c r="G19" s="775">
        <v>45293</v>
      </c>
      <c r="H19" s="819" t="s">
        <v>17</v>
      </c>
      <c r="I19" s="819"/>
      <c r="J19" s="819" t="s">
        <v>21</v>
      </c>
      <c r="K19" s="1148"/>
      <c r="L19" s="932"/>
      <c r="M19" s="919">
        <f ca="1" t="shared" si="0"/>
        <v>940</v>
      </c>
      <c r="N19" s="728">
        <f t="shared" si="1"/>
        <v>45374</v>
      </c>
    </row>
    <row r="20" s="1" customFormat="1" ht="20.1" hidden="1" customHeight="1" spans="1:16">
      <c r="A20" s="819">
        <v>11</v>
      </c>
      <c r="B20" s="1149" t="s">
        <v>25</v>
      </c>
      <c r="C20" s="1149" t="s">
        <v>54</v>
      </c>
      <c r="D20" s="1149"/>
      <c r="E20" s="1150">
        <v>1200000</v>
      </c>
      <c r="F20" s="1151">
        <v>45190</v>
      </c>
      <c r="G20" s="1151">
        <v>45296</v>
      </c>
      <c r="H20" s="1149" t="s">
        <v>17</v>
      </c>
      <c r="I20" s="1149"/>
      <c r="J20" s="1149" t="s">
        <v>55</v>
      </c>
      <c r="K20" s="1152"/>
      <c r="L20" s="1153" t="s">
        <v>56</v>
      </c>
      <c r="M20" s="919">
        <f ca="1" t="shared" si="0"/>
        <v>945</v>
      </c>
      <c r="N20" s="728">
        <f t="shared" si="1"/>
        <v>45369</v>
      </c>
      <c r="O20" s="1122"/>
      <c r="P20" s="1122"/>
    </row>
    <row r="21" customFormat="1" ht="20.1" hidden="1" customHeight="1" spans="1:16">
      <c r="A21" s="819">
        <v>14</v>
      </c>
      <c r="B21" s="819" t="s">
        <v>57</v>
      </c>
      <c r="C21" s="819" t="s">
        <v>58</v>
      </c>
      <c r="D21" s="819"/>
      <c r="E21" s="1147">
        <v>1600000</v>
      </c>
      <c r="F21" s="775">
        <v>45194</v>
      </c>
      <c r="G21" s="775">
        <v>45308</v>
      </c>
      <c r="H21" s="819" t="s">
        <v>17</v>
      </c>
      <c r="I21" s="819"/>
      <c r="J21" s="819" t="s">
        <v>21</v>
      </c>
      <c r="K21" s="1148"/>
      <c r="L21" s="932"/>
      <c r="M21" s="919">
        <f ca="1" t="shared" si="0"/>
        <v>941</v>
      </c>
      <c r="N21" s="728">
        <f t="shared" si="1"/>
        <v>45373</v>
      </c>
    </row>
    <row r="22" customFormat="1" ht="20.1" hidden="1" customHeight="1" spans="1:16">
      <c r="A22" s="819">
        <v>20</v>
      </c>
      <c r="B22" s="819" t="s">
        <v>28</v>
      </c>
      <c r="C22" s="819" t="s">
        <v>59</v>
      </c>
      <c r="D22" s="819"/>
      <c r="E22" s="1147">
        <v>59591.38</v>
      </c>
      <c r="F22" s="775">
        <v>45219</v>
      </c>
      <c r="G22" s="775">
        <v>45309</v>
      </c>
      <c r="H22" s="819" t="s">
        <v>27</v>
      </c>
      <c r="I22" s="819"/>
      <c r="J22" s="819" t="s">
        <v>21</v>
      </c>
      <c r="K22" s="1148"/>
      <c r="L22" s="932"/>
      <c r="M22" s="919">
        <f ca="1" t="shared" si="0"/>
        <v>916</v>
      </c>
      <c r="N22" s="728">
        <f t="shared" si="1"/>
        <v>45398</v>
      </c>
    </row>
    <row r="23" ht="20.1" hidden="1" customHeight="1" spans="1:16">
      <c r="A23" s="819">
        <v>39</v>
      </c>
      <c r="B23" s="819" t="s">
        <v>57</v>
      </c>
      <c r="C23" s="819" t="s">
        <v>60</v>
      </c>
      <c r="D23" s="819"/>
      <c r="E23" s="1147">
        <v>2400000</v>
      </c>
      <c r="F23" s="775">
        <v>45274</v>
      </c>
      <c r="G23" s="775">
        <v>45316</v>
      </c>
      <c r="H23" s="819" t="s">
        <v>17</v>
      </c>
      <c r="I23" s="819"/>
      <c r="J23" s="819" t="s">
        <v>21</v>
      </c>
      <c r="K23" s="1148"/>
      <c r="L23" s="932" t="s">
        <v>61</v>
      </c>
      <c r="M23" s="919">
        <f ca="1" t="shared" si="0"/>
        <v>861</v>
      </c>
      <c r="N23" s="728">
        <f t="shared" si="1"/>
        <v>45453</v>
      </c>
    </row>
    <row r="24" ht="20.1" hidden="1" customHeight="1" spans="1:16">
      <c r="A24" s="819">
        <v>40</v>
      </c>
      <c r="B24" s="819" t="s">
        <v>57</v>
      </c>
      <c r="C24" s="819" t="s">
        <v>60</v>
      </c>
      <c r="D24" s="819"/>
      <c r="E24" s="1147">
        <v>1600000</v>
      </c>
      <c r="F24" s="775">
        <v>45274</v>
      </c>
      <c r="G24" s="775">
        <v>45316</v>
      </c>
      <c r="H24" s="819" t="s">
        <v>17</v>
      </c>
      <c r="I24" s="819"/>
      <c r="J24" s="819" t="s">
        <v>21</v>
      </c>
      <c r="K24" s="1148"/>
      <c r="L24" s="932" t="s">
        <v>61</v>
      </c>
      <c r="M24" s="919">
        <f ca="1" t="shared" si="0"/>
        <v>861</v>
      </c>
      <c r="N24" s="728">
        <f t="shared" si="1"/>
        <v>45453</v>
      </c>
    </row>
    <row r="25" s="1" customFormat="1" ht="20.1" hidden="1" customHeight="1" spans="1:16">
      <c r="A25" s="819">
        <v>12</v>
      </c>
      <c r="B25" s="819" t="s">
        <v>62</v>
      </c>
      <c r="C25" s="819" t="s">
        <v>63</v>
      </c>
      <c r="D25" s="819"/>
      <c r="E25" s="1147">
        <v>31787.35</v>
      </c>
      <c r="F25" s="775">
        <v>45190</v>
      </c>
      <c r="G25" s="775">
        <v>45323</v>
      </c>
      <c r="H25" s="819" t="s">
        <v>27</v>
      </c>
      <c r="I25" s="819"/>
      <c r="J25" s="819" t="s">
        <v>21</v>
      </c>
      <c r="K25" s="1148"/>
      <c r="L25" s="932"/>
      <c r="M25" s="919">
        <f ca="1" t="shared" si="0"/>
        <v>945</v>
      </c>
      <c r="N25" s="728">
        <f t="shared" si="1"/>
        <v>45369</v>
      </c>
      <c r="O25"/>
      <c r="P25"/>
    </row>
    <row r="26" ht="20.1" hidden="1" customHeight="1" spans="1:16">
      <c r="A26" s="819">
        <v>30</v>
      </c>
      <c r="B26" s="1142" t="s">
        <v>28</v>
      </c>
      <c r="C26" s="1142" t="s">
        <v>64</v>
      </c>
      <c r="D26" s="1142"/>
      <c r="E26" s="1143">
        <v>120000</v>
      </c>
      <c r="F26" s="1144">
        <v>45238</v>
      </c>
      <c r="G26" s="1144">
        <v>45324</v>
      </c>
      <c r="H26" s="1142" t="s">
        <v>27</v>
      </c>
      <c r="I26" s="1142"/>
      <c r="J26" s="1142" t="s">
        <v>30</v>
      </c>
      <c r="K26" s="1148"/>
      <c r="L26" s="1146" t="s">
        <v>65</v>
      </c>
      <c r="M26" s="919">
        <f ca="1" t="shared" si="0"/>
        <v>897</v>
      </c>
      <c r="N26" s="728">
        <f t="shared" si="1"/>
        <v>45417</v>
      </c>
      <c r="O26" s="1"/>
      <c r="P26" s="1"/>
    </row>
    <row r="27" s="1" customFormat="1" ht="20.1" hidden="1" customHeight="1" spans="1:16">
      <c r="A27" s="819">
        <v>41</v>
      </c>
      <c r="B27" s="819" t="s">
        <v>41</v>
      </c>
      <c r="C27" s="819" t="s">
        <v>66</v>
      </c>
      <c r="D27" s="819"/>
      <c r="E27" s="1147">
        <v>2000000</v>
      </c>
      <c r="F27" s="775">
        <v>45274</v>
      </c>
      <c r="G27" s="775">
        <v>45328</v>
      </c>
      <c r="H27" s="819" t="s">
        <v>17</v>
      </c>
      <c r="I27" s="819"/>
      <c r="J27" s="819" t="s">
        <v>21</v>
      </c>
      <c r="K27" s="1148"/>
      <c r="L27" s="932"/>
      <c r="M27" s="919">
        <f ca="1" t="shared" si="0"/>
        <v>861</v>
      </c>
      <c r="N27" s="728">
        <f t="shared" si="1"/>
        <v>45453</v>
      </c>
      <c r="O27"/>
      <c r="P27"/>
    </row>
    <row r="28" ht="20.1" hidden="1" customHeight="1" spans="1:16">
      <c r="A28" s="819">
        <v>26</v>
      </c>
      <c r="B28" s="819" t="s">
        <v>28</v>
      </c>
      <c r="C28" s="819" t="s">
        <v>67</v>
      </c>
      <c r="D28" s="819"/>
      <c r="E28" s="1147">
        <v>113094.86</v>
      </c>
      <c r="F28" s="775">
        <v>45236</v>
      </c>
      <c r="G28" s="775">
        <v>45340</v>
      </c>
      <c r="H28" s="819" t="s">
        <v>27</v>
      </c>
      <c r="I28" s="819"/>
      <c r="J28" s="819"/>
      <c r="K28" s="1148"/>
      <c r="L28" s="932" t="s">
        <v>68</v>
      </c>
      <c r="M28" s="919">
        <f ca="1" t="shared" si="0"/>
        <v>899</v>
      </c>
      <c r="N28" s="728">
        <f t="shared" si="1"/>
        <v>45415</v>
      </c>
    </row>
    <row r="29" ht="20.1" hidden="1" customHeight="1" spans="1:16">
      <c r="A29" s="819">
        <v>22</v>
      </c>
      <c r="B29" s="819" t="s">
        <v>37</v>
      </c>
      <c r="C29" s="819" t="s">
        <v>69</v>
      </c>
      <c r="D29" s="819"/>
      <c r="E29" s="1147">
        <v>1420640</v>
      </c>
      <c r="F29" s="775">
        <v>45222</v>
      </c>
      <c r="G29" s="775">
        <v>45341</v>
      </c>
      <c r="H29" s="819" t="s">
        <v>17</v>
      </c>
      <c r="I29" s="819"/>
      <c r="J29" s="819" t="s">
        <v>21</v>
      </c>
      <c r="K29" s="1148"/>
      <c r="L29" s="932" t="s">
        <v>70</v>
      </c>
      <c r="M29" s="919">
        <f ca="1" t="shared" si="0"/>
        <v>913</v>
      </c>
      <c r="N29" s="728">
        <f t="shared" si="1"/>
        <v>45401</v>
      </c>
    </row>
    <row r="30" s="1" customFormat="1" ht="20.1" hidden="1" customHeight="1" spans="1:16">
      <c r="A30" s="819">
        <v>27</v>
      </c>
      <c r="B30" s="819" t="s">
        <v>28</v>
      </c>
      <c r="C30" s="819" t="s">
        <v>71</v>
      </c>
      <c r="D30" s="819"/>
      <c r="E30" s="1147">
        <v>120000</v>
      </c>
      <c r="F30" s="775">
        <v>45236</v>
      </c>
      <c r="G30" s="775">
        <v>45341</v>
      </c>
      <c r="H30" s="819" t="s">
        <v>27</v>
      </c>
      <c r="I30" s="819"/>
      <c r="J30" s="819"/>
      <c r="K30" s="1148"/>
      <c r="L30" s="932" t="s">
        <v>68</v>
      </c>
      <c r="M30" s="919">
        <f ca="1" t="shared" si="0"/>
        <v>899</v>
      </c>
      <c r="N30" s="728">
        <f t="shared" si="1"/>
        <v>45415</v>
      </c>
      <c r="O30"/>
      <c r="P30"/>
    </row>
    <row r="31" s="1" customFormat="1" ht="20.1" hidden="1" customHeight="1" spans="1:16">
      <c r="A31" s="819">
        <v>25</v>
      </c>
      <c r="B31" s="1142" t="s">
        <v>37</v>
      </c>
      <c r="C31" s="1142" t="s">
        <v>72</v>
      </c>
      <c r="D31" s="1142"/>
      <c r="E31" s="1143">
        <v>340768.58</v>
      </c>
      <c r="F31" s="1144">
        <v>45231</v>
      </c>
      <c r="G31" s="1144">
        <v>45350</v>
      </c>
      <c r="H31" s="1142" t="s">
        <v>27</v>
      </c>
      <c r="I31" s="1142"/>
      <c r="J31" s="1048" t="s">
        <v>73</v>
      </c>
      <c r="K31" s="1145"/>
      <c r="L31" s="1146" t="s">
        <v>74</v>
      </c>
      <c r="M31" s="919">
        <f ca="1" t="shared" si="0"/>
        <v>904</v>
      </c>
      <c r="N31" s="728">
        <f t="shared" si="1"/>
        <v>45410</v>
      </c>
    </row>
    <row r="32" s="1" customFormat="1" ht="20.1" hidden="1" customHeight="1" spans="1:16">
      <c r="A32" s="819">
        <v>63</v>
      </c>
      <c r="B32" s="1142" t="s">
        <v>75</v>
      </c>
      <c r="C32" s="1142" t="s">
        <v>76</v>
      </c>
      <c r="D32" s="1142"/>
      <c r="E32" s="1143">
        <v>59814.61</v>
      </c>
      <c r="F32" s="1144">
        <v>45302</v>
      </c>
      <c r="G32" s="1144">
        <v>45351</v>
      </c>
      <c r="H32" s="1142" t="s">
        <v>27</v>
      </c>
      <c r="I32" s="1142"/>
      <c r="J32" s="1142" t="s">
        <v>30</v>
      </c>
      <c r="K32" s="1148"/>
      <c r="L32" s="1146" t="s">
        <v>77</v>
      </c>
      <c r="M32" s="919">
        <f ca="1" t="shared" si="0"/>
        <v>833</v>
      </c>
      <c r="N32" s="728">
        <f t="shared" si="1"/>
        <v>45481</v>
      </c>
    </row>
    <row r="33" ht="20.1" hidden="1" customHeight="1" spans="1:16">
      <c r="A33" s="819">
        <v>64</v>
      </c>
      <c r="B33" s="1142" t="s">
        <v>75</v>
      </c>
      <c r="C33" s="1142" t="s">
        <v>78</v>
      </c>
      <c r="D33" s="1142"/>
      <c r="E33" s="1143">
        <v>84954.52</v>
      </c>
      <c r="F33" s="1144">
        <v>45302</v>
      </c>
      <c r="G33" s="1144">
        <v>45351</v>
      </c>
      <c r="H33" s="1142" t="s">
        <v>27</v>
      </c>
      <c r="I33" s="1142"/>
      <c r="J33" s="1142" t="s">
        <v>30</v>
      </c>
      <c r="K33" s="1148"/>
      <c r="L33" s="1146" t="s">
        <v>77</v>
      </c>
      <c r="M33" s="919">
        <f ca="1" t="shared" si="0"/>
        <v>833</v>
      </c>
      <c r="N33" s="728">
        <f t="shared" si="1"/>
        <v>45481</v>
      </c>
      <c r="O33" s="1"/>
      <c r="P33" s="1"/>
    </row>
    <row r="34" s="1" customFormat="1" ht="32.25" customHeight="1" spans="1:16">
      <c r="A34" s="819">
        <v>28</v>
      </c>
      <c r="B34" s="1142" t="s">
        <v>79</v>
      </c>
      <c r="C34" s="1142" t="s">
        <v>80</v>
      </c>
      <c r="D34" s="1142"/>
      <c r="E34" s="1143">
        <v>205809.07</v>
      </c>
      <c r="F34" s="1144">
        <v>45236</v>
      </c>
      <c r="G34" s="1144">
        <v>45352</v>
      </c>
      <c r="H34" s="1142" t="s">
        <v>27</v>
      </c>
      <c r="I34" s="1142"/>
      <c r="J34" s="1048" t="s">
        <v>73</v>
      </c>
      <c r="K34" s="1145"/>
      <c r="L34" s="1146" t="s">
        <v>74</v>
      </c>
      <c r="M34" s="919">
        <f ca="1" t="shared" si="0"/>
        <v>899</v>
      </c>
      <c r="N34" s="728">
        <f t="shared" si="1"/>
        <v>45415</v>
      </c>
    </row>
    <row r="35" ht="26.25" hidden="1" customHeight="1" spans="1:16">
      <c r="A35" s="819">
        <v>59</v>
      </c>
      <c r="B35" s="819" t="s">
        <v>41</v>
      </c>
      <c r="C35" s="819" t="s">
        <v>81</v>
      </c>
      <c r="D35" s="819"/>
      <c r="E35" s="1147">
        <v>2000000</v>
      </c>
      <c r="F35" s="775">
        <v>45295</v>
      </c>
      <c r="G35" s="775">
        <v>45352</v>
      </c>
      <c r="H35" s="819" t="s">
        <v>17</v>
      </c>
      <c r="I35" s="819"/>
      <c r="J35" s="819" t="s">
        <v>21</v>
      </c>
      <c r="K35" s="1148"/>
      <c r="L35" s="932"/>
      <c r="M35" s="919">
        <f ca="1" t="shared" si="0"/>
        <v>840</v>
      </c>
      <c r="N35" s="728">
        <f t="shared" si="1"/>
        <v>45474</v>
      </c>
    </row>
    <row r="36" s="1" customFormat="1" ht="20.1" hidden="1" customHeight="1" spans="1:16">
      <c r="A36" s="819">
        <v>17</v>
      </c>
      <c r="B36" s="819" t="s">
        <v>37</v>
      </c>
      <c r="C36" s="819" t="s">
        <v>82</v>
      </c>
      <c r="D36" s="819"/>
      <c r="E36" s="1147">
        <v>2000000</v>
      </c>
      <c r="F36" s="775">
        <v>45197</v>
      </c>
      <c r="G36" s="775">
        <v>45355</v>
      </c>
      <c r="H36" s="819" t="s">
        <v>17</v>
      </c>
      <c r="I36" s="819"/>
      <c r="J36" s="819" t="s">
        <v>21</v>
      </c>
      <c r="K36" s="1148"/>
      <c r="L36" s="932"/>
      <c r="M36" s="919">
        <f ca="1" t="shared" si="0"/>
        <v>938</v>
      </c>
      <c r="N36" s="728">
        <f t="shared" si="1"/>
        <v>45376</v>
      </c>
      <c r="O36"/>
      <c r="P36"/>
    </row>
    <row r="37" s="1" customFormat="1" ht="20.1" hidden="1" customHeight="1" spans="1:16">
      <c r="A37" s="819">
        <v>18</v>
      </c>
      <c r="B37" s="1142" t="s">
        <v>37</v>
      </c>
      <c r="C37" s="1142" t="s">
        <v>83</v>
      </c>
      <c r="D37" s="1142"/>
      <c r="E37" s="1143">
        <v>1808000</v>
      </c>
      <c r="F37" s="1144">
        <v>45197</v>
      </c>
      <c r="G37" s="1144">
        <v>45356</v>
      </c>
      <c r="H37" s="1142" t="s">
        <v>17</v>
      </c>
      <c r="I37" s="1142"/>
      <c r="J37" s="1048" t="s">
        <v>84</v>
      </c>
      <c r="K37" s="1145"/>
      <c r="L37" s="1146" t="s">
        <v>85</v>
      </c>
      <c r="M37" s="919">
        <f ca="1" t="shared" si="0"/>
        <v>938</v>
      </c>
      <c r="N37" s="728">
        <f t="shared" si="1"/>
        <v>45376</v>
      </c>
    </row>
    <row r="38" ht="20.1" hidden="1" customHeight="1" spans="1:16">
      <c r="A38" s="819">
        <v>36</v>
      </c>
      <c r="B38" s="819" t="s">
        <v>31</v>
      </c>
      <c r="C38" s="819" t="s">
        <v>86</v>
      </c>
      <c r="D38" s="819"/>
      <c r="E38" s="1147">
        <v>16074.44</v>
      </c>
      <c r="F38" s="775">
        <v>45267</v>
      </c>
      <c r="G38" s="775">
        <v>45357</v>
      </c>
      <c r="H38" s="819" t="s">
        <v>27</v>
      </c>
      <c r="I38" s="819"/>
      <c r="J38" s="819" t="s">
        <v>21</v>
      </c>
      <c r="K38" s="1148"/>
      <c r="L38" s="932" t="s">
        <v>87</v>
      </c>
      <c r="M38" s="919">
        <f ca="1" t="shared" si="0"/>
        <v>868</v>
      </c>
      <c r="N38" s="728">
        <f t="shared" si="1"/>
        <v>45446</v>
      </c>
    </row>
    <row r="39" ht="20.1" hidden="1" customHeight="1" spans="1:16">
      <c r="A39" s="819">
        <v>37</v>
      </c>
      <c r="B39" s="819" t="s">
        <v>31</v>
      </c>
      <c r="C39" s="819" t="s">
        <v>88</v>
      </c>
      <c r="D39" s="819"/>
      <c r="E39" s="1147">
        <v>23982.09</v>
      </c>
      <c r="F39" s="775">
        <v>45268</v>
      </c>
      <c r="G39" s="775">
        <v>45357</v>
      </c>
      <c r="H39" s="819" t="s">
        <v>27</v>
      </c>
      <c r="I39" s="819"/>
      <c r="J39" s="819" t="s">
        <v>21</v>
      </c>
      <c r="K39" s="1148"/>
      <c r="L39" s="932" t="s">
        <v>87</v>
      </c>
      <c r="M39" s="919">
        <f ca="1" t="shared" si="0"/>
        <v>867</v>
      </c>
      <c r="N39" s="728">
        <f t="shared" si="1"/>
        <v>45447</v>
      </c>
    </row>
    <row r="40" s="1" customFormat="1" ht="20.1" hidden="1" customHeight="1" spans="1:16">
      <c r="A40" s="819">
        <v>62</v>
      </c>
      <c r="B40" s="819" t="s">
        <v>89</v>
      </c>
      <c r="C40" s="819" t="s">
        <v>90</v>
      </c>
      <c r="D40" s="819"/>
      <c r="E40" s="1147">
        <v>760000</v>
      </c>
      <c r="F40" s="775">
        <v>45301</v>
      </c>
      <c r="G40" s="775">
        <v>45357</v>
      </c>
      <c r="H40" s="819" t="s">
        <v>17</v>
      </c>
      <c r="I40" s="819"/>
      <c r="J40" s="819" t="s">
        <v>21</v>
      </c>
      <c r="K40" s="1148"/>
      <c r="L40" s="932" t="s">
        <v>91</v>
      </c>
      <c r="M40" s="919">
        <f ca="1" t="shared" si="0"/>
        <v>834</v>
      </c>
      <c r="N40" s="728">
        <f t="shared" si="1"/>
        <v>45480</v>
      </c>
      <c r="O40"/>
      <c r="P40"/>
    </row>
    <row r="41" ht="20.1" hidden="1" customHeight="1" spans="1:16">
      <c r="A41" s="819">
        <v>72</v>
      </c>
      <c r="B41" s="819" t="s">
        <v>22</v>
      </c>
      <c r="C41" s="819" t="s">
        <v>92</v>
      </c>
      <c r="D41" s="819"/>
      <c r="E41" s="1154">
        <v>1000000</v>
      </c>
      <c r="F41" s="775">
        <v>45330</v>
      </c>
      <c r="G41" s="775">
        <v>45357</v>
      </c>
      <c r="H41" s="819" t="s">
        <v>17</v>
      </c>
      <c r="I41" s="819"/>
      <c r="J41" s="819" t="s">
        <v>21</v>
      </c>
      <c r="K41" s="1148"/>
      <c r="L41" s="932"/>
      <c r="M41" s="919">
        <f ca="1" t="shared" si="0"/>
        <v>805</v>
      </c>
      <c r="N41" s="728">
        <f t="shared" si="1"/>
        <v>45509</v>
      </c>
    </row>
    <row r="42" ht="20.1" hidden="1" customHeight="1" spans="1:16">
      <c r="A42" s="819">
        <v>31</v>
      </c>
      <c r="B42" s="819" t="s">
        <v>28</v>
      </c>
      <c r="C42" s="819" t="s">
        <v>93</v>
      </c>
      <c r="D42" s="819"/>
      <c r="E42" s="1147">
        <v>40000</v>
      </c>
      <c r="F42" s="775">
        <v>45251</v>
      </c>
      <c r="G42" s="775">
        <v>45363</v>
      </c>
      <c r="H42" s="819" t="s">
        <v>27</v>
      </c>
      <c r="I42" s="819"/>
      <c r="J42" s="819" t="s">
        <v>21</v>
      </c>
      <c r="K42" s="1148"/>
      <c r="L42" s="932"/>
      <c r="M42" s="919">
        <f ca="1" t="shared" si="0"/>
        <v>884</v>
      </c>
      <c r="N42" s="728">
        <f t="shared" si="1"/>
        <v>45430</v>
      </c>
    </row>
    <row r="43" customFormat="1" ht="20.1" hidden="1" customHeight="1" spans="1:16">
      <c r="A43" s="819">
        <v>32</v>
      </c>
      <c r="B43" s="1142" t="s">
        <v>28</v>
      </c>
      <c r="C43" s="1142" t="s">
        <v>94</v>
      </c>
      <c r="D43" s="1142"/>
      <c r="E43" s="1143">
        <v>60000</v>
      </c>
      <c r="F43" s="1144">
        <v>45251</v>
      </c>
      <c r="G43" s="1144">
        <v>45369</v>
      </c>
      <c r="H43" s="1142" t="s">
        <v>27</v>
      </c>
      <c r="I43" s="1142"/>
      <c r="J43" s="1048" t="s">
        <v>95</v>
      </c>
      <c r="K43" s="1145"/>
      <c r="L43" s="1146" t="s">
        <v>96</v>
      </c>
      <c r="M43" s="919">
        <f ca="1" t="shared" si="0"/>
        <v>884</v>
      </c>
      <c r="N43" s="728">
        <f t="shared" si="1"/>
        <v>45430</v>
      </c>
      <c r="O43" s="1"/>
      <c r="P43" s="1"/>
    </row>
    <row r="44" s="1" customFormat="1" ht="20.1" hidden="1" customHeight="1" spans="1:16">
      <c r="A44" s="819">
        <v>57</v>
      </c>
      <c r="B44" s="1142" t="s">
        <v>22</v>
      </c>
      <c r="C44" s="1142" t="s">
        <v>97</v>
      </c>
      <c r="D44" s="1142"/>
      <c r="E44" s="1143">
        <v>3997450.76</v>
      </c>
      <c r="F44" s="1144">
        <v>45290</v>
      </c>
      <c r="G44" s="1144">
        <v>45369</v>
      </c>
      <c r="H44" s="1142" t="s">
        <v>17</v>
      </c>
      <c r="I44" s="1142"/>
      <c r="J44" s="1048" t="s">
        <v>98</v>
      </c>
      <c r="K44" s="1145"/>
      <c r="L44" s="1146" t="s">
        <v>99</v>
      </c>
      <c r="M44" s="919">
        <f ca="1" t="shared" si="0"/>
        <v>845</v>
      </c>
      <c r="N44" s="728">
        <f t="shared" si="1"/>
        <v>45469</v>
      </c>
    </row>
    <row r="45" customFormat="1" ht="20.1" hidden="1" customHeight="1" spans="1:16">
      <c r="A45" s="819">
        <v>44</v>
      </c>
      <c r="B45" s="819" t="s">
        <v>28</v>
      </c>
      <c r="C45" s="819" t="s">
        <v>100</v>
      </c>
      <c r="D45" s="819"/>
      <c r="E45" s="1147">
        <v>319728.6</v>
      </c>
      <c r="F45" s="775">
        <v>45279</v>
      </c>
      <c r="G45" s="775">
        <v>45372</v>
      </c>
      <c r="H45" s="819" t="s">
        <v>27</v>
      </c>
      <c r="I45" s="819"/>
      <c r="J45" s="819" t="s">
        <v>21</v>
      </c>
      <c r="K45" s="1148"/>
      <c r="L45" s="932"/>
      <c r="M45" s="919">
        <f ca="1" t="shared" si="0"/>
        <v>856</v>
      </c>
      <c r="N45" s="728">
        <f t="shared" si="1"/>
        <v>45458</v>
      </c>
    </row>
    <row r="46" customFormat="1" ht="20.1" hidden="1" customHeight="1" spans="1:16">
      <c r="A46" s="819">
        <v>45</v>
      </c>
      <c r="B46" s="819" t="s">
        <v>37</v>
      </c>
      <c r="C46" s="819" t="s">
        <v>69</v>
      </c>
      <c r="D46" s="819"/>
      <c r="E46" s="1147">
        <v>629357.15</v>
      </c>
      <c r="F46" s="775">
        <v>45281</v>
      </c>
      <c r="G46" s="775">
        <v>45373</v>
      </c>
      <c r="H46" s="819" t="s">
        <v>27</v>
      </c>
      <c r="I46" s="819"/>
      <c r="J46" s="819" t="s">
        <v>21</v>
      </c>
      <c r="K46" s="1148"/>
      <c r="L46" s="932" t="s">
        <v>101</v>
      </c>
      <c r="M46" s="919">
        <f ca="1" t="shared" si="0"/>
        <v>854</v>
      </c>
      <c r="N46" s="728">
        <f t="shared" si="1"/>
        <v>45460</v>
      </c>
    </row>
    <row r="47" ht="20.1" hidden="1" customHeight="1" spans="1:16">
      <c r="A47" s="819">
        <v>21</v>
      </c>
      <c r="B47" s="819" t="s">
        <v>37</v>
      </c>
      <c r="C47" s="819" t="s">
        <v>60</v>
      </c>
      <c r="D47" s="819"/>
      <c r="E47" s="1147">
        <v>1600000</v>
      </c>
      <c r="F47" s="775">
        <v>45219</v>
      </c>
      <c r="G47" s="775">
        <v>45377</v>
      </c>
      <c r="H47" s="819" t="s">
        <v>17</v>
      </c>
      <c r="I47" s="819"/>
      <c r="J47" s="819" t="s">
        <v>21</v>
      </c>
      <c r="K47" s="1148"/>
      <c r="L47" s="932"/>
      <c r="M47" s="919">
        <f ca="1" t="shared" si="0"/>
        <v>916</v>
      </c>
      <c r="N47" s="728">
        <f t="shared" si="1"/>
        <v>45398</v>
      </c>
    </row>
    <row r="48" ht="20.1" hidden="1" customHeight="1" spans="1:16">
      <c r="A48" s="819">
        <v>60</v>
      </c>
      <c r="B48" s="1142" t="s">
        <v>102</v>
      </c>
      <c r="C48" s="1142" t="s">
        <v>103</v>
      </c>
      <c r="D48" s="1142"/>
      <c r="E48" s="1143">
        <v>79600</v>
      </c>
      <c r="F48" s="1144">
        <v>45299</v>
      </c>
      <c r="G48" s="1144">
        <v>45377</v>
      </c>
      <c r="H48" s="1142" t="s">
        <v>27</v>
      </c>
      <c r="I48" s="1142"/>
      <c r="J48" s="1048" t="s">
        <v>104</v>
      </c>
      <c r="K48" s="1145"/>
      <c r="L48" s="1146"/>
      <c r="M48" s="919">
        <f ca="1" t="shared" si="0"/>
        <v>836</v>
      </c>
      <c r="N48" s="728">
        <f t="shared" si="1"/>
        <v>45478</v>
      </c>
      <c r="O48" s="1"/>
      <c r="P48" s="1"/>
    </row>
    <row r="49" s="1" customFormat="1" ht="20.1" hidden="1" customHeight="1" spans="1:16">
      <c r="A49" s="819">
        <v>61</v>
      </c>
      <c r="B49" s="1142" t="s">
        <v>102</v>
      </c>
      <c r="C49" s="1142" t="s">
        <v>105</v>
      </c>
      <c r="D49" s="1142"/>
      <c r="E49" s="1143">
        <v>79600</v>
      </c>
      <c r="F49" s="1144">
        <v>45299</v>
      </c>
      <c r="G49" s="1144">
        <v>45377</v>
      </c>
      <c r="H49" s="1142" t="s">
        <v>27</v>
      </c>
      <c r="I49" s="1142"/>
      <c r="J49" s="1048" t="s">
        <v>104</v>
      </c>
      <c r="K49" s="1145"/>
      <c r="L49" s="1146"/>
      <c r="M49" s="919">
        <f ca="1" t="shared" si="0"/>
        <v>836</v>
      </c>
      <c r="N49" s="728">
        <f t="shared" si="1"/>
        <v>45478</v>
      </c>
    </row>
    <row r="50" s="1" customFormat="1" ht="20.1" hidden="1" customHeight="1" spans="1:16">
      <c r="A50" s="819">
        <v>65</v>
      </c>
      <c r="B50" s="1142" t="s">
        <v>102</v>
      </c>
      <c r="C50" s="1142" t="s">
        <v>106</v>
      </c>
      <c r="D50" s="1142"/>
      <c r="E50" s="1143">
        <v>380000</v>
      </c>
      <c r="F50" s="1144">
        <v>45302</v>
      </c>
      <c r="G50" s="1144">
        <v>45377</v>
      </c>
      <c r="H50" s="1142" t="s">
        <v>27</v>
      </c>
      <c r="I50" s="1142"/>
      <c r="J50" s="1048" t="s">
        <v>104</v>
      </c>
      <c r="K50" s="1145"/>
      <c r="L50" s="1146" t="s">
        <v>107</v>
      </c>
      <c r="M50" s="919">
        <f ca="1" t="shared" si="0"/>
        <v>833</v>
      </c>
      <c r="N50" s="728">
        <f t="shared" si="1"/>
        <v>45481</v>
      </c>
    </row>
    <row r="51" s="1" customFormat="1" ht="20.1" hidden="1" customHeight="1" spans="1:16">
      <c r="A51" s="819">
        <v>91</v>
      </c>
      <c r="B51" s="819" t="s">
        <v>25</v>
      </c>
      <c r="C51" s="819" t="s">
        <v>108</v>
      </c>
      <c r="D51" s="1085" t="s">
        <v>109</v>
      </c>
      <c r="E51" s="1154">
        <v>3145166.67</v>
      </c>
      <c r="F51" s="775">
        <v>45365</v>
      </c>
      <c r="G51" s="775">
        <v>45379</v>
      </c>
      <c r="H51" s="819" t="s">
        <v>17</v>
      </c>
      <c r="I51" s="819"/>
      <c r="J51" s="1155" t="s">
        <v>55</v>
      </c>
      <c r="K51" s="1156"/>
      <c r="L51" s="938" t="s">
        <v>110</v>
      </c>
      <c r="M51" s="919">
        <f ca="1" t="shared" si="0"/>
        <v>770</v>
      </c>
      <c r="N51" s="728">
        <f t="shared" si="1"/>
        <v>45544</v>
      </c>
      <c r="O51"/>
      <c r="P51"/>
    </row>
    <row r="52" s="1" customFormat="1" ht="20.1" hidden="1" customHeight="1" spans="1:16">
      <c r="A52" s="819">
        <v>46</v>
      </c>
      <c r="B52" s="819" t="s">
        <v>31</v>
      </c>
      <c r="C52" s="819" t="s">
        <v>111</v>
      </c>
      <c r="D52" s="819"/>
      <c r="E52" s="1147">
        <v>1068028.28</v>
      </c>
      <c r="F52" s="775">
        <v>45281</v>
      </c>
      <c r="G52" s="775">
        <v>45380</v>
      </c>
      <c r="H52" s="819" t="s">
        <v>17</v>
      </c>
      <c r="I52" s="819"/>
      <c r="J52" s="819" t="s">
        <v>21</v>
      </c>
      <c r="K52" s="1148"/>
      <c r="L52" s="932" t="s">
        <v>87</v>
      </c>
      <c r="M52" s="919">
        <f ca="1" t="shared" si="0"/>
        <v>854</v>
      </c>
      <c r="N52" s="728">
        <f t="shared" si="1"/>
        <v>45460</v>
      </c>
      <c r="O52"/>
      <c r="P52"/>
    </row>
    <row r="53" ht="20.1" hidden="1" customHeight="1" spans="1:16">
      <c r="A53" s="819">
        <v>51</v>
      </c>
      <c r="B53" s="819" t="s">
        <v>31</v>
      </c>
      <c r="C53" s="819" t="s">
        <v>112</v>
      </c>
      <c r="D53" s="819"/>
      <c r="E53" s="1147">
        <v>117885.6</v>
      </c>
      <c r="F53" s="775">
        <v>45282</v>
      </c>
      <c r="G53" s="775">
        <v>45380</v>
      </c>
      <c r="H53" s="819" t="s">
        <v>27</v>
      </c>
      <c r="I53" s="819"/>
      <c r="J53" s="819" t="s">
        <v>21</v>
      </c>
      <c r="K53" s="1148"/>
      <c r="L53" s="932" t="s">
        <v>87</v>
      </c>
      <c r="M53" s="919">
        <f ca="1" t="shared" si="0"/>
        <v>853</v>
      </c>
      <c r="N53" s="728">
        <f t="shared" si="1"/>
        <v>45461</v>
      </c>
    </row>
    <row r="54" s="1" customFormat="1" ht="20.1" hidden="1" customHeight="1" spans="1:16">
      <c r="A54" s="819">
        <v>43</v>
      </c>
      <c r="B54" s="819" t="s">
        <v>28</v>
      </c>
      <c r="C54" s="819" t="s">
        <v>113</v>
      </c>
      <c r="D54" s="819"/>
      <c r="E54" s="1147">
        <v>120000</v>
      </c>
      <c r="F54" s="775">
        <v>45275</v>
      </c>
      <c r="G54" s="775">
        <v>45384</v>
      </c>
      <c r="H54" s="819" t="s">
        <v>27</v>
      </c>
      <c r="I54" s="819"/>
      <c r="J54" s="819" t="s">
        <v>21</v>
      </c>
      <c r="K54" s="1148"/>
      <c r="L54" s="932"/>
      <c r="M54" s="919">
        <f ca="1" t="shared" si="0"/>
        <v>860</v>
      </c>
      <c r="N54" s="728">
        <f t="shared" si="1"/>
        <v>45454</v>
      </c>
      <c r="O54"/>
      <c r="P54"/>
    </row>
    <row r="55" s="1" customFormat="1" ht="20.1" hidden="1" customHeight="1" spans="1:16">
      <c r="A55" s="819">
        <v>54</v>
      </c>
      <c r="B55" s="819" t="s">
        <v>31</v>
      </c>
      <c r="C55" s="819" t="s">
        <v>114</v>
      </c>
      <c r="D55" s="819"/>
      <c r="E55" s="1147">
        <v>769844.38</v>
      </c>
      <c r="F55" s="775">
        <v>45289</v>
      </c>
      <c r="G55" s="775">
        <v>45384</v>
      </c>
      <c r="H55" s="819" t="s">
        <v>17</v>
      </c>
      <c r="I55" s="819"/>
      <c r="J55" s="819" t="s">
        <v>21</v>
      </c>
      <c r="K55" s="1148"/>
      <c r="L55" s="932" t="s">
        <v>115</v>
      </c>
      <c r="M55" s="919">
        <f ca="1" t="shared" si="0"/>
        <v>846</v>
      </c>
      <c r="N55" s="728">
        <f t="shared" si="1"/>
        <v>45468</v>
      </c>
      <c r="O55"/>
      <c r="P55"/>
    </row>
    <row r="56" ht="20.1" hidden="1" customHeight="1" spans="1:16">
      <c r="A56" s="819">
        <v>55</v>
      </c>
      <c r="B56" s="819" t="s">
        <v>31</v>
      </c>
      <c r="C56" s="819" t="s">
        <v>116</v>
      </c>
      <c r="D56" s="819"/>
      <c r="E56" s="1147">
        <v>769849.66</v>
      </c>
      <c r="F56" s="775">
        <v>45289</v>
      </c>
      <c r="G56" s="775">
        <v>45384</v>
      </c>
      <c r="H56" s="819" t="s">
        <v>17</v>
      </c>
      <c r="I56" s="819"/>
      <c r="J56" s="819" t="s">
        <v>21</v>
      </c>
      <c r="K56" s="1148"/>
      <c r="L56" s="932" t="s">
        <v>115</v>
      </c>
      <c r="M56" s="919">
        <f ca="1" t="shared" si="0"/>
        <v>846</v>
      </c>
      <c r="N56" s="728">
        <f t="shared" si="1"/>
        <v>45468</v>
      </c>
    </row>
    <row r="57" ht="20.1" hidden="1" customHeight="1" spans="1:16">
      <c r="A57" s="819">
        <v>56</v>
      </c>
      <c r="B57" s="819" t="s">
        <v>31</v>
      </c>
      <c r="C57" s="819" t="s">
        <v>117</v>
      </c>
      <c r="D57" s="819"/>
      <c r="E57" s="1147">
        <v>769849.66</v>
      </c>
      <c r="F57" s="775">
        <v>45289</v>
      </c>
      <c r="G57" s="775">
        <v>45384</v>
      </c>
      <c r="H57" s="819" t="s">
        <v>17</v>
      </c>
      <c r="I57" s="819"/>
      <c r="J57" s="819" t="s">
        <v>21</v>
      </c>
      <c r="K57" s="1148"/>
      <c r="L57" s="932" t="s">
        <v>115</v>
      </c>
      <c r="M57" s="919">
        <f ca="1" t="shared" si="0"/>
        <v>846</v>
      </c>
      <c r="N57" s="728">
        <f t="shared" si="1"/>
        <v>45468</v>
      </c>
    </row>
    <row r="58" ht="20.1" hidden="1" customHeight="1" spans="1:16">
      <c r="A58" s="819">
        <v>95</v>
      </c>
      <c r="B58" s="819" t="s">
        <v>22</v>
      </c>
      <c r="C58" s="819" t="s">
        <v>118</v>
      </c>
      <c r="D58" s="1085" t="s">
        <v>119</v>
      </c>
      <c r="E58" s="1154">
        <v>599722.29</v>
      </c>
      <c r="F58" s="775">
        <v>45377</v>
      </c>
      <c r="G58" s="775">
        <v>45384</v>
      </c>
      <c r="H58" s="819" t="s">
        <v>17</v>
      </c>
      <c r="I58" s="819"/>
      <c r="J58" s="1157" t="s">
        <v>120</v>
      </c>
      <c r="K58" s="1158"/>
      <c r="L58" s="932" t="s">
        <v>121</v>
      </c>
      <c r="M58" s="919">
        <f ca="1" t="shared" si="0"/>
        <v>758</v>
      </c>
      <c r="N58" s="728">
        <f t="shared" si="1"/>
        <v>45556</v>
      </c>
    </row>
    <row r="59" s="1" customFormat="1" ht="20.1" hidden="1" customHeight="1" spans="1:16">
      <c r="A59" s="819">
        <v>74</v>
      </c>
      <c r="B59" s="819" t="s">
        <v>31</v>
      </c>
      <c r="C59" s="819" t="s">
        <v>122</v>
      </c>
      <c r="D59" s="819"/>
      <c r="E59" s="1154">
        <v>2048377.78</v>
      </c>
      <c r="F59" s="775">
        <v>45342</v>
      </c>
      <c r="G59" s="775">
        <v>45385</v>
      </c>
      <c r="H59" s="819" t="s">
        <v>17</v>
      </c>
      <c r="I59" s="819"/>
      <c r="J59" s="819" t="s">
        <v>21</v>
      </c>
      <c r="K59" s="1148"/>
      <c r="L59" s="932" t="s">
        <v>123</v>
      </c>
      <c r="M59" s="919">
        <f ca="1" t="shared" si="0"/>
        <v>793</v>
      </c>
      <c r="N59" s="728">
        <f t="shared" si="1"/>
        <v>45521</v>
      </c>
      <c r="O59"/>
      <c r="P59"/>
    </row>
    <row r="60" s="1" customFormat="1" ht="20.1" hidden="1" customHeight="1" spans="1:16">
      <c r="A60" s="1007">
        <v>75</v>
      </c>
      <c r="B60" s="1007" t="s">
        <v>31</v>
      </c>
      <c r="C60" s="1007" t="s">
        <v>124</v>
      </c>
      <c r="D60" s="1007"/>
      <c r="E60" s="1159">
        <v>1846649.94</v>
      </c>
      <c r="F60" s="1009">
        <v>45344</v>
      </c>
      <c r="G60" s="1009">
        <v>45385</v>
      </c>
      <c r="H60" s="1007" t="s">
        <v>17</v>
      </c>
      <c r="I60" s="1007"/>
      <c r="J60" s="1007" t="s">
        <v>21</v>
      </c>
      <c r="K60" s="1148"/>
      <c r="L60" s="1160" t="s">
        <v>87</v>
      </c>
      <c r="M60" s="965">
        <f ca="1" t="shared" si="0"/>
        <v>791</v>
      </c>
      <c r="N60" s="966">
        <f t="shared" si="1"/>
        <v>45523</v>
      </c>
      <c r="O60" s="889"/>
      <c r="P60" s="889"/>
    </row>
    <row r="61" ht="20.1" hidden="1" customHeight="1" spans="1:16">
      <c r="A61" s="819">
        <v>92</v>
      </c>
      <c r="B61" s="819" t="s">
        <v>31</v>
      </c>
      <c r="C61" s="819" t="s">
        <v>125</v>
      </c>
      <c r="D61" s="1085" t="s">
        <v>126</v>
      </c>
      <c r="E61" s="1154">
        <v>2054833.02</v>
      </c>
      <c r="F61" s="775">
        <v>45365</v>
      </c>
      <c r="G61" s="775">
        <v>45385</v>
      </c>
      <c r="H61" s="819" t="s">
        <v>17</v>
      </c>
      <c r="I61" s="819"/>
      <c r="J61" s="1157" t="s">
        <v>120</v>
      </c>
      <c r="K61" s="1158"/>
      <c r="L61" s="932" t="s">
        <v>87</v>
      </c>
      <c r="M61" s="919">
        <f ca="1" t="shared" si="0"/>
        <v>770</v>
      </c>
      <c r="N61" s="728">
        <f t="shared" si="1"/>
        <v>45544</v>
      </c>
    </row>
    <row r="62" s="1" customFormat="1" ht="20.1" hidden="1" customHeight="1" spans="1:16">
      <c r="A62" s="819">
        <v>99</v>
      </c>
      <c r="B62" s="819" t="s">
        <v>127</v>
      </c>
      <c r="C62" s="819" t="s">
        <v>128</v>
      </c>
      <c r="D62" s="1085" t="s">
        <v>129</v>
      </c>
      <c r="E62" s="1147">
        <v>20000</v>
      </c>
      <c r="F62" s="775">
        <v>45380</v>
      </c>
      <c r="G62" s="775">
        <v>45385</v>
      </c>
      <c r="H62" s="819" t="s">
        <v>27</v>
      </c>
      <c r="I62" s="819"/>
      <c r="J62" s="1155" t="s">
        <v>130</v>
      </c>
      <c r="K62" s="1156"/>
      <c r="L62" s="932" t="s">
        <v>131</v>
      </c>
      <c r="M62" s="919">
        <f ca="1" t="shared" si="0"/>
        <v>755</v>
      </c>
      <c r="N62" s="728">
        <f t="shared" si="1"/>
        <v>45559</v>
      </c>
      <c r="O62"/>
      <c r="P62"/>
    </row>
    <row r="63" s="1" customFormat="1" ht="20.1" hidden="1" customHeight="1" spans="1:16">
      <c r="A63" s="819">
        <v>69</v>
      </c>
      <c r="B63" s="1142" t="s">
        <v>102</v>
      </c>
      <c r="C63" s="1142" t="s">
        <v>132</v>
      </c>
      <c r="D63" s="1142"/>
      <c r="E63" s="1143">
        <v>800000</v>
      </c>
      <c r="F63" s="1144">
        <v>45317</v>
      </c>
      <c r="G63" s="1144">
        <v>45389</v>
      </c>
      <c r="H63" s="1142" t="s">
        <v>17</v>
      </c>
      <c r="I63" s="1142"/>
      <c r="J63" s="1048" t="s">
        <v>104</v>
      </c>
      <c r="K63" s="1145"/>
      <c r="L63" s="1146" t="s">
        <v>107</v>
      </c>
      <c r="M63" s="919">
        <f ca="1" t="shared" si="0"/>
        <v>818</v>
      </c>
      <c r="N63" s="728">
        <f t="shared" si="1"/>
        <v>45496</v>
      </c>
    </row>
    <row r="64" ht="20.1" hidden="1" customHeight="1" spans="1:16">
      <c r="A64" s="819">
        <v>47</v>
      </c>
      <c r="B64" s="1142" t="s">
        <v>133</v>
      </c>
      <c r="C64" s="1142" t="s">
        <v>134</v>
      </c>
      <c r="D64" s="1142"/>
      <c r="E64" s="1143">
        <v>9521.49</v>
      </c>
      <c r="F64" s="1144">
        <v>45281</v>
      </c>
      <c r="G64" s="1144">
        <v>45393</v>
      </c>
      <c r="H64" s="1142" t="s">
        <v>27</v>
      </c>
      <c r="I64" s="1142"/>
      <c r="J64" s="1142" t="s">
        <v>30</v>
      </c>
      <c r="K64" s="1148"/>
      <c r="L64" s="1146" t="s">
        <v>135</v>
      </c>
      <c r="M64" s="919">
        <f ca="1" t="shared" si="0"/>
        <v>854</v>
      </c>
      <c r="N64" s="728">
        <f t="shared" si="1"/>
        <v>45460</v>
      </c>
      <c r="O64" s="1"/>
      <c r="P64" s="1"/>
    </row>
    <row r="65" s="1" customFormat="1" ht="20.1" hidden="1" customHeight="1" spans="1:16">
      <c r="A65" s="819">
        <v>48</v>
      </c>
      <c r="B65" s="1142" t="s">
        <v>133</v>
      </c>
      <c r="C65" s="1142" t="s">
        <v>136</v>
      </c>
      <c r="D65" s="1142"/>
      <c r="E65" s="1143">
        <v>59896.01</v>
      </c>
      <c r="F65" s="1144">
        <v>45281</v>
      </c>
      <c r="G65" s="1144">
        <v>45393</v>
      </c>
      <c r="H65" s="1142" t="s">
        <v>27</v>
      </c>
      <c r="I65" s="1142"/>
      <c r="J65" s="1142" t="s">
        <v>30</v>
      </c>
      <c r="K65" s="1148"/>
      <c r="L65" s="1146" t="s">
        <v>135</v>
      </c>
      <c r="M65" s="919">
        <f ca="1" t="shared" si="0"/>
        <v>854</v>
      </c>
      <c r="N65" s="728">
        <f t="shared" si="1"/>
        <v>45460</v>
      </c>
    </row>
    <row r="66" s="1" customFormat="1" ht="20.1" hidden="1" customHeight="1" spans="1:16">
      <c r="A66" s="819">
        <v>49</v>
      </c>
      <c r="B66" s="1142" t="s">
        <v>133</v>
      </c>
      <c r="C66" s="1142" t="s">
        <v>137</v>
      </c>
      <c r="D66" s="1142"/>
      <c r="E66" s="1143">
        <v>108396.78</v>
      </c>
      <c r="F66" s="1144">
        <v>45281</v>
      </c>
      <c r="G66" s="1144">
        <v>45393</v>
      </c>
      <c r="H66" s="1142" t="s">
        <v>27</v>
      </c>
      <c r="I66" s="1142"/>
      <c r="J66" s="1142" t="s">
        <v>30</v>
      </c>
      <c r="K66" s="1148"/>
      <c r="L66" s="1146" t="s">
        <v>135</v>
      </c>
      <c r="M66" s="919">
        <f ca="1" t="shared" si="0"/>
        <v>854</v>
      </c>
      <c r="N66" s="728">
        <f t="shared" si="1"/>
        <v>45460</v>
      </c>
    </row>
    <row r="67" s="1" customFormat="1" ht="20.1" hidden="1" customHeight="1" spans="1:16">
      <c r="A67" s="819">
        <v>50</v>
      </c>
      <c r="B67" s="1142" t="s">
        <v>133</v>
      </c>
      <c r="C67" s="1142" t="s">
        <v>138</v>
      </c>
      <c r="D67" s="1142"/>
      <c r="E67" s="1143">
        <v>159982.58</v>
      </c>
      <c r="F67" s="1144">
        <v>45281</v>
      </c>
      <c r="G67" s="1144">
        <v>45398</v>
      </c>
      <c r="H67" s="1142" t="s">
        <v>27</v>
      </c>
      <c r="I67" s="1142"/>
      <c r="J67" s="1142" t="s">
        <v>30</v>
      </c>
      <c r="K67" s="1148"/>
      <c r="L67" s="1146" t="s">
        <v>135</v>
      </c>
      <c r="M67" s="919">
        <f ca="1" t="shared" ref="M67:M130" si="2">DATEDIF(F67,TODAY(),"D")</f>
        <v>854</v>
      </c>
      <c r="N67" s="728">
        <f t="shared" ref="N67:N130" si="3">F67+179</f>
        <v>45460</v>
      </c>
    </row>
    <row r="68" s="1" customFormat="1" ht="20.1" hidden="1" customHeight="1" spans="1:16">
      <c r="A68" s="819">
        <v>73</v>
      </c>
      <c r="B68" s="819" t="s">
        <v>31</v>
      </c>
      <c r="C68" s="819" t="s">
        <v>139</v>
      </c>
      <c r="D68" s="819"/>
      <c r="E68" s="1154">
        <v>1200000</v>
      </c>
      <c r="F68" s="775">
        <v>45330</v>
      </c>
      <c r="G68" s="775">
        <v>45399</v>
      </c>
      <c r="H68" s="819" t="s">
        <v>17</v>
      </c>
      <c r="I68" s="819"/>
      <c r="J68" s="819" t="s">
        <v>21</v>
      </c>
      <c r="K68" s="1148"/>
      <c r="L68" s="932"/>
      <c r="M68" s="919">
        <f ca="1" t="shared" si="2"/>
        <v>805</v>
      </c>
      <c r="N68" s="728">
        <f t="shared" si="3"/>
        <v>45509</v>
      </c>
      <c r="O68"/>
      <c r="P68"/>
    </row>
    <row r="69" s="1" customFormat="1" ht="20.1" hidden="1" customHeight="1" spans="1:16">
      <c r="A69" s="819">
        <v>6</v>
      </c>
      <c r="B69" s="1142" t="s">
        <v>140</v>
      </c>
      <c r="C69" s="1142" t="s">
        <v>141</v>
      </c>
      <c r="D69" s="1142"/>
      <c r="E69" s="1143">
        <v>96000</v>
      </c>
      <c r="F69" s="1144">
        <v>45175</v>
      </c>
      <c r="G69" s="1144">
        <v>45406</v>
      </c>
      <c r="H69" s="1142" t="s">
        <v>27</v>
      </c>
      <c r="I69" s="1142"/>
      <c r="J69" s="1092" t="s">
        <v>142</v>
      </c>
      <c r="K69" s="1161"/>
      <c r="L69" s="1146" t="s">
        <v>143</v>
      </c>
      <c r="M69" s="919">
        <f ca="1" t="shared" si="2"/>
        <v>960</v>
      </c>
      <c r="N69" s="728">
        <f t="shared" si="3"/>
        <v>45354</v>
      </c>
    </row>
    <row r="70" s="1" customFormat="1" ht="20.1" hidden="1" customHeight="1" spans="1:16">
      <c r="A70" s="819">
        <v>7</v>
      </c>
      <c r="B70" s="1142" t="s">
        <v>140</v>
      </c>
      <c r="C70" s="1142" t="s">
        <v>144</v>
      </c>
      <c r="D70" s="1142"/>
      <c r="E70" s="1143">
        <v>78000</v>
      </c>
      <c r="F70" s="1144">
        <v>45175</v>
      </c>
      <c r="G70" s="1144">
        <v>45406</v>
      </c>
      <c r="H70" s="1142" t="s">
        <v>27</v>
      </c>
      <c r="I70" s="1142"/>
      <c r="J70" s="1092" t="s">
        <v>142</v>
      </c>
      <c r="K70" s="1161"/>
      <c r="L70" s="1146" t="s">
        <v>143</v>
      </c>
      <c r="M70" s="919">
        <f ca="1" t="shared" si="2"/>
        <v>960</v>
      </c>
      <c r="N70" s="728">
        <f t="shared" si="3"/>
        <v>45354</v>
      </c>
    </row>
    <row r="71" s="1" customFormat="1" ht="20.1" hidden="1" customHeight="1" spans="1:16">
      <c r="A71" s="819">
        <v>52</v>
      </c>
      <c r="B71" s="1142" t="s">
        <v>37</v>
      </c>
      <c r="C71" s="1142" t="s">
        <v>145</v>
      </c>
      <c r="D71" s="1142"/>
      <c r="E71" s="1143">
        <v>600000</v>
      </c>
      <c r="F71" s="1144">
        <v>45288</v>
      </c>
      <c r="G71" s="1144">
        <v>45407</v>
      </c>
      <c r="H71" s="1142" t="s">
        <v>17</v>
      </c>
      <c r="I71" s="1142"/>
      <c r="J71" s="1142" t="s">
        <v>30</v>
      </c>
      <c r="K71" s="1148"/>
      <c r="L71" s="1146"/>
      <c r="M71" s="919">
        <f ca="1" t="shared" si="2"/>
        <v>847</v>
      </c>
      <c r="N71" s="728">
        <f t="shared" si="3"/>
        <v>45467</v>
      </c>
    </row>
    <row r="72" customFormat="1" ht="20.1" hidden="1" customHeight="1" spans="1:16">
      <c r="A72" s="819">
        <v>53</v>
      </c>
      <c r="B72" s="1142" t="s">
        <v>37</v>
      </c>
      <c r="C72" s="1142" t="s">
        <v>146</v>
      </c>
      <c r="D72" s="1142"/>
      <c r="E72" s="1143">
        <v>87374.06</v>
      </c>
      <c r="F72" s="1144">
        <v>45288</v>
      </c>
      <c r="G72" s="1144">
        <v>45407</v>
      </c>
      <c r="H72" s="1142" t="s">
        <v>27</v>
      </c>
      <c r="I72" s="1142"/>
      <c r="J72" s="1142" t="s">
        <v>30</v>
      </c>
      <c r="K72" s="1148"/>
      <c r="L72" s="1146"/>
      <c r="M72" s="919">
        <f ca="1" t="shared" si="2"/>
        <v>847</v>
      </c>
      <c r="N72" s="728">
        <f t="shared" si="3"/>
        <v>45467</v>
      </c>
      <c r="O72" s="1"/>
      <c r="P72" s="1"/>
    </row>
    <row r="73" s="1" customFormat="1" ht="20.1" hidden="1" customHeight="1" spans="1:16">
      <c r="A73" s="819">
        <v>111</v>
      </c>
      <c r="B73" s="819" t="s">
        <v>147</v>
      </c>
      <c r="C73" s="819" t="s">
        <v>148</v>
      </c>
      <c r="D73" s="1085" t="s">
        <v>149</v>
      </c>
      <c r="E73" s="1147">
        <v>1600000</v>
      </c>
      <c r="F73" s="775">
        <v>45398</v>
      </c>
      <c r="G73" s="775">
        <v>45408</v>
      </c>
      <c r="H73" s="819" t="s">
        <v>17</v>
      </c>
      <c r="I73" s="819"/>
      <c r="J73" s="1157" t="s">
        <v>120</v>
      </c>
      <c r="K73" s="1158"/>
      <c r="L73" s="938" t="s">
        <v>150</v>
      </c>
      <c r="M73" s="919">
        <f ca="1" t="shared" si="2"/>
        <v>737</v>
      </c>
      <c r="N73" s="728">
        <f t="shared" si="3"/>
        <v>45577</v>
      </c>
      <c r="O73"/>
      <c r="P73"/>
    </row>
    <row r="74" ht="20.1" hidden="1" customHeight="1" spans="1:16">
      <c r="A74" s="819">
        <v>87</v>
      </c>
      <c r="B74" s="819" t="s">
        <v>25</v>
      </c>
      <c r="C74" s="819" t="s">
        <v>151</v>
      </c>
      <c r="D74" s="1085" t="s">
        <v>126</v>
      </c>
      <c r="E74" s="1154">
        <v>118994.28</v>
      </c>
      <c r="F74" s="775">
        <v>45364</v>
      </c>
      <c r="G74" s="775">
        <v>45411</v>
      </c>
      <c r="H74" s="819" t="s">
        <v>27</v>
      </c>
      <c r="I74" s="819"/>
      <c r="J74" s="1155" t="s">
        <v>21</v>
      </c>
      <c r="K74" s="1156"/>
      <c r="L74" s="938" t="s">
        <v>152</v>
      </c>
      <c r="M74" s="919">
        <f ca="1" t="shared" si="2"/>
        <v>771</v>
      </c>
      <c r="N74" s="728">
        <f t="shared" si="3"/>
        <v>45543</v>
      </c>
    </row>
    <row r="75" customFormat="1" ht="20.1" hidden="1" customHeight="1" spans="1:16">
      <c r="A75" s="819">
        <v>88</v>
      </c>
      <c r="B75" s="819" t="s">
        <v>25</v>
      </c>
      <c r="C75" s="819" t="s">
        <v>153</v>
      </c>
      <c r="D75" s="1085" t="s">
        <v>126</v>
      </c>
      <c r="E75" s="1154">
        <v>36024.99</v>
      </c>
      <c r="F75" s="775">
        <v>45364</v>
      </c>
      <c r="G75" s="775">
        <v>45411</v>
      </c>
      <c r="H75" s="819" t="s">
        <v>27</v>
      </c>
      <c r="I75" s="819"/>
      <c r="J75" s="1155" t="s">
        <v>21</v>
      </c>
      <c r="K75" s="1156"/>
      <c r="L75" s="938" t="s">
        <v>154</v>
      </c>
      <c r="M75" s="919">
        <f ca="1" t="shared" si="2"/>
        <v>771</v>
      </c>
      <c r="N75" s="728">
        <f t="shared" si="3"/>
        <v>45543</v>
      </c>
    </row>
    <row r="76" ht="20.1" hidden="1" customHeight="1" spans="1:16">
      <c r="A76" s="819">
        <v>89</v>
      </c>
      <c r="B76" s="819" t="s">
        <v>25</v>
      </c>
      <c r="C76" s="819" t="s">
        <v>155</v>
      </c>
      <c r="D76" s="1085" t="s">
        <v>126</v>
      </c>
      <c r="E76" s="1154">
        <v>100000</v>
      </c>
      <c r="F76" s="775">
        <v>45364</v>
      </c>
      <c r="G76" s="775">
        <v>45411</v>
      </c>
      <c r="H76" s="819" t="s">
        <v>27</v>
      </c>
      <c r="I76" s="819"/>
      <c r="J76" s="1155" t="s">
        <v>120</v>
      </c>
      <c r="K76" s="1156"/>
      <c r="L76" s="938" t="s">
        <v>156</v>
      </c>
      <c r="M76" s="919">
        <f ca="1" t="shared" si="2"/>
        <v>771</v>
      </c>
      <c r="N76" s="728">
        <f t="shared" si="3"/>
        <v>45543</v>
      </c>
    </row>
    <row r="77" s="889" customFormat="1" ht="20.1" hidden="1" customHeight="1" spans="1:16">
      <c r="A77" s="819">
        <v>90</v>
      </c>
      <c r="B77" s="819" t="s">
        <v>25</v>
      </c>
      <c r="C77" s="819" t="s">
        <v>157</v>
      </c>
      <c r="D77" s="1085" t="s">
        <v>126</v>
      </c>
      <c r="E77" s="1154">
        <v>119600</v>
      </c>
      <c r="F77" s="775">
        <v>45364</v>
      </c>
      <c r="G77" s="775">
        <v>45411</v>
      </c>
      <c r="H77" s="819" t="s">
        <v>27</v>
      </c>
      <c r="I77" s="819"/>
      <c r="J77" s="1155" t="s">
        <v>120</v>
      </c>
      <c r="K77" s="1156"/>
      <c r="L77" s="932" t="s">
        <v>158</v>
      </c>
      <c r="M77" s="919">
        <f ca="1" t="shared" si="2"/>
        <v>771</v>
      </c>
      <c r="N77" s="728">
        <f t="shared" si="3"/>
        <v>45543</v>
      </c>
      <c r="O77"/>
      <c r="P77"/>
    </row>
    <row r="78" customFormat="1" ht="20.1" hidden="1" customHeight="1" spans="1:16">
      <c r="A78" s="819">
        <v>58</v>
      </c>
      <c r="B78" s="1142" t="s">
        <v>37</v>
      </c>
      <c r="C78" s="1142" t="s">
        <v>159</v>
      </c>
      <c r="D78" s="1142"/>
      <c r="E78" s="1143">
        <v>102004.76</v>
      </c>
      <c r="F78" s="1144">
        <v>45292</v>
      </c>
      <c r="G78" s="1144">
        <v>45418</v>
      </c>
      <c r="H78" s="1142" t="s">
        <v>27</v>
      </c>
      <c r="I78" s="1142"/>
      <c r="J78" s="1048" t="s">
        <v>73</v>
      </c>
      <c r="K78" s="1145"/>
      <c r="L78" s="1146" t="s">
        <v>74</v>
      </c>
      <c r="M78" s="919">
        <f ca="1" t="shared" si="2"/>
        <v>843</v>
      </c>
      <c r="N78" s="728">
        <f t="shared" si="3"/>
        <v>45471</v>
      </c>
      <c r="O78" s="1"/>
      <c r="P78" s="1"/>
    </row>
    <row r="79" s="889" customFormat="1" ht="20.1" customHeight="1" spans="1:16">
      <c r="A79" s="819">
        <v>66</v>
      </c>
      <c r="B79" s="1142" t="s">
        <v>79</v>
      </c>
      <c r="C79" s="1142" t="s">
        <v>160</v>
      </c>
      <c r="D79" s="1142"/>
      <c r="E79" s="1143">
        <v>22392.94</v>
      </c>
      <c r="F79" s="1144">
        <v>45313</v>
      </c>
      <c r="G79" s="1144">
        <v>45418</v>
      </c>
      <c r="H79" s="1142" t="s">
        <v>27</v>
      </c>
      <c r="I79" s="1142"/>
      <c r="J79" s="1048" t="s">
        <v>73</v>
      </c>
      <c r="K79" s="1145"/>
      <c r="L79" s="1146" t="s">
        <v>161</v>
      </c>
      <c r="M79" s="919">
        <f ca="1" t="shared" si="2"/>
        <v>822</v>
      </c>
      <c r="N79" s="728">
        <f t="shared" si="3"/>
        <v>45492</v>
      </c>
      <c r="O79" s="1"/>
      <c r="P79" s="1"/>
    </row>
    <row r="80" customFormat="1" ht="20.1" customHeight="1" spans="1:16">
      <c r="A80" s="819">
        <v>67</v>
      </c>
      <c r="B80" s="1142" t="s">
        <v>79</v>
      </c>
      <c r="C80" s="1142" t="s">
        <v>162</v>
      </c>
      <c r="D80" s="1142"/>
      <c r="E80" s="1143">
        <v>15000.01</v>
      </c>
      <c r="F80" s="1144">
        <v>45313</v>
      </c>
      <c r="G80" s="1144">
        <v>45418</v>
      </c>
      <c r="H80" s="1142" t="s">
        <v>27</v>
      </c>
      <c r="I80" s="1142"/>
      <c r="J80" s="1048" t="s">
        <v>73</v>
      </c>
      <c r="K80" s="1145"/>
      <c r="L80" s="1146" t="s">
        <v>161</v>
      </c>
      <c r="M80" s="919">
        <f ca="1" t="shared" si="2"/>
        <v>822</v>
      </c>
      <c r="N80" s="728">
        <f t="shared" si="3"/>
        <v>45492</v>
      </c>
      <c r="O80" s="1"/>
      <c r="P80" s="1"/>
    </row>
    <row r="81" ht="31" customHeight="1" spans="1:16">
      <c r="A81" s="819">
        <v>68</v>
      </c>
      <c r="B81" s="1142" t="s">
        <v>79</v>
      </c>
      <c r="C81" s="1142" t="s">
        <v>163</v>
      </c>
      <c r="D81" s="1142"/>
      <c r="E81" s="1143">
        <v>21714.04</v>
      </c>
      <c r="F81" s="1144">
        <v>45315</v>
      </c>
      <c r="G81" s="1144">
        <v>45418</v>
      </c>
      <c r="H81" s="1142" t="s">
        <v>27</v>
      </c>
      <c r="I81" s="1142"/>
      <c r="J81" s="1048" t="s">
        <v>73</v>
      </c>
      <c r="K81" s="1145"/>
      <c r="L81" s="1146" t="s">
        <v>161</v>
      </c>
      <c r="M81" s="919">
        <f ca="1" t="shared" si="2"/>
        <v>820</v>
      </c>
      <c r="N81" s="728">
        <f t="shared" si="3"/>
        <v>45494</v>
      </c>
      <c r="O81" s="1"/>
      <c r="P81" s="1"/>
    </row>
    <row r="82" ht="27.75" hidden="1" customHeight="1" spans="1:16">
      <c r="A82" s="819">
        <v>33</v>
      </c>
      <c r="B82" s="819" t="s">
        <v>37</v>
      </c>
      <c r="C82" s="819" t="s">
        <v>164</v>
      </c>
      <c r="D82" s="819"/>
      <c r="E82" s="1147">
        <v>1425142.48</v>
      </c>
      <c r="F82" s="775">
        <v>45254</v>
      </c>
      <c r="G82" s="775">
        <v>45421</v>
      </c>
      <c r="H82" s="819" t="s">
        <v>27</v>
      </c>
      <c r="I82" s="819"/>
      <c r="J82" s="819" t="s">
        <v>21</v>
      </c>
      <c r="K82" s="1148"/>
      <c r="L82" s="932" t="s">
        <v>165</v>
      </c>
      <c r="M82" s="919">
        <f ca="1" t="shared" si="2"/>
        <v>881</v>
      </c>
      <c r="N82" s="728">
        <f t="shared" si="3"/>
        <v>45433</v>
      </c>
    </row>
    <row r="83" customFormat="1" ht="35.25" hidden="1" customHeight="1" spans="1:16">
      <c r="A83" s="819">
        <v>96</v>
      </c>
      <c r="B83" s="819" t="s">
        <v>22</v>
      </c>
      <c r="C83" s="819" t="s">
        <v>166</v>
      </c>
      <c r="D83" s="1085" t="s">
        <v>119</v>
      </c>
      <c r="E83" s="1154">
        <v>200000</v>
      </c>
      <c r="F83" s="775">
        <v>45377</v>
      </c>
      <c r="G83" s="775">
        <v>45422</v>
      </c>
      <c r="H83" s="819" t="s">
        <v>27</v>
      </c>
      <c r="I83" s="819"/>
      <c r="J83" s="1157" t="s">
        <v>120</v>
      </c>
      <c r="K83" s="1158"/>
      <c r="L83" s="932"/>
      <c r="M83" s="919">
        <f ca="1" t="shared" si="2"/>
        <v>758</v>
      </c>
      <c r="N83" s="728">
        <f t="shared" si="3"/>
        <v>45556</v>
      </c>
    </row>
    <row r="84" customFormat="1" ht="20.1" hidden="1" customHeight="1" spans="1:16">
      <c r="A84" s="819">
        <v>42</v>
      </c>
      <c r="B84" s="1142" t="s">
        <v>37</v>
      </c>
      <c r="C84" s="1142" t="s">
        <v>167</v>
      </c>
      <c r="D84" s="1142"/>
      <c r="E84" s="1143">
        <v>520000</v>
      </c>
      <c r="F84" s="1144">
        <v>45274</v>
      </c>
      <c r="G84" s="1144">
        <v>45427</v>
      </c>
      <c r="H84" s="1142" t="s">
        <v>17</v>
      </c>
      <c r="I84" s="1142"/>
      <c r="J84" s="1048" t="s">
        <v>39</v>
      </c>
      <c r="K84" s="1145"/>
      <c r="L84" s="1146" t="s">
        <v>168</v>
      </c>
      <c r="M84" s="919">
        <f ca="1" t="shared" si="2"/>
        <v>861</v>
      </c>
      <c r="N84" s="728">
        <f t="shared" si="3"/>
        <v>45453</v>
      </c>
      <c r="O84" s="1"/>
      <c r="P84" s="1"/>
    </row>
    <row r="85" s="889" customFormat="1" ht="28.5" hidden="1" customHeight="1" spans="1:16">
      <c r="A85" s="819">
        <v>112</v>
      </c>
      <c r="B85" s="819" t="s">
        <v>22</v>
      </c>
      <c r="C85" s="819" t="s">
        <v>169</v>
      </c>
      <c r="D85" s="1085" t="s">
        <v>119</v>
      </c>
      <c r="E85" s="1147">
        <v>32000</v>
      </c>
      <c r="F85" s="775">
        <v>45398</v>
      </c>
      <c r="G85" s="775">
        <v>45427</v>
      </c>
      <c r="H85" s="819" t="s">
        <v>27</v>
      </c>
      <c r="I85" s="819"/>
      <c r="J85" s="1157" t="s">
        <v>120</v>
      </c>
      <c r="K85" s="1158"/>
      <c r="L85" s="932"/>
      <c r="M85" s="919">
        <f ca="1" t="shared" si="2"/>
        <v>737</v>
      </c>
      <c r="N85" s="728">
        <f t="shared" si="3"/>
        <v>45577</v>
      </c>
      <c r="O85"/>
      <c r="P85"/>
    </row>
    <row r="86" customFormat="1" ht="20.1" hidden="1" customHeight="1" spans="1:16">
      <c r="A86" s="819">
        <v>70</v>
      </c>
      <c r="B86" s="819" t="s">
        <v>37</v>
      </c>
      <c r="C86" s="819" t="s">
        <v>170</v>
      </c>
      <c r="D86" s="819"/>
      <c r="E86" s="1147">
        <v>989065.37</v>
      </c>
      <c r="F86" s="775">
        <v>45322</v>
      </c>
      <c r="G86" s="775">
        <v>45433</v>
      </c>
      <c r="H86" s="819" t="s">
        <v>27</v>
      </c>
      <c r="I86" s="819"/>
      <c r="J86" s="729" t="s">
        <v>21</v>
      </c>
      <c r="K86" s="1145"/>
      <c r="L86" s="932"/>
      <c r="M86" s="919">
        <f ca="1" t="shared" si="2"/>
        <v>813</v>
      </c>
      <c r="N86" s="728">
        <f t="shared" si="3"/>
        <v>45501</v>
      </c>
    </row>
    <row r="87" customFormat="1" ht="20.1" hidden="1" customHeight="1" spans="1:16">
      <c r="A87" s="819">
        <v>23</v>
      </c>
      <c r="B87" s="1142" t="s">
        <v>25</v>
      </c>
      <c r="C87" s="1142" t="s">
        <v>171</v>
      </c>
      <c r="D87" s="1142"/>
      <c r="E87" s="1143">
        <v>200000</v>
      </c>
      <c r="F87" s="1144">
        <v>45224</v>
      </c>
      <c r="G87" s="1144">
        <v>45435</v>
      </c>
      <c r="H87" s="1142" t="s">
        <v>27</v>
      </c>
      <c r="I87" s="1142"/>
      <c r="J87" s="1048" t="s">
        <v>172</v>
      </c>
      <c r="K87" s="1145"/>
      <c r="L87" s="1092" t="s">
        <v>173</v>
      </c>
      <c r="M87" s="919">
        <f ca="1" t="shared" si="2"/>
        <v>911</v>
      </c>
      <c r="N87" s="728">
        <f t="shared" si="3"/>
        <v>45403</v>
      </c>
      <c r="O87" s="1"/>
      <c r="P87" s="1"/>
    </row>
    <row r="88" s="889" customFormat="1" ht="20.1" customHeight="1" spans="1:16">
      <c r="A88" s="819">
        <v>71</v>
      </c>
      <c r="B88" s="1142" t="s">
        <v>79</v>
      </c>
      <c r="C88" s="1142" t="s">
        <v>174</v>
      </c>
      <c r="D88" s="1142"/>
      <c r="E88" s="1143">
        <v>182852.06</v>
      </c>
      <c r="F88" s="1144">
        <v>45326</v>
      </c>
      <c r="G88" s="1144">
        <v>45436</v>
      </c>
      <c r="H88" s="1142" t="s">
        <v>27</v>
      </c>
      <c r="I88" s="1142"/>
      <c r="J88" s="1048" t="s">
        <v>73</v>
      </c>
      <c r="K88" s="1145"/>
      <c r="L88" s="1146" t="s">
        <v>74</v>
      </c>
      <c r="M88" s="919">
        <f ca="1" t="shared" si="2"/>
        <v>809</v>
      </c>
      <c r="N88" s="728">
        <f t="shared" si="3"/>
        <v>45505</v>
      </c>
      <c r="O88" s="1"/>
      <c r="P88" s="1"/>
    </row>
    <row r="89" ht="20.1" hidden="1" customHeight="1" spans="1:16">
      <c r="A89" s="819">
        <v>100</v>
      </c>
      <c r="B89" s="819" t="s">
        <v>25</v>
      </c>
      <c r="C89" s="819" t="s">
        <v>175</v>
      </c>
      <c r="D89" s="1085" t="s">
        <v>129</v>
      </c>
      <c r="E89" s="1147">
        <v>121853.11</v>
      </c>
      <c r="F89" s="775">
        <v>45380</v>
      </c>
      <c r="G89" s="775">
        <v>45439</v>
      </c>
      <c r="H89" s="819" t="s">
        <v>27</v>
      </c>
      <c r="I89" s="819"/>
      <c r="J89" s="729" t="s">
        <v>120</v>
      </c>
      <c r="K89" s="1145"/>
      <c r="L89" s="932" t="s">
        <v>176</v>
      </c>
      <c r="M89" s="919">
        <f ca="1" t="shared" si="2"/>
        <v>755</v>
      </c>
      <c r="N89" s="728">
        <f t="shared" si="3"/>
        <v>45559</v>
      </c>
    </row>
    <row r="90" ht="20.1" hidden="1" customHeight="1" spans="1:16">
      <c r="A90" s="819">
        <v>101</v>
      </c>
      <c r="B90" s="819" t="s">
        <v>25</v>
      </c>
      <c r="C90" s="819" t="s">
        <v>177</v>
      </c>
      <c r="D90" s="1085" t="s">
        <v>129</v>
      </c>
      <c r="E90" s="1147">
        <v>202279.48</v>
      </c>
      <c r="F90" s="775">
        <v>45380</v>
      </c>
      <c r="G90" s="775">
        <v>45439</v>
      </c>
      <c r="H90" s="819" t="s">
        <v>27</v>
      </c>
      <c r="I90" s="819"/>
      <c r="J90" s="729" t="s">
        <v>120</v>
      </c>
      <c r="K90" s="1145"/>
      <c r="L90" s="932" t="s">
        <v>178</v>
      </c>
      <c r="M90" s="919">
        <f ca="1" t="shared" si="2"/>
        <v>755</v>
      </c>
      <c r="N90" s="728">
        <f t="shared" si="3"/>
        <v>45559</v>
      </c>
    </row>
    <row r="91" ht="20.1" hidden="1" customHeight="1" spans="1:16">
      <c r="A91" s="819">
        <v>102</v>
      </c>
      <c r="B91" s="819" t="s">
        <v>25</v>
      </c>
      <c r="C91" s="819" t="s">
        <v>179</v>
      </c>
      <c r="D91" s="1085" t="s">
        <v>129</v>
      </c>
      <c r="E91" s="1147">
        <v>80000</v>
      </c>
      <c r="F91" s="775">
        <v>45380</v>
      </c>
      <c r="G91" s="775">
        <v>45439</v>
      </c>
      <c r="H91" s="819" t="s">
        <v>27</v>
      </c>
      <c r="I91" s="819"/>
      <c r="J91" s="1155" t="s">
        <v>180</v>
      </c>
      <c r="K91" s="1156"/>
      <c r="L91" s="932" t="s">
        <v>181</v>
      </c>
      <c r="M91" s="919">
        <f ca="1" t="shared" si="2"/>
        <v>755</v>
      </c>
      <c r="N91" s="728">
        <f t="shared" si="3"/>
        <v>45559</v>
      </c>
    </row>
    <row r="92" ht="20.1" hidden="1" customHeight="1" spans="1:16">
      <c r="A92" s="819">
        <v>108</v>
      </c>
      <c r="B92" s="819" t="s">
        <v>25</v>
      </c>
      <c r="C92" s="819" t="s">
        <v>182</v>
      </c>
      <c r="D92" s="1085" t="s">
        <v>183</v>
      </c>
      <c r="E92" s="1147">
        <v>1996546.25</v>
      </c>
      <c r="F92" s="775">
        <v>45382</v>
      </c>
      <c r="G92" s="775">
        <v>45439</v>
      </c>
      <c r="H92" s="819" t="s">
        <v>17</v>
      </c>
      <c r="I92" s="819"/>
      <c r="J92" s="1155" t="s">
        <v>120</v>
      </c>
      <c r="K92" s="1156"/>
      <c r="L92" s="932" t="s">
        <v>184</v>
      </c>
      <c r="M92" s="919">
        <f ca="1" t="shared" si="2"/>
        <v>753</v>
      </c>
      <c r="N92" s="728">
        <f t="shared" si="3"/>
        <v>45561</v>
      </c>
    </row>
    <row r="93" ht="29.25" hidden="1" customHeight="1" spans="1:16">
      <c r="A93" s="819">
        <v>86</v>
      </c>
      <c r="B93" s="1007" t="s">
        <v>57</v>
      </c>
      <c r="C93" s="1007" t="s">
        <v>81</v>
      </c>
      <c r="D93" s="960" t="s">
        <v>185</v>
      </c>
      <c r="E93" s="1154">
        <v>2000000</v>
      </c>
      <c r="F93" s="1009">
        <v>45362</v>
      </c>
      <c r="G93" s="1009">
        <v>45449</v>
      </c>
      <c r="H93" s="1007" t="s">
        <v>17</v>
      </c>
      <c r="I93" s="1007"/>
      <c r="J93" s="1162" t="s">
        <v>21</v>
      </c>
      <c r="K93" s="1156"/>
      <c r="L93" s="1160"/>
      <c r="M93" s="919">
        <f ca="1" t="shared" si="2"/>
        <v>773</v>
      </c>
      <c r="N93" s="728">
        <f t="shared" si="3"/>
        <v>45541</v>
      </c>
      <c r="O93" s="889"/>
      <c r="P93" s="889"/>
    </row>
    <row r="94" ht="20.1" hidden="1" customHeight="1" spans="1:16">
      <c r="A94" s="819">
        <v>76</v>
      </c>
      <c r="B94" s="819" t="s">
        <v>31</v>
      </c>
      <c r="C94" s="819" t="s">
        <v>186</v>
      </c>
      <c r="D94" s="819"/>
      <c r="E94" s="1154">
        <v>1207540</v>
      </c>
      <c r="F94" s="775">
        <v>45350</v>
      </c>
      <c r="G94" s="775">
        <v>45450</v>
      </c>
      <c r="H94" s="819" t="s">
        <v>17</v>
      </c>
      <c r="I94" s="819"/>
      <c r="J94" s="819" t="s">
        <v>21</v>
      </c>
      <c r="K94" s="1148"/>
      <c r="L94" s="932"/>
      <c r="M94" s="919">
        <f ca="1" t="shared" si="2"/>
        <v>785</v>
      </c>
      <c r="N94" s="728">
        <f t="shared" si="3"/>
        <v>45529</v>
      </c>
    </row>
    <row r="95" customFormat="1" ht="20.1" hidden="1" customHeight="1" spans="1:16">
      <c r="A95" s="819">
        <v>94</v>
      </c>
      <c r="B95" s="819" t="s">
        <v>31</v>
      </c>
      <c r="C95" s="819" t="s">
        <v>187</v>
      </c>
      <c r="D95" s="1085" t="s">
        <v>126</v>
      </c>
      <c r="E95" s="1154">
        <v>19829.57</v>
      </c>
      <c r="F95" s="775">
        <v>45376</v>
      </c>
      <c r="G95" s="775">
        <v>45450</v>
      </c>
      <c r="H95" s="819" t="s">
        <v>27</v>
      </c>
      <c r="I95" s="819"/>
      <c r="J95" s="1155" t="s">
        <v>21</v>
      </c>
      <c r="K95" s="1156"/>
      <c r="L95" s="932"/>
      <c r="M95" s="919">
        <f ca="1" t="shared" si="2"/>
        <v>759</v>
      </c>
      <c r="N95" s="728">
        <f t="shared" si="3"/>
        <v>45555</v>
      </c>
    </row>
    <row r="96" ht="20.1" hidden="1" customHeight="1" spans="1:16">
      <c r="A96" s="819">
        <v>78</v>
      </c>
      <c r="B96" s="819" t="s">
        <v>37</v>
      </c>
      <c r="C96" s="819" t="s">
        <v>188</v>
      </c>
      <c r="D96" s="1085" t="s">
        <v>109</v>
      </c>
      <c r="E96" s="1154">
        <v>1278034.36</v>
      </c>
      <c r="F96" s="775">
        <v>45351</v>
      </c>
      <c r="G96" s="775">
        <v>45461</v>
      </c>
      <c r="H96" s="819" t="s">
        <v>17</v>
      </c>
      <c r="I96" s="819"/>
      <c r="J96" s="1155" t="s">
        <v>55</v>
      </c>
      <c r="K96" s="1156"/>
      <c r="L96" s="938" t="s">
        <v>189</v>
      </c>
      <c r="M96" s="919">
        <f ca="1" t="shared" si="2"/>
        <v>784</v>
      </c>
      <c r="N96" s="728">
        <f t="shared" si="3"/>
        <v>45530</v>
      </c>
    </row>
    <row r="97" ht="20.1" hidden="1" customHeight="1" spans="1:16">
      <c r="A97" s="819">
        <v>79</v>
      </c>
      <c r="B97" s="819" t="s">
        <v>37</v>
      </c>
      <c r="C97" s="819" t="s">
        <v>190</v>
      </c>
      <c r="D97" s="1085" t="s">
        <v>109</v>
      </c>
      <c r="E97" s="1154">
        <v>1278065.62</v>
      </c>
      <c r="F97" s="775">
        <v>45351</v>
      </c>
      <c r="G97" s="775">
        <v>45461</v>
      </c>
      <c r="H97" s="819" t="s">
        <v>17</v>
      </c>
      <c r="I97" s="819"/>
      <c r="J97" s="1155" t="s">
        <v>55</v>
      </c>
      <c r="K97" s="1156"/>
      <c r="L97" s="938" t="s">
        <v>191</v>
      </c>
      <c r="M97" s="919">
        <f ca="1" t="shared" si="2"/>
        <v>784</v>
      </c>
      <c r="N97" s="728">
        <f t="shared" si="3"/>
        <v>45530</v>
      </c>
    </row>
    <row r="98" ht="20.1" hidden="1" customHeight="1" spans="1:16">
      <c r="A98" s="819">
        <v>120</v>
      </c>
      <c r="B98" s="1018" t="s">
        <v>28</v>
      </c>
      <c r="C98" s="1018" t="s">
        <v>192</v>
      </c>
      <c r="D98" s="1163" t="s">
        <v>183</v>
      </c>
      <c r="E98" s="1154">
        <v>132942.43</v>
      </c>
      <c r="F98" s="991">
        <v>45407</v>
      </c>
      <c r="G98" s="991">
        <v>45462</v>
      </c>
      <c r="H98" s="1018" t="s">
        <v>27</v>
      </c>
      <c r="I98" s="1018"/>
      <c r="J98" s="1164" t="s">
        <v>120</v>
      </c>
      <c r="K98" s="1165"/>
      <c r="L98" s="1166" t="s">
        <v>193</v>
      </c>
      <c r="M98" s="919">
        <f ca="1" t="shared" si="2"/>
        <v>728</v>
      </c>
      <c r="N98" s="728">
        <f t="shared" si="3"/>
        <v>45586</v>
      </c>
    </row>
    <row r="99" customFormat="1" ht="20.1" hidden="1" customHeight="1" spans="1:16">
      <c r="A99" s="819">
        <v>132</v>
      </c>
      <c r="B99" s="1018" t="s">
        <v>28</v>
      </c>
      <c r="C99" s="1018" t="s">
        <v>194</v>
      </c>
      <c r="D99" s="1163" t="s">
        <v>195</v>
      </c>
      <c r="E99" s="1154">
        <v>120000</v>
      </c>
      <c r="F99" s="991">
        <v>45422</v>
      </c>
      <c r="G99" s="991">
        <v>45462</v>
      </c>
      <c r="H99" s="1018" t="s">
        <v>27</v>
      </c>
      <c r="I99" s="1018"/>
      <c r="J99" s="1164" t="s">
        <v>120</v>
      </c>
      <c r="K99" s="1165"/>
      <c r="L99" s="1026"/>
      <c r="M99" s="919">
        <f ca="1" t="shared" si="2"/>
        <v>713</v>
      </c>
      <c r="N99" s="728">
        <f t="shared" si="3"/>
        <v>45601</v>
      </c>
    </row>
    <row r="100" s="889" customFormat="1" ht="29.1" hidden="1" customHeight="1" spans="1:16">
      <c r="A100" s="819">
        <v>127</v>
      </c>
      <c r="B100" s="819" t="s">
        <v>28</v>
      </c>
      <c r="C100" s="819" t="s">
        <v>196</v>
      </c>
      <c r="D100" s="1085" t="s">
        <v>183</v>
      </c>
      <c r="E100" s="1154">
        <v>79851.18</v>
      </c>
      <c r="F100" s="775">
        <v>45412</v>
      </c>
      <c r="G100" s="775">
        <v>45463</v>
      </c>
      <c r="H100" s="819" t="s">
        <v>27</v>
      </c>
      <c r="I100" s="819"/>
      <c r="J100" s="1157" t="s">
        <v>120</v>
      </c>
      <c r="K100" s="1158"/>
      <c r="L100" s="938" t="s">
        <v>197</v>
      </c>
      <c r="M100" s="919">
        <f ca="1" t="shared" si="2"/>
        <v>723</v>
      </c>
      <c r="N100" s="728">
        <f t="shared" si="3"/>
        <v>45591</v>
      </c>
      <c r="O100"/>
      <c r="P100"/>
    </row>
    <row r="101" ht="20.1" hidden="1" customHeight="1" spans="1:16">
      <c r="A101" s="819">
        <v>126</v>
      </c>
      <c r="B101" s="997" t="s">
        <v>28</v>
      </c>
      <c r="C101" s="997" t="s">
        <v>198</v>
      </c>
      <c r="D101" s="1167" t="s">
        <v>183</v>
      </c>
      <c r="E101" s="1168">
        <v>30000</v>
      </c>
      <c r="F101" s="972">
        <v>45411</v>
      </c>
      <c r="G101" s="972">
        <v>45467</v>
      </c>
      <c r="H101" s="997" t="s">
        <v>27</v>
      </c>
      <c r="I101" s="997"/>
      <c r="J101" s="1169" t="s">
        <v>120</v>
      </c>
      <c r="K101" s="1170"/>
      <c r="L101" s="1171" t="s">
        <v>199</v>
      </c>
      <c r="M101" s="919">
        <f ca="1" t="shared" si="2"/>
        <v>724</v>
      </c>
      <c r="N101" s="728">
        <f t="shared" si="3"/>
        <v>45590</v>
      </c>
    </row>
    <row r="102" customFormat="1" ht="20.1" hidden="1" customHeight="1" spans="1:16">
      <c r="A102" s="819">
        <v>77</v>
      </c>
      <c r="B102" s="1007" t="s">
        <v>37</v>
      </c>
      <c r="C102" s="1007" t="s">
        <v>200</v>
      </c>
      <c r="D102" s="1007"/>
      <c r="E102" s="1154">
        <v>3398400</v>
      </c>
      <c r="F102" s="1009">
        <v>45350</v>
      </c>
      <c r="G102" s="1009">
        <v>45468</v>
      </c>
      <c r="H102" s="1007" t="s">
        <v>17</v>
      </c>
      <c r="I102" s="1007"/>
      <c r="J102" s="934" t="s">
        <v>201</v>
      </c>
      <c r="K102" s="1145"/>
      <c r="L102" s="1014" t="s">
        <v>202</v>
      </c>
      <c r="M102" s="919">
        <f ca="1" t="shared" si="2"/>
        <v>785</v>
      </c>
      <c r="N102" s="728">
        <f t="shared" si="3"/>
        <v>45529</v>
      </c>
      <c r="O102" s="889"/>
      <c r="P102" s="889"/>
    </row>
    <row r="103" ht="20.1" hidden="1" customHeight="1" spans="1:16">
      <c r="A103" s="819">
        <v>80</v>
      </c>
      <c r="B103" s="819" t="s">
        <v>37</v>
      </c>
      <c r="C103" s="819" t="s">
        <v>203</v>
      </c>
      <c r="D103" s="1085" t="s">
        <v>109</v>
      </c>
      <c r="E103" s="1154">
        <v>171921.99</v>
      </c>
      <c r="F103" s="775">
        <v>45351</v>
      </c>
      <c r="G103" s="775">
        <v>45468</v>
      </c>
      <c r="H103" s="819" t="s">
        <v>27</v>
      </c>
      <c r="I103" s="819"/>
      <c r="J103" s="1155" t="s">
        <v>55</v>
      </c>
      <c r="K103" s="1156"/>
      <c r="L103" s="938" t="s">
        <v>204</v>
      </c>
      <c r="M103" s="919">
        <f ca="1" t="shared" si="2"/>
        <v>784</v>
      </c>
      <c r="N103" s="728">
        <f t="shared" si="3"/>
        <v>45530</v>
      </c>
    </row>
    <row r="104" ht="20.1" hidden="1" customHeight="1" spans="1:16">
      <c r="A104" s="819">
        <v>93</v>
      </c>
      <c r="B104" s="819" t="s">
        <v>37</v>
      </c>
      <c r="C104" s="819" t="s">
        <v>205</v>
      </c>
      <c r="D104" s="1085" t="s">
        <v>109</v>
      </c>
      <c r="E104" s="1154">
        <v>1313339.23</v>
      </c>
      <c r="F104" s="775">
        <v>45371</v>
      </c>
      <c r="G104" s="775">
        <v>45468</v>
      </c>
      <c r="H104" s="819" t="s">
        <v>27</v>
      </c>
      <c r="I104" s="819"/>
      <c r="J104" s="1157" t="s">
        <v>120</v>
      </c>
      <c r="K104" s="1158"/>
      <c r="L104" s="932"/>
      <c r="M104" s="919">
        <f ca="1" t="shared" si="2"/>
        <v>764</v>
      </c>
      <c r="N104" s="728">
        <f t="shared" si="3"/>
        <v>45550</v>
      </c>
    </row>
    <row r="105" ht="20.1" hidden="1" customHeight="1" spans="1:16">
      <c r="A105" s="819">
        <v>81</v>
      </c>
      <c r="B105" s="1018" t="s">
        <v>133</v>
      </c>
      <c r="C105" s="1018" t="s">
        <v>206</v>
      </c>
      <c r="D105" s="1163" t="s">
        <v>126</v>
      </c>
      <c r="E105" s="1172">
        <v>97275.53</v>
      </c>
      <c r="F105" s="991">
        <v>45352</v>
      </c>
      <c r="G105" s="991">
        <v>45469</v>
      </c>
      <c r="H105" s="1018" t="s">
        <v>27</v>
      </c>
      <c r="I105" s="1018"/>
      <c r="J105" s="1173" t="s">
        <v>207</v>
      </c>
      <c r="K105" s="1174"/>
      <c r="L105" s="1175" t="s">
        <v>208</v>
      </c>
      <c r="M105" s="919">
        <f ca="1" t="shared" si="2"/>
        <v>783</v>
      </c>
      <c r="N105" s="728">
        <f t="shared" si="3"/>
        <v>45531</v>
      </c>
    </row>
    <row r="106" ht="20.1" hidden="1" customHeight="1" spans="1:16">
      <c r="A106" s="819">
        <v>84</v>
      </c>
      <c r="B106" s="819" t="s">
        <v>41</v>
      </c>
      <c r="C106" s="819" t="s">
        <v>81</v>
      </c>
      <c r="D106" s="1085" t="s">
        <v>119</v>
      </c>
      <c r="E106" s="1154">
        <v>399999.99</v>
      </c>
      <c r="F106" s="775">
        <v>45357</v>
      </c>
      <c r="G106" s="775">
        <v>45469</v>
      </c>
      <c r="H106" s="819" t="s">
        <v>27</v>
      </c>
      <c r="I106" s="819"/>
      <c r="J106" s="1173" t="s">
        <v>21</v>
      </c>
      <c r="K106" s="1174"/>
      <c r="L106" s="932" t="s">
        <v>209</v>
      </c>
      <c r="M106" s="919">
        <f ca="1" t="shared" si="2"/>
        <v>778</v>
      </c>
      <c r="N106" s="728">
        <f t="shared" si="3"/>
        <v>45536</v>
      </c>
    </row>
    <row r="107" ht="20.1" hidden="1" customHeight="1" spans="1:16">
      <c r="A107" s="819">
        <v>113</v>
      </c>
      <c r="B107" s="997" t="s">
        <v>28</v>
      </c>
      <c r="C107" s="997" t="s">
        <v>210</v>
      </c>
      <c r="D107" s="1167" t="s">
        <v>119</v>
      </c>
      <c r="E107" s="1176">
        <v>87200</v>
      </c>
      <c r="F107" s="972">
        <v>45399</v>
      </c>
      <c r="G107" s="972">
        <v>45470</v>
      </c>
      <c r="H107" s="997" t="s">
        <v>27</v>
      </c>
      <c r="I107" s="997"/>
      <c r="J107" s="1169" t="s">
        <v>120</v>
      </c>
      <c r="K107" s="1170"/>
      <c r="L107" s="1171" t="s">
        <v>211</v>
      </c>
      <c r="M107" s="919">
        <f ca="1" t="shared" si="2"/>
        <v>736</v>
      </c>
      <c r="N107" s="728">
        <f t="shared" si="3"/>
        <v>45578</v>
      </c>
    </row>
    <row r="108" ht="20.1" hidden="1" customHeight="1" spans="1:16">
      <c r="A108" s="819">
        <v>138</v>
      </c>
      <c r="B108" s="819" t="s">
        <v>25</v>
      </c>
      <c r="C108" s="819" t="s">
        <v>212</v>
      </c>
      <c r="D108" s="729" t="s">
        <v>213</v>
      </c>
      <c r="E108" s="1154">
        <v>322808</v>
      </c>
      <c r="F108" s="775">
        <v>45434</v>
      </c>
      <c r="G108" s="775">
        <v>45470</v>
      </c>
      <c r="H108" s="819" t="s">
        <v>27</v>
      </c>
      <c r="I108" s="819"/>
      <c r="J108" s="1157" t="s">
        <v>120</v>
      </c>
      <c r="K108" s="1158"/>
      <c r="L108" s="938" t="s">
        <v>214</v>
      </c>
      <c r="M108" s="919">
        <f ca="1" t="shared" si="2"/>
        <v>701</v>
      </c>
      <c r="N108" s="728">
        <f t="shared" si="3"/>
        <v>45613</v>
      </c>
    </row>
    <row r="109" ht="20.1" hidden="1" customHeight="1" spans="1:16">
      <c r="A109" s="819">
        <v>131</v>
      </c>
      <c r="B109" s="819" t="s">
        <v>28</v>
      </c>
      <c r="C109" s="819" t="s">
        <v>215</v>
      </c>
      <c r="D109" s="1085" t="s">
        <v>195</v>
      </c>
      <c r="E109" s="1154">
        <v>80000</v>
      </c>
      <c r="F109" s="775">
        <v>45419</v>
      </c>
      <c r="G109" s="775">
        <v>45471</v>
      </c>
      <c r="H109" s="819" t="s">
        <v>27</v>
      </c>
      <c r="I109" s="819"/>
      <c r="J109" s="1157" t="s">
        <v>120</v>
      </c>
      <c r="K109" s="1158"/>
      <c r="L109" s="932"/>
      <c r="M109" s="919">
        <f ca="1" t="shared" si="2"/>
        <v>716</v>
      </c>
      <c r="N109" s="728">
        <f t="shared" si="3"/>
        <v>45598</v>
      </c>
    </row>
    <row r="110" ht="20.1" hidden="1" customHeight="1" spans="1:16">
      <c r="A110" s="819">
        <v>85</v>
      </c>
      <c r="B110" s="819" t="s">
        <v>133</v>
      </c>
      <c r="C110" s="819" t="s">
        <v>216</v>
      </c>
      <c r="D110" s="1085" t="s">
        <v>185</v>
      </c>
      <c r="E110" s="1154">
        <v>1720000</v>
      </c>
      <c r="F110" s="775">
        <v>45359</v>
      </c>
      <c r="G110" s="775">
        <v>45474</v>
      </c>
      <c r="H110" s="819" t="s">
        <v>17</v>
      </c>
      <c r="I110" s="819"/>
      <c r="J110" s="1155" t="s">
        <v>21</v>
      </c>
      <c r="K110" s="1156"/>
      <c r="L110" s="932" t="s">
        <v>217</v>
      </c>
      <c r="M110" s="919">
        <f ca="1" t="shared" si="2"/>
        <v>776</v>
      </c>
      <c r="N110" s="728">
        <f t="shared" si="3"/>
        <v>45538</v>
      </c>
    </row>
    <row r="111" ht="20.1" hidden="1" customHeight="1" spans="1:16">
      <c r="A111" s="819">
        <v>117</v>
      </c>
      <c r="B111" s="819" t="s">
        <v>28</v>
      </c>
      <c r="C111" s="819" t="s">
        <v>218</v>
      </c>
      <c r="D111" s="1085" t="s">
        <v>149</v>
      </c>
      <c r="E111" s="1147">
        <v>60000</v>
      </c>
      <c r="F111" s="775">
        <v>45406</v>
      </c>
      <c r="G111" s="775">
        <v>45475</v>
      </c>
      <c r="H111" s="819" t="s">
        <v>27</v>
      </c>
      <c r="I111" s="819"/>
      <c r="J111" s="1157" t="s">
        <v>120</v>
      </c>
      <c r="K111" s="1158"/>
      <c r="L111" s="932"/>
      <c r="M111" s="919">
        <f ca="1" t="shared" si="2"/>
        <v>729</v>
      </c>
      <c r="N111" s="728">
        <f t="shared" si="3"/>
        <v>45585</v>
      </c>
    </row>
    <row r="112" ht="20.1" hidden="1" customHeight="1" spans="1:16">
      <c r="A112" s="819">
        <v>82</v>
      </c>
      <c r="B112" s="1018" t="s">
        <v>133</v>
      </c>
      <c r="C112" s="1018" t="s">
        <v>219</v>
      </c>
      <c r="D112" s="1163" t="s">
        <v>126</v>
      </c>
      <c r="E112" s="1172">
        <v>99839.11</v>
      </c>
      <c r="F112" s="991">
        <v>45356</v>
      </c>
      <c r="G112" s="991">
        <v>45476</v>
      </c>
      <c r="H112" s="1018" t="s">
        <v>27</v>
      </c>
      <c r="I112" s="1018"/>
      <c r="J112" s="1173" t="s">
        <v>21</v>
      </c>
      <c r="K112" s="1174"/>
      <c r="L112" s="1026"/>
      <c r="M112" s="919">
        <f ca="1" t="shared" si="2"/>
        <v>779</v>
      </c>
      <c r="N112" s="728">
        <f t="shared" si="3"/>
        <v>45535</v>
      </c>
    </row>
    <row r="113" ht="20.1" hidden="1" customHeight="1" spans="1:16">
      <c r="A113" s="819">
        <v>83</v>
      </c>
      <c r="B113" s="1007" t="s">
        <v>133</v>
      </c>
      <c r="C113" s="1007" t="s">
        <v>220</v>
      </c>
      <c r="D113" s="960" t="s">
        <v>126</v>
      </c>
      <c r="E113" s="1154">
        <v>120843.33</v>
      </c>
      <c r="F113" s="1009">
        <v>45356</v>
      </c>
      <c r="G113" s="1009">
        <v>45476</v>
      </c>
      <c r="H113" s="1007" t="s">
        <v>27</v>
      </c>
      <c r="I113" s="1007"/>
      <c r="J113" s="1162" t="s">
        <v>55</v>
      </c>
      <c r="K113" s="1156"/>
      <c r="L113" s="1177" t="s">
        <v>221</v>
      </c>
      <c r="M113" s="919">
        <f ca="1" t="shared" si="2"/>
        <v>779</v>
      </c>
      <c r="N113" s="728">
        <f t="shared" si="3"/>
        <v>45535</v>
      </c>
      <c r="O113" s="889"/>
      <c r="P113" s="889"/>
    </row>
    <row r="114" ht="20.1" hidden="1" customHeight="1" spans="1:16">
      <c r="A114" s="819">
        <v>122</v>
      </c>
      <c r="B114" s="819" t="s">
        <v>147</v>
      </c>
      <c r="C114" s="819" t="s">
        <v>222</v>
      </c>
      <c r="D114" s="1085" t="s">
        <v>149</v>
      </c>
      <c r="E114" s="1154">
        <v>1600000</v>
      </c>
      <c r="F114" s="775">
        <v>45408</v>
      </c>
      <c r="G114" s="775">
        <v>45488</v>
      </c>
      <c r="H114" s="819" t="s">
        <v>17</v>
      </c>
      <c r="I114" s="819"/>
      <c r="J114" s="1157" t="s">
        <v>120</v>
      </c>
      <c r="K114" s="1158"/>
      <c r="L114" s="932"/>
      <c r="M114" s="919">
        <f ca="1" t="shared" si="2"/>
        <v>727</v>
      </c>
      <c r="N114" s="728">
        <f t="shared" si="3"/>
        <v>45587</v>
      </c>
    </row>
    <row r="115" ht="20.1" hidden="1" customHeight="1" spans="1:16">
      <c r="A115" s="819">
        <v>158</v>
      </c>
      <c r="B115" s="819" t="s">
        <v>22</v>
      </c>
      <c r="C115" s="819" t="s">
        <v>223</v>
      </c>
      <c r="D115" s="729" t="s">
        <v>224</v>
      </c>
      <c r="E115" s="1154">
        <v>536023.31</v>
      </c>
      <c r="F115" s="775">
        <v>45471</v>
      </c>
      <c r="G115" s="775">
        <v>45491</v>
      </c>
      <c r="H115" s="819" t="s">
        <v>27</v>
      </c>
      <c r="I115" s="819"/>
      <c r="J115" s="1157" t="s">
        <v>120</v>
      </c>
      <c r="K115" s="1158"/>
      <c r="L115" s="932"/>
      <c r="M115" s="919">
        <f ca="1" t="shared" si="2"/>
        <v>664</v>
      </c>
      <c r="N115" s="728">
        <f t="shared" si="3"/>
        <v>45650</v>
      </c>
      <c r="P115" s="1178"/>
    </row>
    <row r="116" ht="20.1" hidden="1" customHeight="1" spans="1:16">
      <c r="A116" s="819">
        <v>116</v>
      </c>
      <c r="B116" s="997" t="s">
        <v>28</v>
      </c>
      <c r="C116" s="997" t="s">
        <v>225</v>
      </c>
      <c r="D116" s="969" t="s">
        <v>226</v>
      </c>
      <c r="E116" s="1176">
        <v>159970.57</v>
      </c>
      <c r="F116" s="972">
        <v>45405</v>
      </c>
      <c r="G116" s="972">
        <v>45495</v>
      </c>
      <c r="H116" s="997" t="s">
        <v>27</v>
      </c>
      <c r="I116" s="997"/>
      <c r="J116" s="969" t="s">
        <v>120</v>
      </c>
      <c r="K116" s="1179"/>
      <c r="L116" s="975"/>
      <c r="M116" s="919">
        <f ca="1" t="shared" si="2"/>
        <v>730</v>
      </c>
      <c r="N116" s="728">
        <f t="shared" si="3"/>
        <v>45584</v>
      </c>
    </row>
    <row r="117" ht="20.1" hidden="1" customHeight="1" spans="1:16">
      <c r="A117" s="819">
        <v>136</v>
      </c>
      <c r="B117" s="819" t="s">
        <v>147</v>
      </c>
      <c r="C117" s="819" t="s">
        <v>227</v>
      </c>
      <c r="D117" s="729" t="s">
        <v>224</v>
      </c>
      <c r="E117" s="1154">
        <v>3600000</v>
      </c>
      <c r="F117" s="775">
        <v>45432</v>
      </c>
      <c r="G117" s="775">
        <v>45496</v>
      </c>
      <c r="H117" s="819" t="s">
        <v>17</v>
      </c>
      <c r="I117" s="819"/>
      <c r="J117" s="1157" t="s">
        <v>120</v>
      </c>
      <c r="K117" s="1158"/>
      <c r="L117" s="932"/>
      <c r="M117" s="919">
        <f ca="1" t="shared" si="2"/>
        <v>703</v>
      </c>
      <c r="N117" s="728">
        <f t="shared" si="3"/>
        <v>45611</v>
      </c>
    </row>
    <row r="118" ht="20.1" hidden="1" customHeight="1" spans="1:16">
      <c r="A118" s="819">
        <v>139</v>
      </c>
      <c r="B118" s="1018" t="s">
        <v>228</v>
      </c>
      <c r="C118" s="1018" t="s">
        <v>229</v>
      </c>
      <c r="D118" s="951" t="s">
        <v>230</v>
      </c>
      <c r="E118" s="1172">
        <v>3995551.93</v>
      </c>
      <c r="F118" s="991">
        <v>45434</v>
      </c>
      <c r="G118" s="991">
        <v>45496</v>
      </c>
      <c r="H118" s="1018" t="s">
        <v>17</v>
      </c>
      <c r="I118" s="1018"/>
      <c r="J118" s="951" t="s">
        <v>231</v>
      </c>
      <c r="K118" s="1180"/>
      <c r="L118" s="1166" t="s">
        <v>232</v>
      </c>
      <c r="M118" s="919">
        <f ca="1" t="shared" si="2"/>
        <v>701</v>
      </c>
      <c r="N118" s="728">
        <f t="shared" si="3"/>
        <v>45613</v>
      </c>
      <c r="O118" s="1181"/>
    </row>
    <row r="119" ht="20.1" hidden="1" customHeight="1" spans="1:16">
      <c r="A119" s="819">
        <v>140</v>
      </c>
      <c r="B119" s="819" t="s">
        <v>233</v>
      </c>
      <c r="C119" s="819" t="s">
        <v>234</v>
      </c>
      <c r="D119" s="729" t="s">
        <v>235</v>
      </c>
      <c r="E119" s="1154">
        <v>315960.12</v>
      </c>
      <c r="F119" s="775">
        <v>45438</v>
      </c>
      <c r="G119" s="775">
        <v>45497</v>
      </c>
      <c r="H119" s="819" t="s">
        <v>27</v>
      </c>
      <c r="I119" s="819"/>
      <c r="J119" s="729" t="s">
        <v>120</v>
      </c>
      <c r="K119" s="1145"/>
      <c r="L119" s="932"/>
      <c r="M119" s="919">
        <f ca="1" t="shared" si="2"/>
        <v>697</v>
      </c>
      <c r="N119" s="728">
        <f t="shared" si="3"/>
        <v>45617</v>
      </c>
    </row>
    <row r="120" ht="20.1" hidden="1" customHeight="1" spans="1:16">
      <c r="A120" s="819">
        <v>142</v>
      </c>
      <c r="B120" s="1182" t="s">
        <v>233</v>
      </c>
      <c r="C120" s="1182" t="s">
        <v>236</v>
      </c>
      <c r="D120" s="1183" t="s">
        <v>235</v>
      </c>
      <c r="E120" s="1184">
        <v>1000000</v>
      </c>
      <c r="F120" s="1185">
        <v>45450</v>
      </c>
      <c r="G120" s="1185">
        <v>45497</v>
      </c>
      <c r="H120" s="1182" t="s">
        <v>17</v>
      </c>
      <c r="I120" s="1182"/>
      <c r="J120" s="729" t="s">
        <v>120</v>
      </c>
      <c r="K120" s="1186"/>
      <c r="L120" s="1187"/>
      <c r="M120" s="919">
        <f ca="1" t="shared" si="2"/>
        <v>685</v>
      </c>
      <c r="N120" s="728">
        <f t="shared" si="3"/>
        <v>45629</v>
      </c>
    </row>
    <row r="121" ht="20.1" hidden="1" customHeight="1" spans="1:16">
      <c r="A121" s="819">
        <v>97</v>
      </c>
      <c r="B121" s="819" t="s">
        <v>37</v>
      </c>
      <c r="C121" s="819" t="s">
        <v>237</v>
      </c>
      <c r="D121" s="1085" t="s">
        <v>238</v>
      </c>
      <c r="E121" s="1154">
        <v>352000</v>
      </c>
      <c r="F121" s="775">
        <v>45379</v>
      </c>
      <c r="G121" s="775">
        <v>45498</v>
      </c>
      <c r="H121" s="819" t="s">
        <v>27</v>
      </c>
      <c r="I121" s="819"/>
      <c r="J121" s="1157" t="s">
        <v>120</v>
      </c>
      <c r="K121" s="1158"/>
      <c r="L121" s="932"/>
      <c r="M121" s="919">
        <f ca="1" t="shared" si="2"/>
        <v>756</v>
      </c>
      <c r="N121" s="728">
        <f t="shared" si="3"/>
        <v>45558</v>
      </c>
    </row>
    <row r="122" ht="20.1" hidden="1" customHeight="1" spans="1:16">
      <c r="A122" s="819">
        <v>98</v>
      </c>
      <c r="B122" s="1098" t="s">
        <v>37</v>
      </c>
      <c r="C122" s="1098" t="s">
        <v>239</v>
      </c>
      <c r="D122" s="953" t="s">
        <v>238</v>
      </c>
      <c r="E122" s="1188">
        <v>348000</v>
      </c>
      <c r="F122" s="1189">
        <v>45379</v>
      </c>
      <c r="G122" s="1189">
        <v>45498</v>
      </c>
      <c r="H122" s="1098" t="s">
        <v>27</v>
      </c>
      <c r="I122" s="1098"/>
      <c r="J122" s="969" t="s">
        <v>240</v>
      </c>
      <c r="K122" s="1179"/>
      <c r="L122" s="1190" t="s">
        <v>241</v>
      </c>
      <c r="M122" s="919">
        <f ca="1" t="shared" si="2"/>
        <v>756</v>
      </c>
      <c r="N122" s="728">
        <f t="shared" si="3"/>
        <v>45558</v>
      </c>
      <c r="O122" s="889"/>
      <c r="P122" s="889"/>
    </row>
    <row r="123" ht="20.1" hidden="1" customHeight="1" spans="1:16">
      <c r="A123" s="819">
        <v>103</v>
      </c>
      <c r="B123" s="1018" t="s">
        <v>133</v>
      </c>
      <c r="C123" s="1018" t="s">
        <v>242</v>
      </c>
      <c r="D123" s="951" t="s">
        <v>226</v>
      </c>
      <c r="E123" s="1147">
        <v>28000</v>
      </c>
      <c r="F123" s="991">
        <v>45380</v>
      </c>
      <c r="G123" s="991">
        <v>45498</v>
      </c>
      <c r="H123" s="1018" t="s">
        <v>27</v>
      </c>
      <c r="I123" s="1018"/>
      <c r="J123" s="1173" t="s">
        <v>243</v>
      </c>
      <c r="K123" s="1174"/>
      <c r="L123" s="1026"/>
      <c r="M123" s="919">
        <f ca="1" t="shared" si="2"/>
        <v>755</v>
      </c>
      <c r="N123" s="728">
        <f t="shared" si="3"/>
        <v>45559</v>
      </c>
    </row>
    <row r="124" ht="20.1" hidden="1" customHeight="1" spans="1:16">
      <c r="A124" s="819">
        <v>104</v>
      </c>
      <c r="B124" s="819" t="s">
        <v>37</v>
      </c>
      <c r="C124" s="819" t="s">
        <v>244</v>
      </c>
      <c r="D124" s="729" t="s">
        <v>238</v>
      </c>
      <c r="E124" s="1147">
        <v>247800</v>
      </c>
      <c r="F124" s="775">
        <v>45380</v>
      </c>
      <c r="G124" s="775">
        <v>45498</v>
      </c>
      <c r="H124" s="819" t="s">
        <v>27</v>
      </c>
      <c r="I124" s="819"/>
      <c r="J124" s="1173" t="s">
        <v>245</v>
      </c>
      <c r="K124" s="1174"/>
      <c r="L124" s="932"/>
      <c r="M124" s="919">
        <f ca="1" t="shared" si="2"/>
        <v>755</v>
      </c>
      <c r="N124" s="728">
        <f t="shared" si="3"/>
        <v>45559</v>
      </c>
    </row>
    <row r="125" ht="20.1" hidden="1" customHeight="1" spans="1:16">
      <c r="A125" s="819">
        <v>105</v>
      </c>
      <c r="B125" s="997" t="s">
        <v>37</v>
      </c>
      <c r="C125" s="997" t="s">
        <v>246</v>
      </c>
      <c r="D125" s="969" t="s">
        <v>247</v>
      </c>
      <c r="E125" s="1147">
        <v>198716.78</v>
      </c>
      <c r="F125" s="972">
        <v>45380</v>
      </c>
      <c r="G125" s="972">
        <v>45498</v>
      </c>
      <c r="H125" s="997" t="s">
        <v>27</v>
      </c>
      <c r="I125" s="997"/>
      <c r="J125" s="729" t="s">
        <v>55</v>
      </c>
      <c r="K125" s="1179"/>
      <c r="L125" s="1171" t="s">
        <v>245</v>
      </c>
      <c r="M125" s="919">
        <f ca="1" t="shared" si="2"/>
        <v>755</v>
      </c>
      <c r="N125" s="728">
        <f t="shared" si="3"/>
        <v>45559</v>
      </c>
    </row>
    <row r="126" ht="20.1" hidden="1" customHeight="1" spans="1:16">
      <c r="A126" s="819">
        <v>106</v>
      </c>
      <c r="B126" s="819" t="s">
        <v>37</v>
      </c>
      <c r="C126" s="819" t="s">
        <v>248</v>
      </c>
      <c r="D126" s="729" t="s">
        <v>247</v>
      </c>
      <c r="E126" s="1147">
        <v>156000</v>
      </c>
      <c r="F126" s="775">
        <v>45380</v>
      </c>
      <c r="G126" s="775">
        <v>45498</v>
      </c>
      <c r="H126" s="819" t="s">
        <v>27</v>
      </c>
      <c r="I126" s="819"/>
      <c r="J126" s="729" t="s">
        <v>55</v>
      </c>
      <c r="K126" s="1145"/>
      <c r="L126" s="938" t="s">
        <v>245</v>
      </c>
      <c r="M126" s="919">
        <f ca="1" t="shared" si="2"/>
        <v>755</v>
      </c>
      <c r="N126" s="728">
        <f t="shared" si="3"/>
        <v>45559</v>
      </c>
    </row>
    <row r="127" customFormat="1" ht="20.1" hidden="1" customHeight="1" spans="1:16">
      <c r="A127" s="819">
        <v>107</v>
      </c>
      <c r="B127" s="819" t="s">
        <v>37</v>
      </c>
      <c r="C127" s="819" t="s">
        <v>249</v>
      </c>
      <c r="D127" s="729" t="s">
        <v>247</v>
      </c>
      <c r="E127" s="1147">
        <v>332000</v>
      </c>
      <c r="F127" s="775">
        <v>45380</v>
      </c>
      <c r="G127" s="775">
        <v>45498</v>
      </c>
      <c r="H127" s="819" t="s">
        <v>27</v>
      </c>
      <c r="I127" s="819"/>
      <c r="J127" s="729" t="s">
        <v>55</v>
      </c>
      <c r="K127" s="1145"/>
      <c r="L127" s="938" t="s">
        <v>245</v>
      </c>
      <c r="M127" s="919">
        <f ca="1" t="shared" si="2"/>
        <v>755</v>
      </c>
      <c r="N127" s="728">
        <f t="shared" si="3"/>
        <v>45559</v>
      </c>
    </row>
    <row r="128" customFormat="1" ht="20.1" hidden="1" customHeight="1" spans="1:16">
      <c r="A128" s="819">
        <v>110</v>
      </c>
      <c r="B128" s="819" t="s">
        <v>37</v>
      </c>
      <c r="C128" s="819" t="s">
        <v>250</v>
      </c>
      <c r="D128" s="729" t="s">
        <v>247</v>
      </c>
      <c r="E128" s="1147">
        <v>1040000</v>
      </c>
      <c r="F128" s="775">
        <v>45393</v>
      </c>
      <c r="G128" s="775">
        <v>45498</v>
      </c>
      <c r="H128" s="819" t="s">
        <v>17</v>
      </c>
      <c r="I128" s="819"/>
      <c r="J128" s="729" t="s">
        <v>120</v>
      </c>
      <c r="K128" s="1145"/>
      <c r="L128" s="932"/>
      <c r="M128" s="919">
        <f ca="1" t="shared" si="2"/>
        <v>742</v>
      </c>
      <c r="N128" s="728">
        <f t="shared" si="3"/>
        <v>45572</v>
      </c>
    </row>
    <row r="129" customFormat="1" ht="20.1" hidden="1" customHeight="1" spans="1:16">
      <c r="A129" s="819">
        <v>115</v>
      </c>
      <c r="B129" s="819" t="s">
        <v>37</v>
      </c>
      <c r="C129" s="819" t="s">
        <v>251</v>
      </c>
      <c r="D129" s="729" t="s">
        <v>226</v>
      </c>
      <c r="E129" s="1147">
        <v>3499973.22</v>
      </c>
      <c r="F129" s="775">
        <v>45401</v>
      </c>
      <c r="G129" s="775">
        <v>45498</v>
      </c>
      <c r="H129" s="819" t="s">
        <v>17</v>
      </c>
      <c r="I129" s="819"/>
      <c r="J129" s="729" t="s">
        <v>120</v>
      </c>
      <c r="K129" s="1145"/>
      <c r="L129" s="938" t="s">
        <v>252</v>
      </c>
      <c r="M129" s="919">
        <f ca="1" t="shared" si="2"/>
        <v>734</v>
      </c>
      <c r="N129" s="728">
        <f t="shared" si="3"/>
        <v>45580</v>
      </c>
    </row>
    <row r="130" customFormat="1" ht="20.1" hidden="1" customHeight="1" spans="1:16">
      <c r="A130" s="819">
        <v>118</v>
      </c>
      <c r="B130" s="819" t="s">
        <v>15</v>
      </c>
      <c r="C130" s="819" t="s">
        <v>253</v>
      </c>
      <c r="D130" s="729" t="s">
        <v>254</v>
      </c>
      <c r="E130" s="1147">
        <v>1200000</v>
      </c>
      <c r="F130" s="775">
        <v>45406</v>
      </c>
      <c r="G130" s="775">
        <v>45498</v>
      </c>
      <c r="H130" s="819" t="s">
        <v>17</v>
      </c>
      <c r="I130" s="819"/>
      <c r="J130" s="1157" t="s">
        <v>120</v>
      </c>
      <c r="K130" s="1158"/>
      <c r="L130" s="932"/>
      <c r="M130" s="919">
        <f ca="1" t="shared" si="2"/>
        <v>729</v>
      </c>
      <c r="N130" s="728">
        <f t="shared" si="3"/>
        <v>45585</v>
      </c>
    </row>
    <row r="131" customFormat="1" ht="20.1" hidden="1" customHeight="1" spans="1:16">
      <c r="A131" s="819">
        <v>159</v>
      </c>
      <c r="B131" s="819" t="s">
        <v>25</v>
      </c>
      <c r="C131" s="819" t="s">
        <v>255</v>
      </c>
      <c r="D131" s="951" t="s">
        <v>256</v>
      </c>
      <c r="E131" s="1154">
        <v>205546.11</v>
      </c>
      <c r="F131" s="775">
        <v>45471</v>
      </c>
      <c r="G131" s="775">
        <v>45500</v>
      </c>
      <c r="H131" s="819" t="s">
        <v>27</v>
      </c>
      <c r="I131" s="819"/>
      <c r="J131" s="729" t="s">
        <v>120</v>
      </c>
      <c r="K131" s="1145"/>
      <c r="L131" s="938" t="s">
        <v>214</v>
      </c>
      <c r="M131" s="919">
        <f ca="1" t="shared" ref="M131:M194" si="4">DATEDIF(F131,TODAY(),"D")</f>
        <v>664</v>
      </c>
      <c r="N131" s="728">
        <f t="shared" ref="N131:N194" si="5">F131+179</f>
        <v>45650</v>
      </c>
      <c r="P131" s="1178"/>
    </row>
    <row r="132" ht="20.1" hidden="1" customHeight="1" spans="1:16">
      <c r="A132" s="819">
        <v>160</v>
      </c>
      <c r="B132" s="819" t="s">
        <v>25</v>
      </c>
      <c r="C132" s="819" t="s">
        <v>257</v>
      </c>
      <c r="D132" s="951" t="s">
        <v>258</v>
      </c>
      <c r="E132" s="1154">
        <v>64000</v>
      </c>
      <c r="F132" s="775">
        <v>45471</v>
      </c>
      <c r="G132" s="775">
        <v>45500</v>
      </c>
      <c r="H132" s="819" t="s">
        <v>27</v>
      </c>
      <c r="I132" s="819"/>
      <c r="J132" s="729" t="s">
        <v>120</v>
      </c>
      <c r="K132" s="1145"/>
      <c r="L132" s="932" t="s">
        <v>259</v>
      </c>
      <c r="M132" s="919">
        <f ca="1" t="shared" si="4"/>
        <v>664</v>
      </c>
      <c r="N132" s="728">
        <f t="shared" si="5"/>
        <v>45650</v>
      </c>
      <c r="P132" s="1178"/>
    </row>
    <row r="133" ht="20.1" hidden="1" customHeight="1" spans="1:16">
      <c r="A133" s="819">
        <v>161</v>
      </c>
      <c r="B133" s="819" t="s">
        <v>25</v>
      </c>
      <c r="C133" s="819" t="s">
        <v>260</v>
      </c>
      <c r="D133" s="729" t="s">
        <v>258</v>
      </c>
      <c r="E133" s="1154">
        <v>160000</v>
      </c>
      <c r="F133" s="775">
        <v>45471</v>
      </c>
      <c r="G133" s="775">
        <v>45500</v>
      </c>
      <c r="H133" s="819" t="s">
        <v>27</v>
      </c>
      <c r="I133" s="819"/>
      <c r="J133" s="729" t="s">
        <v>120</v>
      </c>
      <c r="K133" s="1145"/>
      <c r="L133" s="938" t="s">
        <v>214</v>
      </c>
      <c r="M133" s="919">
        <f ca="1" t="shared" si="4"/>
        <v>664</v>
      </c>
      <c r="N133" s="728">
        <f t="shared" si="5"/>
        <v>45650</v>
      </c>
      <c r="P133" s="1178"/>
    </row>
    <row r="134" ht="20.1" hidden="1" customHeight="1" spans="1:16">
      <c r="A134" s="819">
        <v>133</v>
      </c>
      <c r="B134" s="819" t="s">
        <v>31</v>
      </c>
      <c r="C134" s="819" t="s">
        <v>261</v>
      </c>
      <c r="D134" s="729" t="s">
        <v>262</v>
      </c>
      <c r="E134" s="1154">
        <v>38478.05</v>
      </c>
      <c r="F134" s="775">
        <v>45425</v>
      </c>
      <c r="G134" s="775">
        <v>45504</v>
      </c>
      <c r="H134" s="819" t="s">
        <v>27</v>
      </c>
      <c r="I134" s="819"/>
      <c r="J134" s="1157" t="s">
        <v>120</v>
      </c>
      <c r="K134" s="1158"/>
      <c r="L134" s="932"/>
      <c r="M134" s="919">
        <f ca="1" t="shared" si="4"/>
        <v>710</v>
      </c>
      <c r="N134" s="728">
        <f t="shared" si="5"/>
        <v>45604</v>
      </c>
    </row>
    <row r="135" ht="20.1" hidden="1" customHeight="1" spans="1:16">
      <c r="A135" s="819">
        <v>134</v>
      </c>
      <c r="B135" s="819" t="s">
        <v>31</v>
      </c>
      <c r="C135" s="819" t="s">
        <v>263</v>
      </c>
      <c r="D135" s="729" t="s">
        <v>264</v>
      </c>
      <c r="E135" s="1154">
        <v>122911.74</v>
      </c>
      <c r="F135" s="775">
        <v>45427</v>
      </c>
      <c r="G135" s="775">
        <v>45504</v>
      </c>
      <c r="H135" s="819" t="s">
        <v>27</v>
      </c>
      <c r="I135" s="819"/>
      <c r="J135" s="1157" t="s">
        <v>120</v>
      </c>
      <c r="K135" s="1158"/>
      <c r="L135" s="932"/>
      <c r="M135" s="919">
        <f ca="1" t="shared" si="4"/>
        <v>708</v>
      </c>
      <c r="N135" s="728">
        <f t="shared" si="5"/>
        <v>45606</v>
      </c>
    </row>
    <row r="136" ht="20.1" hidden="1" customHeight="1" spans="1:16">
      <c r="A136" s="819">
        <v>137</v>
      </c>
      <c r="B136" s="819" t="s">
        <v>31</v>
      </c>
      <c r="C136" s="819" t="s">
        <v>265</v>
      </c>
      <c r="D136" s="951" t="s">
        <v>213</v>
      </c>
      <c r="E136" s="1154">
        <v>102396.69</v>
      </c>
      <c r="F136" s="775">
        <v>45432</v>
      </c>
      <c r="G136" s="775">
        <v>45504</v>
      </c>
      <c r="H136" s="819" t="s">
        <v>27</v>
      </c>
      <c r="I136" s="819"/>
      <c r="J136" s="1157" t="s">
        <v>120</v>
      </c>
      <c r="K136" s="1158"/>
      <c r="L136" s="932"/>
      <c r="M136" s="919">
        <f ca="1" t="shared" si="4"/>
        <v>703</v>
      </c>
      <c r="N136" s="728">
        <f t="shared" si="5"/>
        <v>45611</v>
      </c>
    </row>
    <row r="137" ht="20.1" hidden="1" customHeight="1" spans="1:16">
      <c r="A137" s="819">
        <v>162</v>
      </c>
      <c r="B137" s="819" t="s">
        <v>147</v>
      </c>
      <c r="C137" s="819" t="s">
        <v>266</v>
      </c>
      <c r="D137" s="951" t="s">
        <v>258</v>
      </c>
      <c r="E137" s="1154">
        <v>588000</v>
      </c>
      <c r="F137" s="775">
        <v>45471</v>
      </c>
      <c r="G137" s="775">
        <v>45505</v>
      </c>
      <c r="H137" s="819" t="s">
        <v>17</v>
      </c>
      <c r="I137" s="819"/>
      <c r="J137" s="951" t="s">
        <v>55</v>
      </c>
      <c r="K137" s="1180"/>
      <c r="L137" s="938" t="s">
        <v>267</v>
      </c>
      <c r="M137" s="919">
        <f ca="1" t="shared" si="4"/>
        <v>664</v>
      </c>
      <c r="N137" s="728">
        <f t="shared" si="5"/>
        <v>45650</v>
      </c>
      <c r="P137" s="1178">
        <v>588000</v>
      </c>
    </row>
    <row r="138" ht="20.1" hidden="1" customHeight="1" spans="1:16">
      <c r="A138" s="819">
        <v>181</v>
      </c>
      <c r="B138" s="819" t="s">
        <v>140</v>
      </c>
      <c r="C138" s="819" t="s">
        <v>268</v>
      </c>
      <c r="D138" s="729" t="s">
        <v>256</v>
      </c>
      <c r="E138" s="1154">
        <v>71984.45</v>
      </c>
      <c r="F138" s="775">
        <v>45502</v>
      </c>
      <c r="G138" s="775">
        <v>45505</v>
      </c>
      <c r="H138" s="819" t="s">
        <v>27</v>
      </c>
      <c r="I138" s="819"/>
      <c r="J138" s="951" t="s">
        <v>55</v>
      </c>
      <c r="K138" s="1180"/>
      <c r="L138" s="938" t="s">
        <v>245</v>
      </c>
      <c r="M138" s="919">
        <f ca="1" t="shared" si="4"/>
        <v>633</v>
      </c>
      <c r="N138" s="728">
        <f t="shared" si="5"/>
        <v>45681</v>
      </c>
      <c r="P138" s="1178"/>
    </row>
    <row r="139" ht="20.1" hidden="1" customHeight="1" spans="1:16">
      <c r="A139" s="819">
        <v>119</v>
      </c>
      <c r="B139" s="819" t="s">
        <v>147</v>
      </c>
      <c r="C139" s="819" t="s">
        <v>269</v>
      </c>
      <c r="D139" s="729" t="s">
        <v>238</v>
      </c>
      <c r="E139" s="1154">
        <v>339942.04</v>
      </c>
      <c r="F139" s="775">
        <v>45406</v>
      </c>
      <c r="G139" s="775">
        <v>45506</v>
      </c>
      <c r="H139" s="819" t="s">
        <v>17</v>
      </c>
      <c r="I139" s="819"/>
      <c r="J139" s="729" t="s">
        <v>270</v>
      </c>
      <c r="K139" s="1145"/>
      <c r="L139" s="938" t="s">
        <v>245</v>
      </c>
      <c r="M139" s="919">
        <f ca="1" t="shared" si="4"/>
        <v>729</v>
      </c>
      <c r="N139" s="728">
        <f t="shared" si="5"/>
        <v>45585</v>
      </c>
    </row>
    <row r="140" ht="20.1" hidden="1" customHeight="1" spans="1:16">
      <c r="A140" s="819">
        <v>167</v>
      </c>
      <c r="B140" s="819" t="s">
        <v>233</v>
      </c>
      <c r="C140" s="819" t="s">
        <v>271</v>
      </c>
      <c r="D140" s="729" t="s">
        <v>272</v>
      </c>
      <c r="E140" s="1154">
        <v>800000</v>
      </c>
      <c r="F140" s="775">
        <v>45478</v>
      </c>
      <c r="G140" s="775">
        <v>45509</v>
      </c>
      <c r="H140" s="819" t="s">
        <v>17</v>
      </c>
      <c r="I140" s="819"/>
      <c r="J140" s="729" t="s">
        <v>120</v>
      </c>
      <c r="K140" s="1145"/>
      <c r="L140" s="932"/>
      <c r="M140" s="919">
        <f ca="1" t="shared" si="4"/>
        <v>657</v>
      </c>
      <c r="N140" s="728">
        <f t="shared" si="5"/>
        <v>45657</v>
      </c>
      <c r="P140" s="1178">
        <v>800000</v>
      </c>
    </row>
    <row r="141" ht="20" hidden="1" customHeight="1" spans="1:16">
      <c r="A141" s="819">
        <v>178</v>
      </c>
      <c r="B141" s="819" t="s">
        <v>22</v>
      </c>
      <c r="C141" s="819" t="s">
        <v>273</v>
      </c>
      <c r="D141" s="729" t="s">
        <v>256</v>
      </c>
      <c r="E141" s="1154">
        <v>2041580.76</v>
      </c>
      <c r="F141" s="775">
        <v>45496</v>
      </c>
      <c r="G141" s="775">
        <v>45509</v>
      </c>
      <c r="H141" s="819" t="s">
        <v>17</v>
      </c>
      <c r="I141" s="819"/>
      <c r="J141" s="729" t="s">
        <v>120</v>
      </c>
      <c r="K141" s="1145"/>
      <c r="L141" s="932"/>
      <c r="M141" s="919">
        <f ca="1" t="shared" si="4"/>
        <v>639</v>
      </c>
      <c r="N141" s="728">
        <f t="shared" si="5"/>
        <v>45675</v>
      </c>
      <c r="P141" s="1178"/>
    </row>
    <row r="142" ht="20.1" hidden="1" customHeight="1" spans="1:16">
      <c r="A142" s="819">
        <v>109</v>
      </c>
      <c r="B142" s="819" t="s">
        <v>37</v>
      </c>
      <c r="C142" s="819" t="s">
        <v>274</v>
      </c>
      <c r="D142" s="729" t="s">
        <v>247</v>
      </c>
      <c r="E142" s="1147">
        <v>274398.07</v>
      </c>
      <c r="F142" s="775">
        <v>45391</v>
      </c>
      <c r="G142" s="775">
        <v>45510</v>
      </c>
      <c r="H142" s="819" t="s">
        <v>17</v>
      </c>
      <c r="I142" s="819"/>
      <c r="J142" s="729" t="s">
        <v>55</v>
      </c>
      <c r="K142" s="1145"/>
      <c r="L142" s="938" t="s">
        <v>245</v>
      </c>
      <c r="M142" s="919">
        <f ca="1" t="shared" si="4"/>
        <v>744</v>
      </c>
      <c r="N142" s="728">
        <f t="shared" si="5"/>
        <v>45570</v>
      </c>
    </row>
    <row r="143" ht="20.1" hidden="1" customHeight="1" spans="1:16">
      <c r="A143" s="819">
        <v>169</v>
      </c>
      <c r="B143" s="819" t="s">
        <v>28</v>
      </c>
      <c r="C143" s="1111" t="s">
        <v>275</v>
      </c>
      <c r="D143" s="729" t="s">
        <v>235</v>
      </c>
      <c r="E143" s="1154">
        <v>120000</v>
      </c>
      <c r="F143" s="1022">
        <v>45485</v>
      </c>
      <c r="G143" s="775">
        <v>45510</v>
      </c>
      <c r="H143" s="819" t="s">
        <v>27</v>
      </c>
      <c r="I143" s="819"/>
      <c r="J143" s="729" t="s">
        <v>120</v>
      </c>
      <c r="K143" s="1145"/>
      <c r="L143" s="932"/>
      <c r="M143" s="919">
        <f ca="1" t="shared" si="4"/>
        <v>650</v>
      </c>
      <c r="N143" s="728">
        <f t="shared" si="5"/>
        <v>45664</v>
      </c>
      <c r="P143" s="1178"/>
    </row>
    <row r="144" ht="20.1" hidden="1" customHeight="1" spans="1:16">
      <c r="A144" s="819">
        <v>128</v>
      </c>
      <c r="B144" s="819" t="s">
        <v>28</v>
      </c>
      <c r="C144" s="819" t="s">
        <v>276</v>
      </c>
      <c r="D144" s="819" t="s">
        <v>226</v>
      </c>
      <c r="E144" s="1154">
        <v>100000</v>
      </c>
      <c r="F144" s="775">
        <v>45412</v>
      </c>
      <c r="G144" s="775">
        <v>45513</v>
      </c>
      <c r="H144" s="819" t="s">
        <v>27</v>
      </c>
      <c r="I144" s="819"/>
      <c r="J144" s="729" t="s">
        <v>277</v>
      </c>
      <c r="K144" s="1145"/>
      <c r="L144" s="932"/>
      <c r="M144" s="919">
        <f ca="1" t="shared" si="4"/>
        <v>723</v>
      </c>
      <c r="N144" s="728">
        <f t="shared" si="5"/>
        <v>45591</v>
      </c>
    </row>
    <row r="145" s="703" customFormat="1" ht="20.1" hidden="1" customHeight="1" spans="1:16">
      <c r="A145" s="819">
        <v>114</v>
      </c>
      <c r="B145" s="819" t="s">
        <v>37</v>
      </c>
      <c r="C145" s="819" t="s">
        <v>278</v>
      </c>
      <c r="D145" s="729" t="s">
        <v>247</v>
      </c>
      <c r="E145" s="1147">
        <v>524000</v>
      </c>
      <c r="F145" s="775">
        <v>45399</v>
      </c>
      <c r="G145" s="775">
        <v>45517</v>
      </c>
      <c r="H145" s="819" t="s">
        <v>17</v>
      </c>
      <c r="I145" s="819"/>
      <c r="J145" s="729" t="s">
        <v>55</v>
      </c>
      <c r="K145" s="1145"/>
      <c r="L145" s="938" t="s">
        <v>245</v>
      </c>
      <c r="M145" s="919">
        <f ca="1" t="shared" si="4"/>
        <v>736</v>
      </c>
      <c r="N145" s="728">
        <f t="shared" si="5"/>
        <v>45578</v>
      </c>
      <c r="O145"/>
      <c r="P145"/>
    </row>
    <row r="146" s="703" customFormat="1" ht="20.1" hidden="1" customHeight="1" spans="1:16">
      <c r="A146" s="819">
        <v>121</v>
      </c>
      <c r="B146" s="819" t="s">
        <v>37</v>
      </c>
      <c r="C146" s="819" t="s">
        <v>279</v>
      </c>
      <c r="D146" s="729" t="s">
        <v>254</v>
      </c>
      <c r="E146" s="1154">
        <v>479991.02</v>
      </c>
      <c r="F146" s="775">
        <v>45407</v>
      </c>
      <c r="G146" s="775">
        <v>45517</v>
      </c>
      <c r="H146" s="819" t="s">
        <v>17</v>
      </c>
      <c r="I146" s="819"/>
      <c r="J146" s="729" t="s">
        <v>55</v>
      </c>
      <c r="K146" s="1145"/>
      <c r="L146" s="932" t="s">
        <v>245</v>
      </c>
      <c r="M146" s="919">
        <f ca="1" t="shared" si="4"/>
        <v>728</v>
      </c>
      <c r="N146" s="728">
        <f t="shared" si="5"/>
        <v>45586</v>
      </c>
      <c r="O146"/>
      <c r="P146"/>
    </row>
    <row r="147" s="703" customFormat="1" ht="20.1" hidden="1" customHeight="1" spans="1:16">
      <c r="A147" s="819">
        <v>150</v>
      </c>
      <c r="B147" s="819" t="s">
        <v>57</v>
      </c>
      <c r="C147" s="819" t="s">
        <v>280</v>
      </c>
      <c r="D147" s="729" t="s">
        <v>230</v>
      </c>
      <c r="E147" s="1154">
        <v>1880000</v>
      </c>
      <c r="F147" s="775">
        <v>45464</v>
      </c>
      <c r="G147" s="775">
        <v>45518</v>
      </c>
      <c r="H147" s="819" t="s">
        <v>17</v>
      </c>
      <c r="I147" s="819"/>
      <c r="J147" s="729" t="s">
        <v>277</v>
      </c>
      <c r="K147" s="1145"/>
      <c r="L147" s="932"/>
      <c r="M147" s="919">
        <f ca="1" t="shared" si="4"/>
        <v>671</v>
      </c>
      <c r="N147" s="728">
        <f t="shared" si="5"/>
        <v>45643</v>
      </c>
      <c r="O147"/>
      <c r="P147"/>
    </row>
    <row r="148" s="703" customFormat="1" ht="20.1" hidden="1" customHeight="1" spans="1:16">
      <c r="A148" s="819">
        <v>123</v>
      </c>
      <c r="B148" s="819" t="s">
        <v>31</v>
      </c>
      <c r="C148" s="819" t="s">
        <v>281</v>
      </c>
      <c r="D148" s="729" t="s">
        <v>254</v>
      </c>
      <c r="E148" s="1154">
        <v>2022.22</v>
      </c>
      <c r="F148" s="775">
        <v>45408</v>
      </c>
      <c r="G148" s="775">
        <v>45524</v>
      </c>
      <c r="H148" s="819" t="s">
        <v>27</v>
      </c>
      <c r="I148" s="819"/>
      <c r="J148" s="729" t="s">
        <v>277</v>
      </c>
      <c r="K148" s="1145"/>
      <c r="L148" s="932"/>
      <c r="M148" s="919">
        <f ca="1" t="shared" si="4"/>
        <v>727</v>
      </c>
      <c r="N148" s="728">
        <f t="shared" si="5"/>
        <v>45587</v>
      </c>
      <c r="O148"/>
      <c r="P148"/>
    </row>
    <row r="149" s="703" customFormat="1" ht="20.1" hidden="1" customHeight="1" spans="1:16">
      <c r="A149" s="819">
        <v>124</v>
      </c>
      <c r="B149" s="819" t="s">
        <v>31</v>
      </c>
      <c r="C149" s="819" t="s">
        <v>282</v>
      </c>
      <c r="D149" s="729" t="s">
        <v>254</v>
      </c>
      <c r="E149" s="1154">
        <v>102022.22</v>
      </c>
      <c r="F149" s="775">
        <v>45408</v>
      </c>
      <c r="G149" s="775">
        <v>45524</v>
      </c>
      <c r="H149" s="819" t="s">
        <v>27</v>
      </c>
      <c r="I149" s="819"/>
      <c r="J149" s="729" t="s">
        <v>277</v>
      </c>
      <c r="K149" s="1145"/>
      <c r="L149" s="932"/>
      <c r="M149" s="919">
        <f ca="1" t="shared" si="4"/>
        <v>727</v>
      </c>
      <c r="N149" s="728">
        <f t="shared" si="5"/>
        <v>45587</v>
      </c>
      <c r="O149"/>
      <c r="P149"/>
    </row>
    <row r="150" customFormat="1" ht="20.1" hidden="1" customHeight="1" spans="1:16">
      <c r="A150" s="819">
        <v>129</v>
      </c>
      <c r="B150" s="819" t="s">
        <v>31</v>
      </c>
      <c r="C150" s="819" t="s">
        <v>281</v>
      </c>
      <c r="D150" s="729" t="s">
        <v>264</v>
      </c>
      <c r="E150" s="1154">
        <v>300000</v>
      </c>
      <c r="F150" s="775">
        <v>45412</v>
      </c>
      <c r="G150" s="775">
        <v>45524</v>
      </c>
      <c r="H150" s="819" t="s">
        <v>17</v>
      </c>
      <c r="I150" s="819"/>
      <c r="J150" s="729" t="s">
        <v>277</v>
      </c>
      <c r="K150" s="1145"/>
      <c r="L150" s="932"/>
      <c r="M150" s="919">
        <f ca="1" t="shared" si="4"/>
        <v>723</v>
      </c>
      <c r="N150" s="728">
        <f t="shared" si="5"/>
        <v>45591</v>
      </c>
    </row>
    <row r="151" customFormat="1" ht="20.1" hidden="1" customHeight="1" spans="1:16">
      <c r="A151" s="819">
        <v>130</v>
      </c>
      <c r="B151" s="819" t="s">
        <v>31</v>
      </c>
      <c r="C151" s="819" t="s">
        <v>282</v>
      </c>
      <c r="D151" s="729" t="s">
        <v>264</v>
      </c>
      <c r="E151" s="1154">
        <v>303564.71</v>
      </c>
      <c r="F151" s="775">
        <v>45412</v>
      </c>
      <c r="G151" s="775">
        <v>45524</v>
      </c>
      <c r="H151" s="819" t="s">
        <v>17</v>
      </c>
      <c r="I151" s="819"/>
      <c r="J151" s="729" t="s">
        <v>277</v>
      </c>
      <c r="K151" s="1145"/>
      <c r="L151" s="932"/>
      <c r="M151" s="919">
        <f ca="1" t="shared" si="4"/>
        <v>723</v>
      </c>
      <c r="N151" s="728">
        <f t="shared" si="5"/>
        <v>45591</v>
      </c>
    </row>
    <row r="152" ht="20.1" hidden="1" customHeight="1" spans="1:16">
      <c r="A152" s="819">
        <v>125</v>
      </c>
      <c r="B152" s="819" t="s">
        <v>37</v>
      </c>
      <c r="C152" s="819" t="s">
        <v>283</v>
      </c>
      <c r="D152" s="729" t="s">
        <v>262</v>
      </c>
      <c r="E152" s="1154">
        <v>2560000</v>
      </c>
      <c r="F152" s="775">
        <v>45408</v>
      </c>
      <c r="G152" s="775">
        <v>45526</v>
      </c>
      <c r="H152" s="819" t="s">
        <v>17</v>
      </c>
      <c r="I152" s="819"/>
      <c r="J152" s="729" t="s">
        <v>284</v>
      </c>
      <c r="K152" s="1145"/>
      <c r="L152" s="932"/>
      <c r="M152" s="919">
        <f ca="1" t="shared" si="4"/>
        <v>727</v>
      </c>
      <c r="N152" s="728">
        <f t="shared" si="5"/>
        <v>45587</v>
      </c>
    </row>
    <row r="153" s="1123" customFormat="1" ht="20.1" hidden="1" customHeight="1" spans="1:16">
      <c r="A153" s="819">
        <v>141</v>
      </c>
      <c r="B153" s="729" t="s">
        <v>15</v>
      </c>
      <c r="C153" s="783" t="s">
        <v>285</v>
      </c>
      <c r="D153" s="729" t="s">
        <v>213</v>
      </c>
      <c r="E153" s="1154">
        <v>40000</v>
      </c>
      <c r="F153" s="746">
        <v>45440</v>
      </c>
      <c r="G153" s="775">
        <v>45530</v>
      </c>
      <c r="H153" s="729" t="s">
        <v>27</v>
      </c>
      <c r="I153" s="729"/>
      <c r="J153" s="1157" t="s">
        <v>120</v>
      </c>
      <c r="K153" s="1158"/>
      <c r="L153" s="932"/>
      <c r="M153" s="919">
        <f ca="1" t="shared" si="4"/>
        <v>695</v>
      </c>
      <c r="N153" s="728">
        <f t="shared" si="5"/>
        <v>45619</v>
      </c>
      <c r="O153"/>
      <c r="P153"/>
    </row>
    <row r="154" s="1123" customFormat="1" ht="20.1" hidden="1" customHeight="1" spans="1:16">
      <c r="A154" s="819">
        <v>147</v>
      </c>
      <c r="B154" s="729" t="s">
        <v>37</v>
      </c>
      <c r="C154" s="819" t="s">
        <v>286</v>
      </c>
      <c r="D154" s="729" t="s">
        <v>235</v>
      </c>
      <c r="E154" s="1154">
        <v>1200000</v>
      </c>
      <c r="F154" s="775">
        <v>45457</v>
      </c>
      <c r="G154" s="775">
        <v>45538</v>
      </c>
      <c r="H154" s="729" t="s">
        <v>17</v>
      </c>
      <c r="I154" s="819"/>
      <c r="J154" s="729" t="s">
        <v>120</v>
      </c>
      <c r="K154" s="1145"/>
      <c r="L154" s="932"/>
      <c r="M154" s="919">
        <f ca="1" t="shared" si="4"/>
        <v>678</v>
      </c>
      <c r="N154" s="728">
        <f t="shared" si="5"/>
        <v>45636</v>
      </c>
      <c r="O154" s="703"/>
      <c r="P154" s="1191"/>
    </row>
    <row r="155" s="1123" customFormat="1" ht="20.1" hidden="1" customHeight="1" spans="1:16">
      <c r="A155" s="819">
        <v>157</v>
      </c>
      <c r="B155" s="729" t="s">
        <v>287</v>
      </c>
      <c r="C155" s="819" t="s">
        <v>288</v>
      </c>
      <c r="D155" s="729" t="s">
        <v>258</v>
      </c>
      <c r="E155" s="1154">
        <v>47722.6</v>
      </c>
      <c r="F155" s="775">
        <v>45470</v>
      </c>
      <c r="G155" s="775">
        <v>45544</v>
      </c>
      <c r="H155" s="729" t="s">
        <v>27</v>
      </c>
      <c r="I155" s="819"/>
      <c r="J155" s="729" t="s">
        <v>55</v>
      </c>
      <c r="K155" s="1145"/>
      <c r="L155" s="938" t="s">
        <v>289</v>
      </c>
      <c r="M155" s="919">
        <f ca="1" t="shared" si="4"/>
        <v>665</v>
      </c>
      <c r="N155" s="728">
        <f t="shared" si="5"/>
        <v>45649</v>
      </c>
      <c r="P155" s="1192"/>
    </row>
    <row r="156" s="1123" customFormat="1" ht="20.1" hidden="1" customHeight="1" spans="1:16">
      <c r="A156" s="819">
        <v>135</v>
      </c>
      <c r="B156" s="729" t="s">
        <v>37</v>
      </c>
      <c r="C156" s="729" t="s">
        <v>290</v>
      </c>
      <c r="D156" s="729" t="s">
        <v>272</v>
      </c>
      <c r="E156" s="1154">
        <v>323809.52</v>
      </c>
      <c r="F156" s="775">
        <v>45429</v>
      </c>
      <c r="G156" s="775">
        <v>45549</v>
      </c>
      <c r="H156" s="729" t="s">
        <v>27</v>
      </c>
      <c r="I156" s="819"/>
      <c r="J156" s="1155" t="s">
        <v>120</v>
      </c>
      <c r="K156" s="1156"/>
      <c r="L156" s="932"/>
      <c r="M156" s="919">
        <f ca="1" t="shared" si="4"/>
        <v>706</v>
      </c>
      <c r="N156" s="728">
        <f t="shared" si="5"/>
        <v>45608</v>
      </c>
      <c r="O156"/>
      <c r="P156" s="897"/>
    </row>
    <row r="157" s="1123" customFormat="1" ht="20.1" hidden="1" customHeight="1" spans="1:16">
      <c r="A157" s="819">
        <v>179</v>
      </c>
      <c r="B157" s="729" t="s">
        <v>25</v>
      </c>
      <c r="C157" s="729" t="s">
        <v>291</v>
      </c>
      <c r="D157" s="729" t="s">
        <v>292</v>
      </c>
      <c r="E157" s="1154">
        <v>120000</v>
      </c>
      <c r="F157" s="775">
        <v>45496</v>
      </c>
      <c r="G157" s="775">
        <v>45555</v>
      </c>
      <c r="H157" s="729" t="s">
        <v>27</v>
      </c>
      <c r="I157" s="819"/>
      <c r="J157" s="819" t="s">
        <v>120</v>
      </c>
      <c r="K157" s="1148"/>
      <c r="L157" s="932"/>
      <c r="M157" s="919">
        <f ca="1" t="shared" si="4"/>
        <v>639</v>
      </c>
      <c r="N157" s="728">
        <f t="shared" si="5"/>
        <v>45675</v>
      </c>
      <c r="O157"/>
      <c r="P157" s="1193"/>
    </row>
    <row r="158" s="1123" customFormat="1" ht="20.1" hidden="1" customHeight="1" spans="1:16">
      <c r="A158" s="819">
        <v>148</v>
      </c>
      <c r="B158" s="729" t="s">
        <v>37</v>
      </c>
      <c r="C158" s="729" t="s">
        <v>293</v>
      </c>
      <c r="D158" s="729" t="s">
        <v>272</v>
      </c>
      <c r="E158" s="1154">
        <v>200000</v>
      </c>
      <c r="F158" s="775">
        <v>45462</v>
      </c>
      <c r="G158" s="775">
        <v>45559</v>
      </c>
      <c r="H158" s="729" t="s">
        <v>27</v>
      </c>
      <c r="I158" s="819"/>
      <c r="J158" s="729" t="s">
        <v>120</v>
      </c>
      <c r="K158" s="1145"/>
      <c r="L158" s="938"/>
      <c r="M158" s="919">
        <f ca="1" t="shared" si="4"/>
        <v>673</v>
      </c>
      <c r="N158" s="728">
        <f t="shared" si="5"/>
        <v>45641</v>
      </c>
      <c r="O158"/>
      <c r="P158" s="897"/>
    </row>
    <row r="159" s="1123" customFormat="1" ht="20.1" hidden="1" customHeight="1" spans="1:16">
      <c r="A159" s="819">
        <v>143</v>
      </c>
      <c r="B159" s="729" t="s">
        <v>37</v>
      </c>
      <c r="C159" s="783" t="s">
        <v>290</v>
      </c>
      <c r="D159" s="729" t="s">
        <v>272</v>
      </c>
      <c r="E159" s="1154">
        <v>200000</v>
      </c>
      <c r="F159" s="775">
        <v>45455</v>
      </c>
      <c r="G159" s="775">
        <v>45561</v>
      </c>
      <c r="H159" s="729" t="s">
        <v>27</v>
      </c>
      <c r="I159" s="819"/>
      <c r="J159" s="729" t="s">
        <v>120</v>
      </c>
      <c r="K159" s="1145"/>
      <c r="L159" s="932"/>
      <c r="M159" s="919">
        <f ca="1" t="shared" si="4"/>
        <v>680</v>
      </c>
      <c r="N159" s="728">
        <f t="shared" si="5"/>
        <v>45634</v>
      </c>
      <c r="O159" s="703"/>
      <c r="P159" s="1191"/>
    </row>
    <row r="160" ht="20.1" hidden="1" customHeight="1" spans="1:16">
      <c r="A160" s="819">
        <v>144</v>
      </c>
      <c r="B160" s="729" t="s">
        <v>37</v>
      </c>
      <c r="C160" s="783" t="s">
        <v>290</v>
      </c>
      <c r="D160" s="729" t="s">
        <v>272</v>
      </c>
      <c r="E160" s="1154">
        <v>256247.62</v>
      </c>
      <c r="F160" s="775">
        <v>45455</v>
      </c>
      <c r="G160" s="775">
        <v>45561</v>
      </c>
      <c r="H160" s="729" t="s">
        <v>27</v>
      </c>
      <c r="I160" s="819"/>
      <c r="J160" s="951" t="s">
        <v>120</v>
      </c>
      <c r="K160" s="1180"/>
      <c r="L160" s="932"/>
      <c r="M160" s="919">
        <f ca="1" t="shared" si="4"/>
        <v>680</v>
      </c>
      <c r="N160" s="728">
        <f t="shared" si="5"/>
        <v>45634</v>
      </c>
      <c r="O160" s="703"/>
      <c r="P160" s="1191"/>
    </row>
    <row r="161" ht="20.1" hidden="1" customHeight="1" spans="1:16">
      <c r="A161" s="819">
        <v>145</v>
      </c>
      <c r="B161" s="729" t="s">
        <v>37</v>
      </c>
      <c r="C161" s="783" t="s">
        <v>290</v>
      </c>
      <c r="D161" s="729" t="s">
        <v>272</v>
      </c>
      <c r="E161" s="1154">
        <v>323809.52</v>
      </c>
      <c r="F161" s="775">
        <v>45455</v>
      </c>
      <c r="G161" s="775">
        <v>45561</v>
      </c>
      <c r="H161" s="729" t="s">
        <v>27</v>
      </c>
      <c r="I161" s="819"/>
      <c r="J161" s="729" t="s">
        <v>120</v>
      </c>
      <c r="K161" s="1145"/>
      <c r="L161" s="932"/>
      <c r="M161" s="919">
        <f ca="1" t="shared" si="4"/>
        <v>680</v>
      </c>
      <c r="N161" s="728">
        <f t="shared" si="5"/>
        <v>45634</v>
      </c>
      <c r="O161" s="703"/>
      <c r="P161" s="1191"/>
    </row>
    <row r="162" customFormat="1" ht="20.1" hidden="1" customHeight="1" spans="1:16">
      <c r="A162" s="819">
        <v>146</v>
      </c>
      <c r="B162" s="729" t="s">
        <v>37</v>
      </c>
      <c r="C162" s="783" t="s">
        <v>290</v>
      </c>
      <c r="D162" s="729" t="s">
        <v>272</v>
      </c>
      <c r="E162" s="1154">
        <v>323809.52</v>
      </c>
      <c r="F162" s="775">
        <v>45455</v>
      </c>
      <c r="G162" s="775">
        <v>45561</v>
      </c>
      <c r="H162" s="729" t="s">
        <v>27</v>
      </c>
      <c r="I162" s="819"/>
      <c r="J162" s="729" t="s">
        <v>120</v>
      </c>
      <c r="K162" s="1145"/>
      <c r="L162" s="932"/>
      <c r="M162" s="919">
        <f ca="1" t="shared" si="4"/>
        <v>680</v>
      </c>
      <c r="N162" s="728">
        <f t="shared" si="5"/>
        <v>45634</v>
      </c>
      <c r="O162" s="703"/>
      <c r="P162" s="1191"/>
    </row>
    <row r="163" customFormat="1" ht="20.1" hidden="1" customHeight="1" spans="1:16">
      <c r="A163" s="819">
        <v>170</v>
      </c>
      <c r="B163" s="729" t="s">
        <v>37</v>
      </c>
      <c r="C163" s="729" t="s">
        <v>294</v>
      </c>
      <c r="D163" s="729" t="s">
        <v>272</v>
      </c>
      <c r="E163" s="1154">
        <v>14166.68</v>
      </c>
      <c r="F163" s="775">
        <v>45485</v>
      </c>
      <c r="G163" s="775">
        <v>45561</v>
      </c>
      <c r="H163" s="819" t="s">
        <v>27</v>
      </c>
      <c r="I163" s="819"/>
      <c r="J163" s="729" t="s">
        <v>120</v>
      </c>
      <c r="K163" s="1145"/>
      <c r="L163" s="932"/>
      <c r="M163" s="919">
        <f ca="1" t="shared" si="4"/>
        <v>650</v>
      </c>
      <c r="N163" s="728">
        <f t="shared" si="5"/>
        <v>45664</v>
      </c>
      <c r="P163" s="1193">
        <v>14166.68</v>
      </c>
    </row>
    <row r="164" customFormat="1" ht="20.1" hidden="1" customHeight="1" spans="1:16">
      <c r="A164" s="819">
        <v>171</v>
      </c>
      <c r="B164" s="729" t="s">
        <v>37</v>
      </c>
      <c r="C164" s="729" t="s">
        <v>294</v>
      </c>
      <c r="D164" s="729" t="s">
        <v>272</v>
      </c>
      <c r="E164" s="1154">
        <v>14166.68</v>
      </c>
      <c r="F164" s="775">
        <v>45485</v>
      </c>
      <c r="G164" s="775">
        <v>45561</v>
      </c>
      <c r="H164" s="819" t="s">
        <v>27</v>
      </c>
      <c r="I164" s="819"/>
      <c r="J164" s="729" t="s">
        <v>120</v>
      </c>
      <c r="K164" s="1145"/>
      <c r="L164" s="932"/>
      <c r="M164" s="919">
        <f ca="1" t="shared" si="4"/>
        <v>650</v>
      </c>
      <c r="N164" s="728">
        <f t="shared" si="5"/>
        <v>45664</v>
      </c>
      <c r="P164" s="1193">
        <v>14166.68</v>
      </c>
    </row>
    <row r="165" customFormat="1" ht="20.1" hidden="1" customHeight="1" spans="1:16">
      <c r="A165" s="819">
        <v>172</v>
      </c>
      <c r="B165" s="729" t="s">
        <v>37</v>
      </c>
      <c r="C165" s="729" t="s">
        <v>295</v>
      </c>
      <c r="D165" s="729" t="s">
        <v>272</v>
      </c>
      <c r="E165" s="1154">
        <v>171428.58</v>
      </c>
      <c r="F165" s="775">
        <v>45485</v>
      </c>
      <c r="G165" s="775">
        <v>45561</v>
      </c>
      <c r="H165" s="819" t="s">
        <v>27</v>
      </c>
      <c r="I165" s="819"/>
      <c r="J165" s="729" t="s">
        <v>120</v>
      </c>
      <c r="K165" s="1145"/>
      <c r="L165" s="932"/>
      <c r="M165" s="919">
        <f ca="1" t="shared" si="4"/>
        <v>650</v>
      </c>
      <c r="N165" s="728">
        <f t="shared" si="5"/>
        <v>45664</v>
      </c>
      <c r="P165" s="1193">
        <v>171428.58</v>
      </c>
    </row>
    <row r="166" customFormat="1" ht="20.1" hidden="1" customHeight="1" spans="1:16">
      <c r="A166" s="819">
        <v>173</v>
      </c>
      <c r="B166" s="729" t="s">
        <v>37</v>
      </c>
      <c r="C166" s="729" t="s">
        <v>295</v>
      </c>
      <c r="D166" s="729" t="s">
        <v>272</v>
      </c>
      <c r="E166" s="1154">
        <v>205714.28</v>
      </c>
      <c r="F166" s="775">
        <v>45485</v>
      </c>
      <c r="G166" s="775">
        <v>45561</v>
      </c>
      <c r="H166" s="819" t="s">
        <v>27</v>
      </c>
      <c r="I166" s="819"/>
      <c r="J166" s="729" t="s">
        <v>120</v>
      </c>
      <c r="K166" s="1145"/>
      <c r="L166" s="932"/>
      <c r="M166" s="919">
        <f ca="1" t="shared" si="4"/>
        <v>650</v>
      </c>
      <c r="N166" s="728">
        <f t="shared" si="5"/>
        <v>45664</v>
      </c>
      <c r="P166" s="1193">
        <v>205714.28</v>
      </c>
    </row>
    <row r="167" customFormat="1" ht="20.1" hidden="1" customHeight="1" spans="1:16">
      <c r="A167" s="819">
        <v>184</v>
      </c>
      <c r="B167" s="729" t="s">
        <v>37</v>
      </c>
      <c r="C167" s="729" t="s">
        <v>296</v>
      </c>
      <c r="D167" s="729" t="s">
        <v>272</v>
      </c>
      <c r="E167" s="1154">
        <v>91201.43</v>
      </c>
      <c r="F167" s="746">
        <v>45513</v>
      </c>
      <c r="G167" s="775">
        <v>45562</v>
      </c>
      <c r="H167" s="819" t="s">
        <v>27</v>
      </c>
      <c r="I167" s="729"/>
      <c r="J167" s="729" t="s">
        <v>120</v>
      </c>
      <c r="K167" s="1145"/>
      <c r="L167" s="932"/>
      <c r="M167" s="919">
        <f ca="1" t="shared" si="4"/>
        <v>622</v>
      </c>
      <c r="N167" s="728">
        <f t="shared" si="5"/>
        <v>45692</v>
      </c>
      <c r="P167" s="1192">
        <v>91201.43</v>
      </c>
    </row>
    <row r="168" customFormat="1" ht="20.1" hidden="1" customHeight="1" spans="1:16">
      <c r="A168" s="819">
        <v>185</v>
      </c>
      <c r="B168" s="729" t="s">
        <v>37</v>
      </c>
      <c r="C168" s="729" t="s">
        <v>297</v>
      </c>
      <c r="D168" s="729" t="s">
        <v>272</v>
      </c>
      <c r="E168" s="1154">
        <v>85714.29</v>
      </c>
      <c r="F168" s="746">
        <v>45513</v>
      </c>
      <c r="G168" s="775">
        <v>45562</v>
      </c>
      <c r="H168" s="819" t="s">
        <v>27</v>
      </c>
      <c r="I168" s="729"/>
      <c r="J168" s="729" t="s">
        <v>120</v>
      </c>
      <c r="K168" s="1145"/>
      <c r="L168" s="932"/>
      <c r="M168" s="919">
        <f ca="1" t="shared" si="4"/>
        <v>622</v>
      </c>
      <c r="N168" s="728">
        <f t="shared" si="5"/>
        <v>45692</v>
      </c>
      <c r="P168" s="1192">
        <v>85714.29</v>
      </c>
    </row>
    <row r="169" customFormat="1" ht="20.1" hidden="1" customHeight="1" spans="1:16">
      <c r="A169" s="819">
        <v>186</v>
      </c>
      <c r="B169" s="729" t="s">
        <v>37</v>
      </c>
      <c r="C169" s="729" t="s">
        <v>298</v>
      </c>
      <c r="D169" s="729" t="s">
        <v>272</v>
      </c>
      <c r="E169" s="1154">
        <v>14571.43</v>
      </c>
      <c r="F169" s="746">
        <v>45513</v>
      </c>
      <c r="G169" s="775">
        <v>45562</v>
      </c>
      <c r="H169" s="819" t="s">
        <v>27</v>
      </c>
      <c r="I169" s="729"/>
      <c r="J169" s="729" t="s">
        <v>120</v>
      </c>
      <c r="K169" s="1145"/>
      <c r="L169" s="932"/>
      <c r="M169" s="919">
        <f ca="1" t="shared" si="4"/>
        <v>622</v>
      </c>
      <c r="N169" s="728">
        <f t="shared" si="5"/>
        <v>45692</v>
      </c>
      <c r="P169" s="1192">
        <v>14571.43</v>
      </c>
    </row>
    <row r="170" customFormat="1" ht="20.1" hidden="1" customHeight="1" spans="1:16">
      <c r="A170" s="819">
        <v>187</v>
      </c>
      <c r="B170" s="729" t="s">
        <v>37</v>
      </c>
      <c r="C170" s="729" t="s">
        <v>299</v>
      </c>
      <c r="D170" s="729" t="s">
        <v>272</v>
      </c>
      <c r="E170" s="1154">
        <v>79238.1</v>
      </c>
      <c r="F170" s="746">
        <v>45513</v>
      </c>
      <c r="G170" s="775">
        <v>45562</v>
      </c>
      <c r="H170" s="819" t="s">
        <v>27</v>
      </c>
      <c r="I170" s="729"/>
      <c r="J170" s="729" t="s">
        <v>120</v>
      </c>
      <c r="K170" s="1145"/>
      <c r="L170" s="932"/>
      <c r="M170" s="919">
        <f ca="1" t="shared" si="4"/>
        <v>622</v>
      </c>
      <c r="N170" s="728">
        <f t="shared" si="5"/>
        <v>45692</v>
      </c>
      <c r="P170" s="1192">
        <v>79238.1</v>
      </c>
    </row>
    <row r="171" customFormat="1" ht="20.1" hidden="1" customHeight="1" spans="1:16">
      <c r="A171" s="819">
        <v>206</v>
      </c>
      <c r="B171" s="729" t="s">
        <v>147</v>
      </c>
      <c r="C171" s="729" t="s">
        <v>300</v>
      </c>
      <c r="D171" s="729" t="s">
        <v>292</v>
      </c>
      <c r="E171" s="1154">
        <v>1776000</v>
      </c>
      <c r="F171" s="746">
        <v>45537</v>
      </c>
      <c r="G171" s="775">
        <v>45562</v>
      </c>
      <c r="H171" s="729" t="s">
        <v>17</v>
      </c>
      <c r="I171" s="729"/>
      <c r="J171" s="729" t="s">
        <v>120</v>
      </c>
      <c r="K171" s="1145"/>
      <c r="L171" s="932"/>
      <c r="M171" s="919">
        <f ca="1" t="shared" si="4"/>
        <v>598</v>
      </c>
      <c r="N171" s="728">
        <f t="shared" si="5"/>
        <v>45716</v>
      </c>
      <c r="O171" s="891"/>
      <c r="P171" s="1194">
        <v>140000</v>
      </c>
    </row>
    <row r="172" customFormat="1" ht="20.1" hidden="1" customHeight="1" spans="1:16">
      <c r="A172" s="819">
        <v>175</v>
      </c>
      <c r="B172" s="729" t="s">
        <v>28</v>
      </c>
      <c r="C172" s="729" t="s">
        <v>301</v>
      </c>
      <c r="D172" s="729" t="s">
        <v>272</v>
      </c>
      <c r="E172" s="1154">
        <v>112102.06</v>
      </c>
      <c r="F172" s="775">
        <v>45491</v>
      </c>
      <c r="G172" s="775">
        <v>45564</v>
      </c>
      <c r="H172" s="729" t="s">
        <v>27</v>
      </c>
      <c r="I172" s="819"/>
      <c r="J172" s="729" t="s">
        <v>120</v>
      </c>
      <c r="K172" s="1145"/>
      <c r="L172" s="932"/>
      <c r="M172" s="919">
        <f ca="1" t="shared" si="4"/>
        <v>644</v>
      </c>
      <c r="N172" s="728">
        <f t="shared" si="5"/>
        <v>45670</v>
      </c>
      <c r="P172" s="1195"/>
    </row>
    <row r="173" customFormat="1" ht="20.1" hidden="1" customHeight="1" spans="1:16">
      <c r="A173" s="819">
        <v>177</v>
      </c>
      <c r="B173" s="729" t="s">
        <v>31</v>
      </c>
      <c r="C173" s="729" t="s">
        <v>302</v>
      </c>
      <c r="D173" s="729" t="s">
        <v>292</v>
      </c>
      <c r="E173" s="1154">
        <v>814720</v>
      </c>
      <c r="F173" s="775">
        <v>45495</v>
      </c>
      <c r="G173" s="775">
        <v>45564</v>
      </c>
      <c r="H173" s="729" t="s">
        <v>17</v>
      </c>
      <c r="I173" s="819"/>
      <c r="J173" s="729" t="s">
        <v>120</v>
      </c>
      <c r="K173" s="1145"/>
      <c r="L173" s="932"/>
      <c r="M173" s="919">
        <f ca="1" t="shared" si="4"/>
        <v>640</v>
      </c>
      <c r="N173" s="728">
        <f t="shared" si="5"/>
        <v>45674</v>
      </c>
      <c r="P173" s="1193">
        <v>814720</v>
      </c>
    </row>
    <row r="174" customFormat="1" ht="20.1" hidden="1" customHeight="1" spans="1:16">
      <c r="A174" s="819">
        <v>180</v>
      </c>
      <c r="B174" s="729" t="s">
        <v>303</v>
      </c>
      <c r="C174" s="729" t="s">
        <v>304</v>
      </c>
      <c r="D174" s="729" t="s">
        <v>292</v>
      </c>
      <c r="E174" s="1154">
        <v>3599880</v>
      </c>
      <c r="F174" s="775">
        <v>45498</v>
      </c>
      <c r="G174" s="775">
        <v>45576</v>
      </c>
      <c r="H174" s="729" t="s">
        <v>17</v>
      </c>
      <c r="I174" s="819"/>
      <c r="J174" s="729" t="s">
        <v>55</v>
      </c>
      <c r="K174" s="1145"/>
      <c r="L174" s="938" t="s">
        <v>305</v>
      </c>
      <c r="M174" s="919">
        <f ca="1" t="shared" si="4"/>
        <v>637</v>
      </c>
      <c r="N174" s="728">
        <f t="shared" si="5"/>
        <v>45677</v>
      </c>
      <c r="P174" s="1193">
        <v>3599880</v>
      </c>
    </row>
    <row r="175" customFormat="1" ht="20.1" hidden="1" customHeight="1" spans="1:16">
      <c r="A175" s="819">
        <v>197</v>
      </c>
      <c r="B175" s="729" t="s">
        <v>306</v>
      </c>
      <c r="C175" s="729" t="s">
        <v>307</v>
      </c>
      <c r="D175" s="729" t="s">
        <v>308</v>
      </c>
      <c r="E175" s="1154">
        <v>300000</v>
      </c>
      <c r="F175" s="746">
        <v>45531</v>
      </c>
      <c r="G175" s="775">
        <v>45576</v>
      </c>
      <c r="H175" s="729" t="s">
        <v>27</v>
      </c>
      <c r="I175" s="729"/>
      <c r="J175" s="729" t="s">
        <v>120</v>
      </c>
      <c r="K175" s="1145"/>
      <c r="L175" s="938"/>
      <c r="M175" s="919">
        <f ca="1" t="shared" si="4"/>
        <v>604</v>
      </c>
      <c r="N175" s="728">
        <f t="shared" si="5"/>
        <v>45710</v>
      </c>
      <c r="P175" s="1192">
        <v>300000</v>
      </c>
    </row>
    <row r="176" customFormat="1" ht="20.1" hidden="1" customHeight="1" spans="1:16">
      <c r="A176" s="819">
        <v>205</v>
      </c>
      <c r="B176" s="729" t="s">
        <v>309</v>
      </c>
      <c r="C176" s="729" t="s">
        <v>310</v>
      </c>
      <c r="D176" s="729" t="s">
        <v>308</v>
      </c>
      <c r="E176" s="1154">
        <v>140000</v>
      </c>
      <c r="F176" s="746">
        <v>45558</v>
      </c>
      <c r="G176" s="775">
        <v>45576</v>
      </c>
      <c r="H176" s="729" t="s">
        <v>27</v>
      </c>
      <c r="I176" s="729" t="s">
        <v>311</v>
      </c>
      <c r="J176" s="729" t="s">
        <v>55</v>
      </c>
      <c r="K176" s="1145"/>
      <c r="L176" s="932" t="s">
        <v>312</v>
      </c>
      <c r="M176" s="919">
        <f ca="1" t="shared" si="4"/>
        <v>577</v>
      </c>
      <c r="N176" s="728">
        <f t="shared" si="5"/>
        <v>45737</v>
      </c>
      <c r="P176" s="897"/>
    </row>
    <row r="177" customFormat="1" ht="20.1" hidden="1" customHeight="1" spans="1:16">
      <c r="A177" s="819">
        <v>149</v>
      </c>
      <c r="B177" s="729" t="s">
        <v>313</v>
      </c>
      <c r="C177" s="729" t="s">
        <v>81</v>
      </c>
      <c r="D177" s="729" t="s">
        <v>314</v>
      </c>
      <c r="E177" s="1154">
        <v>1600000</v>
      </c>
      <c r="F177" s="775">
        <v>45462</v>
      </c>
      <c r="G177" s="775">
        <v>45581</v>
      </c>
      <c r="H177" s="729" t="s">
        <v>17</v>
      </c>
      <c r="I177" s="819"/>
      <c r="J177" s="729" t="s">
        <v>55</v>
      </c>
      <c r="K177" s="1145"/>
      <c r="L177" s="938" t="s">
        <v>305</v>
      </c>
      <c r="M177" s="919">
        <f ca="1" t="shared" si="4"/>
        <v>673</v>
      </c>
      <c r="N177" s="728">
        <f t="shared" si="5"/>
        <v>45641</v>
      </c>
      <c r="P177" s="897"/>
    </row>
    <row r="178" customFormat="1" ht="20.1" hidden="1" customHeight="1" spans="1:16">
      <c r="A178" s="819">
        <v>183</v>
      </c>
      <c r="B178" s="729" t="s">
        <v>57</v>
      </c>
      <c r="C178" s="729" t="s">
        <v>315</v>
      </c>
      <c r="D178" s="729" t="s">
        <v>292</v>
      </c>
      <c r="E178" s="1154">
        <v>1060000</v>
      </c>
      <c r="F178" s="746">
        <v>45511</v>
      </c>
      <c r="G178" s="775">
        <v>45581</v>
      </c>
      <c r="H178" s="729" t="s">
        <v>17</v>
      </c>
      <c r="I178" s="729"/>
      <c r="J178" s="729" t="s">
        <v>120</v>
      </c>
      <c r="K178" s="1145"/>
      <c r="L178" s="932"/>
      <c r="M178" s="919">
        <f ca="1" t="shared" si="4"/>
        <v>624</v>
      </c>
      <c r="N178" s="728">
        <f t="shared" si="5"/>
        <v>45690</v>
      </c>
      <c r="P178" s="1192">
        <v>1060000</v>
      </c>
    </row>
    <row r="179" customFormat="1" ht="20.1" hidden="1" customHeight="1" spans="1:16">
      <c r="A179" s="819">
        <v>151</v>
      </c>
      <c r="B179" s="729" t="s">
        <v>37</v>
      </c>
      <c r="C179" s="729" t="s">
        <v>316</v>
      </c>
      <c r="D179" s="729" t="s">
        <v>314</v>
      </c>
      <c r="E179" s="1154">
        <v>800000</v>
      </c>
      <c r="F179" s="775">
        <v>45464</v>
      </c>
      <c r="G179" s="775">
        <v>45582</v>
      </c>
      <c r="H179" s="729" t="s">
        <v>17</v>
      </c>
      <c r="I179" s="819"/>
      <c r="J179" s="729" t="s">
        <v>55</v>
      </c>
      <c r="K179" s="1145"/>
      <c r="L179" s="938" t="s">
        <v>267</v>
      </c>
      <c r="M179" s="919">
        <f ca="1" t="shared" si="4"/>
        <v>671</v>
      </c>
      <c r="N179" s="728">
        <f t="shared" si="5"/>
        <v>45643</v>
      </c>
      <c r="O179" s="1123"/>
      <c r="P179" s="1196"/>
    </row>
    <row r="180" customFormat="1" ht="20.1" hidden="1" customHeight="1" spans="1:16">
      <c r="A180" s="819">
        <v>153</v>
      </c>
      <c r="B180" s="729" t="s">
        <v>28</v>
      </c>
      <c r="C180" s="729" t="s">
        <v>317</v>
      </c>
      <c r="D180" s="729" t="s">
        <v>318</v>
      </c>
      <c r="E180" s="1154">
        <v>111321.6</v>
      </c>
      <c r="F180" s="775">
        <v>45468</v>
      </c>
      <c r="G180" s="775">
        <v>45582</v>
      </c>
      <c r="H180" s="729" t="s">
        <v>27</v>
      </c>
      <c r="I180" s="819"/>
      <c r="J180" s="729" t="s">
        <v>120</v>
      </c>
      <c r="K180" s="1145"/>
      <c r="L180" s="932"/>
      <c r="M180" s="919">
        <f ca="1" t="shared" si="4"/>
        <v>667</v>
      </c>
      <c r="N180" s="728">
        <f t="shared" si="5"/>
        <v>45647</v>
      </c>
      <c r="O180" s="1123"/>
      <c r="P180" s="1192">
        <v>119999.54</v>
      </c>
    </row>
    <row r="181" customFormat="1" ht="20.1" hidden="1" customHeight="1" spans="1:16">
      <c r="A181" s="819">
        <v>154</v>
      </c>
      <c r="B181" s="729" t="s">
        <v>28</v>
      </c>
      <c r="C181" s="729" t="s">
        <v>319</v>
      </c>
      <c r="D181" s="729" t="s">
        <v>318</v>
      </c>
      <c r="E181" s="1154">
        <v>59999.78</v>
      </c>
      <c r="F181" s="775">
        <v>45468</v>
      </c>
      <c r="G181" s="775">
        <v>45582</v>
      </c>
      <c r="H181" s="729" t="s">
        <v>27</v>
      </c>
      <c r="I181" s="819"/>
      <c r="J181" s="729" t="s">
        <v>120</v>
      </c>
      <c r="K181" s="1145"/>
      <c r="L181" s="932"/>
      <c r="M181" s="919">
        <f ca="1" t="shared" si="4"/>
        <v>667</v>
      </c>
      <c r="N181" s="728">
        <f t="shared" si="5"/>
        <v>45647</v>
      </c>
      <c r="O181" s="1123"/>
      <c r="P181" s="1192">
        <v>111321.6</v>
      </c>
    </row>
    <row r="182" customFormat="1" ht="20.1" hidden="1" customHeight="1" spans="1:16">
      <c r="A182" s="819">
        <v>163</v>
      </c>
      <c r="B182" s="729" t="s">
        <v>37</v>
      </c>
      <c r="C182" s="729" t="s">
        <v>320</v>
      </c>
      <c r="D182" s="729" t="s">
        <v>292</v>
      </c>
      <c r="E182" s="1154">
        <v>1880000</v>
      </c>
      <c r="F182" s="775">
        <v>45476</v>
      </c>
      <c r="G182" s="775">
        <v>45582</v>
      </c>
      <c r="H182" s="729" t="s">
        <v>17</v>
      </c>
      <c r="I182" s="819"/>
      <c r="J182" s="729" t="s">
        <v>55</v>
      </c>
      <c r="K182" s="1145"/>
      <c r="L182" s="938" t="s">
        <v>321</v>
      </c>
      <c r="M182" s="919">
        <f ca="1" t="shared" si="4"/>
        <v>659</v>
      </c>
      <c r="N182" s="728">
        <f t="shared" si="5"/>
        <v>45655</v>
      </c>
      <c r="P182" s="1193">
        <v>1880000</v>
      </c>
    </row>
    <row r="183" customFormat="1" ht="20.1" hidden="1" customHeight="1" spans="1:16">
      <c r="A183" s="819">
        <v>164</v>
      </c>
      <c r="B183" s="729" t="s">
        <v>37</v>
      </c>
      <c r="C183" s="729" t="s">
        <v>322</v>
      </c>
      <c r="D183" s="729" t="s">
        <v>292</v>
      </c>
      <c r="E183" s="1154">
        <v>800000</v>
      </c>
      <c r="F183" s="775">
        <v>45476</v>
      </c>
      <c r="G183" s="775">
        <v>45582</v>
      </c>
      <c r="H183" s="729" t="s">
        <v>17</v>
      </c>
      <c r="I183" s="819"/>
      <c r="J183" s="729" t="s">
        <v>55</v>
      </c>
      <c r="K183" s="1145"/>
      <c r="L183" s="938" t="s">
        <v>323</v>
      </c>
      <c r="M183" s="919">
        <f ca="1" t="shared" si="4"/>
        <v>659</v>
      </c>
      <c r="N183" s="728">
        <f t="shared" si="5"/>
        <v>45655</v>
      </c>
      <c r="P183" s="1193">
        <v>800000</v>
      </c>
    </row>
    <row r="184" customFormat="1" ht="20.1" hidden="1" customHeight="1" spans="1:16">
      <c r="A184" s="819">
        <v>203</v>
      </c>
      <c r="B184" s="729" t="s">
        <v>37</v>
      </c>
      <c r="C184" s="729" t="s">
        <v>324</v>
      </c>
      <c r="D184" s="729" t="s">
        <v>292</v>
      </c>
      <c r="E184" s="1154">
        <v>812000</v>
      </c>
      <c r="F184" s="775">
        <v>45534</v>
      </c>
      <c r="G184" s="775">
        <v>45582</v>
      </c>
      <c r="H184" s="729" t="s">
        <v>17</v>
      </c>
      <c r="I184" s="729"/>
      <c r="J184" s="729" t="s">
        <v>120</v>
      </c>
      <c r="K184" s="1145"/>
      <c r="L184" s="932"/>
      <c r="M184" s="919">
        <f ca="1" t="shared" si="4"/>
        <v>601</v>
      </c>
      <c r="N184" s="728">
        <f t="shared" si="5"/>
        <v>45713</v>
      </c>
      <c r="P184" s="1192"/>
    </row>
    <row r="185" customFormat="1" ht="20.1" hidden="1" customHeight="1" spans="1:16">
      <c r="A185" s="819">
        <v>152</v>
      </c>
      <c r="B185" s="729" t="s">
        <v>28</v>
      </c>
      <c r="C185" s="729" t="s">
        <v>325</v>
      </c>
      <c r="D185" s="729" t="s">
        <v>318</v>
      </c>
      <c r="E185" s="1154">
        <v>119999.54</v>
      </c>
      <c r="F185" s="775">
        <v>45468</v>
      </c>
      <c r="G185" s="775">
        <v>45583</v>
      </c>
      <c r="H185" s="729" t="s">
        <v>27</v>
      </c>
      <c r="I185" s="819"/>
      <c r="J185" s="729" t="s">
        <v>120</v>
      </c>
      <c r="K185" s="1145"/>
      <c r="L185" s="932"/>
      <c r="M185" s="919">
        <f ca="1" t="shared" si="4"/>
        <v>667</v>
      </c>
      <c r="N185" s="728">
        <f t="shared" si="5"/>
        <v>45647</v>
      </c>
      <c r="O185" s="1123"/>
      <c r="P185" s="1192">
        <v>59999.78</v>
      </c>
    </row>
    <row r="186" customFormat="1" ht="20.1" hidden="1" customHeight="1" spans="1:16">
      <c r="A186" s="819">
        <v>176</v>
      </c>
      <c r="B186" s="729" t="s">
        <v>28</v>
      </c>
      <c r="C186" s="729" t="s">
        <v>326</v>
      </c>
      <c r="D186" s="729" t="s">
        <v>272</v>
      </c>
      <c r="E186" s="1154">
        <v>31780</v>
      </c>
      <c r="F186" s="775">
        <v>45491</v>
      </c>
      <c r="G186" s="775">
        <v>45583</v>
      </c>
      <c r="H186" s="729" t="s">
        <v>27</v>
      </c>
      <c r="I186" s="819"/>
      <c r="J186" s="729" t="s">
        <v>120</v>
      </c>
      <c r="K186" s="1145"/>
      <c r="L186" s="932"/>
      <c r="M186" s="919">
        <f ca="1" t="shared" si="4"/>
        <v>644</v>
      </c>
      <c r="N186" s="728">
        <f t="shared" si="5"/>
        <v>45670</v>
      </c>
      <c r="P186" s="1195">
        <v>112102.06</v>
      </c>
    </row>
    <row r="187" customFormat="1" ht="20.1" hidden="1" customHeight="1" spans="1:16">
      <c r="A187" s="819">
        <v>214</v>
      </c>
      <c r="B187" s="729" t="s">
        <v>28</v>
      </c>
      <c r="C187" s="729" t="s">
        <v>327</v>
      </c>
      <c r="D187" s="819" t="s">
        <v>272</v>
      </c>
      <c r="E187" s="1154">
        <v>59915.02</v>
      </c>
      <c r="F187" s="746">
        <v>45547</v>
      </c>
      <c r="G187" s="775">
        <v>45583</v>
      </c>
      <c r="H187" s="729" t="s">
        <v>27</v>
      </c>
      <c r="I187" s="819"/>
      <c r="J187" s="729" t="s">
        <v>120</v>
      </c>
      <c r="K187" s="1145"/>
      <c r="L187" s="932"/>
      <c r="M187" s="919">
        <f ca="1" t="shared" si="4"/>
        <v>588</v>
      </c>
      <c r="N187" s="728">
        <f t="shared" si="5"/>
        <v>45726</v>
      </c>
      <c r="P187" s="897"/>
    </row>
    <row r="188" customFormat="1" ht="20.1" hidden="1" customHeight="1" spans="1:16">
      <c r="A188" s="819">
        <v>199</v>
      </c>
      <c r="B188" s="729" t="s">
        <v>233</v>
      </c>
      <c r="C188" s="729" t="s">
        <v>328</v>
      </c>
      <c r="D188" s="729" t="s">
        <v>292</v>
      </c>
      <c r="E188" s="1154">
        <v>3757647.11</v>
      </c>
      <c r="F188" s="746">
        <v>45532</v>
      </c>
      <c r="G188" s="775">
        <v>45589</v>
      </c>
      <c r="H188" s="729" t="s">
        <v>17</v>
      </c>
      <c r="I188" s="729"/>
      <c r="J188" s="729" t="s">
        <v>120</v>
      </c>
      <c r="K188" s="1145"/>
      <c r="L188" s="932"/>
      <c r="M188" s="919">
        <f ca="1" t="shared" si="4"/>
        <v>603</v>
      </c>
      <c r="N188" s="728">
        <f t="shared" si="5"/>
        <v>45711</v>
      </c>
      <c r="O188" s="703"/>
      <c r="P188" s="1193"/>
    </row>
    <row r="189" customFormat="1" ht="20.1" hidden="1" customHeight="1" spans="1:16">
      <c r="A189" s="819">
        <v>165</v>
      </c>
      <c r="B189" s="729" t="s">
        <v>28</v>
      </c>
      <c r="C189" s="729" t="s">
        <v>329</v>
      </c>
      <c r="D189" s="729" t="s">
        <v>330</v>
      </c>
      <c r="E189" s="1154">
        <v>74000</v>
      </c>
      <c r="F189" s="775">
        <v>45477</v>
      </c>
      <c r="G189" s="775">
        <v>45590</v>
      </c>
      <c r="H189" s="729" t="s">
        <v>27</v>
      </c>
      <c r="I189" s="819"/>
      <c r="J189" s="729" t="s">
        <v>120</v>
      </c>
      <c r="K189" s="1145"/>
      <c r="L189" s="932"/>
      <c r="M189" s="919">
        <f ca="1" t="shared" si="4"/>
        <v>658</v>
      </c>
      <c r="N189" s="728">
        <f t="shared" si="5"/>
        <v>45656</v>
      </c>
      <c r="P189" s="1193"/>
    </row>
    <row r="190" customFormat="1" ht="20.1" hidden="1" customHeight="1" spans="1:16">
      <c r="A190" s="819">
        <v>204</v>
      </c>
      <c r="B190" s="729" t="s">
        <v>25</v>
      </c>
      <c r="C190" s="729" t="s">
        <v>331</v>
      </c>
      <c r="D190" s="729" t="s">
        <v>308</v>
      </c>
      <c r="E190" s="1154">
        <v>39560</v>
      </c>
      <c r="F190" s="746">
        <v>45533</v>
      </c>
      <c r="G190" s="775">
        <v>45590</v>
      </c>
      <c r="H190" s="729" t="s">
        <v>27</v>
      </c>
      <c r="I190" s="729"/>
      <c r="J190" s="729" t="s">
        <v>120</v>
      </c>
      <c r="K190" s="1145"/>
      <c r="L190" s="932"/>
      <c r="M190" s="919">
        <f ca="1" t="shared" si="4"/>
        <v>602</v>
      </c>
      <c r="N190" s="728">
        <f t="shared" si="5"/>
        <v>45712</v>
      </c>
      <c r="P190" s="1192"/>
    </row>
    <row r="191" customFormat="1" ht="20.1" hidden="1" customHeight="1" spans="1:16">
      <c r="A191" s="819">
        <v>208</v>
      </c>
      <c r="B191" s="729" t="s">
        <v>25</v>
      </c>
      <c r="C191" s="729" t="s">
        <v>332</v>
      </c>
      <c r="D191" s="819" t="s">
        <v>308</v>
      </c>
      <c r="E191" s="1154">
        <v>83200</v>
      </c>
      <c r="F191" s="746">
        <v>45541</v>
      </c>
      <c r="G191" s="775">
        <v>45590</v>
      </c>
      <c r="H191" s="729" t="s">
        <v>27</v>
      </c>
      <c r="I191" s="819"/>
      <c r="J191" s="729" t="s">
        <v>120</v>
      </c>
      <c r="K191" s="1145"/>
      <c r="L191" s="932"/>
      <c r="M191" s="919">
        <f ca="1" t="shared" si="4"/>
        <v>594</v>
      </c>
      <c r="N191" s="728">
        <f t="shared" si="5"/>
        <v>45720</v>
      </c>
      <c r="P191" s="897"/>
    </row>
    <row r="192" customFormat="1" ht="20.1" hidden="1" customHeight="1" spans="1:16">
      <c r="A192" s="819">
        <v>209</v>
      </c>
      <c r="B192" s="729" t="s">
        <v>25</v>
      </c>
      <c r="C192" s="729" t="s">
        <v>333</v>
      </c>
      <c r="D192" s="819" t="s">
        <v>272</v>
      </c>
      <c r="E192" s="1154">
        <v>199042.25</v>
      </c>
      <c r="F192" s="746">
        <v>45541</v>
      </c>
      <c r="G192" s="775">
        <v>45590</v>
      </c>
      <c r="H192" s="729" t="s">
        <v>27</v>
      </c>
      <c r="I192" s="819"/>
      <c r="J192" s="729" t="s">
        <v>120</v>
      </c>
      <c r="K192" s="1145"/>
      <c r="L192" s="932"/>
      <c r="M192" s="919">
        <f ca="1" t="shared" si="4"/>
        <v>594</v>
      </c>
      <c r="N192" s="728">
        <f t="shared" si="5"/>
        <v>45720</v>
      </c>
      <c r="P192" s="897"/>
    </row>
    <row r="193" customFormat="1" ht="20.1" hidden="1" customHeight="1" spans="1:16">
      <c r="A193" s="819">
        <v>210</v>
      </c>
      <c r="B193" s="729" t="s">
        <v>25</v>
      </c>
      <c r="C193" s="729" t="s">
        <v>334</v>
      </c>
      <c r="D193" s="819" t="s">
        <v>272</v>
      </c>
      <c r="E193" s="1154">
        <v>83999.84</v>
      </c>
      <c r="F193" s="746">
        <v>45546</v>
      </c>
      <c r="G193" s="775">
        <v>45590</v>
      </c>
      <c r="H193" s="729" t="s">
        <v>27</v>
      </c>
      <c r="I193" s="819"/>
      <c r="J193" s="729" t="s">
        <v>120</v>
      </c>
      <c r="K193" s="1145"/>
      <c r="L193" s="932"/>
      <c r="M193" s="919">
        <f ca="1" t="shared" si="4"/>
        <v>589</v>
      </c>
      <c r="N193" s="728">
        <f t="shared" si="5"/>
        <v>45725</v>
      </c>
      <c r="P193" s="897"/>
    </row>
    <row r="194" customFormat="1" ht="20.1" hidden="1" customHeight="1" spans="1:16">
      <c r="A194" s="819">
        <v>211</v>
      </c>
      <c r="B194" s="729" t="s">
        <v>25</v>
      </c>
      <c r="C194" s="729" t="s">
        <v>335</v>
      </c>
      <c r="D194" s="819" t="s">
        <v>272</v>
      </c>
      <c r="E194" s="1154">
        <v>120000</v>
      </c>
      <c r="F194" s="746">
        <v>45546</v>
      </c>
      <c r="G194" s="775">
        <v>45590</v>
      </c>
      <c r="H194" s="729" t="s">
        <v>27</v>
      </c>
      <c r="I194" s="819"/>
      <c r="J194" s="729" t="s">
        <v>120</v>
      </c>
      <c r="K194" s="1145"/>
      <c r="L194" s="932"/>
      <c r="M194" s="919">
        <f ca="1" t="shared" si="4"/>
        <v>589</v>
      </c>
      <c r="N194" s="728">
        <f t="shared" si="5"/>
        <v>45725</v>
      </c>
      <c r="P194" s="897"/>
    </row>
    <row r="195" customFormat="1" ht="20.1" hidden="1" customHeight="1" spans="1:16">
      <c r="A195" s="819">
        <v>212</v>
      </c>
      <c r="B195" s="729" t="s">
        <v>25</v>
      </c>
      <c r="C195" s="729" t="s">
        <v>336</v>
      </c>
      <c r="D195" s="819" t="s">
        <v>337</v>
      </c>
      <c r="E195" s="1154">
        <v>120000</v>
      </c>
      <c r="F195" s="746">
        <v>45546</v>
      </c>
      <c r="G195" s="775">
        <v>45590</v>
      </c>
      <c r="H195" s="729" t="s">
        <v>27</v>
      </c>
      <c r="I195" s="819"/>
      <c r="J195" s="729" t="s">
        <v>120</v>
      </c>
      <c r="K195" s="1145"/>
      <c r="L195" s="932"/>
      <c r="M195" s="919">
        <f ca="1" t="shared" ref="M195:M258" si="6">DATEDIF(F195,TODAY(),"D")</f>
        <v>589</v>
      </c>
      <c r="N195" s="728">
        <f t="shared" ref="N195:N258" si="7">F195+179</f>
        <v>45725</v>
      </c>
      <c r="P195" s="897"/>
    </row>
    <row r="196" customFormat="1" ht="20.1" hidden="1" customHeight="1" spans="1:16">
      <c r="A196" s="819">
        <v>213</v>
      </c>
      <c r="B196" s="729" t="s">
        <v>25</v>
      </c>
      <c r="C196" s="729" t="s">
        <v>338</v>
      </c>
      <c r="D196" s="819" t="s">
        <v>337</v>
      </c>
      <c r="E196" s="1154">
        <v>320000</v>
      </c>
      <c r="F196" s="746">
        <v>45546</v>
      </c>
      <c r="G196" s="775">
        <v>45590</v>
      </c>
      <c r="H196" s="729" t="s">
        <v>27</v>
      </c>
      <c r="I196" s="819"/>
      <c r="J196" s="729" t="s">
        <v>120</v>
      </c>
      <c r="K196" s="1145"/>
      <c r="L196" s="932"/>
      <c r="M196" s="919">
        <f ca="1" t="shared" si="6"/>
        <v>589</v>
      </c>
      <c r="N196" s="728">
        <f t="shared" si="7"/>
        <v>45725</v>
      </c>
      <c r="P196" s="897"/>
    </row>
    <row r="197" customFormat="1" ht="20.1" hidden="1" customHeight="1" spans="1:16">
      <c r="A197" s="819">
        <v>216</v>
      </c>
      <c r="B197" s="729" t="s">
        <v>25</v>
      </c>
      <c r="C197" s="729" t="s">
        <v>339</v>
      </c>
      <c r="D197" s="729" t="s">
        <v>340</v>
      </c>
      <c r="E197" s="1154">
        <v>43516</v>
      </c>
      <c r="F197" s="746">
        <v>45548</v>
      </c>
      <c r="G197" s="775">
        <v>45590</v>
      </c>
      <c r="H197" s="729" t="s">
        <v>27</v>
      </c>
      <c r="I197" s="819"/>
      <c r="J197" s="729" t="s">
        <v>120</v>
      </c>
      <c r="K197" s="1145"/>
      <c r="L197" s="932"/>
      <c r="M197" s="919">
        <f ca="1" t="shared" si="6"/>
        <v>587</v>
      </c>
      <c r="N197" s="728">
        <f t="shared" si="7"/>
        <v>45727</v>
      </c>
      <c r="P197" s="897"/>
    </row>
    <row r="198" customFormat="1" ht="20.1" hidden="1" customHeight="1" spans="1:16">
      <c r="A198" s="819">
        <v>166</v>
      </c>
      <c r="B198" s="729" t="s">
        <v>28</v>
      </c>
      <c r="C198" s="828" t="s">
        <v>341</v>
      </c>
      <c r="D198" s="729" t="s">
        <v>330</v>
      </c>
      <c r="E198" s="1154">
        <v>116000</v>
      </c>
      <c r="F198" s="775">
        <v>45477</v>
      </c>
      <c r="G198" s="775">
        <v>45595</v>
      </c>
      <c r="H198" s="729" t="s">
        <v>27</v>
      </c>
      <c r="I198" s="819"/>
      <c r="J198" s="729" t="s">
        <v>120</v>
      </c>
      <c r="K198" s="1145"/>
      <c r="L198" s="932"/>
      <c r="M198" s="919">
        <f ca="1" t="shared" si="6"/>
        <v>658</v>
      </c>
      <c r="N198" s="728">
        <f t="shared" si="7"/>
        <v>45656</v>
      </c>
      <c r="P198" s="1193"/>
    </row>
    <row r="199" customFormat="1" ht="20.1" hidden="1" customHeight="1" spans="1:16">
      <c r="A199" s="819">
        <v>168</v>
      </c>
      <c r="B199" s="729" t="s">
        <v>28</v>
      </c>
      <c r="C199" s="729" t="s">
        <v>342</v>
      </c>
      <c r="D199" s="729" t="s">
        <v>343</v>
      </c>
      <c r="E199" s="1154">
        <v>200000</v>
      </c>
      <c r="F199" s="775">
        <v>45484</v>
      </c>
      <c r="G199" s="775">
        <v>45597</v>
      </c>
      <c r="H199" s="729" t="s">
        <v>27</v>
      </c>
      <c r="I199" s="819"/>
      <c r="J199" s="729" t="s">
        <v>120</v>
      </c>
      <c r="K199" s="1145"/>
      <c r="L199" s="932"/>
      <c r="M199" s="919">
        <f ca="1" t="shared" si="6"/>
        <v>651</v>
      </c>
      <c r="N199" s="728">
        <f t="shared" si="7"/>
        <v>45663</v>
      </c>
      <c r="P199" s="1193"/>
    </row>
    <row r="200" s="703" customFormat="1" ht="20.1" hidden="1" customHeight="1" spans="1:16">
      <c r="A200" s="819">
        <v>207</v>
      </c>
      <c r="B200" s="729" t="s">
        <v>344</v>
      </c>
      <c r="C200" s="729" t="s">
        <v>345</v>
      </c>
      <c r="D200" s="729" t="s">
        <v>292</v>
      </c>
      <c r="E200" s="1154">
        <v>1600000</v>
      </c>
      <c r="F200" s="746">
        <v>45540</v>
      </c>
      <c r="G200" s="775">
        <v>45601</v>
      </c>
      <c r="H200" s="729" t="s">
        <v>17</v>
      </c>
      <c r="I200" s="819"/>
      <c r="J200" s="729" t="s">
        <v>120</v>
      </c>
      <c r="K200" s="1145"/>
      <c r="L200" s="938"/>
      <c r="M200" s="919">
        <f ca="1" t="shared" si="6"/>
        <v>595</v>
      </c>
      <c r="N200" s="728">
        <f t="shared" si="7"/>
        <v>45719</v>
      </c>
      <c r="O200"/>
      <c r="P200" s="1192">
        <v>1776000</v>
      </c>
    </row>
    <row r="201" customFormat="1" ht="20.1" hidden="1" customHeight="1" spans="1:16">
      <c r="A201" s="819">
        <v>236</v>
      </c>
      <c r="B201" s="729" t="s">
        <v>15</v>
      </c>
      <c r="C201" s="729" t="s">
        <v>346</v>
      </c>
      <c r="D201" s="729" t="s">
        <v>292</v>
      </c>
      <c r="E201" s="1154">
        <v>761849.67</v>
      </c>
      <c r="F201" s="746">
        <v>45582</v>
      </c>
      <c r="G201" s="775">
        <v>45601</v>
      </c>
      <c r="H201" s="729" t="s">
        <v>17</v>
      </c>
      <c r="I201" s="819"/>
      <c r="J201" s="729" t="s">
        <v>120</v>
      </c>
      <c r="K201" s="1145"/>
      <c r="L201" s="932"/>
      <c r="M201" s="919">
        <f ca="1" t="shared" si="6"/>
        <v>553</v>
      </c>
      <c r="N201" s="728">
        <f t="shared" si="7"/>
        <v>45761</v>
      </c>
      <c r="P201" s="897"/>
    </row>
    <row r="202" customFormat="1" ht="20.1" hidden="1" customHeight="1" spans="1:16">
      <c r="A202" s="819">
        <v>182</v>
      </c>
      <c r="B202" s="729" t="s">
        <v>28</v>
      </c>
      <c r="C202" s="729" t="s">
        <v>347</v>
      </c>
      <c r="D202" s="729" t="s">
        <v>343</v>
      </c>
      <c r="E202" s="1154">
        <v>96000</v>
      </c>
      <c r="F202" s="746">
        <v>45510</v>
      </c>
      <c r="G202" s="775">
        <v>45603</v>
      </c>
      <c r="H202" s="819" t="s">
        <v>27</v>
      </c>
      <c r="I202" s="729"/>
      <c r="J202" s="729" t="s">
        <v>120</v>
      </c>
      <c r="K202" s="1145"/>
      <c r="L202" s="932"/>
      <c r="M202" s="919">
        <f ca="1" t="shared" si="6"/>
        <v>625</v>
      </c>
      <c r="N202" s="728">
        <f t="shared" si="7"/>
        <v>45689</v>
      </c>
      <c r="P202" s="1192"/>
    </row>
    <row r="203" customFormat="1" ht="20.1" hidden="1" customHeight="1" spans="1:16">
      <c r="A203" s="819">
        <v>190</v>
      </c>
      <c r="B203" s="729" t="s">
        <v>37</v>
      </c>
      <c r="C203" s="729" t="s">
        <v>348</v>
      </c>
      <c r="D203" s="729" t="s">
        <v>349</v>
      </c>
      <c r="E203" s="1154">
        <v>600000</v>
      </c>
      <c r="F203" s="746">
        <v>45519</v>
      </c>
      <c r="G203" s="775">
        <v>45603</v>
      </c>
      <c r="H203" s="729" t="s">
        <v>17</v>
      </c>
      <c r="I203" s="729"/>
      <c r="J203" s="729" t="s">
        <v>120</v>
      </c>
      <c r="K203" s="1145"/>
      <c r="L203" s="932"/>
      <c r="M203" s="919">
        <f ca="1" t="shared" si="6"/>
        <v>616</v>
      </c>
      <c r="N203" s="728">
        <f t="shared" si="7"/>
        <v>45698</v>
      </c>
      <c r="P203" s="1192"/>
    </row>
    <row r="204" customFormat="1" ht="20.1" hidden="1" customHeight="1" spans="1:16">
      <c r="A204" s="819">
        <v>215</v>
      </c>
      <c r="B204" s="729" t="s">
        <v>28</v>
      </c>
      <c r="C204" s="729" t="s">
        <v>350</v>
      </c>
      <c r="D204" s="819" t="s">
        <v>272</v>
      </c>
      <c r="E204" s="1154">
        <v>76000</v>
      </c>
      <c r="F204" s="746">
        <v>45548</v>
      </c>
      <c r="G204" s="775">
        <v>45603</v>
      </c>
      <c r="H204" s="729" t="s">
        <v>27</v>
      </c>
      <c r="I204" s="819"/>
      <c r="J204" s="729" t="s">
        <v>120</v>
      </c>
      <c r="K204" s="1197"/>
      <c r="L204" s="1117"/>
      <c r="M204" s="919">
        <f ca="1" t="shared" si="6"/>
        <v>587</v>
      </c>
      <c r="N204" s="728">
        <f t="shared" si="7"/>
        <v>45727</v>
      </c>
      <c r="P204" s="897"/>
    </row>
    <row r="205" customFormat="1" ht="20.1" hidden="1" customHeight="1" spans="1:16">
      <c r="A205" s="819">
        <v>240</v>
      </c>
      <c r="B205" s="729" t="s">
        <v>28</v>
      </c>
      <c r="C205" s="729" t="s">
        <v>351</v>
      </c>
      <c r="D205" s="819" t="s">
        <v>272</v>
      </c>
      <c r="E205" s="1154">
        <v>327898.22</v>
      </c>
      <c r="F205" s="746">
        <v>45586</v>
      </c>
      <c r="G205" s="775">
        <v>45604</v>
      </c>
      <c r="H205" s="729" t="s">
        <v>27</v>
      </c>
      <c r="I205" s="819"/>
      <c r="J205" s="729" t="s">
        <v>120</v>
      </c>
      <c r="K205" s="1145"/>
      <c r="L205" s="932"/>
      <c r="M205" s="919">
        <f ca="1" t="shared" si="6"/>
        <v>549</v>
      </c>
      <c r="N205" s="728">
        <f t="shared" si="7"/>
        <v>45765</v>
      </c>
      <c r="O205" s="703"/>
      <c r="P205" s="1191"/>
    </row>
    <row r="206" s="891" customFormat="1" ht="20.1" hidden="1" customHeight="1" spans="1:16">
      <c r="A206" s="819">
        <v>248</v>
      </c>
      <c r="B206" s="729" t="s">
        <v>22</v>
      </c>
      <c r="C206" s="729" t="s">
        <v>352</v>
      </c>
      <c r="D206" s="729" t="s">
        <v>292</v>
      </c>
      <c r="E206" s="1154">
        <v>2360000</v>
      </c>
      <c r="F206" s="775">
        <v>45593</v>
      </c>
      <c r="G206" s="775">
        <v>45607</v>
      </c>
      <c r="H206" s="729" t="s">
        <v>17</v>
      </c>
      <c r="I206" s="1198">
        <v>45713</v>
      </c>
      <c r="J206" s="729" t="s">
        <v>120</v>
      </c>
      <c r="K206" s="1145"/>
      <c r="L206" s="938"/>
      <c r="M206" s="919">
        <f ca="1" t="shared" si="6"/>
        <v>542</v>
      </c>
      <c r="N206" s="728">
        <f t="shared" si="7"/>
        <v>45772</v>
      </c>
      <c r="O206"/>
      <c r="P206" s="897"/>
    </row>
    <row r="207" s="891" customFormat="1" ht="20.1" hidden="1" customHeight="1" spans="1:16">
      <c r="A207" s="819">
        <v>174</v>
      </c>
      <c r="B207" s="729" t="s">
        <v>28</v>
      </c>
      <c r="C207" s="729" t="s">
        <v>353</v>
      </c>
      <c r="D207" s="729" t="s">
        <v>354</v>
      </c>
      <c r="E207" s="1154">
        <v>120000</v>
      </c>
      <c r="F207" s="775">
        <v>45491</v>
      </c>
      <c r="G207" s="775">
        <v>45608</v>
      </c>
      <c r="H207" s="729" t="s">
        <v>27</v>
      </c>
      <c r="I207" s="819"/>
      <c r="J207" s="729" t="s">
        <v>120</v>
      </c>
      <c r="K207" s="1145"/>
      <c r="L207" s="932"/>
      <c r="M207" s="919">
        <f ca="1" t="shared" si="6"/>
        <v>644</v>
      </c>
      <c r="N207" s="728">
        <f t="shared" si="7"/>
        <v>45670</v>
      </c>
      <c r="O207"/>
      <c r="P207" s="1193"/>
    </row>
    <row r="208" customFormat="1" ht="20.1" hidden="1" customHeight="1" spans="1:16">
      <c r="A208" s="819">
        <v>191</v>
      </c>
      <c r="B208" s="729" t="s">
        <v>28</v>
      </c>
      <c r="C208" s="729" t="s">
        <v>355</v>
      </c>
      <c r="D208" s="729" t="s">
        <v>354</v>
      </c>
      <c r="E208" s="1154">
        <v>40000</v>
      </c>
      <c r="F208" s="746">
        <v>45519</v>
      </c>
      <c r="G208" s="775">
        <v>45609</v>
      </c>
      <c r="H208" s="729" t="s">
        <v>27</v>
      </c>
      <c r="I208" s="729"/>
      <c r="J208" s="729" t="s">
        <v>120</v>
      </c>
      <c r="K208" s="1145"/>
      <c r="L208" s="932"/>
      <c r="M208" s="919">
        <f ca="1" t="shared" si="6"/>
        <v>616</v>
      </c>
      <c r="N208" s="728">
        <f t="shared" si="7"/>
        <v>45698</v>
      </c>
      <c r="P208" s="1192"/>
    </row>
    <row r="209" customFormat="1" ht="20.1" hidden="1" customHeight="1" spans="1:16">
      <c r="A209" s="819">
        <v>195</v>
      </c>
      <c r="B209" s="729" t="s">
        <v>57</v>
      </c>
      <c r="C209" s="729" t="s">
        <v>356</v>
      </c>
      <c r="D209" s="729" t="s">
        <v>357</v>
      </c>
      <c r="E209" s="1154">
        <v>564887.54</v>
      </c>
      <c r="F209" s="746">
        <v>45530</v>
      </c>
      <c r="G209" s="775">
        <v>45609</v>
      </c>
      <c r="H209" s="729" t="s">
        <v>17</v>
      </c>
      <c r="I209" s="729"/>
      <c r="J209" s="729" t="s">
        <v>120</v>
      </c>
      <c r="K209" s="1145"/>
      <c r="L209" s="932"/>
      <c r="M209" s="919">
        <f ca="1" t="shared" si="6"/>
        <v>605</v>
      </c>
      <c r="N209" s="728">
        <f t="shared" si="7"/>
        <v>45709</v>
      </c>
      <c r="P209" s="1199"/>
    </row>
    <row r="210" customFormat="1" ht="20.1" hidden="1" customHeight="1" spans="1:16">
      <c r="A210" s="819">
        <v>196</v>
      </c>
      <c r="B210" s="729" t="s">
        <v>57</v>
      </c>
      <c r="C210" s="783" t="s">
        <v>356</v>
      </c>
      <c r="D210" s="729" t="s">
        <v>357</v>
      </c>
      <c r="E210" s="1154">
        <v>188295.85</v>
      </c>
      <c r="F210" s="746">
        <v>45530</v>
      </c>
      <c r="G210" s="775">
        <v>45609</v>
      </c>
      <c r="H210" s="729" t="s">
        <v>27</v>
      </c>
      <c r="I210" s="729"/>
      <c r="J210" s="729" t="s">
        <v>120</v>
      </c>
      <c r="K210" s="1145"/>
      <c r="L210" s="932"/>
      <c r="M210" s="919">
        <f ca="1" t="shared" si="6"/>
        <v>605</v>
      </c>
      <c r="N210" s="728">
        <f t="shared" si="7"/>
        <v>45709</v>
      </c>
      <c r="P210" s="1199"/>
    </row>
    <row r="211" customFormat="1" ht="20.1" hidden="1" customHeight="1" spans="1:16">
      <c r="A211" s="819">
        <v>200</v>
      </c>
      <c r="B211" s="729" t="s">
        <v>37</v>
      </c>
      <c r="C211" s="729" t="s">
        <v>358</v>
      </c>
      <c r="D211" s="729" t="s">
        <v>357</v>
      </c>
      <c r="E211" s="1154">
        <v>600000</v>
      </c>
      <c r="F211" s="746">
        <v>45533</v>
      </c>
      <c r="G211" s="775">
        <v>45609</v>
      </c>
      <c r="H211" s="729" t="s">
        <v>17</v>
      </c>
      <c r="I211" s="729"/>
      <c r="J211" s="729" t="s">
        <v>120</v>
      </c>
      <c r="K211" s="1145"/>
      <c r="L211" s="932"/>
      <c r="M211" s="919">
        <f ca="1" t="shared" si="6"/>
        <v>602</v>
      </c>
      <c r="N211" s="728">
        <f t="shared" si="7"/>
        <v>45712</v>
      </c>
      <c r="P211" s="1199"/>
    </row>
    <row r="212" customFormat="1" ht="20.1" hidden="1" customHeight="1" spans="1:16">
      <c r="A212" s="819">
        <v>188</v>
      </c>
      <c r="B212" s="729" t="s">
        <v>31</v>
      </c>
      <c r="C212" s="729" t="s">
        <v>359</v>
      </c>
      <c r="D212" s="729" t="s">
        <v>360</v>
      </c>
      <c r="E212" s="1154">
        <v>200640</v>
      </c>
      <c r="F212" s="746">
        <v>45513</v>
      </c>
      <c r="G212" s="775">
        <v>45615</v>
      </c>
      <c r="H212" s="819" t="s">
        <v>27</v>
      </c>
      <c r="I212" s="729"/>
      <c r="J212" s="729" t="s">
        <v>120</v>
      </c>
      <c r="K212" s="1145"/>
      <c r="L212" s="932"/>
      <c r="M212" s="919">
        <f ca="1" t="shared" si="6"/>
        <v>622</v>
      </c>
      <c r="N212" s="728">
        <f t="shared" si="7"/>
        <v>45692</v>
      </c>
      <c r="P212" s="1199"/>
    </row>
    <row r="213" customFormat="1" ht="20.1" hidden="1" customHeight="1" spans="1:16">
      <c r="A213" s="819">
        <v>189</v>
      </c>
      <c r="B213" s="729" t="s">
        <v>31</v>
      </c>
      <c r="C213" s="729" t="s">
        <v>361</v>
      </c>
      <c r="D213" s="729" t="s">
        <v>360</v>
      </c>
      <c r="E213" s="1154">
        <v>8021.75</v>
      </c>
      <c r="F213" s="746">
        <v>45517</v>
      </c>
      <c r="G213" s="775">
        <v>45615</v>
      </c>
      <c r="H213" s="819" t="s">
        <v>27</v>
      </c>
      <c r="I213" s="729"/>
      <c r="J213" s="729" t="s">
        <v>55</v>
      </c>
      <c r="K213" s="1145"/>
      <c r="L213" s="938" t="s">
        <v>362</v>
      </c>
      <c r="M213" s="919">
        <f ca="1" t="shared" si="6"/>
        <v>618</v>
      </c>
      <c r="N213" s="728">
        <f t="shared" si="7"/>
        <v>45696</v>
      </c>
      <c r="P213" s="1199"/>
    </row>
    <row r="214" customFormat="1" ht="20.1" hidden="1" customHeight="1" spans="1:16">
      <c r="A214" s="819">
        <v>192</v>
      </c>
      <c r="B214" s="729" t="s">
        <v>31</v>
      </c>
      <c r="C214" s="729" t="s">
        <v>363</v>
      </c>
      <c r="D214" s="729" t="s">
        <v>360</v>
      </c>
      <c r="E214" s="1154">
        <v>200556.07</v>
      </c>
      <c r="F214" s="746">
        <v>45524</v>
      </c>
      <c r="G214" s="775">
        <v>45615</v>
      </c>
      <c r="H214" s="729" t="s">
        <v>27</v>
      </c>
      <c r="I214" s="729"/>
      <c r="J214" s="729" t="s">
        <v>120</v>
      </c>
      <c r="K214" s="1145"/>
      <c r="L214" s="932"/>
      <c r="M214" s="919">
        <f ca="1" t="shared" si="6"/>
        <v>611</v>
      </c>
      <c r="N214" s="728">
        <f t="shared" si="7"/>
        <v>45703</v>
      </c>
      <c r="P214" s="1199"/>
    </row>
    <row r="215" customFormat="1" ht="20.1" hidden="1" customHeight="1" spans="1:16">
      <c r="A215" s="819">
        <v>198</v>
      </c>
      <c r="B215" s="729" t="s">
        <v>31</v>
      </c>
      <c r="C215" s="729" t="s">
        <v>359</v>
      </c>
      <c r="D215" s="729" t="s">
        <v>360</v>
      </c>
      <c r="E215" s="1154">
        <v>204066.65</v>
      </c>
      <c r="F215" s="1200">
        <v>45532</v>
      </c>
      <c r="G215" s="775">
        <v>45615</v>
      </c>
      <c r="H215" s="729" t="s">
        <v>27</v>
      </c>
      <c r="I215" s="729"/>
      <c r="J215" s="729" t="s">
        <v>120</v>
      </c>
      <c r="K215" s="1145"/>
      <c r="L215" s="932"/>
      <c r="M215" s="919">
        <f ca="1" t="shared" si="6"/>
        <v>603</v>
      </c>
      <c r="N215" s="728">
        <f t="shared" si="7"/>
        <v>45711</v>
      </c>
      <c r="P215" s="1199"/>
    </row>
    <row r="216" customFormat="1" ht="20.1" hidden="1" customHeight="1" spans="1:16">
      <c r="A216" s="819">
        <v>202</v>
      </c>
      <c r="B216" s="729" t="s">
        <v>31</v>
      </c>
      <c r="C216" s="729" t="s">
        <v>364</v>
      </c>
      <c r="D216" s="729" t="s">
        <v>360</v>
      </c>
      <c r="E216" s="1154">
        <v>180000</v>
      </c>
      <c r="F216" s="746">
        <v>45534</v>
      </c>
      <c r="G216" s="775">
        <v>45615</v>
      </c>
      <c r="H216" s="729" t="s">
        <v>27</v>
      </c>
      <c r="I216" s="729"/>
      <c r="J216" s="729" t="s">
        <v>120</v>
      </c>
      <c r="K216" s="1145"/>
      <c r="L216" s="932"/>
      <c r="M216" s="919">
        <f ca="1" t="shared" si="6"/>
        <v>601</v>
      </c>
      <c r="N216" s="728">
        <f t="shared" si="7"/>
        <v>45713</v>
      </c>
      <c r="P216" s="1199">
        <v>812000</v>
      </c>
    </row>
    <row r="217" customFormat="1" ht="20.1" hidden="1" customHeight="1" spans="1:16">
      <c r="A217" s="819">
        <v>230</v>
      </c>
      <c r="B217" s="729" t="s">
        <v>31</v>
      </c>
      <c r="C217" s="729" t="s">
        <v>365</v>
      </c>
      <c r="D217" s="819" t="s">
        <v>272</v>
      </c>
      <c r="E217" s="1154">
        <v>299999.93</v>
      </c>
      <c r="F217" s="746">
        <v>45562</v>
      </c>
      <c r="G217" s="775">
        <v>45615</v>
      </c>
      <c r="H217" s="729" t="s">
        <v>27</v>
      </c>
      <c r="I217" s="819"/>
      <c r="J217" s="729" t="s">
        <v>120</v>
      </c>
      <c r="K217" s="1145"/>
      <c r="L217" s="932"/>
      <c r="M217" s="919">
        <f ca="1" t="shared" si="6"/>
        <v>573</v>
      </c>
      <c r="N217" s="728">
        <f t="shared" si="7"/>
        <v>45741</v>
      </c>
    </row>
    <row r="218" customFormat="1" ht="20.1" hidden="1" customHeight="1" spans="1:16">
      <c r="A218" s="819">
        <v>237</v>
      </c>
      <c r="B218" s="729" t="s">
        <v>22</v>
      </c>
      <c r="C218" s="729" t="s">
        <v>366</v>
      </c>
      <c r="D218" s="729" t="s">
        <v>292</v>
      </c>
      <c r="E218" s="1154">
        <v>1200000</v>
      </c>
      <c r="F218" s="746">
        <v>45582</v>
      </c>
      <c r="G218" s="775">
        <v>45615</v>
      </c>
      <c r="H218" s="729" t="s">
        <v>17</v>
      </c>
      <c r="I218" s="819"/>
      <c r="J218" s="729" t="s">
        <v>120</v>
      </c>
      <c r="K218" s="1145"/>
      <c r="L218" s="932"/>
      <c r="M218" s="919">
        <f ca="1" t="shared" si="6"/>
        <v>553</v>
      </c>
      <c r="N218" s="728">
        <f t="shared" si="7"/>
        <v>45761</v>
      </c>
    </row>
    <row r="219" customFormat="1" ht="20.1" hidden="1" customHeight="1" spans="1:16">
      <c r="A219" s="819">
        <v>231</v>
      </c>
      <c r="B219" s="729" t="s">
        <v>41</v>
      </c>
      <c r="C219" s="729" t="s">
        <v>367</v>
      </c>
      <c r="D219" s="729" t="s">
        <v>292</v>
      </c>
      <c r="E219" s="1154">
        <v>980997.26</v>
      </c>
      <c r="F219" s="746">
        <v>45562</v>
      </c>
      <c r="G219" s="775">
        <v>45617</v>
      </c>
      <c r="H219" s="729" t="s">
        <v>17</v>
      </c>
      <c r="I219" s="1198">
        <v>45660</v>
      </c>
      <c r="J219" s="729" t="s">
        <v>55</v>
      </c>
      <c r="K219" s="1145"/>
      <c r="L219" s="938" t="s">
        <v>99</v>
      </c>
      <c r="M219" s="919">
        <f ca="1" t="shared" si="6"/>
        <v>573</v>
      </c>
      <c r="N219" s="728">
        <f t="shared" si="7"/>
        <v>45741</v>
      </c>
    </row>
    <row r="220" customFormat="1" ht="20.1" hidden="1" customHeight="1" spans="1:16">
      <c r="A220" s="819">
        <v>155</v>
      </c>
      <c r="B220" s="729" t="s">
        <v>37</v>
      </c>
      <c r="C220" s="729" t="s">
        <v>368</v>
      </c>
      <c r="D220" s="729" t="s">
        <v>337</v>
      </c>
      <c r="E220" s="1154">
        <v>1960000</v>
      </c>
      <c r="F220" s="775">
        <v>45469</v>
      </c>
      <c r="G220" s="775">
        <v>45621</v>
      </c>
      <c r="H220" s="729" t="s">
        <v>17</v>
      </c>
      <c r="I220" s="819"/>
      <c r="J220" s="729" t="s">
        <v>120</v>
      </c>
      <c r="K220" s="1145"/>
      <c r="L220" s="938" t="s">
        <v>369</v>
      </c>
      <c r="M220" s="919">
        <f ca="1" t="shared" si="6"/>
        <v>666</v>
      </c>
      <c r="N220" s="728">
        <f t="shared" si="7"/>
        <v>45648</v>
      </c>
      <c r="O220" s="1123"/>
      <c r="P220" s="1199"/>
    </row>
    <row r="221" customFormat="1" ht="20.1" hidden="1" customHeight="1" spans="1:16">
      <c r="A221" s="819">
        <v>156</v>
      </c>
      <c r="B221" s="729" t="s">
        <v>37</v>
      </c>
      <c r="C221" s="729" t="s">
        <v>370</v>
      </c>
      <c r="D221" s="729" t="s">
        <v>337</v>
      </c>
      <c r="E221" s="1154">
        <v>267736.25</v>
      </c>
      <c r="F221" s="775">
        <v>45470</v>
      </c>
      <c r="G221" s="775">
        <v>45621</v>
      </c>
      <c r="H221" s="729" t="s">
        <v>27</v>
      </c>
      <c r="I221" s="819"/>
      <c r="J221" s="729" t="s">
        <v>371</v>
      </c>
      <c r="K221" s="1145"/>
      <c r="L221" s="938" t="s">
        <v>369</v>
      </c>
      <c r="M221" s="919">
        <f ca="1" t="shared" si="6"/>
        <v>665</v>
      </c>
      <c r="N221" s="728">
        <f t="shared" si="7"/>
        <v>45649</v>
      </c>
      <c r="O221" s="1123"/>
      <c r="P221" s="1199">
        <v>47722.6</v>
      </c>
    </row>
    <row r="222" customFormat="1" ht="20.1" hidden="1" customHeight="1" spans="1:16">
      <c r="A222" s="819">
        <v>193</v>
      </c>
      <c r="B222" s="729" t="s">
        <v>37</v>
      </c>
      <c r="C222" s="729" t="s">
        <v>372</v>
      </c>
      <c r="D222" s="729" t="s">
        <v>272</v>
      </c>
      <c r="E222" s="1154">
        <v>118748.97</v>
      </c>
      <c r="F222" s="746">
        <v>45525</v>
      </c>
      <c r="G222" s="775">
        <v>45621</v>
      </c>
      <c r="H222" s="729" t="s">
        <v>27</v>
      </c>
      <c r="I222" s="729"/>
      <c r="J222" s="729" t="s">
        <v>120</v>
      </c>
      <c r="K222" s="1145"/>
      <c r="L222" s="932"/>
      <c r="M222" s="919">
        <f ca="1" t="shared" si="6"/>
        <v>610</v>
      </c>
      <c r="N222" s="728">
        <f t="shared" si="7"/>
        <v>45704</v>
      </c>
      <c r="P222" s="1199"/>
    </row>
    <row r="223" customFormat="1" ht="20.1" hidden="1" customHeight="1" spans="1:16">
      <c r="A223" s="1142">
        <v>224</v>
      </c>
      <c r="B223" s="1048" t="s">
        <v>25</v>
      </c>
      <c r="C223" s="1048" t="s">
        <v>373</v>
      </c>
      <c r="D223" s="1048" t="s">
        <v>340</v>
      </c>
      <c r="E223" s="1201">
        <v>120000</v>
      </c>
      <c r="F223" s="1202">
        <v>45560</v>
      </c>
      <c r="G223" s="1144">
        <v>45623</v>
      </c>
      <c r="H223" s="1048" t="s">
        <v>27</v>
      </c>
      <c r="I223" s="1142"/>
      <c r="J223" s="1048" t="s">
        <v>120</v>
      </c>
      <c r="K223" s="1048"/>
      <c r="L223" s="1146"/>
      <c r="M223" s="1203">
        <f ca="1" t="shared" si="6"/>
        <v>575</v>
      </c>
      <c r="N223" s="1204">
        <f t="shared" si="7"/>
        <v>45739</v>
      </c>
      <c r="O223" s="1"/>
      <c r="P223" s="1"/>
    </row>
    <row r="224" customFormat="1" ht="30.3" hidden="1" customHeight="1" spans="1:16">
      <c r="A224" s="819">
        <v>225</v>
      </c>
      <c r="B224" s="729" t="s">
        <v>25</v>
      </c>
      <c r="C224" s="729" t="s">
        <v>374</v>
      </c>
      <c r="D224" s="729" t="s">
        <v>292</v>
      </c>
      <c r="E224" s="1154">
        <v>79998.62</v>
      </c>
      <c r="F224" s="746">
        <v>45560</v>
      </c>
      <c r="G224" s="775">
        <v>45623</v>
      </c>
      <c r="H224" s="729" t="s">
        <v>27</v>
      </c>
      <c r="I224" s="819"/>
      <c r="J224" s="729" t="s">
        <v>120</v>
      </c>
      <c r="K224" s="1145"/>
      <c r="L224" s="932"/>
      <c r="M224" s="919">
        <f ca="1" t="shared" si="6"/>
        <v>575</v>
      </c>
      <c r="N224" s="728">
        <f t="shared" si="7"/>
        <v>45739</v>
      </c>
    </row>
    <row r="225" customFormat="1" ht="48" hidden="1" customHeight="1" spans="1:16">
      <c r="A225" s="819">
        <v>226</v>
      </c>
      <c r="B225" s="729" t="s">
        <v>25</v>
      </c>
      <c r="C225" s="729" t="s">
        <v>375</v>
      </c>
      <c r="D225" s="729" t="s">
        <v>292</v>
      </c>
      <c r="E225" s="1154">
        <v>120000</v>
      </c>
      <c r="F225" s="1205">
        <v>45560</v>
      </c>
      <c r="G225" s="972">
        <v>45623</v>
      </c>
      <c r="H225" s="969" t="s">
        <v>27</v>
      </c>
      <c r="I225" s="997"/>
      <c r="J225" s="969" t="s">
        <v>120</v>
      </c>
      <c r="K225" s="1179"/>
      <c r="L225" s="932"/>
      <c r="M225" s="919">
        <f ca="1" t="shared" si="6"/>
        <v>575</v>
      </c>
      <c r="N225" s="728">
        <f t="shared" si="7"/>
        <v>45739</v>
      </c>
    </row>
    <row r="226" s="1" customFormat="1" ht="20.1" hidden="1" customHeight="1" spans="1:16">
      <c r="A226" s="819">
        <v>227</v>
      </c>
      <c r="B226" s="729" t="s">
        <v>25</v>
      </c>
      <c r="C226" s="729" t="s">
        <v>376</v>
      </c>
      <c r="D226" s="729" t="s">
        <v>292</v>
      </c>
      <c r="E226" s="1154">
        <v>58806</v>
      </c>
      <c r="F226" s="746">
        <v>45560</v>
      </c>
      <c r="G226" s="775">
        <v>45623</v>
      </c>
      <c r="H226" s="729" t="s">
        <v>27</v>
      </c>
      <c r="I226" s="819"/>
      <c r="J226" s="729" t="s">
        <v>120</v>
      </c>
      <c r="K226" s="1145"/>
      <c r="L226" s="932"/>
      <c r="M226" s="919">
        <f ca="1" t="shared" si="6"/>
        <v>575</v>
      </c>
      <c r="N226" s="728">
        <f t="shared" si="7"/>
        <v>45739</v>
      </c>
      <c r="O226"/>
      <c r="P226"/>
    </row>
    <row r="227" customFormat="1" ht="20.1" hidden="1" customHeight="1" spans="1:16">
      <c r="A227" s="819">
        <v>228</v>
      </c>
      <c r="B227" s="729" t="s">
        <v>25</v>
      </c>
      <c r="C227" s="729" t="s">
        <v>377</v>
      </c>
      <c r="D227" s="729" t="s">
        <v>292</v>
      </c>
      <c r="E227" s="1154">
        <v>149280.41</v>
      </c>
      <c r="F227" s="746">
        <v>45560</v>
      </c>
      <c r="G227" s="775">
        <v>45623</v>
      </c>
      <c r="H227" s="729" t="s">
        <v>27</v>
      </c>
      <c r="I227" s="819"/>
      <c r="J227" s="729" t="s">
        <v>120</v>
      </c>
      <c r="K227" s="1145"/>
      <c r="L227" s="932"/>
      <c r="M227" s="919">
        <f ca="1" t="shared" si="6"/>
        <v>575</v>
      </c>
      <c r="N227" s="728">
        <f t="shared" si="7"/>
        <v>45739</v>
      </c>
    </row>
    <row r="228" customFormat="1" ht="20.1" hidden="1" customHeight="1" spans="1:16">
      <c r="A228" s="819">
        <v>229</v>
      </c>
      <c r="B228" s="729" t="s">
        <v>25</v>
      </c>
      <c r="C228" s="729" t="s">
        <v>378</v>
      </c>
      <c r="D228" s="729" t="s">
        <v>292</v>
      </c>
      <c r="E228" s="1154">
        <v>319371.82</v>
      </c>
      <c r="F228" s="746">
        <v>45560</v>
      </c>
      <c r="G228" s="775">
        <v>45623</v>
      </c>
      <c r="H228" s="729" t="s">
        <v>27</v>
      </c>
      <c r="I228" s="819"/>
      <c r="J228" s="729" t="s">
        <v>120</v>
      </c>
      <c r="K228" s="1145"/>
      <c r="L228" s="932"/>
      <c r="M228" s="919">
        <f ca="1" t="shared" si="6"/>
        <v>575</v>
      </c>
      <c r="N228" s="728">
        <f t="shared" si="7"/>
        <v>45739</v>
      </c>
    </row>
    <row r="229" customFormat="1" ht="20.1" hidden="1" customHeight="1" spans="1:16">
      <c r="A229" s="819">
        <v>194</v>
      </c>
      <c r="B229" s="729" t="s">
        <v>28</v>
      </c>
      <c r="C229" s="729" t="s">
        <v>379</v>
      </c>
      <c r="D229" s="729" t="s">
        <v>308</v>
      </c>
      <c r="E229" s="1154">
        <v>56820.22</v>
      </c>
      <c r="F229" s="746">
        <v>45530</v>
      </c>
      <c r="G229" s="775">
        <v>45635</v>
      </c>
      <c r="H229" s="729" t="s">
        <v>27</v>
      </c>
      <c r="I229" s="729"/>
      <c r="J229" s="729" t="s">
        <v>120</v>
      </c>
      <c r="K229" s="1145"/>
      <c r="L229" s="932"/>
      <c r="M229" s="919">
        <f ca="1" t="shared" si="6"/>
        <v>605</v>
      </c>
      <c r="N229" s="728">
        <f t="shared" si="7"/>
        <v>45709</v>
      </c>
      <c r="P229" s="1199"/>
    </row>
    <row r="230" customFormat="1" ht="20.1" hidden="1" customHeight="1" spans="1:16">
      <c r="A230" s="819">
        <v>201</v>
      </c>
      <c r="B230" s="729" t="s">
        <v>28</v>
      </c>
      <c r="C230" s="729" t="s">
        <v>380</v>
      </c>
      <c r="D230" s="729" t="s">
        <v>272</v>
      </c>
      <c r="E230" s="1154">
        <v>112000</v>
      </c>
      <c r="F230" s="746">
        <v>45534</v>
      </c>
      <c r="G230" s="775">
        <v>45636</v>
      </c>
      <c r="H230" s="729" t="s">
        <v>27</v>
      </c>
      <c r="I230" s="729"/>
      <c r="J230" s="729" t="s">
        <v>120</v>
      </c>
      <c r="K230" s="1145"/>
      <c r="L230" s="897"/>
      <c r="M230" s="919">
        <f ca="1" t="shared" si="6"/>
        <v>601</v>
      </c>
      <c r="N230" s="728">
        <f t="shared" si="7"/>
        <v>45713</v>
      </c>
      <c r="O230" s="891"/>
      <c r="P230" s="1206"/>
    </row>
    <row r="231" customFormat="1" ht="20.1" hidden="1" customHeight="1" spans="1:16">
      <c r="A231" s="819">
        <v>269</v>
      </c>
      <c r="B231" s="729" t="s">
        <v>22</v>
      </c>
      <c r="C231" s="729" t="s">
        <v>381</v>
      </c>
      <c r="D231" s="729" t="s">
        <v>382</v>
      </c>
      <c r="E231" s="1147">
        <v>1500000</v>
      </c>
      <c r="F231" s="775">
        <v>45628</v>
      </c>
      <c r="G231" s="775">
        <v>45643</v>
      </c>
      <c r="H231" s="729" t="s">
        <v>17</v>
      </c>
      <c r="I231" s="819"/>
      <c r="J231" s="729" t="s">
        <v>120</v>
      </c>
      <c r="K231" s="1145"/>
      <c r="L231" s="932"/>
      <c r="M231" s="919">
        <f ca="1" t="shared" si="6"/>
        <v>507</v>
      </c>
      <c r="N231" s="728">
        <f t="shared" si="7"/>
        <v>45807</v>
      </c>
    </row>
    <row r="232" customFormat="1" ht="20.1" hidden="1" customHeight="1" spans="1:16">
      <c r="A232" s="819">
        <v>234</v>
      </c>
      <c r="B232" s="729" t="s">
        <v>37</v>
      </c>
      <c r="C232" s="729" t="s">
        <v>383</v>
      </c>
      <c r="D232" s="729" t="s">
        <v>292</v>
      </c>
      <c r="E232" s="1154">
        <v>680000</v>
      </c>
      <c r="F232" s="746">
        <v>45577</v>
      </c>
      <c r="G232" s="775">
        <v>45644</v>
      </c>
      <c r="H232" s="729" t="s">
        <v>17</v>
      </c>
      <c r="I232" s="819"/>
      <c r="J232" s="729" t="s">
        <v>120</v>
      </c>
      <c r="K232" s="1145"/>
      <c r="L232" s="932"/>
      <c r="M232" s="919">
        <f ca="1" t="shared" si="6"/>
        <v>558</v>
      </c>
      <c r="N232" s="728">
        <f t="shared" si="7"/>
        <v>45756</v>
      </c>
    </row>
    <row r="233" customFormat="1" ht="20.1" hidden="1" customHeight="1" spans="1:16">
      <c r="A233" s="819">
        <v>270</v>
      </c>
      <c r="B233" s="729" t="s">
        <v>22</v>
      </c>
      <c r="C233" s="729" t="s">
        <v>384</v>
      </c>
      <c r="D233" s="729" t="s">
        <v>385</v>
      </c>
      <c r="E233" s="1147">
        <v>1000000</v>
      </c>
      <c r="F233" s="775">
        <v>45628</v>
      </c>
      <c r="G233" s="775">
        <v>45644</v>
      </c>
      <c r="H233" s="729" t="s">
        <v>17</v>
      </c>
      <c r="I233" s="819"/>
      <c r="J233" s="729" t="s">
        <v>120</v>
      </c>
      <c r="K233" s="1145"/>
      <c r="L233" s="932"/>
      <c r="M233" s="919">
        <f ca="1" t="shared" si="6"/>
        <v>507</v>
      </c>
      <c r="N233" s="728">
        <f t="shared" si="7"/>
        <v>45807</v>
      </c>
    </row>
    <row r="234" customFormat="1" ht="20.1" hidden="1" customHeight="1" spans="1:16">
      <c r="A234" s="819">
        <v>267</v>
      </c>
      <c r="B234" s="729" t="s">
        <v>28</v>
      </c>
      <c r="C234" s="729" t="s">
        <v>386</v>
      </c>
      <c r="D234" s="729" t="s">
        <v>387</v>
      </c>
      <c r="E234" s="1147">
        <v>43937.98</v>
      </c>
      <c r="F234" s="775">
        <v>45625</v>
      </c>
      <c r="G234" s="775">
        <v>45656</v>
      </c>
      <c r="H234" s="729" t="s">
        <v>27</v>
      </c>
      <c r="I234" s="819"/>
      <c r="J234" s="729" t="s">
        <v>120</v>
      </c>
      <c r="K234" s="1145"/>
      <c r="L234" s="932"/>
      <c r="M234" s="919">
        <f ca="1" t="shared" si="6"/>
        <v>510</v>
      </c>
      <c r="N234" s="728">
        <f t="shared" si="7"/>
        <v>45804</v>
      </c>
    </row>
    <row r="235" customFormat="1" ht="20.1" customHeight="1" spans="1:16">
      <c r="A235" s="819">
        <v>238</v>
      </c>
      <c r="B235" s="729" t="s">
        <v>79</v>
      </c>
      <c r="C235" s="729" t="s">
        <v>388</v>
      </c>
      <c r="D235" s="729" t="s">
        <v>389</v>
      </c>
      <c r="E235" s="1154">
        <v>80000</v>
      </c>
      <c r="F235" s="746">
        <v>45583</v>
      </c>
      <c r="G235" s="775">
        <v>45659</v>
      </c>
      <c r="H235" s="729" t="s">
        <v>27</v>
      </c>
      <c r="I235" s="819"/>
      <c r="J235" s="729" t="s">
        <v>120</v>
      </c>
      <c r="K235" s="1145"/>
      <c r="L235" s="932"/>
      <c r="M235" s="919">
        <f ca="1" t="shared" si="6"/>
        <v>552</v>
      </c>
      <c r="N235" s="728">
        <f t="shared" si="7"/>
        <v>45762</v>
      </c>
    </row>
    <row r="236" customFormat="1" ht="20.1" hidden="1" customHeight="1" spans="1:16">
      <c r="A236" s="819">
        <v>250</v>
      </c>
      <c r="B236" s="729" t="s">
        <v>37</v>
      </c>
      <c r="C236" s="729" t="s">
        <v>390</v>
      </c>
      <c r="D236" s="729" t="s">
        <v>391</v>
      </c>
      <c r="E236" s="1154">
        <v>34000</v>
      </c>
      <c r="F236" s="775">
        <v>45597</v>
      </c>
      <c r="G236" s="775">
        <v>45659</v>
      </c>
      <c r="H236" s="729" t="s">
        <v>27</v>
      </c>
      <c r="I236" s="819"/>
      <c r="J236" s="729" t="s">
        <v>120</v>
      </c>
      <c r="K236" s="1145"/>
      <c r="L236" s="932"/>
      <c r="M236" s="919">
        <f ca="1" t="shared" si="6"/>
        <v>538</v>
      </c>
      <c r="N236" s="728">
        <f t="shared" si="7"/>
        <v>45776</v>
      </c>
    </row>
    <row r="237" customFormat="1" ht="20.1" hidden="1" customHeight="1" spans="1:16">
      <c r="A237" s="819">
        <v>251</v>
      </c>
      <c r="B237" s="729" t="s">
        <v>37</v>
      </c>
      <c r="C237" s="729" t="s">
        <v>392</v>
      </c>
      <c r="D237" s="819" t="s">
        <v>391</v>
      </c>
      <c r="E237" s="1154"/>
      <c r="F237" s="775">
        <v>45597</v>
      </c>
      <c r="G237" s="775">
        <v>45659</v>
      </c>
      <c r="H237" s="729" t="s">
        <v>27</v>
      </c>
      <c r="I237" s="1198">
        <v>45709</v>
      </c>
      <c r="J237" s="729" t="s">
        <v>55</v>
      </c>
      <c r="K237" s="1145"/>
      <c r="L237" s="938" t="s">
        <v>393</v>
      </c>
      <c r="M237" s="919">
        <f ca="1" t="shared" si="6"/>
        <v>538</v>
      </c>
      <c r="N237" s="728">
        <f t="shared" si="7"/>
        <v>45776</v>
      </c>
    </row>
    <row r="238" ht="20.1" hidden="1" customHeight="1" spans="1:16">
      <c r="A238" s="819">
        <v>252</v>
      </c>
      <c r="B238" s="729" t="s">
        <v>37</v>
      </c>
      <c r="C238" s="729" t="s">
        <v>392</v>
      </c>
      <c r="D238" s="819" t="s">
        <v>391</v>
      </c>
      <c r="E238" s="1154"/>
      <c r="F238" s="775">
        <v>45597</v>
      </c>
      <c r="G238" s="775">
        <v>45659</v>
      </c>
      <c r="H238" s="729" t="s">
        <v>27</v>
      </c>
      <c r="I238" s="1198">
        <v>45709</v>
      </c>
      <c r="J238" s="729" t="s">
        <v>55</v>
      </c>
      <c r="K238" s="1145"/>
      <c r="L238" s="938" t="s">
        <v>393</v>
      </c>
      <c r="M238" s="919">
        <f ca="1" t="shared" si="6"/>
        <v>538</v>
      </c>
      <c r="N238" s="728">
        <f t="shared" si="7"/>
        <v>45776</v>
      </c>
    </row>
    <row r="239" ht="20.1" hidden="1" customHeight="1" spans="1:16">
      <c r="A239" s="819">
        <v>253</v>
      </c>
      <c r="B239" s="729" t="s">
        <v>37</v>
      </c>
      <c r="C239" s="729" t="s">
        <v>392</v>
      </c>
      <c r="D239" s="819" t="s">
        <v>391</v>
      </c>
      <c r="E239" s="1154"/>
      <c r="F239" s="775">
        <v>45597</v>
      </c>
      <c r="G239" s="775">
        <v>45659</v>
      </c>
      <c r="H239" s="729" t="s">
        <v>27</v>
      </c>
      <c r="I239" s="1198">
        <v>45709</v>
      </c>
      <c r="J239" s="729" t="s">
        <v>55</v>
      </c>
      <c r="K239" s="1180"/>
      <c r="L239" s="1166" t="s">
        <v>393</v>
      </c>
      <c r="M239" s="919">
        <f ca="1" t="shared" si="6"/>
        <v>538</v>
      </c>
      <c r="N239" s="728">
        <f t="shared" si="7"/>
        <v>45776</v>
      </c>
    </row>
    <row r="240" ht="20.1" hidden="1" customHeight="1" spans="1:16">
      <c r="A240" s="819">
        <v>254</v>
      </c>
      <c r="B240" s="729" t="s">
        <v>37</v>
      </c>
      <c r="C240" s="729" t="s">
        <v>392</v>
      </c>
      <c r="D240" s="819" t="s">
        <v>391</v>
      </c>
      <c r="E240" s="1154"/>
      <c r="F240" s="775">
        <v>45597</v>
      </c>
      <c r="G240" s="991">
        <v>45659</v>
      </c>
      <c r="H240" s="951" t="s">
        <v>27</v>
      </c>
      <c r="I240" s="1207">
        <v>45709</v>
      </c>
      <c r="J240" s="951" t="s">
        <v>55</v>
      </c>
      <c r="K240" s="1180"/>
      <c r="L240" s="1166" t="s">
        <v>393</v>
      </c>
      <c r="M240" s="919">
        <f ca="1" t="shared" si="6"/>
        <v>538</v>
      </c>
      <c r="N240" s="728">
        <f t="shared" si="7"/>
        <v>45776</v>
      </c>
    </row>
    <row r="241" s="703" customFormat="1" ht="20.1" hidden="1" customHeight="1" spans="1:16">
      <c r="A241" s="819">
        <v>255</v>
      </c>
      <c r="B241" s="729" t="s">
        <v>37</v>
      </c>
      <c r="C241" s="729" t="s">
        <v>392</v>
      </c>
      <c r="D241" s="819" t="s">
        <v>391</v>
      </c>
      <c r="E241" s="1147"/>
      <c r="F241" s="775">
        <v>45597</v>
      </c>
      <c r="G241" s="775">
        <v>45659</v>
      </c>
      <c r="H241" s="951" t="s">
        <v>27</v>
      </c>
      <c r="I241" s="1207">
        <v>45709</v>
      </c>
      <c r="J241" s="951" t="s">
        <v>55</v>
      </c>
      <c r="K241" s="1180"/>
      <c r="L241" s="1166" t="s">
        <v>393</v>
      </c>
      <c r="M241" s="919">
        <f ca="1" t="shared" si="6"/>
        <v>538</v>
      </c>
      <c r="N241" s="728">
        <f t="shared" si="7"/>
        <v>45776</v>
      </c>
      <c r="O241"/>
      <c r="P241"/>
    </row>
    <row r="242" s="703" customFormat="1" ht="20.1" customHeight="1" spans="1:16">
      <c r="A242" s="819">
        <v>259</v>
      </c>
      <c r="B242" s="729" t="s">
        <v>79</v>
      </c>
      <c r="C242" s="729" t="s">
        <v>394</v>
      </c>
      <c r="D242" s="729" t="s">
        <v>389</v>
      </c>
      <c r="E242" s="1147">
        <v>168000</v>
      </c>
      <c r="F242" s="775">
        <v>45604</v>
      </c>
      <c r="G242" s="775">
        <v>45659</v>
      </c>
      <c r="H242" s="729" t="s">
        <v>27</v>
      </c>
      <c r="I242" s="819"/>
      <c r="J242" s="729" t="s">
        <v>120</v>
      </c>
      <c r="K242" s="1180"/>
      <c r="L242" s="1026"/>
      <c r="M242" s="919">
        <f ca="1" t="shared" si="6"/>
        <v>531</v>
      </c>
      <c r="N242" s="728">
        <f t="shared" si="7"/>
        <v>45783</v>
      </c>
      <c r="O242"/>
      <c r="P242"/>
    </row>
    <row r="243" s="703" customFormat="1" ht="20.1" hidden="1" customHeight="1" spans="1:16">
      <c r="A243" s="819">
        <v>223</v>
      </c>
      <c r="B243" s="729" t="s">
        <v>28</v>
      </c>
      <c r="C243" s="729" t="s">
        <v>395</v>
      </c>
      <c r="D243" s="819" t="s">
        <v>272</v>
      </c>
      <c r="E243" s="1154">
        <v>80000</v>
      </c>
      <c r="F243" s="746">
        <v>45558</v>
      </c>
      <c r="G243" s="775">
        <v>45660</v>
      </c>
      <c r="H243" s="729" t="s">
        <v>27</v>
      </c>
      <c r="I243" s="819"/>
      <c r="J243" s="729" t="s">
        <v>120</v>
      </c>
      <c r="K243" s="1180"/>
      <c r="L243" s="1166"/>
      <c r="M243" s="919">
        <f ca="1" t="shared" si="6"/>
        <v>577</v>
      </c>
      <c r="N243" s="728">
        <f t="shared" si="7"/>
        <v>45737</v>
      </c>
      <c r="O243"/>
      <c r="P243"/>
    </row>
    <row r="244" s="703" customFormat="1" ht="20.1" hidden="1" customHeight="1" spans="1:16">
      <c r="A244" s="819">
        <v>241</v>
      </c>
      <c r="B244" s="729" t="s">
        <v>306</v>
      </c>
      <c r="C244" s="729" t="s">
        <v>396</v>
      </c>
      <c r="D244" s="729" t="s">
        <v>389</v>
      </c>
      <c r="E244" s="1154">
        <v>280000</v>
      </c>
      <c r="F244" s="1208">
        <v>45590</v>
      </c>
      <c r="G244" s="775">
        <v>45663</v>
      </c>
      <c r="H244" s="729" t="s">
        <v>27</v>
      </c>
      <c r="I244" s="819"/>
      <c r="J244" s="729" t="s">
        <v>55</v>
      </c>
      <c r="K244" s="1180"/>
      <c r="L244" s="1166" t="s">
        <v>397</v>
      </c>
      <c r="M244" s="919">
        <f ca="1" t="shared" si="6"/>
        <v>545</v>
      </c>
      <c r="N244" s="728">
        <f t="shared" si="7"/>
        <v>45769</v>
      </c>
    </row>
    <row r="245" s="703" customFormat="1" ht="20.1" hidden="1" customHeight="1" spans="1:16">
      <c r="A245" s="819">
        <v>262</v>
      </c>
      <c r="B245" s="729" t="s">
        <v>147</v>
      </c>
      <c r="C245" s="729" t="s">
        <v>398</v>
      </c>
      <c r="D245" s="729" t="s">
        <v>292</v>
      </c>
      <c r="E245" s="1147">
        <v>712000</v>
      </c>
      <c r="F245" s="775">
        <v>45608</v>
      </c>
      <c r="G245" s="775">
        <v>45665</v>
      </c>
      <c r="H245" s="729" t="s">
        <v>17</v>
      </c>
      <c r="I245" s="1198">
        <v>45712</v>
      </c>
      <c r="J245" s="729" t="s">
        <v>120</v>
      </c>
      <c r="K245" s="1180"/>
      <c r="L245" s="1166" t="s">
        <v>399</v>
      </c>
      <c r="M245" s="919">
        <f ca="1" t="shared" si="6"/>
        <v>527</v>
      </c>
      <c r="N245" s="728">
        <f t="shared" si="7"/>
        <v>45787</v>
      </c>
      <c r="O245"/>
      <c r="P245"/>
    </row>
    <row r="246" s="703" customFormat="1" ht="20.1" hidden="1" customHeight="1" spans="1:16">
      <c r="A246" s="819">
        <v>217</v>
      </c>
      <c r="B246" s="729" t="s">
        <v>37</v>
      </c>
      <c r="C246" s="729" t="s">
        <v>400</v>
      </c>
      <c r="D246" s="729" t="s">
        <v>401</v>
      </c>
      <c r="E246" s="1154">
        <v>53240</v>
      </c>
      <c r="F246" s="746">
        <v>45555</v>
      </c>
      <c r="G246" s="775">
        <v>45670</v>
      </c>
      <c r="H246" s="729" t="s">
        <v>27</v>
      </c>
      <c r="I246" s="819"/>
      <c r="J246" s="729" t="s">
        <v>120</v>
      </c>
      <c r="K246" s="1180"/>
      <c r="L246" s="1026"/>
      <c r="M246" s="919">
        <f ca="1" t="shared" si="6"/>
        <v>580</v>
      </c>
      <c r="N246" s="728">
        <f t="shared" si="7"/>
        <v>45734</v>
      </c>
      <c r="O246"/>
      <c r="P246"/>
    </row>
    <row r="247" s="703" customFormat="1" ht="20.1" hidden="1" customHeight="1" spans="1:16">
      <c r="A247" s="819">
        <v>218</v>
      </c>
      <c r="B247" s="729" t="s">
        <v>37</v>
      </c>
      <c r="C247" s="729" t="s">
        <v>402</v>
      </c>
      <c r="D247" s="819" t="s">
        <v>401</v>
      </c>
      <c r="E247" s="1154">
        <v>53633.32</v>
      </c>
      <c r="F247" s="746">
        <v>45555</v>
      </c>
      <c r="G247" s="775">
        <v>45670</v>
      </c>
      <c r="H247" s="969" t="s">
        <v>27</v>
      </c>
      <c r="I247" s="819"/>
      <c r="J247" s="729" t="s">
        <v>120</v>
      </c>
      <c r="K247" s="1180"/>
      <c r="L247" s="1026"/>
      <c r="M247" s="919">
        <f ca="1" t="shared" si="6"/>
        <v>580</v>
      </c>
      <c r="N247" s="728">
        <f t="shared" si="7"/>
        <v>45734</v>
      </c>
      <c r="O247"/>
      <c r="P247"/>
    </row>
    <row r="248" customFormat="1" ht="20.1" hidden="1" customHeight="1" spans="1:16">
      <c r="A248" s="819">
        <v>219</v>
      </c>
      <c r="B248" s="729" t="s">
        <v>37</v>
      </c>
      <c r="C248" s="729" t="s">
        <v>403</v>
      </c>
      <c r="D248" s="819" t="s">
        <v>401</v>
      </c>
      <c r="E248" s="1154">
        <v>43999.98</v>
      </c>
      <c r="F248" s="746">
        <v>45555</v>
      </c>
      <c r="G248" s="775">
        <v>45670</v>
      </c>
      <c r="H248" s="969" t="s">
        <v>27</v>
      </c>
      <c r="I248" s="819"/>
      <c r="J248" s="729" t="s">
        <v>120</v>
      </c>
      <c r="K248" s="1180"/>
      <c r="L248" s="1026"/>
      <c r="M248" s="919">
        <f ca="1" t="shared" si="6"/>
        <v>580</v>
      </c>
      <c r="N248" s="728">
        <f t="shared" si="7"/>
        <v>45734</v>
      </c>
    </row>
    <row r="249" s="897" customFormat="1" ht="20.1" hidden="1" customHeight="1" spans="1:16">
      <c r="A249" s="819">
        <v>220</v>
      </c>
      <c r="B249" s="729" t="s">
        <v>37</v>
      </c>
      <c r="C249" s="729" t="s">
        <v>404</v>
      </c>
      <c r="D249" s="819" t="s">
        <v>401</v>
      </c>
      <c r="E249" s="1154">
        <v>22857.17</v>
      </c>
      <c r="F249" s="746">
        <v>45555</v>
      </c>
      <c r="G249" s="775">
        <v>45670</v>
      </c>
      <c r="H249" s="729" t="s">
        <v>27</v>
      </c>
      <c r="I249" s="819"/>
      <c r="J249" s="729" t="s">
        <v>120</v>
      </c>
      <c r="K249" s="1180"/>
      <c r="L249" s="1166" t="s">
        <v>245</v>
      </c>
      <c r="M249" s="919">
        <f ca="1" t="shared" si="6"/>
        <v>580</v>
      </c>
      <c r="N249" s="728">
        <f t="shared" si="7"/>
        <v>45734</v>
      </c>
    </row>
    <row r="250" customFormat="1" ht="20.1" hidden="1" customHeight="1" spans="1:16">
      <c r="A250" s="819">
        <v>221</v>
      </c>
      <c r="B250" s="969" t="s">
        <v>37</v>
      </c>
      <c r="C250" s="729" t="s">
        <v>400</v>
      </c>
      <c r="D250" s="819" t="s">
        <v>401</v>
      </c>
      <c r="E250" s="1154">
        <v>20999.34</v>
      </c>
      <c r="F250" s="746">
        <v>45555</v>
      </c>
      <c r="G250" s="775">
        <v>45670</v>
      </c>
      <c r="H250" s="729" t="s">
        <v>27</v>
      </c>
      <c r="I250" s="819"/>
      <c r="J250" s="729" t="s">
        <v>120</v>
      </c>
      <c r="K250" s="1180"/>
      <c r="L250" s="1166" t="s">
        <v>245</v>
      </c>
      <c r="M250" s="919">
        <f ca="1" t="shared" si="6"/>
        <v>580</v>
      </c>
      <c r="N250" s="728">
        <f t="shared" si="7"/>
        <v>45734</v>
      </c>
    </row>
    <row r="251" customFormat="1" ht="20.1" hidden="1" customHeight="1" spans="1:16">
      <c r="A251" s="819">
        <v>222</v>
      </c>
      <c r="B251" s="969" t="s">
        <v>37</v>
      </c>
      <c r="C251" s="729" t="s">
        <v>400</v>
      </c>
      <c r="D251" s="819" t="s">
        <v>401</v>
      </c>
      <c r="E251" s="1154">
        <v>17603.98</v>
      </c>
      <c r="F251" s="746">
        <v>45555</v>
      </c>
      <c r="G251" s="775">
        <v>45670</v>
      </c>
      <c r="H251" s="969" t="s">
        <v>27</v>
      </c>
      <c r="I251" s="997"/>
      <c r="J251" s="969" t="s">
        <v>120</v>
      </c>
      <c r="K251" s="1179"/>
      <c r="L251" s="975"/>
      <c r="M251" s="919">
        <f ca="1" t="shared" si="6"/>
        <v>580</v>
      </c>
      <c r="N251" s="728">
        <f t="shared" si="7"/>
        <v>45734</v>
      </c>
    </row>
    <row r="252" customFormat="1" ht="20.1" hidden="1" customHeight="1" spans="1:16">
      <c r="A252" s="819">
        <v>256</v>
      </c>
      <c r="B252" s="969" t="s">
        <v>15</v>
      </c>
      <c r="C252" s="729" t="s">
        <v>405</v>
      </c>
      <c r="D252" s="969" t="s">
        <v>292</v>
      </c>
      <c r="E252" s="1147">
        <v>599795.12</v>
      </c>
      <c r="F252" s="775">
        <v>45600</v>
      </c>
      <c r="G252" s="775">
        <v>45670</v>
      </c>
      <c r="H252" s="969" t="s">
        <v>17</v>
      </c>
      <c r="I252" s="997"/>
      <c r="J252" s="969" t="s">
        <v>120</v>
      </c>
      <c r="K252" s="1179"/>
      <c r="L252" s="975"/>
      <c r="M252" s="919">
        <f ca="1" t="shared" si="6"/>
        <v>535</v>
      </c>
      <c r="N252" s="728">
        <f t="shared" si="7"/>
        <v>45779</v>
      </c>
    </row>
    <row r="253" ht="20.1" hidden="1" customHeight="1" spans="1:16">
      <c r="A253" s="819">
        <v>249</v>
      </c>
      <c r="B253" s="969" t="s">
        <v>147</v>
      </c>
      <c r="C253" s="729" t="s">
        <v>406</v>
      </c>
      <c r="D253" s="969" t="s">
        <v>292</v>
      </c>
      <c r="E253" s="1154">
        <v>1000000</v>
      </c>
      <c r="F253" s="775">
        <v>45593</v>
      </c>
      <c r="G253" s="972">
        <v>45678</v>
      </c>
      <c r="H253" s="969" t="s">
        <v>17</v>
      </c>
      <c r="I253" s="1209">
        <v>45699</v>
      </c>
      <c r="J253" s="969" t="s">
        <v>55</v>
      </c>
      <c r="K253" s="1179"/>
      <c r="L253" s="1171" t="s">
        <v>407</v>
      </c>
      <c r="M253" s="919">
        <f ca="1" t="shared" si="6"/>
        <v>542</v>
      </c>
      <c r="N253" s="728">
        <f t="shared" si="7"/>
        <v>45772</v>
      </c>
    </row>
    <row r="254" ht="20.1" hidden="1" customHeight="1" spans="1:16">
      <c r="A254" s="819">
        <v>260</v>
      </c>
      <c r="B254" s="729" t="s">
        <v>408</v>
      </c>
      <c r="C254" s="729" t="s">
        <v>409</v>
      </c>
      <c r="D254" s="729" t="s">
        <v>292</v>
      </c>
      <c r="E254" s="1147">
        <v>400000</v>
      </c>
      <c r="F254" s="775">
        <v>45604</v>
      </c>
      <c r="G254" s="775">
        <v>45678</v>
      </c>
      <c r="H254" s="729" t="s">
        <v>27</v>
      </c>
      <c r="I254" s="1209">
        <v>45707</v>
      </c>
      <c r="J254" s="969" t="s">
        <v>55</v>
      </c>
      <c r="K254" s="1179"/>
      <c r="L254" s="975" t="s">
        <v>305</v>
      </c>
      <c r="M254" s="919">
        <f ca="1" t="shared" si="6"/>
        <v>531</v>
      </c>
      <c r="N254" s="728">
        <f t="shared" si="7"/>
        <v>45783</v>
      </c>
    </row>
    <row r="255" ht="20.1" hidden="1" customHeight="1" spans="1:16">
      <c r="A255" s="819">
        <v>264</v>
      </c>
      <c r="B255" s="729" t="s">
        <v>233</v>
      </c>
      <c r="C255" s="729" t="s">
        <v>410</v>
      </c>
      <c r="D255" s="729" t="s">
        <v>387</v>
      </c>
      <c r="E255" s="1147">
        <v>1200000</v>
      </c>
      <c r="F255" s="775">
        <v>45611</v>
      </c>
      <c r="G255" s="775">
        <v>45678</v>
      </c>
      <c r="H255" s="729" t="s">
        <v>17</v>
      </c>
      <c r="I255" s="997"/>
      <c r="J255" s="969" t="s">
        <v>120</v>
      </c>
      <c r="K255" s="1179"/>
      <c r="L255" s="1171" t="s">
        <v>411</v>
      </c>
      <c r="M255" s="919">
        <f ca="1" t="shared" si="6"/>
        <v>524</v>
      </c>
      <c r="N255" s="728">
        <f t="shared" si="7"/>
        <v>45790</v>
      </c>
    </row>
    <row r="256" ht="20.1" hidden="1" customHeight="1" spans="1:16">
      <c r="A256" s="819">
        <v>281</v>
      </c>
      <c r="B256" s="729" t="s">
        <v>344</v>
      </c>
      <c r="C256" s="729" t="s">
        <v>412</v>
      </c>
      <c r="D256" s="729" t="s">
        <v>413</v>
      </c>
      <c r="E256" s="1147">
        <v>1600000</v>
      </c>
      <c r="F256" s="775">
        <v>45638</v>
      </c>
      <c r="G256" s="775">
        <v>45679</v>
      </c>
      <c r="H256" s="729" t="s">
        <v>17</v>
      </c>
      <c r="I256" s="997"/>
      <c r="J256" s="969" t="s">
        <v>120</v>
      </c>
      <c r="K256" s="1179"/>
      <c r="L256" s="975"/>
      <c r="M256" s="919">
        <f ca="1" t="shared" si="6"/>
        <v>497</v>
      </c>
      <c r="N256" s="728">
        <f t="shared" si="7"/>
        <v>45817</v>
      </c>
    </row>
    <row r="257" ht="20.1" hidden="1" customHeight="1" spans="1:16">
      <c r="A257" s="819">
        <v>292</v>
      </c>
      <c r="B257" s="729" t="s">
        <v>22</v>
      </c>
      <c r="C257" s="729" t="s">
        <v>414</v>
      </c>
      <c r="D257" s="828" t="s">
        <v>415</v>
      </c>
      <c r="E257" s="1147">
        <v>985015.2</v>
      </c>
      <c r="F257" s="775">
        <v>45657</v>
      </c>
      <c r="G257" s="775">
        <v>45679</v>
      </c>
      <c r="H257" s="729" t="s">
        <v>17</v>
      </c>
      <c r="I257" s="997"/>
      <c r="J257" s="969" t="s">
        <v>120</v>
      </c>
      <c r="K257" s="1179"/>
      <c r="L257" s="975"/>
      <c r="M257" s="919">
        <f ca="1" t="shared" si="6"/>
        <v>478</v>
      </c>
      <c r="N257" s="728">
        <f t="shared" si="7"/>
        <v>45836</v>
      </c>
    </row>
    <row r="258" ht="20.1" hidden="1" customHeight="1" spans="1:16">
      <c r="A258" s="819">
        <v>275</v>
      </c>
      <c r="B258" s="729" t="s">
        <v>28</v>
      </c>
      <c r="C258" s="729" t="s">
        <v>416</v>
      </c>
      <c r="D258" s="729" t="s">
        <v>417</v>
      </c>
      <c r="E258" s="1147">
        <v>79211.08</v>
      </c>
      <c r="F258" s="775">
        <v>45632</v>
      </c>
      <c r="G258" s="775">
        <v>45680</v>
      </c>
      <c r="H258" s="729" t="s">
        <v>27</v>
      </c>
      <c r="I258" s="819"/>
      <c r="J258" s="729" t="s">
        <v>120</v>
      </c>
      <c r="K258" s="1145"/>
      <c r="L258" s="932"/>
      <c r="M258" s="919">
        <f ca="1" t="shared" si="6"/>
        <v>503</v>
      </c>
      <c r="N258" s="728">
        <f t="shared" si="7"/>
        <v>45811</v>
      </c>
    </row>
    <row r="259" ht="20.1" hidden="1" customHeight="1" spans="1:16">
      <c r="A259" s="819">
        <v>287</v>
      </c>
      <c r="B259" s="729" t="s">
        <v>22</v>
      </c>
      <c r="C259" s="729" t="s">
        <v>418</v>
      </c>
      <c r="D259" s="729" t="s">
        <v>419</v>
      </c>
      <c r="E259" s="1147">
        <v>390000</v>
      </c>
      <c r="F259" s="775">
        <v>45652</v>
      </c>
      <c r="G259" s="775">
        <v>45680</v>
      </c>
      <c r="H259" s="729" t="s">
        <v>17</v>
      </c>
      <c r="I259" s="819"/>
      <c r="J259" s="729" t="s">
        <v>120</v>
      </c>
      <c r="K259" s="1197"/>
      <c r="L259" s="1117"/>
      <c r="M259" s="919">
        <f ca="1" t="shared" ref="M259:M322" si="8">DATEDIF(F259,TODAY(),"D")</f>
        <v>483</v>
      </c>
      <c r="N259" s="728">
        <f t="shared" ref="N259:N322" si="9">F259+179</f>
        <v>45831</v>
      </c>
    </row>
    <row r="260" ht="20.1" hidden="1" customHeight="1" spans="1:16">
      <c r="A260" s="819">
        <v>232</v>
      </c>
      <c r="B260" s="729" t="s">
        <v>57</v>
      </c>
      <c r="C260" s="729" t="s">
        <v>420</v>
      </c>
      <c r="D260" s="729" t="s">
        <v>292</v>
      </c>
      <c r="E260" s="1147">
        <v>200000</v>
      </c>
      <c r="F260" s="775">
        <v>45564</v>
      </c>
      <c r="G260" s="775">
        <v>45681</v>
      </c>
      <c r="H260" s="729" t="s">
        <v>17</v>
      </c>
      <c r="I260" s="1198">
        <v>45698</v>
      </c>
      <c r="J260" s="729" t="s">
        <v>55</v>
      </c>
      <c r="K260" s="1197"/>
      <c r="L260" s="1210" t="s">
        <v>421</v>
      </c>
      <c r="M260" s="919">
        <f ca="1" t="shared" si="8"/>
        <v>571</v>
      </c>
      <c r="N260" s="728">
        <f t="shared" si="9"/>
        <v>45743</v>
      </c>
    </row>
    <row r="261" ht="20.1" hidden="1" customHeight="1" spans="1:16">
      <c r="A261" s="819">
        <v>233</v>
      </c>
      <c r="B261" s="729" t="s">
        <v>57</v>
      </c>
      <c r="C261" s="729" t="s">
        <v>422</v>
      </c>
      <c r="D261" s="729" t="s">
        <v>292</v>
      </c>
      <c r="E261" s="1147">
        <v>208405.67</v>
      </c>
      <c r="F261" s="775">
        <v>45564</v>
      </c>
      <c r="G261" s="775">
        <v>45681</v>
      </c>
      <c r="H261" s="729" t="s">
        <v>27</v>
      </c>
      <c r="I261" s="1198">
        <v>45698</v>
      </c>
      <c r="J261" s="729" t="s">
        <v>55</v>
      </c>
      <c r="K261" s="1145"/>
      <c r="L261" s="938" t="s">
        <v>245</v>
      </c>
      <c r="M261" s="919">
        <f ca="1" t="shared" si="8"/>
        <v>571</v>
      </c>
      <c r="N261" s="728">
        <f t="shared" si="9"/>
        <v>45743</v>
      </c>
    </row>
    <row r="262" ht="20.1" hidden="1" customHeight="1" spans="1:16">
      <c r="A262" s="819">
        <v>257</v>
      </c>
      <c r="B262" s="729" t="s">
        <v>25</v>
      </c>
      <c r="C262" s="729" t="s">
        <v>423</v>
      </c>
      <c r="D262" s="729" t="s">
        <v>292</v>
      </c>
      <c r="E262" s="1147">
        <v>79500</v>
      </c>
      <c r="F262" s="775">
        <v>45603</v>
      </c>
      <c r="G262" s="775">
        <v>45681</v>
      </c>
      <c r="H262" s="729" t="s">
        <v>27</v>
      </c>
      <c r="I262" s="819"/>
      <c r="J262" s="729" t="s">
        <v>120</v>
      </c>
      <c r="K262" s="1145"/>
      <c r="L262" s="897"/>
      <c r="M262" s="919">
        <f ca="1" t="shared" si="8"/>
        <v>532</v>
      </c>
      <c r="N262" s="728">
        <f t="shared" si="9"/>
        <v>45782</v>
      </c>
    </row>
    <row r="263" ht="20.1" hidden="1" customHeight="1" spans="1:16">
      <c r="A263" s="819">
        <v>258</v>
      </c>
      <c r="B263" s="729" t="s">
        <v>25</v>
      </c>
      <c r="C263" s="729" t="s">
        <v>424</v>
      </c>
      <c r="D263" s="729" t="s">
        <v>292</v>
      </c>
      <c r="E263" s="1147">
        <v>91762.14</v>
      </c>
      <c r="F263" s="775">
        <v>45603</v>
      </c>
      <c r="G263" s="775">
        <v>45681</v>
      </c>
      <c r="H263" s="729" t="s">
        <v>27</v>
      </c>
      <c r="I263" s="819"/>
      <c r="J263" s="729" t="s">
        <v>120</v>
      </c>
      <c r="K263" s="1145"/>
      <c r="L263" s="897"/>
      <c r="M263" s="919">
        <f ca="1" t="shared" si="8"/>
        <v>532</v>
      </c>
      <c r="N263" s="728">
        <f t="shared" si="9"/>
        <v>45782</v>
      </c>
    </row>
    <row r="264" ht="20.1" hidden="1" customHeight="1" spans="1:16">
      <c r="A264" s="819">
        <v>268</v>
      </c>
      <c r="B264" s="729" t="s">
        <v>28</v>
      </c>
      <c r="C264" s="729" t="s">
        <v>425</v>
      </c>
      <c r="D264" s="729" t="s">
        <v>387</v>
      </c>
      <c r="E264" s="1147">
        <v>19441.09</v>
      </c>
      <c r="F264" s="775">
        <v>45625</v>
      </c>
      <c r="G264" s="775">
        <v>45681</v>
      </c>
      <c r="H264" s="729" t="s">
        <v>27</v>
      </c>
      <c r="I264" s="819"/>
      <c r="J264" s="729" t="s">
        <v>120</v>
      </c>
      <c r="K264" s="1145"/>
      <c r="L264" s="932"/>
      <c r="M264" s="919">
        <f ca="1" t="shared" si="8"/>
        <v>510</v>
      </c>
      <c r="N264" s="728">
        <f t="shared" si="9"/>
        <v>45804</v>
      </c>
    </row>
    <row r="265" ht="20.1" hidden="1" customHeight="1" spans="1:16">
      <c r="A265" s="819">
        <v>276</v>
      </c>
      <c r="B265" s="729" t="s">
        <v>25</v>
      </c>
      <c r="C265" s="729" t="s">
        <v>426</v>
      </c>
      <c r="D265" s="729" t="s">
        <v>413</v>
      </c>
      <c r="E265" s="1147">
        <v>72368.11</v>
      </c>
      <c r="F265" s="775">
        <v>45632</v>
      </c>
      <c r="G265" s="775">
        <v>45681</v>
      </c>
      <c r="H265" s="729" t="s">
        <v>27</v>
      </c>
      <c r="I265" s="819"/>
      <c r="J265" s="729" t="s">
        <v>120</v>
      </c>
      <c r="K265" s="1145"/>
      <c r="L265" s="897"/>
      <c r="M265" s="919">
        <f ca="1" t="shared" si="8"/>
        <v>503</v>
      </c>
      <c r="N265" s="728">
        <f t="shared" si="9"/>
        <v>45811</v>
      </c>
    </row>
    <row r="266" ht="20.1" hidden="1" customHeight="1" spans="1:16">
      <c r="A266" s="819">
        <v>277</v>
      </c>
      <c r="B266" s="729" t="s">
        <v>25</v>
      </c>
      <c r="C266" s="729" t="s">
        <v>427</v>
      </c>
      <c r="D266" s="729" t="s">
        <v>413</v>
      </c>
      <c r="E266" s="1147">
        <v>200000</v>
      </c>
      <c r="F266" s="775">
        <v>45632</v>
      </c>
      <c r="G266" s="775">
        <v>45681</v>
      </c>
      <c r="H266" s="729" t="s">
        <v>27</v>
      </c>
      <c r="I266" s="819"/>
      <c r="J266" s="729" t="s">
        <v>120</v>
      </c>
      <c r="K266" s="1145"/>
      <c r="L266" s="897"/>
      <c r="M266" s="919">
        <f ca="1" t="shared" si="8"/>
        <v>503</v>
      </c>
      <c r="N266" s="728">
        <f t="shared" si="9"/>
        <v>45811</v>
      </c>
    </row>
    <row r="267" ht="20.1" hidden="1" customHeight="1" spans="1:16">
      <c r="A267" s="819">
        <v>278</v>
      </c>
      <c r="B267" s="729" t="s">
        <v>25</v>
      </c>
      <c r="C267" s="729" t="s">
        <v>428</v>
      </c>
      <c r="D267" s="729" t="s">
        <v>413</v>
      </c>
      <c r="E267" s="1147">
        <v>116854.99</v>
      </c>
      <c r="F267" s="775">
        <v>45632</v>
      </c>
      <c r="G267" s="775">
        <v>45681</v>
      </c>
      <c r="H267" s="729" t="s">
        <v>27</v>
      </c>
      <c r="I267" s="819"/>
      <c r="J267" s="729" t="s">
        <v>120</v>
      </c>
      <c r="K267" s="1211"/>
      <c r="L267"/>
      <c r="M267" s="919">
        <f ca="1" t="shared" si="8"/>
        <v>503</v>
      </c>
      <c r="N267" s="728">
        <f t="shared" si="9"/>
        <v>45811</v>
      </c>
    </row>
    <row r="268" ht="20.1" hidden="1" customHeight="1" spans="1:16">
      <c r="A268" s="819">
        <v>239</v>
      </c>
      <c r="B268" s="729" t="s">
        <v>37</v>
      </c>
      <c r="C268" s="729" t="s">
        <v>429</v>
      </c>
      <c r="D268" s="729" t="s">
        <v>389</v>
      </c>
      <c r="E268" s="1147">
        <v>488000</v>
      </c>
      <c r="F268" s="775">
        <v>45583</v>
      </c>
      <c r="G268" s="775">
        <v>45683</v>
      </c>
      <c r="H268" s="729" t="s">
        <v>17</v>
      </c>
      <c r="I268" s="819"/>
      <c r="J268" s="729" t="s">
        <v>120</v>
      </c>
      <c r="K268" s="1145"/>
      <c r="L268" s="932"/>
      <c r="M268" s="919">
        <f ca="1" t="shared" si="8"/>
        <v>552</v>
      </c>
      <c r="N268" s="728">
        <f t="shared" si="9"/>
        <v>45762</v>
      </c>
      <c r="O268" s="703"/>
      <c r="P268" s="703"/>
    </row>
    <row r="269" ht="20.1" hidden="1" customHeight="1" spans="1:16">
      <c r="A269" s="819">
        <v>271</v>
      </c>
      <c r="B269" s="729" t="s">
        <v>430</v>
      </c>
      <c r="C269" s="729" t="s">
        <v>431</v>
      </c>
      <c r="D269" s="729" t="s">
        <v>382</v>
      </c>
      <c r="E269" s="1147">
        <v>60000</v>
      </c>
      <c r="F269" s="775">
        <v>45629</v>
      </c>
      <c r="G269" s="775">
        <v>45683</v>
      </c>
      <c r="H269" s="729" t="s">
        <v>27</v>
      </c>
      <c r="I269" s="819"/>
      <c r="J269" s="729" t="s">
        <v>55</v>
      </c>
      <c r="K269" s="1145"/>
      <c r="L269" s="938" t="s">
        <v>432</v>
      </c>
      <c r="M269" s="919">
        <f ca="1" t="shared" si="8"/>
        <v>506</v>
      </c>
      <c r="N269" s="728">
        <f t="shared" si="9"/>
        <v>45808</v>
      </c>
    </row>
    <row r="270" ht="20.1" hidden="1" customHeight="1" spans="1:16">
      <c r="A270" s="819">
        <v>333</v>
      </c>
      <c r="B270" s="729" t="s">
        <v>430</v>
      </c>
      <c r="C270" s="729" t="s">
        <v>433</v>
      </c>
      <c r="D270" s="729" t="s">
        <v>382</v>
      </c>
      <c r="E270" s="1147">
        <v>316000</v>
      </c>
      <c r="F270" s="775">
        <v>45695</v>
      </c>
      <c r="G270" s="775">
        <v>45695</v>
      </c>
      <c r="H270" s="729" t="s">
        <v>27</v>
      </c>
      <c r="I270" s="819"/>
      <c r="J270" s="729" t="s">
        <v>120</v>
      </c>
      <c r="K270" s="1145"/>
      <c r="L270" s="938" t="s">
        <v>434</v>
      </c>
      <c r="M270" s="919">
        <f ca="1" t="shared" si="8"/>
        <v>440</v>
      </c>
      <c r="N270" s="728">
        <f t="shared" si="9"/>
        <v>45874</v>
      </c>
    </row>
    <row r="271" ht="20.1" hidden="1" customHeight="1" spans="1:16">
      <c r="A271" s="819">
        <v>235</v>
      </c>
      <c r="B271" s="729" t="s">
        <v>37</v>
      </c>
      <c r="C271" s="729" t="s">
        <v>435</v>
      </c>
      <c r="D271" s="729" t="s">
        <v>389</v>
      </c>
      <c r="E271" s="1147">
        <v>264000</v>
      </c>
      <c r="F271" s="775">
        <v>45577</v>
      </c>
      <c r="G271" s="775">
        <v>45696</v>
      </c>
      <c r="H271" s="729" t="s">
        <v>27</v>
      </c>
      <c r="I271" s="819"/>
      <c r="J271" s="729" t="s">
        <v>120</v>
      </c>
      <c r="K271" s="1145"/>
      <c r="L271" s="932"/>
      <c r="M271" s="919">
        <f ca="1" t="shared" si="8"/>
        <v>558</v>
      </c>
      <c r="N271" s="728">
        <f t="shared" si="9"/>
        <v>45756</v>
      </c>
    </row>
    <row r="272" ht="20.1" hidden="1" customHeight="1" spans="1:16">
      <c r="A272" s="819">
        <v>272</v>
      </c>
      <c r="B272" s="969" t="s">
        <v>15</v>
      </c>
      <c r="C272" s="729" t="s">
        <v>436</v>
      </c>
      <c r="D272" s="819" t="s">
        <v>385</v>
      </c>
      <c r="E272" s="1147">
        <v>110800</v>
      </c>
      <c r="F272" s="775">
        <v>45630</v>
      </c>
      <c r="G272" s="775">
        <v>45701</v>
      </c>
      <c r="H272" s="729" t="s">
        <v>27</v>
      </c>
      <c r="I272" s="819"/>
      <c r="J272" s="729" t="s">
        <v>120</v>
      </c>
      <c r="K272" s="1145"/>
      <c r="L272" s="932"/>
      <c r="M272" s="919">
        <f ca="1" t="shared" si="8"/>
        <v>505</v>
      </c>
      <c r="N272" s="728">
        <f t="shared" si="9"/>
        <v>45809</v>
      </c>
    </row>
    <row r="273" ht="20.1" hidden="1" customHeight="1" spans="1:16">
      <c r="A273" s="819">
        <v>279</v>
      </c>
      <c r="B273" s="729" t="s">
        <v>31</v>
      </c>
      <c r="C273" s="729" t="s">
        <v>363</v>
      </c>
      <c r="D273" s="729" t="s">
        <v>437</v>
      </c>
      <c r="E273" s="1147">
        <v>123525</v>
      </c>
      <c r="F273" s="775">
        <v>45636</v>
      </c>
      <c r="G273" s="775">
        <v>45701</v>
      </c>
      <c r="H273" s="729" t="s">
        <v>27</v>
      </c>
      <c r="I273" s="819"/>
      <c r="J273" s="729" t="s">
        <v>120</v>
      </c>
      <c r="K273" s="1145"/>
      <c r="L273" s="932"/>
      <c r="M273" s="919">
        <f ca="1" t="shared" si="8"/>
        <v>499</v>
      </c>
      <c r="N273" s="728">
        <f t="shared" si="9"/>
        <v>45815</v>
      </c>
    </row>
    <row r="274" ht="20.1" hidden="1" customHeight="1" spans="1:16">
      <c r="A274" s="819">
        <v>261</v>
      </c>
      <c r="B274" s="729" t="s">
        <v>28</v>
      </c>
      <c r="C274" s="729" t="s">
        <v>438</v>
      </c>
      <c r="D274" s="729" t="s">
        <v>292</v>
      </c>
      <c r="E274" s="1147">
        <v>120000</v>
      </c>
      <c r="F274" s="775">
        <v>45604</v>
      </c>
      <c r="G274" s="775">
        <v>45705</v>
      </c>
      <c r="H274" s="729" t="s">
        <v>27</v>
      </c>
      <c r="I274" s="819"/>
      <c r="J274" s="729" t="s">
        <v>120</v>
      </c>
      <c r="K274" s="1145"/>
      <c r="L274" s="932"/>
      <c r="M274" s="919">
        <f ca="1" t="shared" si="8"/>
        <v>531</v>
      </c>
      <c r="N274" s="728">
        <f t="shared" si="9"/>
        <v>45783</v>
      </c>
    </row>
    <row r="275" ht="20.1" hidden="1" customHeight="1" spans="1:16">
      <c r="A275" s="819">
        <v>263</v>
      </c>
      <c r="B275" s="729" t="s">
        <v>28</v>
      </c>
      <c r="C275" s="729" t="s">
        <v>439</v>
      </c>
      <c r="D275" s="729" t="s">
        <v>292</v>
      </c>
      <c r="E275" s="1147">
        <v>50959.22</v>
      </c>
      <c r="F275" s="775">
        <v>45609</v>
      </c>
      <c r="G275" s="775">
        <v>45706</v>
      </c>
      <c r="H275" s="729" t="s">
        <v>27</v>
      </c>
      <c r="I275" s="819"/>
      <c r="J275" s="729" t="s">
        <v>120</v>
      </c>
      <c r="K275" s="1145"/>
      <c r="L275" s="932"/>
      <c r="M275" s="919">
        <f ca="1" t="shared" si="8"/>
        <v>526</v>
      </c>
      <c r="N275" s="728">
        <f t="shared" si="9"/>
        <v>45788</v>
      </c>
    </row>
    <row r="276" ht="20.1" hidden="1" customHeight="1" spans="1:16">
      <c r="A276" s="819">
        <v>291</v>
      </c>
      <c r="B276" s="729" t="s">
        <v>22</v>
      </c>
      <c r="C276" s="729" t="s">
        <v>440</v>
      </c>
      <c r="D276" s="729" t="s">
        <v>415</v>
      </c>
      <c r="E276" s="1147"/>
      <c r="F276" s="775">
        <v>45656</v>
      </c>
      <c r="G276" s="775">
        <v>45706</v>
      </c>
      <c r="H276" s="729" t="s">
        <v>17</v>
      </c>
      <c r="I276" s="819"/>
      <c r="J276" s="729" t="s">
        <v>55</v>
      </c>
      <c r="K276" s="1145"/>
      <c r="L276" s="938" t="s">
        <v>441</v>
      </c>
      <c r="M276" s="919">
        <f ca="1" t="shared" si="8"/>
        <v>479</v>
      </c>
      <c r="N276" s="728">
        <f t="shared" si="9"/>
        <v>45835</v>
      </c>
    </row>
    <row r="277" ht="20.1" customHeight="1" spans="1:16">
      <c r="A277" s="819">
        <v>242</v>
      </c>
      <c r="B277" s="729" t="s">
        <v>79</v>
      </c>
      <c r="C277" s="729" t="s">
        <v>442</v>
      </c>
      <c r="D277" s="729" t="s">
        <v>292</v>
      </c>
      <c r="E277" s="1147"/>
      <c r="F277" s="775">
        <v>45590</v>
      </c>
      <c r="G277" s="775">
        <v>45707</v>
      </c>
      <c r="H277" s="729" t="s">
        <v>27</v>
      </c>
      <c r="I277" s="1198">
        <v>45712</v>
      </c>
      <c r="J277" s="729" t="s">
        <v>55</v>
      </c>
      <c r="K277" s="1145"/>
      <c r="L277" s="938" t="s">
        <v>443</v>
      </c>
      <c r="M277" s="919">
        <f ca="1" t="shared" si="8"/>
        <v>545</v>
      </c>
      <c r="N277" s="728">
        <f t="shared" si="9"/>
        <v>45769</v>
      </c>
      <c r="O277" s="703"/>
      <c r="P277" s="703"/>
    </row>
    <row r="278" ht="20.1" customHeight="1" spans="1:16">
      <c r="A278" s="819">
        <v>243</v>
      </c>
      <c r="B278" s="729" t="s">
        <v>79</v>
      </c>
      <c r="C278" s="729" t="s">
        <v>444</v>
      </c>
      <c r="D278" s="729" t="s">
        <v>292</v>
      </c>
      <c r="E278" s="1147"/>
      <c r="F278" s="775">
        <v>45590</v>
      </c>
      <c r="G278" s="775">
        <v>45707</v>
      </c>
      <c r="H278" s="729" t="s">
        <v>27</v>
      </c>
      <c r="I278" s="1198">
        <v>45712</v>
      </c>
      <c r="J278" s="729" t="s">
        <v>55</v>
      </c>
      <c r="K278" s="1197"/>
      <c r="L278" s="1210" t="s">
        <v>443</v>
      </c>
      <c r="M278" s="919">
        <f ca="1" t="shared" si="8"/>
        <v>545</v>
      </c>
      <c r="N278" s="728">
        <f t="shared" si="9"/>
        <v>45769</v>
      </c>
      <c r="O278" s="703"/>
      <c r="P278" s="703"/>
    </row>
    <row r="279" ht="20.1" hidden="1" customHeight="1" spans="1:16">
      <c r="A279" s="819">
        <v>244</v>
      </c>
      <c r="B279" s="729" t="s">
        <v>37</v>
      </c>
      <c r="C279" s="729" t="s">
        <v>445</v>
      </c>
      <c r="D279" s="819" t="s">
        <v>401</v>
      </c>
      <c r="E279" s="1147"/>
      <c r="F279" s="775">
        <v>45590</v>
      </c>
      <c r="G279" s="775">
        <v>45707</v>
      </c>
      <c r="H279" s="729" t="s">
        <v>27</v>
      </c>
      <c r="I279" s="1198">
        <v>45713</v>
      </c>
      <c r="J279" s="729" t="s">
        <v>55</v>
      </c>
      <c r="K279" s="1197"/>
      <c r="L279" s="1210" t="s">
        <v>443</v>
      </c>
      <c r="M279" s="919">
        <f ca="1" t="shared" si="8"/>
        <v>545</v>
      </c>
      <c r="N279" s="728">
        <f t="shared" si="9"/>
        <v>45769</v>
      </c>
      <c r="O279" s="703"/>
      <c r="P279" s="703"/>
    </row>
    <row r="280" ht="20.1" hidden="1" customHeight="1" spans="1:16">
      <c r="A280" s="819">
        <v>245</v>
      </c>
      <c r="B280" s="729" t="s">
        <v>37</v>
      </c>
      <c r="C280" s="729" t="s">
        <v>446</v>
      </c>
      <c r="D280" s="819" t="s">
        <v>401</v>
      </c>
      <c r="E280" s="1147"/>
      <c r="F280" s="775">
        <v>45590</v>
      </c>
      <c r="G280" s="775">
        <v>45707</v>
      </c>
      <c r="H280" s="729" t="s">
        <v>17</v>
      </c>
      <c r="I280" s="1198">
        <v>45713</v>
      </c>
      <c r="J280" s="729" t="s">
        <v>55</v>
      </c>
      <c r="K280" s="1197"/>
      <c r="L280" s="1210" t="s">
        <v>443</v>
      </c>
      <c r="M280" s="919">
        <f ca="1" t="shared" si="8"/>
        <v>545</v>
      </c>
      <c r="N280" s="728">
        <f t="shared" si="9"/>
        <v>45769</v>
      </c>
      <c r="O280" s="703"/>
      <c r="P280" s="703"/>
    </row>
    <row r="281" ht="20.1" hidden="1" customHeight="1" spans="1:16">
      <c r="A281" s="819">
        <v>246</v>
      </c>
      <c r="B281" s="729" t="s">
        <v>37</v>
      </c>
      <c r="C281" s="729" t="s">
        <v>447</v>
      </c>
      <c r="D281" s="819" t="s">
        <v>401</v>
      </c>
      <c r="E281" s="1147"/>
      <c r="F281" s="775">
        <v>45590</v>
      </c>
      <c r="G281" s="775">
        <v>45707</v>
      </c>
      <c r="H281" s="729" t="s">
        <v>17</v>
      </c>
      <c r="I281" s="1198">
        <v>45713</v>
      </c>
      <c r="J281" s="729" t="s">
        <v>55</v>
      </c>
      <c r="K281" s="1145"/>
      <c r="L281" s="938" t="s">
        <v>443</v>
      </c>
      <c r="M281" s="919">
        <f ca="1" t="shared" si="8"/>
        <v>545</v>
      </c>
      <c r="N281" s="728">
        <f t="shared" si="9"/>
        <v>45769</v>
      </c>
    </row>
    <row r="282" ht="20.1" hidden="1" customHeight="1" spans="1:16">
      <c r="A282" s="819">
        <v>247</v>
      </c>
      <c r="B282" s="729" t="s">
        <v>37</v>
      </c>
      <c r="C282" s="729" t="s">
        <v>448</v>
      </c>
      <c r="D282" s="819" t="s">
        <v>401</v>
      </c>
      <c r="E282" s="1147"/>
      <c r="F282" s="775">
        <v>45590</v>
      </c>
      <c r="G282" s="775">
        <v>45707</v>
      </c>
      <c r="H282" s="729" t="s">
        <v>27</v>
      </c>
      <c r="I282" s="1198">
        <v>45713</v>
      </c>
      <c r="J282" s="729" t="s">
        <v>55</v>
      </c>
      <c r="K282" s="1145"/>
      <c r="L282" s="938" t="s">
        <v>443</v>
      </c>
      <c r="M282" s="919">
        <f ca="1" t="shared" si="8"/>
        <v>545</v>
      </c>
      <c r="N282" s="728">
        <f t="shared" si="9"/>
        <v>45769</v>
      </c>
      <c r="O282" s="933"/>
      <c r="P282" s="933"/>
    </row>
    <row r="283" ht="20.1" hidden="1" customHeight="1" spans="1:16">
      <c r="A283" s="819">
        <v>273</v>
      </c>
      <c r="B283" s="729" t="s">
        <v>15</v>
      </c>
      <c r="C283" s="729" t="s">
        <v>449</v>
      </c>
      <c r="D283" s="729" t="s">
        <v>385</v>
      </c>
      <c r="E283" s="1147">
        <v>229000</v>
      </c>
      <c r="F283" s="775">
        <v>45630</v>
      </c>
      <c r="G283" s="775">
        <v>45713</v>
      </c>
      <c r="H283" s="729" t="s">
        <v>17</v>
      </c>
      <c r="I283" s="819"/>
      <c r="J283" s="729" t="s">
        <v>120</v>
      </c>
      <c r="K283" s="1145"/>
      <c r="L283" s="932"/>
      <c r="M283" s="919">
        <f ca="1" t="shared" si="8"/>
        <v>505</v>
      </c>
      <c r="N283" s="728">
        <f t="shared" si="9"/>
        <v>45809</v>
      </c>
    </row>
    <row r="284" ht="20.1" hidden="1" customHeight="1" spans="1:16">
      <c r="A284" s="819">
        <v>274</v>
      </c>
      <c r="B284" s="729" t="s">
        <v>15</v>
      </c>
      <c r="C284" s="729" t="s">
        <v>450</v>
      </c>
      <c r="D284" s="729" t="s">
        <v>451</v>
      </c>
      <c r="E284" s="1147">
        <v>312690.65</v>
      </c>
      <c r="F284" s="775">
        <v>45630</v>
      </c>
      <c r="G284" s="775">
        <v>45713</v>
      </c>
      <c r="H284" s="729" t="s">
        <v>17</v>
      </c>
      <c r="I284" s="819"/>
      <c r="J284" s="729" t="s">
        <v>120</v>
      </c>
      <c r="K284" s="1145"/>
      <c r="L284" s="932"/>
      <c r="M284" s="919">
        <f ca="1" t="shared" si="8"/>
        <v>505</v>
      </c>
      <c r="N284" s="728">
        <f t="shared" si="9"/>
        <v>45809</v>
      </c>
    </row>
    <row r="285" ht="20.1" customHeight="1" spans="1:16">
      <c r="A285" s="819">
        <v>297</v>
      </c>
      <c r="B285" s="729" t="s">
        <v>79</v>
      </c>
      <c r="C285" s="729" t="s">
        <v>452</v>
      </c>
      <c r="D285" s="729" t="s">
        <v>453</v>
      </c>
      <c r="E285" s="1147">
        <v>2237510.44</v>
      </c>
      <c r="F285" s="775">
        <v>45666</v>
      </c>
      <c r="G285" s="775">
        <v>45714</v>
      </c>
      <c r="H285" s="729" t="s">
        <v>27</v>
      </c>
      <c r="I285" s="819"/>
      <c r="J285" s="729" t="s">
        <v>120</v>
      </c>
      <c r="K285" s="1145"/>
      <c r="L285" s="932"/>
      <c r="M285" s="919">
        <f ca="1" t="shared" si="8"/>
        <v>469</v>
      </c>
      <c r="N285" s="728">
        <f t="shared" si="9"/>
        <v>45845</v>
      </c>
    </row>
    <row r="286" ht="43.5" hidden="1" customHeight="1" spans="1:16">
      <c r="A286" s="819">
        <v>280</v>
      </c>
      <c r="B286" s="729" t="s">
        <v>31</v>
      </c>
      <c r="C286" s="729" t="s">
        <v>454</v>
      </c>
      <c r="D286" s="729" t="s">
        <v>437</v>
      </c>
      <c r="E286" s="1147">
        <v>80000</v>
      </c>
      <c r="F286" s="775">
        <v>45636</v>
      </c>
      <c r="G286" s="775">
        <v>45716</v>
      </c>
      <c r="H286" s="729" t="s">
        <v>27</v>
      </c>
      <c r="I286" s="819"/>
      <c r="J286" s="729" t="s">
        <v>120</v>
      </c>
      <c r="K286" s="1145"/>
      <c r="L286" s="932"/>
      <c r="M286" s="919">
        <f ca="1" t="shared" si="8"/>
        <v>499</v>
      </c>
      <c r="N286" s="728">
        <f t="shared" si="9"/>
        <v>45815</v>
      </c>
    </row>
    <row r="287" ht="20.1" hidden="1" customHeight="1" spans="1:16">
      <c r="A287" s="819">
        <v>306</v>
      </c>
      <c r="B287" s="729" t="s">
        <v>15</v>
      </c>
      <c r="C287" s="729" t="s">
        <v>455</v>
      </c>
      <c r="D287" s="819" t="s">
        <v>456</v>
      </c>
      <c r="E287" s="1147">
        <v>599587.5</v>
      </c>
      <c r="F287" s="775">
        <v>45673</v>
      </c>
      <c r="G287" s="775">
        <v>45716</v>
      </c>
      <c r="H287" s="729" t="s">
        <v>17</v>
      </c>
      <c r="I287" s="819"/>
      <c r="J287" s="729" t="s">
        <v>120</v>
      </c>
      <c r="K287" s="1145"/>
      <c r="L287" s="932"/>
      <c r="M287" s="919">
        <f ca="1" t="shared" si="8"/>
        <v>462</v>
      </c>
      <c r="N287" s="728">
        <f t="shared" si="9"/>
        <v>45852</v>
      </c>
    </row>
    <row r="288" ht="20.1" hidden="1" customHeight="1" spans="1:16">
      <c r="A288" s="819">
        <v>265</v>
      </c>
      <c r="B288" s="729" t="s">
        <v>25</v>
      </c>
      <c r="C288" s="729" t="s">
        <v>457</v>
      </c>
      <c r="D288" s="729" t="s">
        <v>458</v>
      </c>
      <c r="E288" s="1147">
        <v>327958.63</v>
      </c>
      <c r="F288" s="775">
        <v>45622</v>
      </c>
      <c r="G288" s="775">
        <v>45720</v>
      </c>
      <c r="H288" s="729" t="s">
        <v>17</v>
      </c>
      <c r="I288" s="819"/>
      <c r="J288" s="729" t="s">
        <v>120</v>
      </c>
      <c r="K288" s="1145"/>
      <c r="L288" s="897"/>
      <c r="M288" s="919">
        <f ca="1" t="shared" si="8"/>
        <v>513</v>
      </c>
      <c r="N288" s="728">
        <f t="shared" si="9"/>
        <v>45801</v>
      </c>
    </row>
    <row r="289" ht="20.1" hidden="1" customHeight="1" spans="1:14">
      <c r="A289" s="819">
        <v>301</v>
      </c>
      <c r="B289" s="729" t="s">
        <v>25</v>
      </c>
      <c r="C289" s="729" t="s">
        <v>459</v>
      </c>
      <c r="D289" s="729" t="s">
        <v>460</v>
      </c>
      <c r="E289" s="1147">
        <v>72220.56</v>
      </c>
      <c r="F289" s="775">
        <v>45671</v>
      </c>
      <c r="G289" s="775">
        <v>45721</v>
      </c>
      <c r="H289" s="729" t="s">
        <v>27</v>
      </c>
      <c r="I289" s="819"/>
      <c r="J289" s="729" t="s">
        <v>120</v>
      </c>
      <c r="K289" s="1145"/>
      <c r="L289" s="897"/>
      <c r="M289" s="919">
        <f ca="1" t="shared" si="8"/>
        <v>464</v>
      </c>
      <c r="N289" s="728">
        <f t="shared" si="9"/>
        <v>45850</v>
      </c>
    </row>
    <row r="290" ht="20.1" hidden="1" customHeight="1" spans="1:14">
      <c r="A290" s="819">
        <v>266</v>
      </c>
      <c r="B290" s="729" t="s">
        <v>28</v>
      </c>
      <c r="C290" s="729" t="s">
        <v>461</v>
      </c>
      <c r="D290" s="729" t="s">
        <v>458</v>
      </c>
      <c r="E290" s="1147">
        <v>100000</v>
      </c>
      <c r="F290" s="775">
        <v>45624</v>
      </c>
      <c r="G290" s="775">
        <v>45722</v>
      </c>
      <c r="H290" s="729" t="s">
        <v>27</v>
      </c>
      <c r="I290" s="819"/>
      <c r="J290" s="729" t="s">
        <v>120</v>
      </c>
      <c r="K290" s="1145"/>
      <c r="L290" s="932"/>
      <c r="M290" s="919">
        <f ca="1" t="shared" si="8"/>
        <v>511</v>
      </c>
      <c r="N290" s="728">
        <f t="shared" si="9"/>
        <v>45803</v>
      </c>
    </row>
    <row r="291" ht="20.1" hidden="1" customHeight="1" spans="1:14">
      <c r="A291" s="819">
        <v>286</v>
      </c>
      <c r="B291" s="729" t="s">
        <v>57</v>
      </c>
      <c r="C291" s="729" t="s">
        <v>462</v>
      </c>
      <c r="D291" s="729" t="s">
        <v>463</v>
      </c>
      <c r="E291" s="1147">
        <v>720000</v>
      </c>
      <c r="F291" s="775">
        <v>45646</v>
      </c>
      <c r="G291" s="775">
        <v>45722</v>
      </c>
      <c r="H291" s="729" t="s">
        <v>17</v>
      </c>
      <c r="I291" s="819"/>
      <c r="J291" s="729" t="s">
        <v>120</v>
      </c>
      <c r="K291" s="1145"/>
      <c r="L291" s="932"/>
      <c r="M291" s="919">
        <f ca="1" t="shared" si="8"/>
        <v>489</v>
      </c>
      <c r="N291" s="728">
        <f t="shared" si="9"/>
        <v>45825</v>
      </c>
    </row>
    <row r="292" ht="20.1" hidden="1" customHeight="1" spans="1:14">
      <c r="A292" s="819">
        <v>295</v>
      </c>
      <c r="B292" s="729" t="s">
        <v>25</v>
      </c>
      <c r="C292" s="729" t="s">
        <v>464</v>
      </c>
      <c r="D292" s="729" t="s">
        <v>460</v>
      </c>
      <c r="E292" s="1147">
        <v>267874.93</v>
      </c>
      <c r="F292" s="775">
        <v>45660</v>
      </c>
      <c r="G292" s="775">
        <v>45722</v>
      </c>
      <c r="H292" s="729" t="s">
        <v>27</v>
      </c>
      <c r="I292" s="819"/>
      <c r="J292" s="729" t="s">
        <v>120</v>
      </c>
      <c r="K292" s="1145"/>
      <c r="L292" s="897"/>
      <c r="M292" s="919">
        <f ca="1" t="shared" si="8"/>
        <v>475</v>
      </c>
      <c r="N292" s="728">
        <f t="shared" si="9"/>
        <v>45839</v>
      </c>
    </row>
    <row r="293" ht="20.1" hidden="1" customHeight="1" spans="1:14">
      <c r="A293" s="819">
        <v>302</v>
      </c>
      <c r="B293" s="729" t="s">
        <v>25</v>
      </c>
      <c r="C293" s="729" t="s">
        <v>465</v>
      </c>
      <c r="D293" s="729" t="s">
        <v>460</v>
      </c>
      <c r="E293" s="1147">
        <v>199883.11</v>
      </c>
      <c r="F293" s="775">
        <v>45671</v>
      </c>
      <c r="G293" s="775">
        <v>45723</v>
      </c>
      <c r="H293" s="729" t="s">
        <v>27</v>
      </c>
      <c r="I293" s="819"/>
      <c r="J293" s="729" t="s">
        <v>120</v>
      </c>
      <c r="K293" s="1145"/>
      <c r="L293" s="897"/>
      <c r="M293" s="919">
        <f ca="1" t="shared" si="8"/>
        <v>464</v>
      </c>
      <c r="N293" s="728">
        <f t="shared" si="9"/>
        <v>45850</v>
      </c>
    </row>
    <row r="294" ht="20.1" hidden="1" customHeight="1" spans="1:14">
      <c r="A294" s="819">
        <v>303</v>
      </c>
      <c r="B294" s="729" t="s">
        <v>25</v>
      </c>
      <c r="C294" s="729" t="s">
        <v>466</v>
      </c>
      <c r="D294" s="729" t="s">
        <v>453</v>
      </c>
      <c r="E294" s="1147">
        <v>112683.11</v>
      </c>
      <c r="F294" s="775">
        <v>45671</v>
      </c>
      <c r="G294" s="775">
        <v>45723</v>
      </c>
      <c r="H294" s="729" t="s">
        <v>27</v>
      </c>
      <c r="I294" s="819"/>
      <c r="J294" s="729" t="s">
        <v>120</v>
      </c>
      <c r="K294" s="1145"/>
      <c r="L294" s="897"/>
      <c r="M294" s="919">
        <f ca="1" t="shared" si="8"/>
        <v>464</v>
      </c>
      <c r="N294" s="728">
        <f t="shared" si="9"/>
        <v>45850</v>
      </c>
    </row>
    <row r="295" ht="20.1" hidden="1" customHeight="1" spans="1:14">
      <c r="A295" s="819">
        <v>285</v>
      </c>
      <c r="B295" s="729" t="s">
        <v>15</v>
      </c>
      <c r="C295" s="819" t="s">
        <v>467</v>
      </c>
      <c r="D295" s="729" t="s">
        <v>419</v>
      </c>
      <c r="E295" s="1147">
        <v>266226.87</v>
      </c>
      <c r="F295" s="775">
        <v>45643</v>
      </c>
      <c r="G295" s="775">
        <v>45727</v>
      </c>
      <c r="H295" s="729" t="s">
        <v>17</v>
      </c>
      <c r="I295" s="819"/>
      <c r="J295" s="729" t="s">
        <v>120</v>
      </c>
      <c r="K295" s="1145"/>
      <c r="L295" s="932"/>
      <c r="M295" s="919">
        <f ca="1" t="shared" si="8"/>
        <v>492</v>
      </c>
      <c r="N295" s="728">
        <f t="shared" si="9"/>
        <v>45822</v>
      </c>
    </row>
    <row r="296" ht="20.1" hidden="1" customHeight="1" spans="1:14">
      <c r="A296" s="819">
        <v>283</v>
      </c>
      <c r="B296" s="729" t="s">
        <v>28</v>
      </c>
      <c r="C296" s="819" t="s">
        <v>468</v>
      </c>
      <c r="D296" s="729" t="s">
        <v>437</v>
      </c>
      <c r="E296" s="1147">
        <v>120000</v>
      </c>
      <c r="F296" s="775">
        <v>45639</v>
      </c>
      <c r="G296" s="775">
        <v>45728</v>
      </c>
      <c r="H296" s="729" t="s">
        <v>27</v>
      </c>
      <c r="I296" s="819"/>
      <c r="J296" s="729" t="s">
        <v>120</v>
      </c>
      <c r="K296" s="1145"/>
      <c r="L296" s="932"/>
      <c r="M296" s="919">
        <f ca="1" t="shared" si="8"/>
        <v>496</v>
      </c>
      <c r="N296" s="728">
        <f t="shared" si="9"/>
        <v>45818</v>
      </c>
    </row>
    <row r="297" ht="20.1" hidden="1" customHeight="1" spans="1:14">
      <c r="A297" s="819">
        <v>348</v>
      </c>
      <c r="B297" s="729" t="s">
        <v>140</v>
      </c>
      <c r="C297" s="729" t="s">
        <v>469</v>
      </c>
      <c r="D297" s="729" t="s">
        <v>470</v>
      </c>
      <c r="E297" s="1147">
        <v>80000</v>
      </c>
      <c r="F297" s="775">
        <v>45727</v>
      </c>
      <c r="G297" s="775">
        <v>45734</v>
      </c>
      <c r="H297" s="729" t="s">
        <v>27</v>
      </c>
      <c r="I297" s="819"/>
      <c r="J297" s="729" t="s">
        <v>55</v>
      </c>
      <c r="K297" s="1197"/>
      <c r="L297" s="1210" t="s">
        <v>471</v>
      </c>
      <c r="M297" s="919">
        <f ca="1" t="shared" si="8"/>
        <v>408</v>
      </c>
      <c r="N297" s="728">
        <f t="shared" si="9"/>
        <v>45906</v>
      </c>
    </row>
    <row r="298" ht="20.1" hidden="1" customHeight="1" spans="1:14">
      <c r="A298" s="819">
        <v>288</v>
      </c>
      <c r="B298" s="819" t="s">
        <v>15</v>
      </c>
      <c r="C298" s="729" t="s">
        <v>472</v>
      </c>
      <c r="D298" s="729" t="s">
        <v>419</v>
      </c>
      <c r="E298" s="1147">
        <v>78000</v>
      </c>
      <c r="F298" s="775">
        <v>45652</v>
      </c>
      <c r="G298" s="775">
        <v>45735</v>
      </c>
      <c r="H298" s="729" t="s">
        <v>27</v>
      </c>
      <c r="I298" s="819"/>
      <c r="J298" s="729" t="s">
        <v>120</v>
      </c>
      <c r="K298" s="1197"/>
      <c r="L298" s="1117"/>
      <c r="M298" s="919">
        <f ca="1" t="shared" si="8"/>
        <v>483</v>
      </c>
      <c r="N298" s="728">
        <f t="shared" si="9"/>
        <v>45831</v>
      </c>
    </row>
    <row r="299" ht="20.1" hidden="1" customHeight="1" spans="1:14">
      <c r="A299" s="819">
        <v>289</v>
      </c>
      <c r="B299" s="819" t="s">
        <v>15</v>
      </c>
      <c r="C299" s="729" t="s">
        <v>473</v>
      </c>
      <c r="D299" s="729" t="s">
        <v>419</v>
      </c>
      <c r="E299" s="1147">
        <v>59987.85</v>
      </c>
      <c r="F299" s="757" t="s">
        <v>474</v>
      </c>
      <c r="G299" s="775">
        <v>45735</v>
      </c>
      <c r="H299" s="729" t="s">
        <v>27</v>
      </c>
      <c r="I299" s="819"/>
      <c r="J299" s="729" t="s">
        <v>120</v>
      </c>
      <c r="K299" s="1145"/>
      <c r="L299" s="932"/>
      <c r="M299" s="919">
        <f ca="1" t="shared" si="8"/>
        <v>483</v>
      </c>
      <c r="N299" s="728">
        <f t="shared" si="9"/>
        <v>45831</v>
      </c>
    </row>
    <row r="300" ht="20.1" hidden="1" customHeight="1" spans="1:14">
      <c r="A300" s="819">
        <v>293</v>
      </c>
      <c r="B300" s="729" t="s">
        <v>15</v>
      </c>
      <c r="C300" s="729" t="s">
        <v>475</v>
      </c>
      <c r="D300" s="729" t="s">
        <v>415</v>
      </c>
      <c r="E300" s="1147">
        <v>676800</v>
      </c>
      <c r="F300" s="775">
        <v>45657</v>
      </c>
      <c r="G300" s="775">
        <v>45735</v>
      </c>
      <c r="H300" s="729" t="s">
        <v>17</v>
      </c>
      <c r="I300" s="819"/>
      <c r="J300" s="729" t="s">
        <v>120</v>
      </c>
      <c r="K300" s="1145"/>
      <c r="L300" s="932"/>
      <c r="M300" s="919">
        <f ca="1" t="shared" si="8"/>
        <v>478</v>
      </c>
      <c r="N300" s="728">
        <f t="shared" si="9"/>
        <v>45836</v>
      </c>
    </row>
    <row r="301" ht="20.1" customHeight="1" spans="1:14">
      <c r="A301" s="819">
        <v>304</v>
      </c>
      <c r="B301" s="729" t="s">
        <v>79</v>
      </c>
      <c r="C301" s="729" t="s">
        <v>476</v>
      </c>
      <c r="D301" s="729" t="s">
        <v>456</v>
      </c>
      <c r="E301" s="1147">
        <v>151812.91</v>
      </c>
      <c r="F301" s="775">
        <v>45672</v>
      </c>
      <c r="G301" s="775">
        <v>45740</v>
      </c>
      <c r="H301" s="729" t="s">
        <v>27</v>
      </c>
      <c r="I301" s="819"/>
      <c r="J301" s="729" t="s">
        <v>120</v>
      </c>
      <c r="K301" s="1145"/>
      <c r="L301" s="932"/>
      <c r="M301" s="919">
        <f ca="1" t="shared" si="8"/>
        <v>463</v>
      </c>
      <c r="N301" s="728">
        <f t="shared" si="9"/>
        <v>45851</v>
      </c>
    </row>
    <row r="302" ht="20.1" hidden="1" customHeight="1" spans="1:14">
      <c r="A302" s="819">
        <v>350</v>
      </c>
      <c r="B302" s="729" t="s">
        <v>127</v>
      </c>
      <c r="C302" s="729" t="s">
        <v>477</v>
      </c>
      <c r="D302" s="729" t="s">
        <v>470</v>
      </c>
      <c r="E302" s="1147">
        <v>51999.92</v>
      </c>
      <c r="F302" s="775">
        <v>45729</v>
      </c>
      <c r="G302" s="775">
        <v>45741</v>
      </c>
      <c r="H302" s="729" t="s">
        <v>27</v>
      </c>
      <c r="I302" s="819"/>
      <c r="J302" s="729" t="s">
        <v>55</v>
      </c>
      <c r="K302" s="1197"/>
      <c r="L302" s="1210" t="s">
        <v>478</v>
      </c>
      <c r="M302" s="919">
        <f ca="1" t="shared" si="8"/>
        <v>406</v>
      </c>
      <c r="N302" s="728">
        <f t="shared" si="9"/>
        <v>45908</v>
      </c>
    </row>
    <row r="303" ht="20.1" hidden="1" customHeight="1" spans="1:14">
      <c r="A303" s="819">
        <v>311</v>
      </c>
      <c r="B303" s="729" t="s">
        <v>57</v>
      </c>
      <c r="C303" s="729" t="s">
        <v>479</v>
      </c>
      <c r="D303" s="729" t="s">
        <v>480</v>
      </c>
      <c r="E303" s="1147">
        <v>1040000</v>
      </c>
      <c r="F303" s="775">
        <v>45677</v>
      </c>
      <c r="G303" s="775">
        <v>45743</v>
      </c>
      <c r="H303" s="729" t="s">
        <v>17</v>
      </c>
      <c r="I303" s="1198">
        <v>45930</v>
      </c>
      <c r="J303" s="729" t="s">
        <v>481</v>
      </c>
      <c r="K303" s="1197"/>
      <c r="L303" s="1210" t="s">
        <v>482</v>
      </c>
      <c r="M303" s="919">
        <f ca="1" t="shared" si="8"/>
        <v>458</v>
      </c>
      <c r="N303" s="728">
        <f t="shared" si="9"/>
        <v>45856</v>
      </c>
    </row>
    <row r="304" ht="20.1" hidden="1" customHeight="1" spans="1:14">
      <c r="A304" s="819">
        <v>346</v>
      </c>
      <c r="B304" s="729" t="s">
        <v>147</v>
      </c>
      <c r="C304" s="729" t="s">
        <v>483</v>
      </c>
      <c r="D304" s="729" t="s">
        <v>484</v>
      </c>
      <c r="E304" s="1147">
        <v>800000</v>
      </c>
      <c r="F304" s="775">
        <v>45719</v>
      </c>
      <c r="G304" s="775">
        <v>45743</v>
      </c>
      <c r="H304" s="729" t="s">
        <v>17</v>
      </c>
      <c r="I304" s="819"/>
      <c r="J304" s="729" t="s">
        <v>55</v>
      </c>
      <c r="K304" s="1197"/>
      <c r="L304" s="1210" t="s">
        <v>485</v>
      </c>
      <c r="M304" s="919">
        <f ca="1" t="shared" si="8"/>
        <v>416</v>
      </c>
      <c r="N304" s="728">
        <f t="shared" si="9"/>
        <v>45898</v>
      </c>
    </row>
    <row r="305" ht="20.1" hidden="1" customHeight="1" spans="1:14">
      <c r="A305" s="819">
        <v>307</v>
      </c>
      <c r="B305" s="729" t="s">
        <v>31</v>
      </c>
      <c r="C305" s="729" t="s">
        <v>486</v>
      </c>
      <c r="D305" s="819" t="s">
        <v>456</v>
      </c>
      <c r="E305" s="1147">
        <v>1192665.75</v>
      </c>
      <c r="F305" s="775">
        <v>45674</v>
      </c>
      <c r="G305" s="775">
        <v>45748</v>
      </c>
      <c r="H305" s="729" t="s">
        <v>17</v>
      </c>
      <c r="I305" s="819"/>
      <c r="J305" s="729" t="s">
        <v>120</v>
      </c>
      <c r="K305" s="1197"/>
      <c r="L305" s="1117"/>
      <c r="M305" s="919">
        <f ca="1" t="shared" si="8"/>
        <v>461</v>
      </c>
      <c r="N305" s="728">
        <f t="shared" si="9"/>
        <v>45853</v>
      </c>
    </row>
    <row r="306" ht="20.1" hidden="1" customHeight="1" spans="1:14">
      <c r="A306" s="819">
        <v>308</v>
      </c>
      <c r="B306" s="729" t="s">
        <v>75</v>
      </c>
      <c r="C306" s="729" t="s">
        <v>487</v>
      </c>
      <c r="D306" s="729" t="s">
        <v>480</v>
      </c>
      <c r="E306" s="1147">
        <v>1731170.38</v>
      </c>
      <c r="F306" s="775">
        <v>45674</v>
      </c>
      <c r="G306" s="775">
        <v>45748</v>
      </c>
      <c r="H306" s="729" t="s">
        <v>17</v>
      </c>
      <c r="I306" s="819"/>
      <c r="J306" s="729" t="s">
        <v>120</v>
      </c>
      <c r="K306" s="1145"/>
      <c r="L306" s="932"/>
      <c r="M306" s="919">
        <f ca="1" t="shared" si="8"/>
        <v>461</v>
      </c>
      <c r="N306" s="728">
        <f t="shared" si="9"/>
        <v>45853</v>
      </c>
    </row>
    <row r="307" ht="20.1" hidden="1" customHeight="1" spans="1:14">
      <c r="A307" s="819">
        <v>319</v>
      </c>
      <c r="B307" s="729" t="s">
        <v>31</v>
      </c>
      <c r="C307" s="729" t="s">
        <v>488</v>
      </c>
      <c r="D307" s="819" t="s">
        <v>489</v>
      </c>
      <c r="E307" s="1147">
        <v>1200000</v>
      </c>
      <c r="F307" s="775">
        <v>45681</v>
      </c>
      <c r="G307" s="775">
        <v>45748</v>
      </c>
      <c r="H307" s="729" t="s">
        <v>17</v>
      </c>
      <c r="I307" s="819"/>
      <c r="J307" s="729" t="s">
        <v>120</v>
      </c>
      <c r="K307" s="1145"/>
      <c r="L307" s="932"/>
      <c r="M307" s="919">
        <f ca="1" t="shared" si="8"/>
        <v>454</v>
      </c>
      <c r="N307" s="728">
        <f t="shared" si="9"/>
        <v>45860</v>
      </c>
    </row>
    <row r="308" ht="20.1" customHeight="1" spans="1:14">
      <c r="A308" s="819">
        <v>305</v>
      </c>
      <c r="B308" s="729" t="s">
        <v>79</v>
      </c>
      <c r="C308" s="729" t="s">
        <v>490</v>
      </c>
      <c r="D308" s="819" t="s">
        <v>456</v>
      </c>
      <c r="E308" s="1147">
        <v>448431.83</v>
      </c>
      <c r="F308" s="775">
        <v>45672</v>
      </c>
      <c r="G308" s="775">
        <v>45749</v>
      </c>
      <c r="H308" s="729" t="s">
        <v>17</v>
      </c>
      <c r="I308" s="819"/>
      <c r="J308" s="729" t="s">
        <v>120</v>
      </c>
      <c r="K308" s="1145"/>
      <c r="L308" s="932"/>
      <c r="M308" s="919">
        <f ca="1" t="shared" si="8"/>
        <v>463</v>
      </c>
      <c r="N308" s="728">
        <f t="shared" si="9"/>
        <v>45851</v>
      </c>
    </row>
    <row r="309" ht="20.1" hidden="1" customHeight="1" spans="1:14">
      <c r="A309" s="819">
        <v>351</v>
      </c>
      <c r="B309" s="729" t="s">
        <v>127</v>
      </c>
      <c r="C309" s="729" t="s">
        <v>491</v>
      </c>
      <c r="D309" s="729" t="s">
        <v>484</v>
      </c>
      <c r="E309" s="1147">
        <v>47792.69</v>
      </c>
      <c r="F309" s="775">
        <v>45729</v>
      </c>
      <c r="G309" s="775">
        <v>45749</v>
      </c>
      <c r="H309" s="729" t="s">
        <v>27</v>
      </c>
      <c r="I309" s="819"/>
      <c r="J309" s="729" t="s">
        <v>55</v>
      </c>
      <c r="K309" s="1145"/>
      <c r="L309" s="938" t="s">
        <v>492</v>
      </c>
      <c r="M309" s="919">
        <f ca="1" t="shared" si="8"/>
        <v>406</v>
      </c>
      <c r="N309" s="728">
        <f t="shared" si="9"/>
        <v>45908</v>
      </c>
    </row>
    <row r="310" ht="20.1" hidden="1" customHeight="1" spans="1:14">
      <c r="A310" s="819">
        <v>352</v>
      </c>
      <c r="B310" s="729" t="s">
        <v>127</v>
      </c>
      <c r="C310" s="729" t="s">
        <v>493</v>
      </c>
      <c r="D310" s="729" t="s">
        <v>484</v>
      </c>
      <c r="E310" s="1147">
        <v>67999.02</v>
      </c>
      <c r="F310" s="775">
        <v>45729</v>
      </c>
      <c r="G310" s="775">
        <v>45749</v>
      </c>
      <c r="H310" s="729" t="s">
        <v>27</v>
      </c>
      <c r="I310" s="819"/>
      <c r="J310" s="729" t="s">
        <v>55</v>
      </c>
      <c r="K310" s="1145"/>
      <c r="L310" s="938" t="s">
        <v>478</v>
      </c>
      <c r="M310" s="919">
        <f ca="1" t="shared" si="8"/>
        <v>406</v>
      </c>
      <c r="N310" s="728">
        <f t="shared" si="9"/>
        <v>45908</v>
      </c>
    </row>
    <row r="311" ht="20.1" hidden="1" customHeight="1" spans="1:14">
      <c r="A311" s="819">
        <v>353</v>
      </c>
      <c r="B311" s="729" t="s">
        <v>127</v>
      </c>
      <c r="C311" s="729" t="s">
        <v>494</v>
      </c>
      <c r="D311" s="729" t="s">
        <v>495</v>
      </c>
      <c r="E311" s="1147">
        <v>79999.92</v>
      </c>
      <c r="F311" s="775">
        <v>45729</v>
      </c>
      <c r="G311" s="775">
        <v>45749</v>
      </c>
      <c r="H311" s="729" t="s">
        <v>27</v>
      </c>
      <c r="I311" s="819"/>
      <c r="J311" s="729" t="s">
        <v>55</v>
      </c>
      <c r="K311" s="1145"/>
      <c r="L311" s="938" t="s">
        <v>478</v>
      </c>
      <c r="M311" s="919">
        <f ca="1" t="shared" si="8"/>
        <v>406</v>
      </c>
      <c r="N311" s="728">
        <f t="shared" si="9"/>
        <v>45908</v>
      </c>
    </row>
    <row r="312" ht="20.1" hidden="1" customHeight="1" spans="1:14">
      <c r="A312" s="819">
        <v>354</v>
      </c>
      <c r="B312" s="729" t="s">
        <v>127</v>
      </c>
      <c r="C312" s="729" t="s">
        <v>496</v>
      </c>
      <c r="D312" s="729" t="s">
        <v>495</v>
      </c>
      <c r="E312" s="1147">
        <v>39973.64</v>
      </c>
      <c r="F312" s="775">
        <v>45729</v>
      </c>
      <c r="G312" s="775">
        <v>45749</v>
      </c>
      <c r="H312" s="729" t="s">
        <v>27</v>
      </c>
      <c r="I312" s="819"/>
      <c r="J312" s="729" t="s">
        <v>55</v>
      </c>
      <c r="K312" s="1145"/>
      <c r="L312" s="938" t="s">
        <v>478</v>
      </c>
      <c r="M312" s="919">
        <f ca="1" t="shared" si="8"/>
        <v>406</v>
      </c>
      <c r="N312" s="728">
        <f t="shared" si="9"/>
        <v>45908</v>
      </c>
    </row>
    <row r="313" ht="20.1" hidden="1" customHeight="1" spans="1:14">
      <c r="A313" s="819">
        <v>284</v>
      </c>
      <c r="B313" s="729" t="s">
        <v>37</v>
      </c>
      <c r="C313" s="729" t="s">
        <v>497</v>
      </c>
      <c r="D313" s="729" t="s">
        <v>463</v>
      </c>
      <c r="E313" s="1147"/>
      <c r="F313" s="775">
        <v>45639</v>
      </c>
      <c r="G313" s="775">
        <v>45750</v>
      </c>
      <c r="H313" s="729" t="s">
        <v>17</v>
      </c>
      <c r="I313" s="819"/>
      <c r="J313" s="729" t="s">
        <v>55</v>
      </c>
      <c r="K313" s="1145"/>
      <c r="L313" s="938" t="s">
        <v>498</v>
      </c>
      <c r="M313" s="919">
        <f ca="1" t="shared" si="8"/>
        <v>496</v>
      </c>
      <c r="N313" s="728">
        <f t="shared" si="9"/>
        <v>45818</v>
      </c>
    </row>
    <row r="314" ht="20.1" hidden="1" customHeight="1" spans="1:14">
      <c r="A314" s="819">
        <v>296</v>
      </c>
      <c r="B314" s="729" t="s">
        <v>25</v>
      </c>
      <c r="C314" s="729" t="s">
        <v>499</v>
      </c>
      <c r="D314" s="729" t="s">
        <v>460</v>
      </c>
      <c r="E314" s="1147"/>
      <c r="F314" s="775">
        <v>45660</v>
      </c>
      <c r="G314" s="775">
        <v>45750</v>
      </c>
      <c r="H314" s="729" t="s">
        <v>27</v>
      </c>
      <c r="I314" s="819"/>
      <c r="J314" s="729" t="s">
        <v>55</v>
      </c>
      <c r="K314" s="1145"/>
      <c r="L314" s="897"/>
      <c r="M314" s="919">
        <f ca="1" t="shared" si="8"/>
        <v>475</v>
      </c>
      <c r="N314" s="728">
        <f t="shared" si="9"/>
        <v>45839</v>
      </c>
    </row>
    <row r="315" ht="20.1" customHeight="1" spans="1:14">
      <c r="A315" s="819">
        <v>309</v>
      </c>
      <c r="B315" s="729" t="s">
        <v>79</v>
      </c>
      <c r="C315" s="729" t="s">
        <v>500</v>
      </c>
      <c r="D315" s="729" t="s">
        <v>480</v>
      </c>
      <c r="E315" s="1147">
        <v>228278.29</v>
      </c>
      <c r="F315" s="775">
        <v>45674</v>
      </c>
      <c r="G315" s="775">
        <v>45750</v>
      </c>
      <c r="H315" s="729" t="s">
        <v>17</v>
      </c>
      <c r="I315" s="819"/>
      <c r="J315" s="729" t="s">
        <v>120</v>
      </c>
      <c r="K315" s="1145"/>
      <c r="L315" s="932"/>
      <c r="M315" s="919">
        <f ca="1" t="shared" si="8"/>
        <v>461</v>
      </c>
      <c r="N315" s="728">
        <f t="shared" si="9"/>
        <v>45853</v>
      </c>
    </row>
    <row r="316" ht="20.1" hidden="1" customHeight="1" spans="1:14">
      <c r="A316" s="819">
        <v>316</v>
      </c>
      <c r="B316" s="729" t="s">
        <v>25</v>
      </c>
      <c r="C316" s="729" t="s">
        <v>501</v>
      </c>
      <c r="D316" s="729" t="s">
        <v>489</v>
      </c>
      <c r="E316" s="1147">
        <v>30800</v>
      </c>
      <c r="F316" s="757" t="s">
        <v>502</v>
      </c>
      <c r="G316" s="775">
        <v>45750</v>
      </c>
      <c r="H316" s="729" t="s">
        <v>27</v>
      </c>
      <c r="I316" s="819"/>
      <c r="J316" s="729" t="s">
        <v>120</v>
      </c>
      <c r="K316" s="1145"/>
      <c r="L316" s="897"/>
      <c r="M316" s="919">
        <f ca="1" t="shared" si="8"/>
        <v>455</v>
      </c>
      <c r="N316" s="728">
        <f t="shared" si="9"/>
        <v>45859</v>
      </c>
    </row>
    <row r="317" ht="20.1" hidden="1" customHeight="1" spans="1:14">
      <c r="A317" s="819">
        <v>325</v>
      </c>
      <c r="B317" s="729" t="s">
        <v>25</v>
      </c>
      <c r="C317" s="729" t="s">
        <v>503</v>
      </c>
      <c r="D317" s="729" t="s">
        <v>504</v>
      </c>
      <c r="E317" s="1147">
        <v>19831.8</v>
      </c>
      <c r="F317" s="775">
        <v>45683</v>
      </c>
      <c r="G317" s="775">
        <v>45750</v>
      </c>
      <c r="H317" s="729" t="s">
        <v>27</v>
      </c>
      <c r="I317" s="819"/>
      <c r="J317" s="729" t="s">
        <v>120</v>
      </c>
      <c r="K317" s="1145"/>
      <c r="L317" s="897"/>
      <c r="M317" s="919">
        <f ca="1" t="shared" si="8"/>
        <v>452</v>
      </c>
      <c r="N317" s="728">
        <f t="shared" si="9"/>
        <v>45862</v>
      </c>
    </row>
    <row r="318" ht="20.1" hidden="1" customHeight="1" spans="1:14">
      <c r="A318" s="819">
        <v>300</v>
      </c>
      <c r="B318" s="729" t="s">
        <v>25</v>
      </c>
      <c r="C318" s="729" t="s">
        <v>505</v>
      </c>
      <c r="D318" s="729" t="s">
        <v>460</v>
      </c>
      <c r="E318" s="1147">
        <v>146062.65</v>
      </c>
      <c r="F318" s="775">
        <v>45670</v>
      </c>
      <c r="G318" s="775">
        <v>45754</v>
      </c>
      <c r="H318" s="729" t="s">
        <v>27</v>
      </c>
      <c r="I318" s="819"/>
      <c r="J318" s="729" t="s">
        <v>120</v>
      </c>
      <c r="K318" s="1197"/>
      <c r="L318" s="933"/>
      <c r="M318" s="919">
        <f ca="1" t="shared" si="8"/>
        <v>465</v>
      </c>
      <c r="N318" s="728">
        <f t="shared" si="9"/>
        <v>45849</v>
      </c>
    </row>
    <row r="319" ht="20.1" hidden="1" customHeight="1" spans="1:14">
      <c r="A319" s="819">
        <v>317</v>
      </c>
      <c r="B319" s="729" t="s">
        <v>25</v>
      </c>
      <c r="C319" s="729" t="s">
        <v>506</v>
      </c>
      <c r="D319" s="819" t="s">
        <v>489</v>
      </c>
      <c r="E319" s="1147">
        <v>393569.21</v>
      </c>
      <c r="F319" s="775">
        <v>45680</v>
      </c>
      <c r="G319" s="775">
        <v>45754</v>
      </c>
      <c r="H319" s="729" t="s">
        <v>27</v>
      </c>
      <c r="I319" s="819"/>
      <c r="J319" s="729" t="s">
        <v>120</v>
      </c>
      <c r="K319" s="1197"/>
      <c r="L319" s="933"/>
      <c r="M319" s="919">
        <f ca="1" t="shared" si="8"/>
        <v>455</v>
      </c>
      <c r="N319" s="728">
        <f t="shared" si="9"/>
        <v>45859</v>
      </c>
    </row>
    <row r="320" ht="20.1" hidden="1" customHeight="1" spans="1:14">
      <c r="A320" s="819">
        <v>318</v>
      </c>
      <c r="B320" s="729" t="s">
        <v>25</v>
      </c>
      <c r="C320" s="729" t="s">
        <v>507</v>
      </c>
      <c r="D320" s="819" t="s">
        <v>489</v>
      </c>
      <c r="E320" s="1147">
        <v>120000</v>
      </c>
      <c r="F320" s="775">
        <v>45680</v>
      </c>
      <c r="G320" s="775">
        <v>45754</v>
      </c>
      <c r="H320" s="729" t="s">
        <v>27</v>
      </c>
      <c r="I320" s="819"/>
      <c r="J320" s="729" t="s">
        <v>120</v>
      </c>
      <c r="K320" s="1197"/>
      <c r="L320" s="933"/>
      <c r="M320" s="919">
        <f ca="1" t="shared" si="8"/>
        <v>455</v>
      </c>
      <c r="N320" s="728">
        <f t="shared" si="9"/>
        <v>45859</v>
      </c>
    </row>
    <row r="321" ht="20.1" hidden="1" customHeight="1" spans="1:14">
      <c r="A321" s="819">
        <v>326</v>
      </c>
      <c r="B321" s="729" t="s">
        <v>25</v>
      </c>
      <c r="C321" s="729" t="s">
        <v>508</v>
      </c>
      <c r="D321" s="729" t="s">
        <v>504</v>
      </c>
      <c r="E321" s="1147">
        <v>488783.98</v>
      </c>
      <c r="F321" s="775">
        <v>45683</v>
      </c>
      <c r="G321" s="775">
        <v>45754</v>
      </c>
      <c r="H321" s="729" t="s">
        <v>27</v>
      </c>
      <c r="I321" s="819"/>
      <c r="J321" s="729" t="s">
        <v>120</v>
      </c>
      <c r="K321" s="1145"/>
      <c r="L321" s="897"/>
      <c r="M321" s="919">
        <f ca="1" t="shared" si="8"/>
        <v>452</v>
      </c>
      <c r="N321" s="728">
        <f t="shared" si="9"/>
        <v>45862</v>
      </c>
    </row>
    <row r="322" ht="20.1" hidden="1" customHeight="1" spans="1:14">
      <c r="A322" s="819">
        <v>327</v>
      </c>
      <c r="B322" s="729" t="s">
        <v>25</v>
      </c>
      <c r="C322" s="729" t="s">
        <v>509</v>
      </c>
      <c r="D322" s="729" t="s">
        <v>510</v>
      </c>
      <c r="E322" s="1147">
        <v>80000</v>
      </c>
      <c r="F322" s="775">
        <v>45683</v>
      </c>
      <c r="G322" s="775">
        <v>45754</v>
      </c>
      <c r="H322" s="729" t="s">
        <v>27</v>
      </c>
      <c r="I322" s="819"/>
      <c r="J322" s="729" t="s">
        <v>120</v>
      </c>
      <c r="K322" s="1145"/>
      <c r="L322" s="897"/>
      <c r="M322" s="919">
        <f ca="1" t="shared" si="8"/>
        <v>452</v>
      </c>
      <c r="N322" s="728">
        <f t="shared" si="9"/>
        <v>45862</v>
      </c>
    </row>
    <row r="323" ht="20.1" hidden="1" customHeight="1" spans="1:14">
      <c r="A323" s="819">
        <v>282</v>
      </c>
      <c r="B323" s="729" t="s">
        <v>31</v>
      </c>
      <c r="C323" s="729" t="s">
        <v>511</v>
      </c>
      <c r="D323" s="729" t="s">
        <v>463</v>
      </c>
      <c r="E323" s="1147"/>
      <c r="F323" s="775">
        <v>45638</v>
      </c>
      <c r="G323" s="775">
        <v>45756</v>
      </c>
      <c r="H323" s="729" t="s">
        <v>17</v>
      </c>
      <c r="I323" s="819"/>
      <c r="J323" s="729" t="s">
        <v>55</v>
      </c>
      <c r="K323" s="1145"/>
      <c r="L323" s="938" t="s">
        <v>512</v>
      </c>
      <c r="M323" s="919">
        <f ca="1" t="shared" ref="M323:M386" si="10">DATEDIF(F323,TODAY(),"D")</f>
        <v>497</v>
      </c>
      <c r="N323" s="728">
        <f t="shared" ref="N323:N386" si="11">F323+179</f>
        <v>45817</v>
      </c>
    </row>
    <row r="324" ht="20.1" hidden="1" customHeight="1" spans="1:14">
      <c r="A324" s="819">
        <v>294</v>
      </c>
      <c r="B324" s="729" t="s">
        <v>57</v>
      </c>
      <c r="C324" s="729" t="s">
        <v>513</v>
      </c>
      <c r="D324" s="729" t="s">
        <v>514</v>
      </c>
      <c r="E324" s="1147">
        <v>1176482.68</v>
      </c>
      <c r="F324" s="775">
        <v>45657</v>
      </c>
      <c r="G324" s="775">
        <v>45756</v>
      </c>
      <c r="H324" s="729" t="s">
        <v>17</v>
      </c>
      <c r="I324" s="819"/>
      <c r="J324" s="729" t="s">
        <v>120</v>
      </c>
      <c r="K324" s="1145"/>
      <c r="L324" s="932"/>
      <c r="M324" s="919">
        <f ca="1" t="shared" si="10"/>
        <v>478</v>
      </c>
      <c r="N324" s="728">
        <f t="shared" si="11"/>
        <v>45836</v>
      </c>
    </row>
    <row r="325" ht="20.1" customHeight="1" spans="1:14">
      <c r="A325" s="819">
        <v>310</v>
      </c>
      <c r="B325" s="729" t="s">
        <v>79</v>
      </c>
      <c r="C325" s="729" t="s">
        <v>515</v>
      </c>
      <c r="D325" s="729" t="s">
        <v>480</v>
      </c>
      <c r="E325" s="1147">
        <v>339977.87</v>
      </c>
      <c r="F325" s="775">
        <v>45674</v>
      </c>
      <c r="G325" s="775">
        <v>45756</v>
      </c>
      <c r="H325" s="729" t="s">
        <v>17</v>
      </c>
      <c r="I325" s="819"/>
      <c r="J325" s="729" t="s">
        <v>120</v>
      </c>
      <c r="K325" s="1145"/>
      <c r="L325" s="932"/>
      <c r="M325" s="919">
        <f ca="1" t="shared" si="10"/>
        <v>461</v>
      </c>
      <c r="N325" s="728">
        <f t="shared" si="11"/>
        <v>45853</v>
      </c>
    </row>
    <row r="326" ht="20.1" hidden="1" customHeight="1" spans="1:14">
      <c r="A326" s="819">
        <v>355</v>
      </c>
      <c r="B326" s="729" t="s">
        <v>127</v>
      </c>
      <c r="C326" s="729" t="s">
        <v>516</v>
      </c>
      <c r="D326" s="729" t="s">
        <v>495</v>
      </c>
      <c r="E326" s="1147">
        <v>10409.8</v>
      </c>
      <c r="F326" s="775">
        <v>45729</v>
      </c>
      <c r="G326" s="775">
        <v>45756</v>
      </c>
      <c r="H326" s="729" t="s">
        <v>27</v>
      </c>
      <c r="I326" s="819"/>
      <c r="J326" s="729" t="s">
        <v>120</v>
      </c>
      <c r="K326" s="1145"/>
      <c r="L326" s="938" t="s">
        <v>517</v>
      </c>
      <c r="M326" s="919">
        <f ca="1" t="shared" si="10"/>
        <v>406</v>
      </c>
      <c r="N326" s="728">
        <f t="shared" si="11"/>
        <v>45908</v>
      </c>
    </row>
    <row r="327" ht="20.1" hidden="1" customHeight="1" spans="1:14">
      <c r="A327" s="819">
        <v>290</v>
      </c>
      <c r="B327" s="729" t="s">
        <v>22</v>
      </c>
      <c r="C327" s="729" t="s">
        <v>518</v>
      </c>
      <c r="D327" s="729" t="s">
        <v>519</v>
      </c>
      <c r="E327" s="1147">
        <v>1040000</v>
      </c>
      <c r="F327" s="775">
        <v>45653</v>
      </c>
      <c r="G327" s="775">
        <v>45758</v>
      </c>
      <c r="H327" s="729" t="s">
        <v>17</v>
      </c>
      <c r="I327" s="819"/>
      <c r="J327" s="729" t="s">
        <v>120</v>
      </c>
      <c r="K327" s="1197"/>
      <c r="L327" s="1117"/>
      <c r="M327" s="919">
        <f ca="1" t="shared" si="10"/>
        <v>482</v>
      </c>
      <c r="N327" s="728">
        <f t="shared" si="11"/>
        <v>45832</v>
      </c>
    </row>
    <row r="328" ht="20.1" customHeight="1" spans="1:14">
      <c r="A328" s="819">
        <v>314</v>
      </c>
      <c r="B328" s="729" t="s">
        <v>79</v>
      </c>
      <c r="C328" s="729" t="s">
        <v>520</v>
      </c>
      <c r="D328" s="819" t="s">
        <v>521</v>
      </c>
      <c r="E328" s="1147">
        <v>267996.6</v>
      </c>
      <c r="F328" s="775">
        <v>45679</v>
      </c>
      <c r="G328" s="775">
        <v>45758</v>
      </c>
      <c r="H328" s="729" t="s">
        <v>17</v>
      </c>
      <c r="I328" s="819"/>
      <c r="J328" s="729" t="s">
        <v>120</v>
      </c>
      <c r="K328" s="1197"/>
      <c r="L328" s="1117"/>
      <c r="M328" s="919">
        <f ca="1" t="shared" si="10"/>
        <v>456</v>
      </c>
      <c r="N328" s="728">
        <f t="shared" si="11"/>
        <v>45858</v>
      </c>
    </row>
    <row r="329" ht="20.1" hidden="1" customHeight="1" spans="1:14">
      <c r="A329" s="819">
        <v>320</v>
      </c>
      <c r="B329" s="729" t="s">
        <v>15</v>
      </c>
      <c r="C329" s="729" t="s">
        <v>522</v>
      </c>
      <c r="D329" s="729" t="s">
        <v>523</v>
      </c>
      <c r="E329" s="1147">
        <v>619615.61</v>
      </c>
      <c r="F329" s="775">
        <v>45681</v>
      </c>
      <c r="G329" s="775">
        <v>45758</v>
      </c>
      <c r="H329" s="729" t="s">
        <v>17</v>
      </c>
      <c r="I329" s="819"/>
      <c r="J329" s="729" t="s">
        <v>120</v>
      </c>
      <c r="K329" s="1197"/>
      <c r="L329" s="1117"/>
      <c r="M329" s="919">
        <f ca="1" t="shared" si="10"/>
        <v>454</v>
      </c>
      <c r="N329" s="728">
        <f t="shared" si="11"/>
        <v>45860</v>
      </c>
    </row>
    <row r="330" ht="20.1" hidden="1" customHeight="1" spans="1:14">
      <c r="A330" s="819">
        <v>321</v>
      </c>
      <c r="B330" s="729" t="s">
        <v>15</v>
      </c>
      <c r="C330" s="729" t="s">
        <v>524</v>
      </c>
      <c r="D330" s="729" t="s">
        <v>523</v>
      </c>
      <c r="E330" s="1147">
        <v>99858.58</v>
      </c>
      <c r="F330" s="775">
        <v>45681</v>
      </c>
      <c r="G330" s="775">
        <v>45758</v>
      </c>
      <c r="H330" s="729" t="s">
        <v>27</v>
      </c>
      <c r="I330" s="819"/>
      <c r="J330" s="729" t="s">
        <v>120</v>
      </c>
      <c r="K330" s="1145"/>
      <c r="L330" s="932"/>
      <c r="M330" s="919">
        <f ca="1" t="shared" si="10"/>
        <v>454</v>
      </c>
      <c r="N330" s="728">
        <f t="shared" si="11"/>
        <v>45860</v>
      </c>
    </row>
    <row r="331" ht="20.1" hidden="1" customHeight="1" spans="1:14">
      <c r="A331" s="819">
        <v>322</v>
      </c>
      <c r="B331" s="729" t="s">
        <v>15</v>
      </c>
      <c r="C331" s="729" t="s">
        <v>525</v>
      </c>
      <c r="D331" s="729" t="s">
        <v>523</v>
      </c>
      <c r="E331" s="1147">
        <v>399768.03</v>
      </c>
      <c r="F331" s="775">
        <v>45681</v>
      </c>
      <c r="G331" s="775">
        <v>45758</v>
      </c>
      <c r="H331" s="729" t="s">
        <v>17</v>
      </c>
      <c r="I331" s="819"/>
      <c r="J331" s="729" t="s">
        <v>120</v>
      </c>
      <c r="K331" s="1145"/>
      <c r="L331" s="932"/>
      <c r="M331" s="919">
        <f ca="1" t="shared" si="10"/>
        <v>454</v>
      </c>
      <c r="N331" s="728">
        <f t="shared" si="11"/>
        <v>45860</v>
      </c>
    </row>
    <row r="332" ht="20.1" hidden="1" customHeight="1" spans="1:14">
      <c r="A332" s="819">
        <v>328</v>
      </c>
      <c r="B332" s="729" t="s">
        <v>15</v>
      </c>
      <c r="C332" s="729" t="s">
        <v>526</v>
      </c>
      <c r="D332" s="819" t="s">
        <v>504</v>
      </c>
      <c r="E332" s="1147">
        <v>99975.87</v>
      </c>
      <c r="F332" s="775">
        <v>45683</v>
      </c>
      <c r="G332" s="775">
        <v>45758</v>
      </c>
      <c r="H332" s="729" t="s">
        <v>27</v>
      </c>
      <c r="I332" s="819"/>
      <c r="J332" s="729" t="s">
        <v>120</v>
      </c>
      <c r="K332" s="1145"/>
      <c r="L332" s="932"/>
      <c r="M332" s="919">
        <f ca="1" t="shared" si="10"/>
        <v>452</v>
      </c>
      <c r="N332" s="728">
        <f t="shared" si="11"/>
        <v>45862</v>
      </c>
    </row>
    <row r="333" ht="20.1" hidden="1" customHeight="1" spans="1:14">
      <c r="A333" s="819">
        <v>329</v>
      </c>
      <c r="B333" s="729" t="s">
        <v>15</v>
      </c>
      <c r="C333" s="729" t="s">
        <v>527</v>
      </c>
      <c r="D333" s="819" t="s">
        <v>504</v>
      </c>
      <c r="E333" s="1147">
        <v>724937.09</v>
      </c>
      <c r="F333" s="775">
        <v>45683</v>
      </c>
      <c r="G333" s="775">
        <v>45758</v>
      </c>
      <c r="H333" s="729" t="s">
        <v>17</v>
      </c>
      <c r="I333" s="819"/>
      <c r="J333" s="729" t="s">
        <v>120</v>
      </c>
      <c r="K333" s="1145"/>
      <c r="L333" s="932"/>
      <c r="M333" s="919">
        <f ca="1" t="shared" si="10"/>
        <v>452</v>
      </c>
      <c r="N333" s="728">
        <f t="shared" si="11"/>
        <v>45862</v>
      </c>
    </row>
    <row r="334" ht="20.1" hidden="1" customHeight="1" spans="1:14">
      <c r="A334" s="819">
        <v>330</v>
      </c>
      <c r="B334" s="729" t="s">
        <v>15</v>
      </c>
      <c r="C334" s="729" t="s">
        <v>528</v>
      </c>
      <c r="D334" s="729" t="s">
        <v>510</v>
      </c>
      <c r="E334" s="1147">
        <v>599160</v>
      </c>
      <c r="F334" s="775">
        <v>45683</v>
      </c>
      <c r="G334" s="775">
        <v>45758</v>
      </c>
      <c r="H334" s="729" t="s">
        <v>17</v>
      </c>
      <c r="I334" s="819"/>
      <c r="J334" s="729" t="s">
        <v>120</v>
      </c>
      <c r="K334" s="1145"/>
      <c r="L334" s="932"/>
      <c r="M334" s="919">
        <f ca="1" t="shared" si="10"/>
        <v>452</v>
      </c>
      <c r="N334" s="728">
        <f t="shared" si="11"/>
        <v>45862</v>
      </c>
    </row>
    <row r="335" ht="54.75" hidden="1" customHeight="1" spans="1:14">
      <c r="A335" s="819">
        <v>331</v>
      </c>
      <c r="B335" s="729" t="s">
        <v>15</v>
      </c>
      <c r="C335" s="729" t="s">
        <v>529</v>
      </c>
      <c r="D335" s="729" t="s">
        <v>510</v>
      </c>
      <c r="E335" s="1147">
        <v>198211.27</v>
      </c>
      <c r="F335" s="775">
        <v>45694</v>
      </c>
      <c r="G335" s="775">
        <v>45758</v>
      </c>
      <c r="H335" s="729" t="s">
        <v>27</v>
      </c>
      <c r="I335" s="819"/>
      <c r="J335" s="729" t="s">
        <v>120</v>
      </c>
      <c r="K335" s="1145"/>
      <c r="L335" s="932"/>
      <c r="M335" s="919">
        <f ca="1" t="shared" si="10"/>
        <v>441</v>
      </c>
      <c r="N335" s="728">
        <f t="shared" si="11"/>
        <v>45873</v>
      </c>
    </row>
    <row r="336" ht="20.1" hidden="1" customHeight="1" spans="1:14">
      <c r="A336" s="819">
        <v>357</v>
      </c>
      <c r="B336" s="729" t="s">
        <v>140</v>
      </c>
      <c r="C336" s="729" t="s">
        <v>530</v>
      </c>
      <c r="D336" s="729" t="s">
        <v>531</v>
      </c>
      <c r="E336" s="1147">
        <v>40000</v>
      </c>
      <c r="F336" s="775">
        <v>45733</v>
      </c>
      <c r="G336" s="775">
        <v>45758</v>
      </c>
      <c r="H336" s="729" t="s">
        <v>27</v>
      </c>
      <c r="I336" s="819"/>
      <c r="J336" s="729" t="s">
        <v>55</v>
      </c>
      <c r="K336" s="1145"/>
      <c r="L336" s="938" t="s">
        <v>471</v>
      </c>
      <c r="M336" s="919">
        <f ca="1" t="shared" si="10"/>
        <v>402</v>
      </c>
      <c r="N336" s="728">
        <f t="shared" si="11"/>
        <v>45912</v>
      </c>
    </row>
    <row r="337" ht="20.1" hidden="1" customHeight="1" spans="1:14">
      <c r="A337" s="819">
        <v>374</v>
      </c>
      <c r="B337" s="729" t="s">
        <v>140</v>
      </c>
      <c r="C337" s="729" t="s">
        <v>532</v>
      </c>
      <c r="D337" s="729" t="s">
        <v>531</v>
      </c>
      <c r="E337" s="1147">
        <v>38782.79</v>
      </c>
      <c r="F337" s="775">
        <v>45742</v>
      </c>
      <c r="G337" s="775">
        <v>45758</v>
      </c>
      <c r="H337" s="729" t="s">
        <v>27</v>
      </c>
      <c r="I337" s="819"/>
      <c r="J337" s="729" t="s">
        <v>533</v>
      </c>
      <c r="K337" s="1197"/>
      <c r="L337" s="1210" t="s">
        <v>245</v>
      </c>
      <c r="M337" s="919">
        <f ca="1" t="shared" si="10"/>
        <v>393</v>
      </c>
      <c r="N337" s="728">
        <f t="shared" si="11"/>
        <v>45921</v>
      </c>
    </row>
    <row r="338" ht="20.1" hidden="1" customHeight="1" spans="1:14">
      <c r="A338" s="819">
        <v>375</v>
      </c>
      <c r="B338" s="729" t="s">
        <v>140</v>
      </c>
      <c r="C338" s="729" t="s">
        <v>534</v>
      </c>
      <c r="D338" s="729" t="s">
        <v>531</v>
      </c>
      <c r="E338" s="1147">
        <v>80000</v>
      </c>
      <c r="F338" s="775">
        <v>45742</v>
      </c>
      <c r="G338" s="775">
        <v>45758</v>
      </c>
      <c r="H338" s="729" t="s">
        <v>27</v>
      </c>
      <c r="I338" s="897"/>
      <c r="J338" s="729" t="s">
        <v>55</v>
      </c>
      <c r="K338" s="1145"/>
      <c r="L338" s="938" t="s">
        <v>471</v>
      </c>
      <c r="M338" s="919">
        <f ca="1" t="shared" si="10"/>
        <v>393</v>
      </c>
      <c r="N338" s="728">
        <f t="shared" si="11"/>
        <v>45921</v>
      </c>
    </row>
    <row r="339" ht="20.1" hidden="1" customHeight="1" spans="1:14">
      <c r="A339" s="819">
        <v>376</v>
      </c>
      <c r="B339" s="729" t="s">
        <v>140</v>
      </c>
      <c r="C339" s="729" t="s">
        <v>535</v>
      </c>
      <c r="D339" s="729" t="s">
        <v>531</v>
      </c>
      <c r="E339" s="1147">
        <v>99656.34</v>
      </c>
      <c r="F339" s="775">
        <v>45742</v>
      </c>
      <c r="G339" s="775">
        <v>45758</v>
      </c>
      <c r="H339" s="729" t="s">
        <v>27</v>
      </c>
      <c r="I339" s="819"/>
      <c r="J339" s="729" t="s">
        <v>55</v>
      </c>
      <c r="K339" s="1145"/>
      <c r="L339" s="938" t="s">
        <v>471</v>
      </c>
      <c r="M339" s="919">
        <f ca="1" t="shared" si="10"/>
        <v>393</v>
      </c>
      <c r="N339" s="728">
        <f t="shared" si="11"/>
        <v>45921</v>
      </c>
    </row>
    <row r="340" ht="20.1" hidden="1" customHeight="1" spans="1:14">
      <c r="A340" s="819">
        <v>377</v>
      </c>
      <c r="B340" s="729" t="s">
        <v>140</v>
      </c>
      <c r="C340" s="729" t="s">
        <v>536</v>
      </c>
      <c r="D340" s="729" t="s">
        <v>401</v>
      </c>
      <c r="E340" s="1147">
        <v>56000</v>
      </c>
      <c r="F340" s="775">
        <v>45742</v>
      </c>
      <c r="G340" s="775">
        <v>45758</v>
      </c>
      <c r="H340" s="729" t="s">
        <v>27</v>
      </c>
      <c r="I340" s="819"/>
      <c r="J340" s="729" t="s">
        <v>533</v>
      </c>
      <c r="K340" s="1145"/>
      <c r="L340" s="938" t="s">
        <v>245</v>
      </c>
      <c r="M340" s="919">
        <f ca="1" t="shared" si="10"/>
        <v>393</v>
      </c>
      <c r="N340" s="728">
        <f t="shared" si="11"/>
        <v>45921</v>
      </c>
    </row>
    <row r="341" ht="20.1" customHeight="1" spans="1:14">
      <c r="A341" s="819">
        <v>323</v>
      </c>
      <c r="B341" s="729" t="s">
        <v>79</v>
      </c>
      <c r="C341" s="729" t="s">
        <v>537</v>
      </c>
      <c r="D341" s="729" t="s">
        <v>538</v>
      </c>
      <c r="E341" s="1147">
        <v>365961.06</v>
      </c>
      <c r="F341" s="775">
        <v>45681</v>
      </c>
      <c r="G341" s="775">
        <v>45765</v>
      </c>
      <c r="H341" s="729" t="s">
        <v>17</v>
      </c>
      <c r="I341" s="819"/>
      <c r="J341" s="729" t="s">
        <v>120</v>
      </c>
      <c r="K341" s="1145"/>
      <c r="L341" s="932"/>
      <c r="M341" s="919">
        <f ca="1" t="shared" si="10"/>
        <v>454</v>
      </c>
      <c r="N341" s="728">
        <f t="shared" si="11"/>
        <v>45860</v>
      </c>
    </row>
    <row r="342" ht="20.1" customHeight="1" spans="1:14">
      <c r="A342" s="819">
        <v>324</v>
      </c>
      <c r="B342" s="729" t="s">
        <v>79</v>
      </c>
      <c r="C342" s="729" t="s">
        <v>539</v>
      </c>
      <c r="D342" s="729" t="s">
        <v>538</v>
      </c>
      <c r="E342" s="1147">
        <v>178963.41</v>
      </c>
      <c r="F342" s="775">
        <v>45681</v>
      </c>
      <c r="G342" s="775">
        <v>45765</v>
      </c>
      <c r="H342" s="729" t="s">
        <v>27</v>
      </c>
      <c r="I342" s="819"/>
      <c r="J342" s="729" t="s">
        <v>120</v>
      </c>
      <c r="K342" s="1145"/>
      <c r="L342" s="932"/>
      <c r="M342" s="919">
        <f ca="1" t="shared" si="10"/>
        <v>454</v>
      </c>
      <c r="N342" s="728">
        <f t="shared" si="11"/>
        <v>45860</v>
      </c>
    </row>
    <row r="343" ht="20.1" customHeight="1" spans="1:14">
      <c r="A343" s="819">
        <v>364</v>
      </c>
      <c r="B343" s="729" t="s">
        <v>79</v>
      </c>
      <c r="C343" s="729" t="s">
        <v>540</v>
      </c>
      <c r="D343" s="729" t="s">
        <v>541</v>
      </c>
      <c r="E343" s="1147">
        <v>248158.39</v>
      </c>
      <c r="F343" s="775">
        <v>45735</v>
      </c>
      <c r="G343" s="775">
        <v>45765</v>
      </c>
      <c r="H343" s="729" t="s">
        <v>27</v>
      </c>
      <c r="I343" s="819"/>
      <c r="J343" s="729" t="s">
        <v>120</v>
      </c>
      <c r="K343" s="1145"/>
      <c r="L343" s="938" t="s">
        <v>542</v>
      </c>
      <c r="M343" s="919">
        <f ca="1" t="shared" si="10"/>
        <v>400</v>
      </c>
      <c r="N343" s="728">
        <f t="shared" si="11"/>
        <v>45914</v>
      </c>
    </row>
    <row r="344" ht="20.1" hidden="1" customHeight="1" spans="1:14">
      <c r="A344" s="819">
        <v>341</v>
      </c>
      <c r="B344" s="729" t="s">
        <v>41</v>
      </c>
      <c r="C344" s="729" t="s">
        <v>543</v>
      </c>
      <c r="D344" s="729" t="s">
        <v>544</v>
      </c>
      <c r="E344" s="1147">
        <v>19200</v>
      </c>
      <c r="F344" s="775">
        <v>45713</v>
      </c>
      <c r="G344" s="775">
        <v>45771</v>
      </c>
      <c r="H344" s="729" t="s">
        <v>27</v>
      </c>
      <c r="I344" s="819"/>
      <c r="J344" s="729" t="s">
        <v>120</v>
      </c>
      <c r="K344" s="1145"/>
      <c r="L344" s="932"/>
      <c r="M344" s="919">
        <f ca="1" t="shared" si="10"/>
        <v>422</v>
      </c>
      <c r="N344" s="728">
        <f t="shared" si="11"/>
        <v>45892</v>
      </c>
    </row>
    <row r="345" ht="20.1" hidden="1" customHeight="1" spans="1:14">
      <c r="A345" s="819">
        <v>342</v>
      </c>
      <c r="B345" s="729" t="s">
        <v>41</v>
      </c>
      <c r="C345" s="729" t="s">
        <v>545</v>
      </c>
      <c r="D345" s="729" t="s">
        <v>544</v>
      </c>
      <c r="E345" s="1147">
        <v>95990.46</v>
      </c>
      <c r="F345" s="775">
        <v>45713</v>
      </c>
      <c r="G345" s="775">
        <v>45771</v>
      </c>
      <c r="H345" s="729" t="s">
        <v>27</v>
      </c>
      <c r="I345" s="819"/>
      <c r="J345" s="729" t="s">
        <v>120</v>
      </c>
      <c r="K345" s="1197"/>
      <c r="L345" s="1117"/>
      <c r="M345" s="919">
        <f ca="1" t="shared" si="10"/>
        <v>422</v>
      </c>
      <c r="N345" s="728">
        <f t="shared" si="11"/>
        <v>45892</v>
      </c>
    </row>
    <row r="346" ht="20.1" customHeight="1" spans="1:14">
      <c r="A346" s="819">
        <v>334</v>
      </c>
      <c r="B346" s="729" t="s">
        <v>79</v>
      </c>
      <c r="C346" s="729" t="s">
        <v>546</v>
      </c>
      <c r="D346" s="729" t="s">
        <v>547</v>
      </c>
      <c r="E346" s="1147">
        <v>286071.39</v>
      </c>
      <c r="F346" s="775">
        <v>45702</v>
      </c>
      <c r="G346" s="775">
        <v>45777</v>
      </c>
      <c r="H346" s="729" t="s">
        <v>27</v>
      </c>
      <c r="I346" s="819"/>
      <c r="J346" s="729" t="s">
        <v>120</v>
      </c>
      <c r="K346" s="1145"/>
      <c r="L346" s="932"/>
      <c r="M346" s="919">
        <f ca="1" t="shared" si="10"/>
        <v>433</v>
      </c>
      <c r="N346" s="728">
        <f t="shared" si="11"/>
        <v>45881</v>
      </c>
    </row>
    <row r="347" ht="20.1" customHeight="1" spans="1:14">
      <c r="A347" s="819">
        <v>367</v>
      </c>
      <c r="B347" s="729" t="s">
        <v>79</v>
      </c>
      <c r="C347" s="729" t="s">
        <v>548</v>
      </c>
      <c r="D347" s="729" t="s">
        <v>549</v>
      </c>
      <c r="E347" s="1147">
        <v>110786.45</v>
      </c>
      <c r="F347" s="775">
        <v>45737</v>
      </c>
      <c r="G347" s="775">
        <v>45777</v>
      </c>
      <c r="H347" s="729" t="s">
        <v>27</v>
      </c>
      <c r="I347" s="819"/>
      <c r="J347" s="729" t="s">
        <v>120</v>
      </c>
      <c r="K347" s="1145"/>
      <c r="L347" s="932"/>
      <c r="M347" s="919">
        <f ca="1" t="shared" si="10"/>
        <v>398</v>
      </c>
      <c r="N347" s="728">
        <f t="shared" si="11"/>
        <v>45916</v>
      </c>
    </row>
    <row r="348" ht="20.1" hidden="1" customHeight="1" spans="1:14">
      <c r="A348" s="819">
        <v>298</v>
      </c>
      <c r="B348" s="729" t="s">
        <v>37</v>
      </c>
      <c r="C348" s="729" t="s">
        <v>550</v>
      </c>
      <c r="D348" s="729" t="s">
        <v>453</v>
      </c>
      <c r="E348" s="1147">
        <v>237714.3</v>
      </c>
      <c r="F348" s="775">
        <v>45666</v>
      </c>
      <c r="G348" s="775">
        <v>45783</v>
      </c>
      <c r="H348" s="729" t="s">
        <v>27</v>
      </c>
      <c r="I348" s="819"/>
      <c r="J348" s="729" t="s">
        <v>120</v>
      </c>
      <c r="K348" s="1145"/>
      <c r="L348" s="932"/>
      <c r="M348" s="919">
        <f ca="1" t="shared" si="10"/>
        <v>469</v>
      </c>
      <c r="N348" s="728">
        <f t="shared" si="11"/>
        <v>45845</v>
      </c>
    </row>
    <row r="349" ht="20.1" hidden="1" customHeight="1" spans="1:14">
      <c r="A349" s="819">
        <v>299</v>
      </c>
      <c r="B349" s="729" t="s">
        <v>37</v>
      </c>
      <c r="C349" s="729" t="s">
        <v>551</v>
      </c>
      <c r="D349" s="729" t="s">
        <v>453</v>
      </c>
      <c r="E349" s="1147">
        <v>419047.6</v>
      </c>
      <c r="F349" s="775">
        <v>45666</v>
      </c>
      <c r="G349" s="775">
        <v>45783</v>
      </c>
      <c r="H349" s="729" t="s">
        <v>27</v>
      </c>
      <c r="I349" s="819"/>
      <c r="J349" s="729" t="s">
        <v>120</v>
      </c>
      <c r="K349" s="1145"/>
      <c r="L349" s="932"/>
      <c r="M349" s="919">
        <f ca="1" t="shared" si="10"/>
        <v>469</v>
      </c>
      <c r="N349" s="728">
        <f t="shared" si="11"/>
        <v>45845</v>
      </c>
    </row>
    <row r="350" ht="20.1" hidden="1" customHeight="1" spans="1:14">
      <c r="A350" s="819">
        <v>312</v>
      </c>
      <c r="B350" s="729" t="s">
        <v>28</v>
      </c>
      <c r="C350" s="729" t="s">
        <v>552</v>
      </c>
      <c r="D350" s="729" t="s">
        <v>521</v>
      </c>
      <c r="E350" s="1147">
        <v>79200</v>
      </c>
      <c r="F350" s="775">
        <v>45677</v>
      </c>
      <c r="G350" s="775">
        <v>45783</v>
      </c>
      <c r="H350" s="729" t="s">
        <v>27</v>
      </c>
      <c r="I350" s="819"/>
      <c r="J350" s="729" t="s">
        <v>120</v>
      </c>
      <c r="K350" s="1145"/>
      <c r="L350" s="932"/>
      <c r="M350" s="919">
        <f ca="1" t="shared" si="10"/>
        <v>458</v>
      </c>
      <c r="N350" s="728">
        <f t="shared" si="11"/>
        <v>45856</v>
      </c>
    </row>
    <row r="351" ht="20.1" hidden="1" customHeight="1" spans="1:14">
      <c r="A351" s="819">
        <v>313</v>
      </c>
      <c r="B351" s="729" t="s">
        <v>22</v>
      </c>
      <c r="C351" s="729" t="s">
        <v>97</v>
      </c>
      <c r="D351" s="729" t="s">
        <v>521</v>
      </c>
      <c r="E351" s="1147">
        <v>8000000</v>
      </c>
      <c r="F351" s="757">
        <v>45678</v>
      </c>
      <c r="G351" s="775">
        <v>45783</v>
      </c>
      <c r="H351" s="729" t="s">
        <v>17</v>
      </c>
      <c r="I351" s="819"/>
      <c r="J351" s="729" t="s">
        <v>120</v>
      </c>
      <c r="K351" s="1145"/>
      <c r="L351" s="932"/>
      <c r="M351" s="919">
        <f ca="1" t="shared" si="10"/>
        <v>457</v>
      </c>
      <c r="N351" s="728">
        <f t="shared" si="11"/>
        <v>45857</v>
      </c>
    </row>
    <row r="352" ht="20.1" customHeight="1" spans="1:14">
      <c r="A352" s="819">
        <v>405</v>
      </c>
      <c r="B352" s="729" t="s">
        <v>79</v>
      </c>
      <c r="C352" s="729" t="s">
        <v>553</v>
      </c>
      <c r="D352" s="729" t="s">
        <v>401</v>
      </c>
      <c r="E352" s="1147">
        <v>274285.72</v>
      </c>
      <c r="F352" s="775">
        <v>45771</v>
      </c>
      <c r="G352" s="775">
        <v>45783</v>
      </c>
      <c r="H352" s="729" t="s">
        <v>17</v>
      </c>
      <c r="I352" s="819"/>
      <c r="J352" s="729" t="s">
        <v>120</v>
      </c>
      <c r="K352" s="1145"/>
      <c r="L352" s="932"/>
      <c r="M352" s="919">
        <f ca="1" t="shared" si="10"/>
        <v>364</v>
      </c>
      <c r="N352" s="728">
        <f t="shared" si="11"/>
        <v>45950</v>
      </c>
    </row>
    <row r="353" ht="20.1" customHeight="1" spans="1:14">
      <c r="A353" s="819">
        <v>406</v>
      </c>
      <c r="B353" s="729" t="s">
        <v>79</v>
      </c>
      <c r="C353" s="729" t="s">
        <v>554</v>
      </c>
      <c r="D353" s="729" t="s">
        <v>401</v>
      </c>
      <c r="E353" s="1147">
        <v>132749.15</v>
      </c>
      <c r="F353" s="757" t="s">
        <v>555</v>
      </c>
      <c r="G353" s="775">
        <v>45783</v>
      </c>
      <c r="H353" s="729" t="s">
        <v>27</v>
      </c>
      <c r="I353" s="819"/>
      <c r="J353" s="729" t="s">
        <v>120</v>
      </c>
      <c r="K353" s="1145"/>
      <c r="L353" s="932"/>
      <c r="M353" s="919">
        <f ca="1" t="shared" si="10"/>
        <v>364</v>
      </c>
      <c r="N353" s="728">
        <f t="shared" si="11"/>
        <v>45950</v>
      </c>
    </row>
    <row r="354" ht="20.1" hidden="1" customHeight="1" spans="1:14">
      <c r="A354" s="819">
        <v>335</v>
      </c>
      <c r="B354" s="729" t="s">
        <v>25</v>
      </c>
      <c r="C354" s="729" t="s">
        <v>556</v>
      </c>
      <c r="D354" s="729" t="s">
        <v>547</v>
      </c>
      <c r="E354" s="1147">
        <v>120778.1</v>
      </c>
      <c r="F354" s="757">
        <v>45702</v>
      </c>
      <c r="G354" s="775">
        <v>45784</v>
      </c>
      <c r="H354" s="729" t="s">
        <v>27</v>
      </c>
      <c r="I354" s="819"/>
      <c r="J354" s="729" t="s">
        <v>120</v>
      </c>
      <c r="K354" s="1145"/>
      <c r="L354" s="897"/>
      <c r="M354" s="919">
        <f ca="1" t="shared" si="10"/>
        <v>433</v>
      </c>
      <c r="N354" s="728">
        <f t="shared" si="11"/>
        <v>45881</v>
      </c>
    </row>
    <row r="355" ht="20.1" hidden="1" customHeight="1" spans="1:14">
      <c r="A355" s="819">
        <v>343</v>
      </c>
      <c r="B355" s="729" t="s">
        <v>25</v>
      </c>
      <c r="C355" s="729" t="s">
        <v>557</v>
      </c>
      <c r="D355" s="729" t="s">
        <v>558</v>
      </c>
      <c r="E355" s="1147">
        <v>118571.73</v>
      </c>
      <c r="F355" s="757">
        <v>45713</v>
      </c>
      <c r="G355" s="775">
        <v>45784</v>
      </c>
      <c r="H355" s="729" t="s">
        <v>27</v>
      </c>
      <c r="I355" s="819"/>
      <c r="J355" s="729" t="s">
        <v>120</v>
      </c>
      <c r="K355" s="1145"/>
      <c r="L355" s="897"/>
      <c r="M355" s="919">
        <f ca="1" t="shared" si="10"/>
        <v>422</v>
      </c>
      <c r="N355" s="728">
        <f t="shared" si="11"/>
        <v>45892</v>
      </c>
    </row>
    <row r="356" ht="20.1" hidden="1" customHeight="1" spans="1:14">
      <c r="A356" s="819">
        <v>356</v>
      </c>
      <c r="B356" s="729" t="s">
        <v>25</v>
      </c>
      <c r="C356" s="729" t="s">
        <v>559</v>
      </c>
      <c r="D356" s="729" t="s">
        <v>558</v>
      </c>
      <c r="E356" s="1147">
        <v>139975.56</v>
      </c>
      <c r="F356" s="757">
        <v>45730</v>
      </c>
      <c r="G356" s="775">
        <v>45784</v>
      </c>
      <c r="H356" s="729" t="s">
        <v>27</v>
      </c>
      <c r="I356" s="819"/>
      <c r="J356" s="729" t="s">
        <v>120</v>
      </c>
      <c r="K356" s="1145"/>
      <c r="L356" s="897"/>
      <c r="M356" s="919">
        <f ca="1" t="shared" si="10"/>
        <v>405</v>
      </c>
      <c r="N356" s="728">
        <f t="shared" si="11"/>
        <v>45909</v>
      </c>
    </row>
    <row r="357" ht="20.1" hidden="1" customHeight="1" spans="1:14">
      <c r="A357" s="819">
        <v>361</v>
      </c>
      <c r="B357" s="729" t="s">
        <v>25</v>
      </c>
      <c r="C357" s="729" t="s">
        <v>560</v>
      </c>
      <c r="D357" s="729" t="s">
        <v>561</v>
      </c>
      <c r="E357" s="1147">
        <v>114355.45</v>
      </c>
      <c r="F357" s="757">
        <v>45734</v>
      </c>
      <c r="G357" s="775">
        <v>45784</v>
      </c>
      <c r="H357" s="729" t="s">
        <v>27</v>
      </c>
      <c r="I357" s="819"/>
      <c r="J357" s="729" t="s">
        <v>120</v>
      </c>
      <c r="K357" s="1145"/>
      <c r="L357" s="897"/>
      <c r="M357" s="919">
        <f ca="1" t="shared" si="10"/>
        <v>401</v>
      </c>
      <c r="N357" s="728">
        <f t="shared" si="11"/>
        <v>45913</v>
      </c>
    </row>
    <row r="358" ht="20.1" hidden="1" customHeight="1" spans="1:14">
      <c r="A358" s="819">
        <v>362</v>
      </c>
      <c r="B358" s="729" t="s">
        <v>25</v>
      </c>
      <c r="C358" s="729" t="s">
        <v>562</v>
      </c>
      <c r="D358" s="729" t="s">
        <v>561</v>
      </c>
      <c r="E358" s="1147">
        <v>119039.37</v>
      </c>
      <c r="F358" s="757">
        <v>45734</v>
      </c>
      <c r="G358" s="775">
        <v>45784</v>
      </c>
      <c r="H358" s="729" t="s">
        <v>27</v>
      </c>
      <c r="I358" s="819"/>
      <c r="J358" s="729" t="s">
        <v>120</v>
      </c>
      <c r="K358" s="1197"/>
      <c r="L358" s="933"/>
      <c r="M358" s="919">
        <f ca="1" t="shared" si="10"/>
        <v>401</v>
      </c>
      <c r="N358" s="728">
        <f t="shared" si="11"/>
        <v>45913</v>
      </c>
    </row>
    <row r="359" ht="45" hidden="1" customHeight="1" spans="1:14">
      <c r="A359" s="819">
        <v>366</v>
      </c>
      <c r="B359" s="729" t="s">
        <v>25</v>
      </c>
      <c r="C359" s="729" t="s">
        <v>563</v>
      </c>
      <c r="D359" s="729" t="s">
        <v>549</v>
      </c>
      <c r="E359" s="1147">
        <v>404050</v>
      </c>
      <c r="F359" s="757">
        <v>45736</v>
      </c>
      <c r="G359" s="775">
        <v>45784</v>
      </c>
      <c r="H359" s="729" t="s">
        <v>27</v>
      </c>
      <c r="I359" s="819"/>
      <c r="J359" s="729" t="s">
        <v>120</v>
      </c>
      <c r="K359" s="1145"/>
      <c r="L359" s="897"/>
      <c r="M359" s="919">
        <f ca="1" t="shared" si="10"/>
        <v>399</v>
      </c>
      <c r="N359" s="728">
        <f t="shared" si="11"/>
        <v>45915</v>
      </c>
    </row>
    <row r="360" ht="20.1" customHeight="1" spans="1:14">
      <c r="A360" s="819">
        <v>336</v>
      </c>
      <c r="B360" s="729" t="s">
        <v>79</v>
      </c>
      <c r="C360" s="729" t="s">
        <v>564</v>
      </c>
      <c r="D360" s="729" t="s">
        <v>544</v>
      </c>
      <c r="E360" s="1147">
        <v>523957.08</v>
      </c>
      <c r="F360" s="757">
        <v>45706</v>
      </c>
      <c r="G360" s="775">
        <v>45790</v>
      </c>
      <c r="H360" s="729" t="s">
        <v>17</v>
      </c>
      <c r="I360" s="819"/>
      <c r="J360" s="729" t="s">
        <v>120</v>
      </c>
      <c r="K360" s="1145"/>
      <c r="L360" s="932"/>
      <c r="M360" s="919">
        <f ca="1" t="shared" si="10"/>
        <v>429</v>
      </c>
      <c r="N360" s="728">
        <f t="shared" si="11"/>
        <v>45885</v>
      </c>
    </row>
    <row r="361" ht="20.1" customHeight="1" spans="1:14">
      <c r="A361" s="819">
        <v>337</v>
      </c>
      <c r="B361" s="729" t="s">
        <v>79</v>
      </c>
      <c r="C361" s="729" t="s">
        <v>565</v>
      </c>
      <c r="D361" s="729" t="s">
        <v>547</v>
      </c>
      <c r="E361" s="1147">
        <v>199151.9</v>
      </c>
      <c r="F361" s="757">
        <v>45707</v>
      </c>
      <c r="G361" s="775">
        <v>45790</v>
      </c>
      <c r="H361" s="729" t="s">
        <v>27</v>
      </c>
      <c r="I361" s="819"/>
      <c r="J361" s="729" t="s">
        <v>120</v>
      </c>
      <c r="K361" s="1145"/>
      <c r="L361" s="932"/>
      <c r="M361" s="919">
        <f ca="1" t="shared" si="10"/>
        <v>428</v>
      </c>
      <c r="N361" s="728">
        <f t="shared" si="11"/>
        <v>45886</v>
      </c>
    </row>
    <row r="362" ht="20.1" hidden="1" customHeight="1" spans="1:14">
      <c r="A362" s="819">
        <v>382</v>
      </c>
      <c r="B362" s="729" t="s">
        <v>28</v>
      </c>
      <c r="C362" s="729" t="s">
        <v>566</v>
      </c>
      <c r="D362" s="729" t="s">
        <v>292</v>
      </c>
      <c r="E362" s="1147">
        <v>193475.87</v>
      </c>
      <c r="F362" s="757">
        <v>45744</v>
      </c>
      <c r="G362" s="775">
        <v>45790</v>
      </c>
      <c r="H362" s="729" t="s">
        <v>27</v>
      </c>
      <c r="I362" s="819"/>
      <c r="J362" s="729" t="s">
        <v>120</v>
      </c>
      <c r="K362" s="1145"/>
      <c r="L362" s="932"/>
      <c r="M362" s="919">
        <f ca="1" t="shared" si="10"/>
        <v>391</v>
      </c>
      <c r="N362" s="728">
        <f t="shared" si="11"/>
        <v>45923</v>
      </c>
    </row>
    <row r="363" ht="20.1" hidden="1" customHeight="1" spans="1:14">
      <c r="A363" s="819">
        <v>415</v>
      </c>
      <c r="B363" s="729" t="s">
        <v>287</v>
      </c>
      <c r="C363" s="729" t="s">
        <v>567</v>
      </c>
      <c r="D363" s="729" t="s">
        <v>292</v>
      </c>
      <c r="E363" s="1147">
        <v>63736</v>
      </c>
      <c r="F363" s="757">
        <v>45775</v>
      </c>
      <c r="G363" s="775">
        <v>45790</v>
      </c>
      <c r="H363" s="729" t="s">
        <v>27</v>
      </c>
      <c r="I363" s="819"/>
      <c r="J363" s="729" t="s">
        <v>120</v>
      </c>
      <c r="K363" s="1197"/>
      <c r="L363" s="1117"/>
      <c r="M363" s="919">
        <f ca="1" t="shared" si="10"/>
        <v>360</v>
      </c>
      <c r="N363" s="728">
        <f t="shared" si="11"/>
        <v>45954</v>
      </c>
    </row>
    <row r="364" ht="20.1" hidden="1" customHeight="1" spans="1:14">
      <c r="A364" s="819">
        <v>388</v>
      </c>
      <c r="B364" s="729" t="s">
        <v>28</v>
      </c>
      <c r="C364" s="729" t="s">
        <v>568</v>
      </c>
      <c r="D364" s="729" t="s">
        <v>569</v>
      </c>
      <c r="E364" s="1147">
        <v>200000</v>
      </c>
      <c r="F364" s="757">
        <v>45750</v>
      </c>
      <c r="G364" s="775">
        <v>45793</v>
      </c>
      <c r="H364" s="729" t="s">
        <v>27</v>
      </c>
      <c r="I364" s="819"/>
      <c r="J364" s="729" t="s">
        <v>120</v>
      </c>
      <c r="K364" s="1197"/>
      <c r="L364" s="1117"/>
      <c r="M364" s="919">
        <f ca="1" t="shared" si="10"/>
        <v>385</v>
      </c>
      <c r="N364" s="728">
        <f t="shared" si="11"/>
        <v>45929</v>
      </c>
    </row>
    <row r="365" ht="20.1" hidden="1" customHeight="1" spans="1:14">
      <c r="A365" s="819">
        <v>315</v>
      </c>
      <c r="B365" s="729" t="s">
        <v>133</v>
      </c>
      <c r="C365" s="729" t="s">
        <v>570</v>
      </c>
      <c r="D365" s="819" t="s">
        <v>521</v>
      </c>
      <c r="E365" s="1147">
        <v>43917.09</v>
      </c>
      <c r="F365" s="757">
        <v>45679</v>
      </c>
      <c r="G365" s="775">
        <v>45798</v>
      </c>
      <c r="H365" s="729" t="s">
        <v>27</v>
      </c>
      <c r="I365" s="819"/>
      <c r="J365" s="729" t="s">
        <v>120</v>
      </c>
      <c r="K365" s="1145"/>
      <c r="L365" s="932"/>
      <c r="M365" s="919">
        <f ca="1" t="shared" si="10"/>
        <v>456</v>
      </c>
      <c r="N365" s="728">
        <f t="shared" si="11"/>
        <v>45858</v>
      </c>
    </row>
    <row r="366" ht="20.1" hidden="1" customHeight="1" spans="1:14">
      <c r="A366" s="819">
        <v>363</v>
      </c>
      <c r="B366" s="729" t="s">
        <v>22</v>
      </c>
      <c r="C366" s="729" t="s">
        <v>571</v>
      </c>
      <c r="D366" s="729" t="s">
        <v>572</v>
      </c>
      <c r="E366" s="1147">
        <v>650673.23</v>
      </c>
      <c r="F366" s="757">
        <v>45734</v>
      </c>
      <c r="G366" s="775">
        <v>45798</v>
      </c>
      <c r="H366" s="729" t="s">
        <v>17</v>
      </c>
      <c r="I366" s="819"/>
      <c r="J366" s="729" t="s">
        <v>120</v>
      </c>
      <c r="K366" s="1145"/>
      <c r="L366" s="932"/>
      <c r="M366" s="919">
        <f ca="1" t="shared" si="10"/>
        <v>401</v>
      </c>
      <c r="N366" s="728">
        <f t="shared" si="11"/>
        <v>45913</v>
      </c>
    </row>
    <row r="367" ht="20.1" hidden="1" customHeight="1" spans="1:14">
      <c r="A367" s="819">
        <v>393</v>
      </c>
      <c r="B367" s="729" t="s">
        <v>31</v>
      </c>
      <c r="C367" s="729" t="s">
        <v>573</v>
      </c>
      <c r="D367" s="729" t="s">
        <v>574</v>
      </c>
      <c r="E367" s="1147">
        <v>600000</v>
      </c>
      <c r="F367" s="757">
        <v>45762</v>
      </c>
      <c r="G367" s="775">
        <v>45800</v>
      </c>
      <c r="H367" s="729" t="s">
        <v>17</v>
      </c>
      <c r="I367" s="819"/>
      <c r="J367" s="729" t="s">
        <v>120</v>
      </c>
      <c r="K367" s="1145"/>
      <c r="L367" s="932"/>
      <c r="M367" s="919">
        <f ca="1" t="shared" si="10"/>
        <v>373</v>
      </c>
      <c r="N367" s="728">
        <f t="shared" si="11"/>
        <v>45941</v>
      </c>
    </row>
    <row r="368" ht="20.1" hidden="1" customHeight="1" spans="1:14">
      <c r="A368" s="819">
        <v>416</v>
      </c>
      <c r="B368" s="729" t="s">
        <v>22</v>
      </c>
      <c r="C368" s="729" t="s">
        <v>575</v>
      </c>
      <c r="D368" s="729" t="s">
        <v>576</v>
      </c>
      <c r="E368" s="1147">
        <v>300000</v>
      </c>
      <c r="F368" s="757">
        <v>45777</v>
      </c>
      <c r="G368" s="775">
        <v>45800</v>
      </c>
      <c r="H368" s="729" t="s">
        <v>27</v>
      </c>
      <c r="I368" s="819"/>
      <c r="J368" s="729" t="s">
        <v>120</v>
      </c>
      <c r="K368" s="1197"/>
      <c r="L368" s="1117"/>
      <c r="M368" s="919">
        <f ca="1" t="shared" si="10"/>
        <v>358</v>
      </c>
      <c r="N368" s="728">
        <f t="shared" si="11"/>
        <v>45956</v>
      </c>
    </row>
    <row r="369" ht="20.1" hidden="1" customHeight="1" spans="1:14">
      <c r="A369" s="819">
        <v>368</v>
      </c>
      <c r="B369" s="729" t="s">
        <v>25</v>
      </c>
      <c r="C369" s="729" t="s">
        <v>577</v>
      </c>
      <c r="D369" s="819" t="s">
        <v>578</v>
      </c>
      <c r="E369" s="1147">
        <v>119827.76</v>
      </c>
      <c r="F369" s="757">
        <v>45737</v>
      </c>
      <c r="G369" s="775">
        <v>45803</v>
      </c>
      <c r="H369" s="729" t="s">
        <v>27</v>
      </c>
      <c r="I369" s="819"/>
      <c r="J369" s="729" t="s">
        <v>120</v>
      </c>
      <c r="K369" s="1145"/>
      <c r="L369" s="897"/>
      <c r="M369" s="919">
        <f ca="1" t="shared" si="10"/>
        <v>398</v>
      </c>
      <c r="N369" s="728">
        <f t="shared" si="11"/>
        <v>45916</v>
      </c>
    </row>
    <row r="370" ht="20.1" hidden="1" customHeight="1" spans="1:14">
      <c r="A370" s="819">
        <v>369</v>
      </c>
      <c r="B370" s="729" t="s">
        <v>25</v>
      </c>
      <c r="C370" s="729" t="s">
        <v>579</v>
      </c>
      <c r="D370" s="729" t="s">
        <v>549</v>
      </c>
      <c r="E370" s="1147">
        <v>40000</v>
      </c>
      <c r="F370" s="775">
        <v>45737</v>
      </c>
      <c r="G370" s="775">
        <v>45803</v>
      </c>
      <c r="H370" s="729" t="s">
        <v>27</v>
      </c>
      <c r="I370" s="819"/>
      <c r="J370" s="729" t="s">
        <v>120</v>
      </c>
      <c r="K370" s="1197"/>
      <c r="L370" s="933"/>
      <c r="M370" s="919">
        <f ca="1" t="shared" si="10"/>
        <v>398</v>
      </c>
      <c r="N370" s="728">
        <f t="shared" si="11"/>
        <v>45916</v>
      </c>
    </row>
    <row r="371" ht="20.1" hidden="1" customHeight="1" spans="1:14">
      <c r="A371" s="819">
        <v>372</v>
      </c>
      <c r="B371" s="729" t="s">
        <v>25</v>
      </c>
      <c r="C371" s="729" t="s">
        <v>580</v>
      </c>
      <c r="D371" s="729" t="s">
        <v>292</v>
      </c>
      <c r="E371" s="1147"/>
      <c r="F371" s="757">
        <v>45740</v>
      </c>
      <c r="G371" s="775">
        <v>45803</v>
      </c>
      <c r="H371" s="729" t="s">
        <v>27</v>
      </c>
      <c r="I371" s="819"/>
      <c r="J371" s="729" t="s">
        <v>55</v>
      </c>
      <c r="K371" s="1197"/>
      <c r="L371" s="933"/>
      <c r="M371" s="919">
        <f ca="1" t="shared" si="10"/>
        <v>395</v>
      </c>
      <c r="N371" s="728">
        <f t="shared" si="11"/>
        <v>45919</v>
      </c>
    </row>
    <row r="372" ht="20.1" hidden="1" customHeight="1" spans="1:14">
      <c r="A372" s="819">
        <v>373</v>
      </c>
      <c r="B372" s="729" t="s">
        <v>25</v>
      </c>
      <c r="C372" s="729" t="s">
        <v>581</v>
      </c>
      <c r="D372" s="729" t="s">
        <v>292</v>
      </c>
      <c r="E372" s="1147">
        <v>80172.05</v>
      </c>
      <c r="F372" s="757">
        <v>45741</v>
      </c>
      <c r="G372" s="775">
        <v>45803</v>
      </c>
      <c r="H372" s="729" t="s">
        <v>27</v>
      </c>
      <c r="I372" s="819"/>
      <c r="J372" s="729" t="s">
        <v>120</v>
      </c>
      <c r="K372" s="1145"/>
      <c r="L372" s="897"/>
      <c r="M372" s="919">
        <f ca="1" t="shared" si="10"/>
        <v>394</v>
      </c>
      <c r="N372" s="728">
        <f t="shared" si="11"/>
        <v>45920</v>
      </c>
    </row>
    <row r="373" ht="20.1" hidden="1" customHeight="1" spans="1:14">
      <c r="A373" s="819">
        <v>378</v>
      </c>
      <c r="B373" s="729" t="s">
        <v>25</v>
      </c>
      <c r="C373" s="729" t="s">
        <v>175</v>
      </c>
      <c r="D373" s="729" t="s">
        <v>292</v>
      </c>
      <c r="E373" s="1147">
        <v>59216.34</v>
      </c>
      <c r="F373" s="757">
        <v>45742</v>
      </c>
      <c r="G373" s="775">
        <v>45803</v>
      </c>
      <c r="H373" s="729" t="s">
        <v>27</v>
      </c>
      <c r="I373" s="819"/>
      <c r="J373" s="729" t="s">
        <v>120</v>
      </c>
      <c r="K373" s="1145"/>
      <c r="L373" s="932"/>
      <c r="M373" s="919">
        <f ca="1" t="shared" si="10"/>
        <v>393</v>
      </c>
      <c r="N373" s="728">
        <f t="shared" si="11"/>
        <v>45921</v>
      </c>
    </row>
    <row r="374" ht="20.1" hidden="1" customHeight="1" spans="1:14">
      <c r="A374" s="819">
        <v>358</v>
      </c>
      <c r="B374" s="729" t="s">
        <v>582</v>
      </c>
      <c r="C374" s="729" t="s">
        <v>583</v>
      </c>
      <c r="D374" s="729" t="s">
        <v>531</v>
      </c>
      <c r="E374" s="1147">
        <v>800000</v>
      </c>
      <c r="F374" s="757">
        <v>45733</v>
      </c>
      <c r="G374" s="775">
        <v>45804</v>
      </c>
      <c r="H374" s="729" t="s">
        <v>17</v>
      </c>
      <c r="I374" s="819"/>
      <c r="J374" s="729" t="s">
        <v>55</v>
      </c>
      <c r="K374" s="1197"/>
      <c r="L374" s="1210" t="s">
        <v>584</v>
      </c>
      <c r="M374" s="919">
        <f ca="1" t="shared" si="10"/>
        <v>402</v>
      </c>
      <c r="N374" s="728">
        <f t="shared" si="11"/>
        <v>45912</v>
      </c>
    </row>
    <row r="375" ht="20.1" hidden="1" customHeight="1" spans="1:14">
      <c r="A375" s="819">
        <v>383</v>
      </c>
      <c r="B375" s="729" t="s">
        <v>582</v>
      </c>
      <c r="C375" s="729" t="s">
        <v>585</v>
      </c>
      <c r="D375" s="819" t="s">
        <v>586</v>
      </c>
      <c r="E375" s="1147">
        <v>1000000</v>
      </c>
      <c r="F375" s="757">
        <v>45744</v>
      </c>
      <c r="G375" s="775">
        <v>45804</v>
      </c>
      <c r="H375" s="729" t="s">
        <v>17</v>
      </c>
      <c r="I375" s="819"/>
      <c r="J375" s="729" t="s">
        <v>120</v>
      </c>
      <c r="K375" s="1197"/>
      <c r="L375" s="1117"/>
      <c r="M375" s="919">
        <f ca="1" t="shared" si="10"/>
        <v>391</v>
      </c>
      <c r="N375" s="728">
        <f t="shared" si="11"/>
        <v>45923</v>
      </c>
    </row>
    <row r="376" ht="20.1" hidden="1" customHeight="1" spans="1:14">
      <c r="A376" s="819">
        <v>404</v>
      </c>
      <c r="B376" s="729" t="s">
        <v>28</v>
      </c>
      <c r="C376" s="729" t="s">
        <v>587</v>
      </c>
      <c r="D376" s="729" t="s">
        <v>588</v>
      </c>
      <c r="E376" s="1147">
        <v>181567.21</v>
      </c>
      <c r="F376" s="757">
        <v>45769</v>
      </c>
      <c r="G376" s="775">
        <v>45805</v>
      </c>
      <c r="H376" s="729" t="s">
        <v>27</v>
      </c>
      <c r="I376" s="819"/>
      <c r="J376" s="729" t="s">
        <v>120</v>
      </c>
      <c r="K376" s="1145"/>
      <c r="L376" s="932"/>
      <c r="M376" s="919">
        <f ca="1" t="shared" si="10"/>
        <v>366</v>
      </c>
      <c r="N376" s="728">
        <f t="shared" si="11"/>
        <v>45948</v>
      </c>
    </row>
    <row r="377" ht="20.1" hidden="1" customHeight="1" spans="1:14">
      <c r="A377" s="819">
        <v>359</v>
      </c>
      <c r="B377" s="729" t="s">
        <v>22</v>
      </c>
      <c r="C377" s="934" t="s">
        <v>589</v>
      </c>
      <c r="D377" s="729" t="s">
        <v>544</v>
      </c>
      <c r="E377" s="1147">
        <v>319960</v>
      </c>
      <c r="F377" s="775">
        <v>45733</v>
      </c>
      <c r="G377" s="775">
        <v>45806</v>
      </c>
      <c r="H377" s="729" t="s">
        <v>27</v>
      </c>
      <c r="I377" s="1111"/>
      <c r="J377" s="729" t="s">
        <v>120</v>
      </c>
      <c r="K377" s="1145"/>
      <c r="L377" s="932"/>
      <c r="M377" s="919">
        <f ca="1" t="shared" si="10"/>
        <v>402</v>
      </c>
      <c r="N377" s="728">
        <f t="shared" si="11"/>
        <v>45912</v>
      </c>
    </row>
    <row r="378" ht="20.1" hidden="1" customHeight="1" spans="1:14">
      <c r="A378" s="819">
        <v>422</v>
      </c>
      <c r="B378" s="729" t="s">
        <v>287</v>
      </c>
      <c r="C378" s="934" t="s">
        <v>590</v>
      </c>
      <c r="D378" s="729" t="s">
        <v>591</v>
      </c>
      <c r="E378" s="1147">
        <v>40000</v>
      </c>
      <c r="F378" s="775">
        <v>45786</v>
      </c>
      <c r="G378" s="775">
        <v>45806</v>
      </c>
      <c r="H378" s="729" t="s">
        <v>27</v>
      </c>
      <c r="I378" s="819"/>
      <c r="J378" s="729" t="s">
        <v>120</v>
      </c>
      <c r="K378" s="1145"/>
      <c r="L378" s="932"/>
      <c r="M378" s="919">
        <f ca="1" t="shared" si="10"/>
        <v>349</v>
      </c>
      <c r="N378" s="728">
        <f t="shared" si="11"/>
        <v>45965</v>
      </c>
    </row>
    <row r="379" ht="20.1" hidden="1" customHeight="1" spans="1:14">
      <c r="A379" s="819">
        <v>332</v>
      </c>
      <c r="B379" s="729" t="s">
        <v>15</v>
      </c>
      <c r="C379" s="729" t="s">
        <v>592</v>
      </c>
      <c r="D379" s="729" t="s">
        <v>558</v>
      </c>
      <c r="E379" s="1147">
        <v>799996.4</v>
      </c>
      <c r="F379" s="775">
        <v>45694</v>
      </c>
      <c r="G379" s="775">
        <v>45807</v>
      </c>
      <c r="H379" s="729" t="s">
        <v>17</v>
      </c>
      <c r="I379" s="819"/>
      <c r="J379" s="729" t="s">
        <v>120</v>
      </c>
      <c r="K379" s="1145"/>
      <c r="L379" s="932"/>
      <c r="M379" s="919">
        <f ca="1" t="shared" si="10"/>
        <v>441</v>
      </c>
      <c r="N379" s="728">
        <f t="shared" si="11"/>
        <v>45873</v>
      </c>
    </row>
    <row r="380" ht="20.1" hidden="1" customHeight="1" spans="1:14">
      <c r="A380" s="819">
        <v>338</v>
      </c>
      <c r="B380" s="729" t="s">
        <v>15</v>
      </c>
      <c r="C380" s="729" t="s">
        <v>593</v>
      </c>
      <c r="D380" s="729" t="s">
        <v>547</v>
      </c>
      <c r="E380" s="1147">
        <v>294894.04</v>
      </c>
      <c r="F380" s="775">
        <v>45707</v>
      </c>
      <c r="G380" s="775">
        <v>45807</v>
      </c>
      <c r="H380" s="729" t="s">
        <v>27</v>
      </c>
      <c r="I380" s="819"/>
      <c r="J380" s="729" t="s">
        <v>120</v>
      </c>
      <c r="K380" s="1145"/>
      <c r="L380" s="932"/>
      <c r="M380" s="919">
        <f ca="1" t="shared" si="10"/>
        <v>428</v>
      </c>
      <c r="N380" s="728">
        <f t="shared" si="11"/>
        <v>45886</v>
      </c>
    </row>
    <row r="381" ht="20.1" hidden="1" customHeight="1" spans="1:14">
      <c r="A381" s="819">
        <v>400</v>
      </c>
      <c r="B381" s="729" t="s">
        <v>22</v>
      </c>
      <c r="C381" s="934" t="s">
        <v>594</v>
      </c>
      <c r="D381" s="729" t="s">
        <v>547</v>
      </c>
      <c r="E381" s="1147">
        <v>190000</v>
      </c>
      <c r="F381" s="775">
        <v>45765</v>
      </c>
      <c r="G381" s="775">
        <v>45807</v>
      </c>
      <c r="H381" s="729" t="s">
        <v>27</v>
      </c>
      <c r="I381" s="819"/>
      <c r="J381" s="729" t="s">
        <v>120</v>
      </c>
      <c r="K381" s="1145"/>
      <c r="L381" s="932"/>
      <c r="M381" s="919">
        <f ca="1" t="shared" si="10"/>
        <v>370</v>
      </c>
      <c r="N381" s="728">
        <f t="shared" si="11"/>
        <v>45944</v>
      </c>
    </row>
    <row r="382" ht="20.1" hidden="1" customHeight="1" spans="1:14">
      <c r="A382" s="819">
        <v>347</v>
      </c>
      <c r="B382" s="729" t="s">
        <v>28</v>
      </c>
      <c r="C382" s="729" t="s">
        <v>595</v>
      </c>
      <c r="D382" s="819" t="s">
        <v>558</v>
      </c>
      <c r="E382" s="1147">
        <v>118948.62</v>
      </c>
      <c r="F382" s="775">
        <v>45719</v>
      </c>
      <c r="G382" s="775">
        <v>45813</v>
      </c>
      <c r="H382" s="729" t="s">
        <v>27</v>
      </c>
      <c r="I382" s="819"/>
      <c r="J382" s="729" t="s">
        <v>120</v>
      </c>
      <c r="K382" s="1145"/>
      <c r="L382" s="932"/>
      <c r="M382" s="919">
        <f ca="1" t="shared" si="10"/>
        <v>416</v>
      </c>
      <c r="N382" s="728">
        <f t="shared" si="11"/>
        <v>45898</v>
      </c>
    </row>
    <row r="383" ht="20.1" customHeight="1" spans="1:14">
      <c r="A383" s="819">
        <v>360</v>
      </c>
      <c r="B383" s="729" t="s">
        <v>79</v>
      </c>
      <c r="C383" s="729" t="s">
        <v>596</v>
      </c>
      <c r="D383" s="729" t="s">
        <v>561</v>
      </c>
      <c r="E383" s="1147">
        <v>800000</v>
      </c>
      <c r="F383" s="775">
        <v>45733</v>
      </c>
      <c r="G383" s="775">
        <v>45813</v>
      </c>
      <c r="H383" s="729" t="s">
        <v>17</v>
      </c>
      <c r="I383" s="819"/>
      <c r="J383" s="729" t="s">
        <v>120</v>
      </c>
      <c r="K383" s="1145"/>
      <c r="L383" s="932"/>
      <c r="M383" s="919">
        <f ca="1" t="shared" si="10"/>
        <v>402</v>
      </c>
      <c r="N383" s="728">
        <f t="shared" si="11"/>
        <v>45912</v>
      </c>
    </row>
    <row r="384" ht="20.1" hidden="1" customHeight="1" spans="1:14">
      <c r="A384" s="819">
        <v>417</v>
      </c>
      <c r="B384" s="729" t="s">
        <v>233</v>
      </c>
      <c r="C384" s="729" t="s">
        <v>597</v>
      </c>
      <c r="D384" s="729" t="s">
        <v>576</v>
      </c>
      <c r="E384" s="1147">
        <v>280000</v>
      </c>
      <c r="F384" s="775">
        <v>45777</v>
      </c>
      <c r="G384" s="775">
        <v>45818</v>
      </c>
      <c r="H384" s="729" t="s">
        <v>27</v>
      </c>
      <c r="I384" s="819"/>
      <c r="J384" s="729" t="s">
        <v>120</v>
      </c>
      <c r="K384" s="1145"/>
      <c r="L384" s="932"/>
      <c r="M384" s="919">
        <f ca="1" t="shared" si="10"/>
        <v>358</v>
      </c>
      <c r="N384" s="728">
        <f t="shared" si="11"/>
        <v>45956</v>
      </c>
    </row>
    <row r="385" ht="20.1" hidden="1" customHeight="1" spans="1:14">
      <c r="A385" s="819">
        <v>407</v>
      </c>
      <c r="B385" s="729" t="s">
        <v>25</v>
      </c>
      <c r="C385" s="729" t="s">
        <v>598</v>
      </c>
      <c r="D385" s="729" t="s">
        <v>599</v>
      </c>
      <c r="E385" s="1147">
        <v>3200000</v>
      </c>
      <c r="F385" s="775">
        <v>45771</v>
      </c>
      <c r="G385" s="775">
        <v>45820</v>
      </c>
      <c r="H385" s="729" t="s">
        <v>17</v>
      </c>
      <c r="I385" s="819"/>
      <c r="J385" s="729" t="s">
        <v>120</v>
      </c>
      <c r="K385" s="1145"/>
      <c r="L385" s="938" t="s">
        <v>600</v>
      </c>
      <c r="M385" s="919">
        <f ca="1" t="shared" si="10"/>
        <v>364</v>
      </c>
      <c r="N385" s="728">
        <f t="shared" si="11"/>
        <v>45950</v>
      </c>
    </row>
    <row r="386" ht="20.1" customHeight="1" spans="1:14">
      <c r="A386" s="819">
        <v>365</v>
      </c>
      <c r="B386" s="729" t="s">
        <v>79</v>
      </c>
      <c r="C386" s="729" t="s">
        <v>601</v>
      </c>
      <c r="D386" s="729" t="s">
        <v>549</v>
      </c>
      <c r="E386" s="1147">
        <v>200000</v>
      </c>
      <c r="F386" s="775">
        <v>45735</v>
      </c>
      <c r="G386" s="775">
        <v>45821</v>
      </c>
      <c r="H386" s="729" t="s">
        <v>27</v>
      </c>
      <c r="I386" s="819"/>
      <c r="J386" s="729" t="s">
        <v>120</v>
      </c>
      <c r="K386" s="1145"/>
      <c r="L386" s="932"/>
      <c r="M386" s="919">
        <f ca="1" t="shared" si="10"/>
        <v>400</v>
      </c>
      <c r="N386" s="728">
        <f t="shared" si="11"/>
        <v>45914</v>
      </c>
    </row>
    <row r="387" ht="20.1" customHeight="1" spans="1:14">
      <c r="A387" s="819">
        <v>370</v>
      </c>
      <c r="B387" s="729" t="s">
        <v>79</v>
      </c>
      <c r="C387" s="729" t="s">
        <v>602</v>
      </c>
      <c r="D387" s="729" t="s">
        <v>549</v>
      </c>
      <c r="E387" s="1147">
        <v>195060.04</v>
      </c>
      <c r="F387" s="775">
        <v>45737</v>
      </c>
      <c r="G387" s="775">
        <v>45821</v>
      </c>
      <c r="H387" s="729" t="s">
        <v>27</v>
      </c>
      <c r="I387" s="819"/>
      <c r="J387" s="729" t="s">
        <v>120</v>
      </c>
      <c r="K387" s="1145"/>
      <c r="L387" s="932"/>
      <c r="M387" s="919">
        <f ca="1" t="shared" ref="M387:M450" si="12">DATEDIF(F387,TODAY(),"D")</f>
        <v>398</v>
      </c>
      <c r="N387" s="728">
        <f t="shared" ref="N387:N450" si="13">F387+179</f>
        <v>45916</v>
      </c>
    </row>
    <row r="388" ht="20.1" hidden="1" customHeight="1" spans="1:14">
      <c r="A388" s="819">
        <v>389</v>
      </c>
      <c r="B388" s="729" t="s">
        <v>233</v>
      </c>
      <c r="C388" s="729" t="s">
        <v>603</v>
      </c>
      <c r="D388" s="729" t="s">
        <v>604</v>
      </c>
      <c r="E388" s="1147">
        <v>304000</v>
      </c>
      <c r="F388" s="757" t="s">
        <v>605</v>
      </c>
      <c r="G388" s="775">
        <v>45821</v>
      </c>
      <c r="H388" s="729" t="s">
        <v>27</v>
      </c>
      <c r="I388" s="819"/>
      <c r="J388" s="729" t="s">
        <v>120</v>
      </c>
      <c r="K388" s="1145"/>
      <c r="L388" s="932"/>
      <c r="M388" s="919">
        <f ca="1" t="shared" si="12"/>
        <v>385</v>
      </c>
      <c r="N388" s="728">
        <f t="shared" si="13"/>
        <v>45929</v>
      </c>
    </row>
    <row r="389" ht="20.1" hidden="1" customHeight="1" spans="1:14">
      <c r="A389" s="819">
        <v>394</v>
      </c>
      <c r="B389" s="729" t="s">
        <v>31</v>
      </c>
      <c r="C389" s="729" t="s">
        <v>606</v>
      </c>
      <c r="D389" s="729" t="s">
        <v>574</v>
      </c>
      <c r="E389" s="1147">
        <v>40616.16</v>
      </c>
      <c r="F389" s="775">
        <v>45763</v>
      </c>
      <c r="G389" s="775">
        <v>45824</v>
      </c>
      <c r="H389" s="729" t="s">
        <v>27</v>
      </c>
      <c r="I389" s="819"/>
      <c r="J389" s="729" t="s">
        <v>120</v>
      </c>
      <c r="K389" s="1145"/>
      <c r="L389" s="932"/>
      <c r="M389" s="919">
        <f ca="1" t="shared" si="12"/>
        <v>372</v>
      </c>
      <c r="N389" s="728">
        <f t="shared" si="13"/>
        <v>45942</v>
      </c>
    </row>
    <row r="390" ht="20.1" hidden="1" customHeight="1" spans="1:14">
      <c r="A390" s="819">
        <v>409</v>
      </c>
      <c r="B390" s="729" t="s">
        <v>41</v>
      </c>
      <c r="C390" s="729" t="s">
        <v>607</v>
      </c>
      <c r="D390" s="729" t="s">
        <v>599</v>
      </c>
      <c r="E390" s="1147">
        <v>12000</v>
      </c>
      <c r="F390" s="775">
        <v>45772</v>
      </c>
      <c r="G390" s="775">
        <v>45826</v>
      </c>
      <c r="H390" s="729" t="s">
        <v>27</v>
      </c>
      <c r="I390" s="819"/>
      <c r="J390" s="729" t="s">
        <v>120</v>
      </c>
      <c r="K390" s="1145"/>
      <c r="L390" s="932"/>
      <c r="M390" s="919">
        <f ca="1" t="shared" si="12"/>
        <v>363</v>
      </c>
      <c r="N390" s="728">
        <f t="shared" si="13"/>
        <v>45951</v>
      </c>
    </row>
    <row r="391" ht="20.1" hidden="1" customHeight="1" spans="1:14">
      <c r="A391" s="819">
        <v>339</v>
      </c>
      <c r="B391" s="729" t="s">
        <v>15</v>
      </c>
      <c r="C391" s="729" t="s">
        <v>608</v>
      </c>
      <c r="D391" s="729" t="s">
        <v>558</v>
      </c>
      <c r="E391" s="1147">
        <v>769277.23</v>
      </c>
      <c r="F391" s="775">
        <v>45712</v>
      </c>
      <c r="G391" s="775">
        <v>45827</v>
      </c>
      <c r="H391" s="729" t="s">
        <v>17</v>
      </c>
      <c r="I391" s="819"/>
      <c r="J391" s="729" t="s">
        <v>120</v>
      </c>
      <c r="K391" s="1145"/>
      <c r="L391" s="932"/>
      <c r="M391" s="919">
        <f ca="1" t="shared" si="12"/>
        <v>423</v>
      </c>
      <c r="N391" s="728">
        <f t="shared" si="13"/>
        <v>45891</v>
      </c>
    </row>
    <row r="392" ht="20.1" hidden="1" customHeight="1" spans="1:14">
      <c r="A392" s="819">
        <v>340</v>
      </c>
      <c r="B392" s="729" t="s">
        <v>37</v>
      </c>
      <c r="C392" s="729" t="s">
        <v>609</v>
      </c>
      <c r="D392" s="729" t="s">
        <v>484</v>
      </c>
      <c r="E392" s="1147">
        <v>640000</v>
      </c>
      <c r="F392" s="775">
        <v>45712</v>
      </c>
      <c r="G392" s="775">
        <v>45827</v>
      </c>
      <c r="H392" s="729" t="s">
        <v>17</v>
      </c>
      <c r="I392" s="819"/>
      <c r="J392" s="729" t="s">
        <v>120</v>
      </c>
      <c r="K392" s="1145"/>
      <c r="L392" s="938" t="s">
        <v>610</v>
      </c>
      <c r="M392" s="919">
        <f ca="1" t="shared" si="12"/>
        <v>423</v>
      </c>
      <c r="N392" s="728">
        <f t="shared" si="13"/>
        <v>45891</v>
      </c>
    </row>
    <row r="393" ht="20.1" hidden="1" customHeight="1" spans="1:14">
      <c r="A393" s="819">
        <v>379</v>
      </c>
      <c r="B393" s="729" t="s">
        <v>37</v>
      </c>
      <c r="C393" s="729" t="s">
        <v>611</v>
      </c>
      <c r="D393" s="729" t="s">
        <v>586</v>
      </c>
      <c r="E393" s="1147">
        <v>2399969.45</v>
      </c>
      <c r="F393" s="775">
        <v>45743</v>
      </c>
      <c r="G393" s="775">
        <v>45827</v>
      </c>
      <c r="H393" s="729" t="s">
        <v>17</v>
      </c>
      <c r="I393" s="819"/>
      <c r="J393" s="729" t="s">
        <v>120</v>
      </c>
      <c r="K393" s="1145"/>
      <c r="L393" s="932"/>
      <c r="M393" s="919">
        <f ca="1" t="shared" si="12"/>
        <v>392</v>
      </c>
      <c r="N393" s="728">
        <f t="shared" si="13"/>
        <v>45922</v>
      </c>
    </row>
    <row r="394" ht="20.1" hidden="1" customHeight="1" spans="1:14">
      <c r="A394" s="819">
        <v>397</v>
      </c>
      <c r="B394" s="729" t="s">
        <v>37</v>
      </c>
      <c r="C394" s="729" t="s">
        <v>612</v>
      </c>
      <c r="D394" s="729" t="s">
        <v>613</v>
      </c>
      <c r="E394" s="1147"/>
      <c r="F394" s="775">
        <v>45764</v>
      </c>
      <c r="G394" s="775">
        <v>45827</v>
      </c>
      <c r="H394" s="729" t="s">
        <v>17</v>
      </c>
      <c r="I394" s="819"/>
      <c r="J394" s="729" t="s">
        <v>55</v>
      </c>
      <c r="K394" s="1145"/>
      <c r="L394" s="938" t="s">
        <v>614</v>
      </c>
      <c r="M394" s="919">
        <f ca="1" t="shared" si="12"/>
        <v>371</v>
      </c>
      <c r="N394" s="728">
        <f t="shared" si="13"/>
        <v>45943</v>
      </c>
    </row>
    <row r="395" ht="20.1" hidden="1" customHeight="1" spans="1:14">
      <c r="A395" s="819">
        <v>421</v>
      </c>
      <c r="B395" s="729" t="s">
        <v>15</v>
      </c>
      <c r="C395" s="934" t="s">
        <v>615</v>
      </c>
      <c r="D395" s="729" t="s">
        <v>591</v>
      </c>
      <c r="E395" s="1147">
        <v>320000</v>
      </c>
      <c r="F395" s="775">
        <v>45783</v>
      </c>
      <c r="G395" s="775">
        <v>45827</v>
      </c>
      <c r="H395" s="729" t="s">
        <v>27</v>
      </c>
      <c r="I395" s="819"/>
      <c r="J395" s="729" t="s">
        <v>120</v>
      </c>
      <c r="K395" s="1145"/>
      <c r="L395" s="932"/>
      <c r="M395" s="919">
        <f ca="1" t="shared" si="12"/>
        <v>352</v>
      </c>
      <c r="N395" s="728">
        <f t="shared" si="13"/>
        <v>45962</v>
      </c>
    </row>
    <row r="396" ht="20.1" hidden="1" customHeight="1" spans="1:14">
      <c r="A396" s="819">
        <v>401</v>
      </c>
      <c r="B396" s="729" t="s">
        <v>22</v>
      </c>
      <c r="C396" s="729" t="s">
        <v>616</v>
      </c>
      <c r="D396" s="729" t="s">
        <v>588</v>
      </c>
      <c r="E396" s="1147">
        <v>399979.61</v>
      </c>
      <c r="F396" s="775">
        <v>45768</v>
      </c>
      <c r="G396" s="775">
        <v>45828</v>
      </c>
      <c r="H396" s="729" t="s">
        <v>27</v>
      </c>
      <c r="I396" s="819"/>
      <c r="J396" s="729" t="s">
        <v>120</v>
      </c>
      <c r="K396" s="1145"/>
      <c r="L396" s="932"/>
      <c r="M396" s="919">
        <f ca="1" t="shared" si="12"/>
        <v>367</v>
      </c>
      <c r="N396" s="728">
        <f t="shared" si="13"/>
        <v>45947</v>
      </c>
    </row>
    <row r="397" ht="20.1" hidden="1" customHeight="1" spans="1:14">
      <c r="A397" s="819">
        <v>380</v>
      </c>
      <c r="B397" s="729" t="s">
        <v>75</v>
      </c>
      <c r="C397" s="729" t="s">
        <v>617</v>
      </c>
      <c r="D397" s="819" t="s">
        <v>586</v>
      </c>
      <c r="E397" s="1147">
        <v>6000</v>
      </c>
      <c r="F397" s="775">
        <v>45743</v>
      </c>
      <c r="G397" s="775">
        <v>45834</v>
      </c>
      <c r="H397" s="729" t="s">
        <v>27</v>
      </c>
      <c r="I397" s="819"/>
      <c r="J397" s="729" t="s">
        <v>120</v>
      </c>
      <c r="K397" s="1145"/>
      <c r="L397" s="932"/>
      <c r="M397" s="919">
        <f ca="1" t="shared" si="12"/>
        <v>392</v>
      </c>
      <c r="N397" s="728">
        <f t="shared" si="13"/>
        <v>45922</v>
      </c>
    </row>
    <row r="398" ht="20.1" hidden="1" customHeight="1" spans="1:14">
      <c r="A398" s="819">
        <v>381</v>
      </c>
      <c r="B398" s="729" t="s">
        <v>75</v>
      </c>
      <c r="C398" s="729" t="s">
        <v>618</v>
      </c>
      <c r="D398" s="819" t="s">
        <v>586</v>
      </c>
      <c r="E398" s="1147">
        <v>4800</v>
      </c>
      <c r="F398" s="775">
        <v>45743</v>
      </c>
      <c r="G398" s="775">
        <v>45834</v>
      </c>
      <c r="H398" s="729" t="s">
        <v>27</v>
      </c>
      <c r="I398" s="819"/>
      <c r="J398" s="729" t="s">
        <v>120</v>
      </c>
      <c r="K398" s="1145"/>
      <c r="L398" s="932"/>
      <c r="M398" s="919">
        <f ca="1" t="shared" si="12"/>
        <v>392</v>
      </c>
      <c r="N398" s="728">
        <f t="shared" si="13"/>
        <v>45922</v>
      </c>
    </row>
    <row r="399" ht="20.1" hidden="1" customHeight="1" spans="1:14">
      <c r="A399" s="819">
        <v>344</v>
      </c>
      <c r="B399" s="729" t="s">
        <v>133</v>
      </c>
      <c r="C399" s="729" t="s">
        <v>619</v>
      </c>
      <c r="D399" s="729" t="s">
        <v>561</v>
      </c>
      <c r="E399" s="1147">
        <v>112736.47</v>
      </c>
      <c r="F399" s="775">
        <v>45715</v>
      </c>
      <c r="G399" s="775">
        <v>45835</v>
      </c>
      <c r="H399" s="729" t="s">
        <v>27</v>
      </c>
      <c r="I399" s="819"/>
      <c r="J399" s="729" t="s">
        <v>120</v>
      </c>
      <c r="K399" s="1145"/>
      <c r="L399" s="932"/>
      <c r="M399" s="919">
        <f ca="1" t="shared" si="12"/>
        <v>420</v>
      </c>
      <c r="N399" s="728">
        <f t="shared" si="13"/>
        <v>45894</v>
      </c>
    </row>
    <row r="400" ht="20.1" hidden="1" customHeight="1" spans="1:14">
      <c r="A400" s="819">
        <v>345</v>
      </c>
      <c r="B400" s="729" t="s">
        <v>133</v>
      </c>
      <c r="C400" s="729" t="s">
        <v>620</v>
      </c>
      <c r="D400" s="729" t="s">
        <v>561</v>
      </c>
      <c r="E400" s="1147">
        <v>121478.97</v>
      </c>
      <c r="F400" s="775">
        <v>45715</v>
      </c>
      <c r="G400" s="775">
        <v>45835</v>
      </c>
      <c r="H400" s="729" t="s">
        <v>27</v>
      </c>
      <c r="I400" s="819"/>
      <c r="J400" s="729" t="s">
        <v>120</v>
      </c>
      <c r="K400" s="1145"/>
      <c r="L400" s="932"/>
      <c r="M400" s="919">
        <f ca="1" t="shared" si="12"/>
        <v>420</v>
      </c>
      <c r="N400" s="728">
        <f t="shared" si="13"/>
        <v>45894</v>
      </c>
    </row>
    <row r="401" ht="20.1" hidden="1" customHeight="1" spans="1:14">
      <c r="A401" s="819">
        <v>349</v>
      </c>
      <c r="B401" s="729" t="s">
        <v>15</v>
      </c>
      <c r="C401" s="729" t="s">
        <v>621</v>
      </c>
      <c r="D401" s="729" t="s">
        <v>572</v>
      </c>
      <c r="E401" s="1147">
        <v>260000</v>
      </c>
      <c r="F401" s="775">
        <v>45728</v>
      </c>
      <c r="G401" s="775">
        <v>45839</v>
      </c>
      <c r="H401" s="729" t="s">
        <v>27</v>
      </c>
      <c r="I401" s="819"/>
      <c r="J401" s="729" t="s">
        <v>120</v>
      </c>
      <c r="K401" s="1145"/>
      <c r="L401" s="932"/>
      <c r="M401" s="919">
        <f ca="1" t="shared" si="12"/>
        <v>407</v>
      </c>
      <c r="N401" s="728">
        <f t="shared" si="13"/>
        <v>45907</v>
      </c>
    </row>
    <row r="402" ht="20.1" hidden="1" customHeight="1" spans="1:14">
      <c r="A402" s="819">
        <v>384</v>
      </c>
      <c r="B402" s="729" t="s">
        <v>15</v>
      </c>
      <c r="C402" s="729" t="s">
        <v>622</v>
      </c>
      <c r="D402" s="729" t="s">
        <v>569</v>
      </c>
      <c r="E402" s="1147">
        <v>330878.58</v>
      </c>
      <c r="F402" s="775">
        <v>45744</v>
      </c>
      <c r="G402" s="775">
        <v>45839</v>
      </c>
      <c r="H402" s="729" t="s">
        <v>27</v>
      </c>
      <c r="I402" s="819"/>
      <c r="J402" s="729" t="s">
        <v>120</v>
      </c>
      <c r="K402" s="1145"/>
      <c r="L402" s="932"/>
      <c r="M402" s="919">
        <f ca="1" t="shared" si="12"/>
        <v>391</v>
      </c>
      <c r="N402" s="728">
        <f t="shared" si="13"/>
        <v>45923</v>
      </c>
    </row>
    <row r="403" ht="20.1" hidden="1" customHeight="1" spans="1:14">
      <c r="A403" s="819">
        <v>385</v>
      </c>
      <c r="B403" s="729" t="s">
        <v>28</v>
      </c>
      <c r="C403" s="729" t="s">
        <v>623</v>
      </c>
      <c r="D403" s="729" t="s">
        <v>569</v>
      </c>
      <c r="E403" s="1147">
        <v>279049.3</v>
      </c>
      <c r="F403" s="775">
        <v>45747</v>
      </c>
      <c r="G403" s="775">
        <v>45842</v>
      </c>
      <c r="H403" s="729" t="s">
        <v>27</v>
      </c>
      <c r="I403" s="819"/>
      <c r="J403" s="729" t="s">
        <v>120</v>
      </c>
      <c r="K403" s="1145"/>
      <c r="L403" s="932"/>
      <c r="M403" s="919">
        <f ca="1" t="shared" si="12"/>
        <v>388</v>
      </c>
      <c r="N403" s="728">
        <f t="shared" si="13"/>
        <v>45926</v>
      </c>
    </row>
    <row r="404" ht="20.1" customHeight="1" spans="1:14">
      <c r="A404" s="819">
        <v>390</v>
      </c>
      <c r="B404" s="729" t="s">
        <v>79</v>
      </c>
      <c r="C404" s="729" t="s">
        <v>624</v>
      </c>
      <c r="D404" s="729" t="s">
        <v>604</v>
      </c>
      <c r="E404" s="1147">
        <v>618398.65</v>
      </c>
      <c r="F404" s="775">
        <v>45754</v>
      </c>
      <c r="G404" s="775">
        <v>45842</v>
      </c>
      <c r="H404" s="729" t="s">
        <v>17</v>
      </c>
      <c r="I404" s="819"/>
      <c r="J404" s="729" t="s">
        <v>120</v>
      </c>
      <c r="K404" s="1145"/>
      <c r="L404" s="932"/>
      <c r="M404" s="919">
        <f ca="1" t="shared" si="12"/>
        <v>381</v>
      </c>
      <c r="N404" s="728">
        <f t="shared" si="13"/>
        <v>45933</v>
      </c>
    </row>
    <row r="405" ht="20.1" hidden="1" customHeight="1" spans="1:14">
      <c r="A405" s="819">
        <v>439</v>
      </c>
      <c r="B405" s="729" t="s">
        <v>28</v>
      </c>
      <c r="C405" s="729" t="s">
        <v>625</v>
      </c>
      <c r="D405" s="729" t="s">
        <v>626</v>
      </c>
      <c r="E405" s="1147">
        <v>22769.55</v>
      </c>
      <c r="F405" s="775">
        <v>45806</v>
      </c>
      <c r="G405" s="775">
        <v>45842</v>
      </c>
      <c r="H405" s="729" t="s">
        <v>27</v>
      </c>
      <c r="I405" s="819"/>
      <c r="J405" s="729" t="s">
        <v>120</v>
      </c>
      <c r="K405" s="1145"/>
      <c r="L405" s="932"/>
      <c r="M405" s="919">
        <f ca="1" t="shared" si="12"/>
        <v>329</v>
      </c>
      <c r="N405" s="728">
        <f t="shared" si="13"/>
        <v>45985</v>
      </c>
    </row>
    <row r="406" ht="20.1" hidden="1" customHeight="1" spans="1:14">
      <c r="A406" s="819">
        <v>386</v>
      </c>
      <c r="B406" s="729" t="s">
        <v>28</v>
      </c>
      <c r="C406" s="729" t="s">
        <v>627</v>
      </c>
      <c r="D406" s="729" t="s">
        <v>569</v>
      </c>
      <c r="E406" s="1147">
        <v>292000</v>
      </c>
      <c r="F406" s="775">
        <v>45747</v>
      </c>
      <c r="G406" s="775">
        <v>45845</v>
      </c>
      <c r="H406" s="729" t="s">
        <v>27</v>
      </c>
      <c r="I406" s="819"/>
      <c r="J406" s="729" t="s">
        <v>120</v>
      </c>
      <c r="K406" s="1145"/>
      <c r="L406" s="938"/>
      <c r="M406" s="919">
        <f ca="1" t="shared" si="12"/>
        <v>388</v>
      </c>
      <c r="N406" s="728">
        <f t="shared" si="13"/>
        <v>45926</v>
      </c>
    </row>
    <row r="407" ht="20.1" hidden="1" customHeight="1" spans="1:14">
      <c r="A407" s="819">
        <v>371</v>
      </c>
      <c r="B407" s="729" t="s">
        <v>37</v>
      </c>
      <c r="C407" s="729" t="s">
        <v>628</v>
      </c>
      <c r="D407" s="729" t="s">
        <v>541</v>
      </c>
      <c r="E407" s="1147">
        <v>79773.31</v>
      </c>
      <c r="F407" s="775">
        <v>45737</v>
      </c>
      <c r="G407" s="775">
        <v>45847</v>
      </c>
      <c r="H407" s="729" t="s">
        <v>27</v>
      </c>
      <c r="I407" s="819"/>
      <c r="J407" s="729" t="s">
        <v>120</v>
      </c>
      <c r="K407" s="1145"/>
      <c r="L407" s="932"/>
      <c r="M407" s="919">
        <f ca="1" t="shared" si="12"/>
        <v>398</v>
      </c>
      <c r="N407" s="728">
        <f t="shared" si="13"/>
        <v>45916</v>
      </c>
    </row>
    <row r="408" ht="20.1" hidden="1" customHeight="1" spans="1:14">
      <c r="A408" s="819">
        <v>398</v>
      </c>
      <c r="B408" s="729" t="s">
        <v>15</v>
      </c>
      <c r="C408" s="729" t="s">
        <v>629</v>
      </c>
      <c r="D408" s="729" t="s">
        <v>588</v>
      </c>
      <c r="E408" s="1147">
        <v>400000</v>
      </c>
      <c r="F408" s="775">
        <v>45764</v>
      </c>
      <c r="G408" s="775">
        <v>45847</v>
      </c>
      <c r="H408" s="729" t="s">
        <v>27</v>
      </c>
      <c r="I408" s="819"/>
      <c r="J408" s="729" t="s">
        <v>120</v>
      </c>
      <c r="K408" s="1145"/>
      <c r="L408" s="932"/>
      <c r="M408" s="919">
        <f ca="1" t="shared" si="12"/>
        <v>371</v>
      </c>
      <c r="N408" s="728">
        <f t="shared" si="13"/>
        <v>45943</v>
      </c>
    </row>
    <row r="409" ht="35" hidden="1" customHeight="1" spans="1:14">
      <c r="A409" s="819">
        <v>410</v>
      </c>
      <c r="B409" s="729" t="s">
        <v>28</v>
      </c>
      <c r="C409" s="729" t="s">
        <v>630</v>
      </c>
      <c r="D409" s="729" t="s">
        <v>631</v>
      </c>
      <c r="E409" s="1147">
        <v>30600</v>
      </c>
      <c r="F409" s="775">
        <v>45772</v>
      </c>
      <c r="G409" s="775">
        <v>45847</v>
      </c>
      <c r="H409" s="729" t="s">
        <v>27</v>
      </c>
      <c r="I409" s="819"/>
      <c r="J409" s="729" t="s">
        <v>120</v>
      </c>
      <c r="K409" s="1145"/>
      <c r="L409" s="932"/>
      <c r="M409" s="919">
        <f ca="1" t="shared" si="12"/>
        <v>363</v>
      </c>
      <c r="N409" s="728">
        <f t="shared" si="13"/>
        <v>45951</v>
      </c>
    </row>
    <row r="410" ht="46.5" hidden="1" customHeight="1" spans="1:14">
      <c r="A410" s="819">
        <v>411</v>
      </c>
      <c r="B410" s="729" t="s">
        <v>28</v>
      </c>
      <c r="C410" s="729" t="s">
        <v>632</v>
      </c>
      <c r="D410" s="729" t="s">
        <v>631</v>
      </c>
      <c r="E410" s="1147">
        <v>198800</v>
      </c>
      <c r="F410" s="775">
        <v>45772</v>
      </c>
      <c r="G410" s="775">
        <v>45847</v>
      </c>
      <c r="H410" s="729" t="s">
        <v>27</v>
      </c>
      <c r="I410" s="819"/>
      <c r="J410" s="729" t="s">
        <v>120</v>
      </c>
      <c r="K410" s="1145"/>
      <c r="L410" s="932"/>
      <c r="M410" s="919">
        <f ca="1" t="shared" si="12"/>
        <v>363</v>
      </c>
      <c r="N410" s="728">
        <f t="shared" si="13"/>
        <v>45951</v>
      </c>
    </row>
    <row r="411" ht="20.1" hidden="1" customHeight="1" spans="1:14">
      <c r="A411" s="819">
        <v>427</v>
      </c>
      <c r="B411" s="729" t="s">
        <v>344</v>
      </c>
      <c r="C411" s="934" t="s">
        <v>633</v>
      </c>
      <c r="D411" s="729" t="s">
        <v>634</v>
      </c>
      <c r="E411" s="1147">
        <v>3600000</v>
      </c>
      <c r="F411" s="775">
        <v>45793</v>
      </c>
      <c r="G411" s="775">
        <v>45848</v>
      </c>
      <c r="H411" s="729" t="s">
        <v>17</v>
      </c>
      <c r="I411" s="819"/>
      <c r="J411" s="729" t="s">
        <v>55</v>
      </c>
      <c r="K411" s="1145"/>
      <c r="L411" s="938" t="s">
        <v>635</v>
      </c>
      <c r="M411" s="919">
        <f ca="1" t="shared" si="12"/>
        <v>342</v>
      </c>
      <c r="N411" s="728">
        <f t="shared" si="13"/>
        <v>45972</v>
      </c>
    </row>
    <row r="412" ht="20.1" hidden="1" customHeight="1" spans="1:14">
      <c r="A412" s="819">
        <v>430</v>
      </c>
      <c r="B412" s="729" t="s">
        <v>28</v>
      </c>
      <c r="C412" s="729" t="s">
        <v>636</v>
      </c>
      <c r="D412" s="729" t="s">
        <v>634</v>
      </c>
      <c r="E412" s="1147">
        <v>62600</v>
      </c>
      <c r="F412" s="775">
        <v>45796</v>
      </c>
      <c r="G412" s="775">
        <v>45848</v>
      </c>
      <c r="H412" s="729" t="s">
        <v>27</v>
      </c>
      <c r="I412" s="819"/>
      <c r="J412" s="729" t="s">
        <v>120</v>
      </c>
      <c r="K412" s="1145"/>
      <c r="L412" s="932"/>
      <c r="M412" s="919">
        <f ca="1" t="shared" si="12"/>
        <v>339</v>
      </c>
      <c r="N412" s="728">
        <f t="shared" si="13"/>
        <v>45975</v>
      </c>
    </row>
    <row r="413" ht="20.1" hidden="1" customHeight="1" spans="1:14">
      <c r="A413" s="819">
        <v>399</v>
      </c>
      <c r="B413" s="729" t="s">
        <v>15</v>
      </c>
      <c r="C413" s="729" t="s">
        <v>637</v>
      </c>
      <c r="D413" s="729" t="s">
        <v>613</v>
      </c>
      <c r="E413" s="1147">
        <v>1560000</v>
      </c>
      <c r="F413" s="775">
        <v>45764</v>
      </c>
      <c r="G413" s="775">
        <v>45849</v>
      </c>
      <c r="H413" s="729" t="s">
        <v>17</v>
      </c>
      <c r="I413" s="819"/>
      <c r="J413" s="729" t="s">
        <v>120</v>
      </c>
      <c r="K413" s="1145"/>
      <c r="L413" s="932"/>
      <c r="M413" s="919">
        <f ca="1" t="shared" si="12"/>
        <v>371</v>
      </c>
      <c r="N413" s="728">
        <f t="shared" si="13"/>
        <v>45943</v>
      </c>
    </row>
    <row r="414" ht="20.1" hidden="1" customHeight="1" spans="1:14">
      <c r="A414" s="819">
        <v>387</v>
      </c>
      <c r="B414" s="729" t="s">
        <v>133</v>
      </c>
      <c r="C414" s="729" t="s">
        <v>638</v>
      </c>
      <c r="D414" s="729" t="s">
        <v>604</v>
      </c>
      <c r="E414" s="1147">
        <v>72000</v>
      </c>
      <c r="F414" s="775">
        <v>45747</v>
      </c>
      <c r="G414" s="775">
        <v>45852</v>
      </c>
      <c r="H414" s="729" t="s">
        <v>27</v>
      </c>
      <c r="I414" s="819"/>
      <c r="J414" s="729" t="s">
        <v>120</v>
      </c>
      <c r="K414" s="1145"/>
      <c r="L414" s="932"/>
      <c r="M414" s="919">
        <f ca="1" t="shared" si="12"/>
        <v>388</v>
      </c>
      <c r="N414" s="728">
        <f t="shared" si="13"/>
        <v>45926</v>
      </c>
    </row>
    <row r="415" ht="20.1" hidden="1" customHeight="1" spans="1:14">
      <c r="A415" s="819">
        <v>460</v>
      </c>
      <c r="B415" s="729" t="s">
        <v>28</v>
      </c>
      <c r="C415" s="729" t="s">
        <v>639</v>
      </c>
      <c r="D415" s="729" t="s">
        <v>640</v>
      </c>
      <c r="E415" s="1147">
        <v>220384</v>
      </c>
      <c r="F415" s="775">
        <v>45826</v>
      </c>
      <c r="G415" s="775">
        <v>45852</v>
      </c>
      <c r="H415" s="729" t="s">
        <v>27</v>
      </c>
      <c r="I415" s="819"/>
      <c r="J415" s="729" t="s">
        <v>120</v>
      </c>
      <c r="K415" s="1148"/>
      <c r="L415" s="932"/>
      <c r="M415" s="919">
        <f ca="1" t="shared" si="12"/>
        <v>309</v>
      </c>
      <c r="N415" s="728">
        <f t="shared" si="13"/>
        <v>46005</v>
      </c>
    </row>
    <row r="416" ht="20.1" hidden="1" customHeight="1" spans="1:14">
      <c r="A416" s="819">
        <v>464</v>
      </c>
      <c r="B416" s="729" t="s">
        <v>28</v>
      </c>
      <c r="C416" s="729" t="s">
        <v>641</v>
      </c>
      <c r="D416" s="729" t="s">
        <v>642</v>
      </c>
      <c r="E416" s="1147">
        <v>44000</v>
      </c>
      <c r="F416" s="775">
        <v>45828</v>
      </c>
      <c r="G416" s="775">
        <v>45853</v>
      </c>
      <c r="H416" s="729" t="s">
        <v>27</v>
      </c>
      <c r="I416" s="819"/>
      <c r="J416" s="729" t="s">
        <v>120</v>
      </c>
      <c r="K416" s="1148"/>
      <c r="L416" s="932"/>
      <c r="M416" s="919">
        <f ca="1" t="shared" si="12"/>
        <v>307</v>
      </c>
      <c r="N416" s="728">
        <f t="shared" si="13"/>
        <v>46007</v>
      </c>
    </row>
    <row r="417" ht="20.1" hidden="1" customHeight="1" spans="1:16">
      <c r="A417" s="819">
        <v>428</v>
      </c>
      <c r="B417" s="729" t="s">
        <v>57</v>
      </c>
      <c r="C417" s="934" t="s">
        <v>643</v>
      </c>
      <c r="D417" s="729" t="s">
        <v>634</v>
      </c>
      <c r="E417" s="1147">
        <v>800000</v>
      </c>
      <c r="F417" s="775">
        <v>45793</v>
      </c>
      <c r="G417" s="775">
        <v>45854</v>
      </c>
      <c r="H417" s="729" t="s">
        <v>17</v>
      </c>
      <c r="I417" s="819"/>
      <c r="J417" s="729" t="s">
        <v>120</v>
      </c>
      <c r="K417" s="1145"/>
      <c r="L417" s="932"/>
      <c r="M417" s="919">
        <f ca="1" t="shared" si="12"/>
        <v>342</v>
      </c>
      <c r="N417" s="728">
        <f t="shared" si="13"/>
        <v>45972</v>
      </c>
    </row>
    <row r="418" ht="20.1" customHeight="1" spans="1:16">
      <c r="A418" s="819">
        <v>463</v>
      </c>
      <c r="B418" s="729" t="s">
        <v>79</v>
      </c>
      <c r="C418" s="729" t="s">
        <v>644</v>
      </c>
      <c r="D418" s="729" t="s">
        <v>401</v>
      </c>
      <c r="E418" s="1147">
        <v>119809.52</v>
      </c>
      <c r="F418" s="775">
        <v>45827</v>
      </c>
      <c r="G418" s="775">
        <v>45855</v>
      </c>
      <c r="H418" s="729" t="s">
        <v>27</v>
      </c>
      <c r="I418" s="819"/>
      <c r="J418" s="729" t="s">
        <v>120</v>
      </c>
      <c r="K418" s="1145"/>
      <c r="L418" s="932"/>
      <c r="M418" s="919">
        <f ca="1" t="shared" si="12"/>
        <v>308</v>
      </c>
      <c r="N418" s="728">
        <f t="shared" si="13"/>
        <v>46006</v>
      </c>
    </row>
    <row r="419" ht="20.1" customHeight="1" spans="1:16">
      <c r="A419" s="819">
        <v>412</v>
      </c>
      <c r="B419" s="729" t="s">
        <v>79</v>
      </c>
      <c r="C419" s="729" t="s">
        <v>645</v>
      </c>
      <c r="D419" s="729" t="s">
        <v>631</v>
      </c>
      <c r="E419" s="1147">
        <v>261358.65</v>
      </c>
      <c r="F419" s="775">
        <v>45772</v>
      </c>
      <c r="G419" s="775">
        <v>45859</v>
      </c>
      <c r="H419" s="729" t="s">
        <v>27</v>
      </c>
      <c r="I419" s="819"/>
      <c r="J419" s="729" t="s">
        <v>120</v>
      </c>
      <c r="K419" s="1145"/>
      <c r="L419" s="932"/>
      <c r="M419" s="919">
        <f ca="1" t="shared" si="12"/>
        <v>363</v>
      </c>
      <c r="N419" s="728">
        <f t="shared" si="13"/>
        <v>45951</v>
      </c>
    </row>
    <row r="420" ht="20.1" hidden="1" customHeight="1" spans="1:16">
      <c r="A420" s="819">
        <v>391</v>
      </c>
      <c r="B420" s="729" t="s">
        <v>57</v>
      </c>
      <c r="C420" s="729" t="s">
        <v>646</v>
      </c>
      <c r="D420" s="819" t="s">
        <v>604</v>
      </c>
      <c r="E420" s="1147">
        <v>1200000</v>
      </c>
      <c r="F420" s="775">
        <v>45754</v>
      </c>
      <c r="G420" s="775">
        <v>45862</v>
      </c>
      <c r="H420" s="729" t="s">
        <v>17</v>
      </c>
      <c r="I420" s="819"/>
      <c r="J420" s="729" t="s">
        <v>120</v>
      </c>
      <c r="K420" s="1145"/>
      <c r="L420" s="932"/>
      <c r="M420" s="919">
        <f ca="1" t="shared" si="12"/>
        <v>381</v>
      </c>
      <c r="N420" s="728">
        <f t="shared" si="13"/>
        <v>45933</v>
      </c>
    </row>
    <row r="421" s="889" customFormat="1" ht="20.1" hidden="1" customHeight="1" spans="1:16">
      <c r="A421" s="819">
        <v>429</v>
      </c>
      <c r="B421" s="729" t="s">
        <v>57</v>
      </c>
      <c r="C421" s="729" t="s">
        <v>647</v>
      </c>
      <c r="D421" s="729" t="s">
        <v>648</v>
      </c>
      <c r="E421" s="1147">
        <v>1040000</v>
      </c>
      <c r="F421" s="775">
        <v>45793</v>
      </c>
      <c r="G421" s="775">
        <v>45862</v>
      </c>
      <c r="H421" s="729" t="s">
        <v>17</v>
      </c>
      <c r="I421" s="819"/>
      <c r="J421" s="729" t="s">
        <v>55</v>
      </c>
      <c r="K421" s="1145"/>
      <c r="L421" s="938" t="s">
        <v>189</v>
      </c>
      <c r="M421" s="919">
        <f ca="1" t="shared" si="12"/>
        <v>342</v>
      </c>
      <c r="N421" s="728">
        <f t="shared" si="13"/>
        <v>45972</v>
      </c>
      <c r="O421"/>
      <c r="P421"/>
    </row>
    <row r="422" s="889" customFormat="1" ht="20.1" hidden="1" customHeight="1" spans="1:16">
      <c r="A422" s="819">
        <v>432</v>
      </c>
      <c r="B422" s="729" t="s">
        <v>140</v>
      </c>
      <c r="C422" s="729" t="s">
        <v>649</v>
      </c>
      <c r="D422" s="729" t="s">
        <v>648</v>
      </c>
      <c r="E422" s="1147">
        <v>102000</v>
      </c>
      <c r="F422" s="775">
        <v>45800</v>
      </c>
      <c r="G422" s="775">
        <v>45863</v>
      </c>
      <c r="H422" s="729" t="s">
        <v>27</v>
      </c>
      <c r="I422" s="819"/>
      <c r="J422" s="729" t="s">
        <v>55</v>
      </c>
      <c r="K422" s="1145"/>
      <c r="L422" s="938" t="s">
        <v>650</v>
      </c>
      <c r="M422" s="919">
        <f ca="1" t="shared" si="12"/>
        <v>335</v>
      </c>
      <c r="N422" s="728">
        <f t="shared" si="13"/>
        <v>45979</v>
      </c>
      <c r="O422"/>
      <c r="P422"/>
    </row>
    <row r="423" ht="20.1" hidden="1" customHeight="1" spans="1:16">
      <c r="A423" s="819">
        <v>435</v>
      </c>
      <c r="B423" s="729" t="s">
        <v>25</v>
      </c>
      <c r="C423" s="729" t="s">
        <v>651</v>
      </c>
      <c r="D423" s="729" t="s">
        <v>652</v>
      </c>
      <c r="E423" s="1147">
        <v>250000</v>
      </c>
      <c r="F423" s="775">
        <v>45804</v>
      </c>
      <c r="G423" s="775">
        <v>45863</v>
      </c>
      <c r="H423" s="729" t="s">
        <v>27</v>
      </c>
      <c r="I423" s="819"/>
      <c r="J423" s="729" t="s">
        <v>120</v>
      </c>
      <c r="K423" s="1145"/>
      <c r="L423" s="932"/>
      <c r="M423" s="919">
        <f ca="1" t="shared" si="12"/>
        <v>331</v>
      </c>
      <c r="N423" s="728">
        <f t="shared" si="13"/>
        <v>45983</v>
      </c>
    </row>
    <row r="424" ht="20.1" hidden="1" customHeight="1" spans="1:16">
      <c r="A424" s="819">
        <v>442</v>
      </c>
      <c r="B424" s="729" t="s">
        <v>25</v>
      </c>
      <c r="C424" s="729" t="s">
        <v>653</v>
      </c>
      <c r="D424" s="729" t="s">
        <v>654</v>
      </c>
      <c r="E424" s="1147">
        <v>120000</v>
      </c>
      <c r="F424" s="775">
        <v>45807</v>
      </c>
      <c r="G424" s="775">
        <v>45863</v>
      </c>
      <c r="H424" s="729" t="s">
        <v>27</v>
      </c>
      <c r="I424" s="819"/>
      <c r="J424" s="729" t="s">
        <v>120</v>
      </c>
      <c r="K424" s="1145"/>
      <c r="L424" s="932"/>
      <c r="M424" s="919">
        <f ca="1" t="shared" si="12"/>
        <v>328</v>
      </c>
      <c r="N424" s="728">
        <f t="shared" si="13"/>
        <v>45986</v>
      </c>
    </row>
    <row r="425" ht="20.1" hidden="1" customHeight="1" spans="1:16">
      <c r="A425" s="819">
        <v>443</v>
      </c>
      <c r="B425" s="934" t="s">
        <v>25</v>
      </c>
      <c r="C425" s="934" t="s">
        <v>655</v>
      </c>
      <c r="D425" s="934" t="s">
        <v>656</v>
      </c>
      <c r="E425" s="1188">
        <v>56000</v>
      </c>
      <c r="F425" s="1009">
        <v>45807</v>
      </c>
      <c r="G425" s="1009">
        <v>45863</v>
      </c>
      <c r="H425" s="934" t="s">
        <v>27</v>
      </c>
      <c r="I425" s="1007"/>
      <c r="J425" s="729" t="s">
        <v>120</v>
      </c>
      <c r="K425" s="1145"/>
      <c r="L425" s="1160"/>
      <c r="M425" s="965">
        <f ca="1" t="shared" si="12"/>
        <v>328</v>
      </c>
      <c r="N425" s="966">
        <f t="shared" si="13"/>
        <v>45986</v>
      </c>
    </row>
    <row r="426" s="889" customFormat="1" ht="20.1" hidden="1" customHeight="1" spans="1:16">
      <c r="A426" s="819">
        <v>446</v>
      </c>
      <c r="B426" s="729" t="s">
        <v>25</v>
      </c>
      <c r="C426" s="729" t="s">
        <v>657</v>
      </c>
      <c r="D426" s="729" t="s">
        <v>656</v>
      </c>
      <c r="E426" s="1147">
        <v>118145.22</v>
      </c>
      <c r="F426" s="775">
        <v>45813</v>
      </c>
      <c r="G426" s="775">
        <v>45863</v>
      </c>
      <c r="H426" s="729" t="s">
        <v>27</v>
      </c>
      <c r="I426" s="819"/>
      <c r="J426" s="729" t="s">
        <v>120</v>
      </c>
      <c r="K426" s="1145"/>
      <c r="L426" s="932"/>
      <c r="M426" s="919">
        <f ca="1" t="shared" si="12"/>
        <v>322</v>
      </c>
      <c r="N426" s="728">
        <f t="shared" si="13"/>
        <v>45992</v>
      </c>
      <c r="O426"/>
      <c r="P426"/>
    </row>
    <row r="427" ht="20.1" hidden="1" customHeight="1" spans="1:16">
      <c r="A427" s="819">
        <v>440</v>
      </c>
      <c r="B427" s="729" t="s">
        <v>233</v>
      </c>
      <c r="C427" s="729" t="s">
        <v>658</v>
      </c>
      <c r="D427" s="729" t="s">
        <v>656</v>
      </c>
      <c r="E427" s="1147">
        <v>800000</v>
      </c>
      <c r="F427" s="775">
        <v>45806</v>
      </c>
      <c r="G427" s="775">
        <v>45867</v>
      </c>
      <c r="H427" s="729" t="s">
        <v>17</v>
      </c>
      <c r="I427" s="819"/>
      <c r="J427" s="729" t="s">
        <v>55</v>
      </c>
      <c r="K427" s="1145"/>
      <c r="L427" s="932"/>
      <c r="M427" s="919">
        <f ca="1" t="shared" si="12"/>
        <v>329</v>
      </c>
      <c r="N427" s="728">
        <f t="shared" si="13"/>
        <v>45985</v>
      </c>
      <c r="O427" s="889"/>
      <c r="P427" s="889"/>
    </row>
    <row r="428" ht="20.1" hidden="1" customHeight="1" spans="1:16">
      <c r="A428" s="819">
        <v>447</v>
      </c>
      <c r="B428" s="729" t="s">
        <v>28</v>
      </c>
      <c r="C428" s="729" t="s">
        <v>659</v>
      </c>
      <c r="D428" s="729" t="s">
        <v>660</v>
      </c>
      <c r="E428" s="1147">
        <v>23567.03</v>
      </c>
      <c r="F428" s="775">
        <v>45813</v>
      </c>
      <c r="G428" s="775">
        <v>45867</v>
      </c>
      <c r="H428" s="729" t="s">
        <v>27</v>
      </c>
      <c r="I428" s="819"/>
      <c r="J428" s="729" t="s">
        <v>120</v>
      </c>
      <c r="K428" s="1145"/>
      <c r="L428" s="932"/>
      <c r="M428" s="919">
        <f ca="1" t="shared" si="12"/>
        <v>322</v>
      </c>
      <c r="N428" s="728">
        <f t="shared" si="13"/>
        <v>45992</v>
      </c>
    </row>
    <row r="429" ht="33.75" hidden="1" customHeight="1" spans="1:16">
      <c r="A429" s="819">
        <v>448</v>
      </c>
      <c r="B429" s="729" t="s">
        <v>25</v>
      </c>
      <c r="C429" s="729" t="s">
        <v>661</v>
      </c>
      <c r="D429" s="729" t="s">
        <v>662</v>
      </c>
      <c r="E429" s="1147">
        <v>120000</v>
      </c>
      <c r="F429" s="775">
        <v>45813</v>
      </c>
      <c r="G429" s="775">
        <v>45867</v>
      </c>
      <c r="H429" s="729" t="s">
        <v>27</v>
      </c>
      <c r="I429" s="819"/>
      <c r="J429" s="729" t="s">
        <v>120</v>
      </c>
      <c r="K429" s="1145"/>
      <c r="L429" s="932"/>
      <c r="M429" s="919">
        <f ca="1" t="shared" si="12"/>
        <v>322</v>
      </c>
      <c r="N429" s="728">
        <f t="shared" si="13"/>
        <v>45992</v>
      </c>
    </row>
    <row r="430" ht="20.1" customHeight="1" spans="1:16">
      <c r="A430" s="819">
        <v>418</v>
      </c>
      <c r="B430" s="729" t="s">
        <v>79</v>
      </c>
      <c r="C430" s="729" t="s">
        <v>663</v>
      </c>
      <c r="D430" s="729" t="s">
        <v>576</v>
      </c>
      <c r="E430" s="1147">
        <v>437519.07</v>
      </c>
      <c r="F430" s="775">
        <v>45777</v>
      </c>
      <c r="G430" s="775">
        <v>45870</v>
      </c>
      <c r="H430" s="729" t="s">
        <v>17</v>
      </c>
      <c r="I430" s="819"/>
      <c r="J430" s="729" t="s">
        <v>120</v>
      </c>
      <c r="K430" s="1145"/>
      <c r="L430" s="932"/>
      <c r="M430" s="919">
        <f ca="1" t="shared" si="12"/>
        <v>358</v>
      </c>
      <c r="N430" s="728">
        <f t="shared" si="13"/>
        <v>45956</v>
      </c>
    </row>
    <row r="431" ht="20.1" hidden="1" customHeight="1" spans="1:16">
      <c r="A431" s="819">
        <v>392</v>
      </c>
      <c r="B431" s="729" t="s">
        <v>15</v>
      </c>
      <c r="C431" s="729" t="s">
        <v>664</v>
      </c>
      <c r="D431" s="729" t="s">
        <v>574</v>
      </c>
      <c r="E431" s="1147">
        <v>51974.33</v>
      </c>
      <c r="F431" s="775">
        <v>45761</v>
      </c>
      <c r="G431" s="775">
        <v>45873</v>
      </c>
      <c r="H431" s="729" t="s">
        <v>27</v>
      </c>
      <c r="I431" s="819"/>
      <c r="J431" s="729" t="s">
        <v>120</v>
      </c>
      <c r="K431" s="1145"/>
      <c r="L431" s="932"/>
      <c r="M431" s="919">
        <f ca="1" t="shared" si="12"/>
        <v>374</v>
      </c>
      <c r="N431" s="728">
        <f t="shared" si="13"/>
        <v>45940</v>
      </c>
    </row>
    <row r="432" ht="20.1" hidden="1" customHeight="1" spans="1:16">
      <c r="A432" s="819">
        <v>395</v>
      </c>
      <c r="B432" s="729" t="s">
        <v>15</v>
      </c>
      <c r="C432" s="729" t="s">
        <v>665</v>
      </c>
      <c r="D432" s="729" t="s">
        <v>574</v>
      </c>
      <c r="E432" s="1147">
        <v>123899.78</v>
      </c>
      <c r="F432" s="775">
        <v>45763</v>
      </c>
      <c r="G432" s="775">
        <v>45873</v>
      </c>
      <c r="H432" s="729" t="s">
        <v>27</v>
      </c>
      <c r="I432" s="819"/>
      <c r="J432" s="729" t="s">
        <v>120</v>
      </c>
      <c r="K432" s="1145"/>
      <c r="L432" s="932"/>
      <c r="M432" s="919">
        <f ca="1" t="shared" si="12"/>
        <v>372</v>
      </c>
      <c r="N432" s="728">
        <f t="shared" si="13"/>
        <v>45942</v>
      </c>
    </row>
    <row r="433" ht="20.1" hidden="1" customHeight="1" spans="1:16">
      <c r="A433" s="819">
        <v>396</v>
      </c>
      <c r="B433" s="729" t="s">
        <v>15</v>
      </c>
      <c r="C433" s="729" t="s">
        <v>666</v>
      </c>
      <c r="D433" s="729" t="s">
        <v>613</v>
      </c>
      <c r="E433" s="1147">
        <v>259999.59</v>
      </c>
      <c r="F433" s="775">
        <v>45763</v>
      </c>
      <c r="G433" s="775">
        <v>45873</v>
      </c>
      <c r="H433" s="729" t="s">
        <v>27</v>
      </c>
      <c r="I433" s="819"/>
      <c r="J433" s="729" t="s">
        <v>120</v>
      </c>
      <c r="K433" s="1145"/>
      <c r="L433" s="932"/>
      <c r="M433" s="919">
        <f ca="1" t="shared" si="12"/>
        <v>372</v>
      </c>
      <c r="N433" s="728">
        <f t="shared" si="13"/>
        <v>45942</v>
      </c>
    </row>
    <row r="434" ht="20.1" hidden="1" customHeight="1" spans="1:16">
      <c r="A434" s="819">
        <v>402</v>
      </c>
      <c r="B434" s="729" t="s">
        <v>15</v>
      </c>
      <c r="C434" s="729" t="s">
        <v>667</v>
      </c>
      <c r="D434" s="729" t="s">
        <v>588</v>
      </c>
      <c r="E434" s="1147">
        <v>596446.3</v>
      </c>
      <c r="F434" s="775">
        <v>45768</v>
      </c>
      <c r="G434" s="775">
        <v>45873</v>
      </c>
      <c r="H434" s="729" t="s">
        <v>17</v>
      </c>
      <c r="I434" s="819"/>
      <c r="J434" s="729" t="s">
        <v>120</v>
      </c>
      <c r="K434" s="1145"/>
      <c r="L434" s="932"/>
      <c r="M434" s="919">
        <f ca="1" t="shared" si="12"/>
        <v>367</v>
      </c>
      <c r="N434" s="728">
        <f t="shared" si="13"/>
        <v>45947</v>
      </c>
    </row>
    <row r="435" ht="20.1" hidden="1" customHeight="1" spans="1:16">
      <c r="A435" s="819">
        <v>403</v>
      </c>
      <c r="B435" s="729" t="s">
        <v>15</v>
      </c>
      <c r="C435" s="729" t="s">
        <v>668</v>
      </c>
      <c r="D435" s="729" t="s">
        <v>588</v>
      </c>
      <c r="E435" s="1147">
        <v>340000</v>
      </c>
      <c r="F435" s="775">
        <v>45768</v>
      </c>
      <c r="G435" s="775">
        <v>45873</v>
      </c>
      <c r="H435" s="729" t="s">
        <v>27</v>
      </c>
      <c r="I435" s="819"/>
      <c r="J435" s="729" t="s">
        <v>120</v>
      </c>
      <c r="K435" s="1145"/>
      <c r="L435" s="932"/>
      <c r="M435" s="919">
        <f ca="1" t="shared" si="12"/>
        <v>367</v>
      </c>
      <c r="N435" s="728">
        <f t="shared" si="13"/>
        <v>45947</v>
      </c>
    </row>
    <row r="436" ht="20.1" hidden="1" customHeight="1" spans="1:16">
      <c r="A436" s="819">
        <v>478</v>
      </c>
      <c r="B436" s="729" t="s">
        <v>228</v>
      </c>
      <c r="C436" s="729" t="s">
        <v>669</v>
      </c>
      <c r="D436" s="729" t="s">
        <v>670</v>
      </c>
      <c r="E436" s="1147">
        <v>560000</v>
      </c>
      <c r="F436" s="775">
        <v>45838</v>
      </c>
      <c r="G436" s="775">
        <v>45874</v>
      </c>
      <c r="H436" s="931" t="s">
        <v>17</v>
      </c>
      <c r="I436" s="819"/>
      <c r="J436" s="729" t="s">
        <v>120</v>
      </c>
      <c r="K436" s="1148"/>
      <c r="L436" s="932"/>
      <c r="M436" s="919">
        <f ca="1" t="shared" si="12"/>
        <v>297</v>
      </c>
      <c r="N436" s="728">
        <f t="shared" si="13"/>
        <v>46017</v>
      </c>
    </row>
    <row r="437" ht="22.65" hidden="1" customHeight="1" spans="1:16">
      <c r="A437" s="819">
        <v>413</v>
      </c>
      <c r="B437" s="729" t="s">
        <v>41</v>
      </c>
      <c r="C437" s="729" t="s">
        <v>671</v>
      </c>
      <c r="D437" s="729" t="s">
        <v>672</v>
      </c>
      <c r="E437" s="1147">
        <v>180000</v>
      </c>
      <c r="F437" s="775">
        <v>45772</v>
      </c>
      <c r="G437" s="775">
        <v>45880</v>
      </c>
      <c r="H437" s="729" t="s">
        <v>27</v>
      </c>
      <c r="I437" s="819"/>
      <c r="J437" s="819"/>
      <c r="K437" s="1148"/>
      <c r="L437" s="938" t="s">
        <v>673</v>
      </c>
      <c r="M437" s="919">
        <f ca="1" t="shared" si="12"/>
        <v>363</v>
      </c>
      <c r="N437" s="728">
        <f t="shared" si="13"/>
        <v>45951</v>
      </c>
    </row>
    <row r="438" ht="20.1" hidden="1" customHeight="1" spans="1:16">
      <c r="A438" s="819">
        <v>414</v>
      </c>
      <c r="B438" s="729" t="s">
        <v>147</v>
      </c>
      <c r="C438" s="729" t="s">
        <v>674</v>
      </c>
      <c r="D438" s="729" t="s">
        <v>672</v>
      </c>
      <c r="E438" s="1147">
        <v>1120000</v>
      </c>
      <c r="F438" s="775">
        <v>45772</v>
      </c>
      <c r="G438" s="775">
        <v>45880</v>
      </c>
      <c r="H438" s="729" t="s">
        <v>17</v>
      </c>
      <c r="I438" s="819"/>
      <c r="J438" s="729"/>
      <c r="K438" s="1145"/>
      <c r="L438" s="729" t="s">
        <v>675</v>
      </c>
      <c r="M438" s="919">
        <f ca="1" t="shared" si="12"/>
        <v>363</v>
      </c>
      <c r="N438" s="728">
        <f t="shared" si="13"/>
        <v>45951</v>
      </c>
    </row>
    <row r="439" ht="20.1" hidden="1" customHeight="1" spans="1:16">
      <c r="A439" s="819">
        <v>408</v>
      </c>
      <c r="B439" s="943" t="s">
        <v>37</v>
      </c>
      <c r="C439" s="938" t="s">
        <v>676</v>
      </c>
      <c r="D439" s="729" t="s">
        <v>599</v>
      </c>
      <c r="E439" s="1147">
        <v>104000</v>
      </c>
      <c r="F439" s="775">
        <v>45771</v>
      </c>
      <c r="G439" s="775">
        <v>45883</v>
      </c>
      <c r="H439" s="729" t="s">
        <v>27</v>
      </c>
      <c r="I439" s="819"/>
      <c r="J439" s="729" t="s">
        <v>120</v>
      </c>
      <c r="K439" s="1145"/>
      <c r="L439" s="932"/>
      <c r="M439" s="919">
        <f ca="1" t="shared" si="12"/>
        <v>364</v>
      </c>
      <c r="N439" s="728">
        <f t="shared" si="13"/>
        <v>45950</v>
      </c>
    </row>
    <row r="440" ht="20.1" hidden="1" customHeight="1" spans="1:16">
      <c r="A440" s="819">
        <v>423</v>
      </c>
      <c r="B440" s="729" t="s">
        <v>22</v>
      </c>
      <c r="C440" s="934" t="s">
        <v>677</v>
      </c>
      <c r="D440" s="729" t="s">
        <v>591</v>
      </c>
      <c r="E440" s="1147">
        <v>1200000</v>
      </c>
      <c r="F440" s="775">
        <v>45786</v>
      </c>
      <c r="G440" s="775">
        <v>45884</v>
      </c>
      <c r="H440" s="729" t="s">
        <v>17</v>
      </c>
      <c r="I440" s="819"/>
      <c r="J440" s="729" t="s">
        <v>120</v>
      </c>
      <c r="K440" s="1145"/>
      <c r="L440" s="932"/>
      <c r="M440" s="919">
        <f ca="1" t="shared" si="12"/>
        <v>349</v>
      </c>
      <c r="N440" s="728">
        <f t="shared" si="13"/>
        <v>45965</v>
      </c>
    </row>
    <row r="441" ht="20.1" hidden="1" customHeight="1" spans="1:16">
      <c r="A441" s="819">
        <v>426</v>
      </c>
      <c r="B441" s="729" t="s">
        <v>28</v>
      </c>
      <c r="C441" s="934" t="s">
        <v>678</v>
      </c>
      <c r="D441" s="729" t="s">
        <v>679</v>
      </c>
      <c r="E441" s="1147">
        <v>148621.05</v>
      </c>
      <c r="F441" s="775">
        <v>45792</v>
      </c>
      <c r="G441" s="775">
        <v>45888</v>
      </c>
      <c r="H441" s="729" t="s">
        <v>27</v>
      </c>
      <c r="I441" s="819"/>
      <c r="J441" s="729" t="s">
        <v>120</v>
      </c>
      <c r="K441" s="1145"/>
      <c r="L441" s="932"/>
      <c r="M441" s="919">
        <f ca="1" t="shared" si="12"/>
        <v>343</v>
      </c>
      <c r="N441" s="728">
        <f t="shared" si="13"/>
        <v>45971</v>
      </c>
    </row>
    <row r="442" s="889" customFormat="1" ht="20.1" hidden="1" customHeight="1" spans="1:16">
      <c r="A442" s="819">
        <v>450</v>
      </c>
      <c r="B442" s="729" t="s">
        <v>28</v>
      </c>
      <c r="C442" s="729" t="s">
        <v>680</v>
      </c>
      <c r="D442" s="729" t="s">
        <v>660</v>
      </c>
      <c r="E442" s="1147">
        <v>196535.58</v>
      </c>
      <c r="F442" s="775">
        <v>45814</v>
      </c>
      <c r="G442" s="775">
        <v>45888</v>
      </c>
      <c r="H442" s="729" t="s">
        <v>27</v>
      </c>
      <c r="I442" s="819"/>
      <c r="J442" s="729" t="s">
        <v>120</v>
      </c>
      <c r="K442" s="1145"/>
      <c r="L442" s="932"/>
      <c r="M442" s="919">
        <f ca="1" t="shared" si="12"/>
        <v>321</v>
      </c>
      <c r="N442" s="728">
        <f t="shared" si="13"/>
        <v>45993</v>
      </c>
      <c r="O442"/>
      <c r="P442"/>
    </row>
    <row r="443" ht="20.1" hidden="1" customHeight="1" spans="1:16">
      <c r="A443" s="819">
        <v>419</v>
      </c>
      <c r="B443" s="934" t="s">
        <v>15</v>
      </c>
      <c r="C443" s="1007" t="s">
        <v>681</v>
      </c>
      <c r="D443" s="729" t="s">
        <v>576</v>
      </c>
      <c r="E443" s="1147">
        <v>67773.04</v>
      </c>
      <c r="F443" s="1009">
        <v>45777</v>
      </c>
      <c r="G443" s="1009">
        <v>45889</v>
      </c>
      <c r="H443" s="934" t="s">
        <v>27</v>
      </c>
      <c r="I443" s="1007"/>
      <c r="J443" s="934" t="s">
        <v>120</v>
      </c>
      <c r="K443" s="1145"/>
      <c r="L443" s="1160"/>
      <c r="M443" s="965">
        <f ca="1" t="shared" si="12"/>
        <v>358</v>
      </c>
      <c r="N443" s="966">
        <f t="shared" si="13"/>
        <v>45956</v>
      </c>
      <c r="O443" s="889"/>
      <c r="P443" s="889"/>
    </row>
    <row r="444" ht="20.1" hidden="1" customHeight="1" spans="1:16">
      <c r="A444" s="819">
        <v>420</v>
      </c>
      <c r="B444" s="934" t="s">
        <v>15</v>
      </c>
      <c r="C444" s="1089" t="s">
        <v>682</v>
      </c>
      <c r="D444" s="934" t="s">
        <v>591</v>
      </c>
      <c r="E444" s="1188">
        <v>792877.83</v>
      </c>
      <c r="F444" s="1009">
        <v>45777</v>
      </c>
      <c r="G444" s="1009">
        <v>45889</v>
      </c>
      <c r="H444" s="934" t="s">
        <v>17</v>
      </c>
      <c r="I444" s="1007"/>
      <c r="J444" s="934" t="s">
        <v>120</v>
      </c>
      <c r="K444" s="1145"/>
      <c r="L444" s="1160"/>
      <c r="M444" s="965">
        <f ca="1" t="shared" si="12"/>
        <v>358</v>
      </c>
      <c r="N444" s="966">
        <f t="shared" si="13"/>
        <v>45956</v>
      </c>
      <c r="O444" s="889"/>
      <c r="P444" s="889"/>
    </row>
    <row r="445" ht="20.1" hidden="1" customHeight="1" spans="1:16">
      <c r="A445" s="819">
        <v>424</v>
      </c>
      <c r="B445" s="1212" t="s">
        <v>22</v>
      </c>
      <c r="C445" s="1089" t="s">
        <v>683</v>
      </c>
      <c r="D445" s="934" t="s">
        <v>679</v>
      </c>
      <c r="E445" s="1188">
        <v>1848966.62</v>
      </c>
      <c r="F445" s="1009">
        <v>45789</v>
      </c>
      <c r="G445" s="1009">
        <v>45889</v>
      </c>
      <c r="H445" s="934" t="s">
        <v>17</v>
      </c>
      <c r="I445" s="1007"/>
      <c r="J445" s="934" t="s">
        <v>120</v>
      </c>
      <c r="K445" s="1145"/>
      <c r="L445" s="1014" t="s">
        <v>684</v>
      </c>
      <c r="M445" s="965">
        <f ca="1" t="shared" si="12"/>
        <v>346</v>
      </c>
      <c r="N445" s="966">
        <f t="shared" si="13"/>
        <v>45968</v>
      </c>
      <c r="O445" s="889"/>
      <c r="P445" s="889"/>
    </row>
    <row r="446" ht="20.1" hidden="1" customHeight="1" spans="1:16">
      <c r="A446" s="819">
        <v>433</v>
      </c>
      <c r="B446" s="729" t="s">
        <v>28</v>
      </c>
      <c r="C446" s="1059" t="s">
        <v>685</v>
      </c>
      <c r="D446" s="729" t="s">
        <v>648</v>
      </c>
      <c r="E446" s="1147">
        <v>53993.88</v>
      </c>
      <c r="F446" s="775">
        <v>45800</v>
      </c>
      <c r="G446" s="775">
        <v>45891</v>
      </c>
      <c r="H446" s="729" t="s">
        <v>27</v>
      </c>
      <c r="I446" s="819"/>
      <c r="J446" s="729" t="s">
        <v>120</v>
      </c>
      <c r="K446" s="1145"/>
      <c r="L446" s="932"/>
      <c r="M446" s="919">
        <f ca="1" t="shared" si="12"/>
        <v>335</v>
      </c>
      <c r="N446" s="728">
        <f t="shared" si="13"/>
        <v>45979</v>
      </c>
    </row>
    <row r="447" ht="20.1" hidden="1" customHeight="1" spans="1:16">
      <c r="A447" s="819">
        <v>436</v>
      </c>
      <c r="B447" s="729" t="s">
        <v>25</v>
      </c>
      <c r="C447" s="1059" t="s">
        <v>686</v>
      </c>
      <c r="D447" s="729" t="s">
        <v>652</v>
      </c>
      <c r="E447" s="1147">
        <v>600000</v>
      </c>
      <c r="F447" s="775">
        <v>45804</v>
      </c>
      <c r="G447" s="775">
        <v>45894</v>
      </c>
      <c r="H447" s="729" t="s">
        <v>17</v>
      </c>
      <c r="I447" s="819"/>
      <c r="J447" s="729" t="s">
        <v>120</v>
      </c>
      <c r="K447" s="1145"/>
      <c r="L447" s="932"/>
      <c r="M447" s="919">
        <f ca="1" t="shared" si="12"/>
        <v>331</v>
      </c>
      <c r="N447" s="728">
        <f t="shared" si="13"/>
        <v>45983</v>
      </c>
    </row>
    <row r="448" ht="20.1" hidden="1" customHeight="1" spans="1:16">
      <c r="A448" s="819">
        <v>444</v>
      </c>
      <c r="B448" s="729" t="s">
        <v>25</v>
      </c>
      <c r="C448" s="729" t="s">
        <v>687</v>
      </c>
      <c r="D448" s="729" t="s">
        <v>656</v>
      </c>
      <c r="E448" s="1147">
        <v>40000</v>
      </c>
      <c r="F448" s="775">
        <v>45807</v>
      </c>
      <c r="G448" s="775">
        <v>45894</v>
      </c>
      <c r="H448" s="729" t="s">
        <v>27</v>
      </c>
      <c r="I448" s="819"/>
      <c r="J448" s="729" t="s">
        <v>120</v>
      </c>
      <c r="K448" s="1145"/>
      <c r="L448" s="932"/>
      <c r="M448" s="919">
        <f ca="1" t="shared" si="12"/>
        <v>328</v>
      </c>
      <c r="N448" s="728">
        <f t="shared" si="13"/>
        <v>45986</v>
      </c>
    </row>
    <row r="449" ht="20.1" hidden="1" customHeight="1" spans="1:16">
      <c r="A449" s="819">
        <v>452</v>
      </c>
      <c r="B449" s="729" t="s">
        <v>25</v>
      </c>
      <c r="C449" s="729" t="s">
        <v>688</v>
      </c>
      <c r="D449" s="729" t="s">
        <v>689</v>
      </c>
      <c r="E449" s="1147">
        <v>1200000</v>
      </c>
      <c r="F449" s="775">
        <v>45819</v>
      </c>
      <c r="G449" s="775">
        <v>45894</v>
      </c>
      <c r="H449" s="729" t="s">
        <v>17</v>
      </c>
      <c r="I449" s="819"/>
      <c r="J449" s="729" t="s">
        <v>120</v>
      </c>
      <c r="K449" s="1145"/>
      <c r="L449" s="932"/>
      <c r="M449" s="919">
        <f ca="1" t="shared" si="12"/>
        <v>316</v>
      </c>
      <c r="N449" s="728">
        <f t="shared" si="13"/>
        <v>45998</v>
      </c>
    </row>
    <row r="450" ht="20.1" hidden="1" customHeight="1" spans="1:16">
      <c r="A450" s="819">
        <v>431</v>
      </c>
      <c r="B450" s="840" t="s">
        <v>15</v>
      </c>
      <c r="C450" s="1059" t="s">
        <v>690</v>
      </c>
      <c r="D450" s="729" t="s">
        <v>634</v>
      </c>
      <c r="E450" s="1147">
        <v>516000</v>
      </c>
      <c r="F450" s="775">
        <v>45799</v>
      </c>
      <c r="G450" s="775">
        <v>45895</v>
      </c>
      <c r="H450" s="729" t="s">
        <v>17</v>
      </c>
      <c r="I450" s="819"/>
      <c r="J450" s="729" t="s">
        <v>120</v>
      </c>
      <c r="K450" s="1145"/>
      <c r="L450" s="932"/>
      <c r="M450" s="919">
        <f ca="1" t="shared" si="12"/>
        <v>336</v>
      </c>
      <c r="N450" s="728">
        <f t="shared" si="13"/>
        <v>45978</v>
      </c>
    </row>
    <row r="451" ht="20.1" customHeight="1" spans="1:16">
      <c r="A451" s="819">
        <v>449</v>
      </c>
      <c r="B451" s="729" t="s">
        <v>79</v>
      </c>
      <c r="C451" s="1059" t="s">
        <v>691</v>
      </c>
      <c r="D451" s="729" t="s">
        <v>662</v>
      </c>
      <c r="E451" s="1147"/>
      <c r="F451" s="775">
        <v>45813</v>
      </c>
      <c r="G451" s="775">
        <v>45896</v>
      </c>
      <c r="H451" s="729" t="s">
        <v>17</v>
      </c>
      <c r="I451" s="819"/>
      <c r="J451" s="729" t="s">
        <v>692</v>
      </c>
      <c r="K451" s="1145"/>
      <c r="L451" s="938" t="s">
        <v>693</v>
      </c>
      <c r="M451" s="919">
        <f ca="1" t="shared" ref="M451:M514" si="14">DATEDIF(F451,TODAY(),"D")</f>
        <v>322</v>
      </c>
      <c r="N451" s="728">
        <f t="shared" ref="N451:N514" si="15">F451+179</f>
        <v>45992</v>
      </c>
    </row>
    <row r="452" ht="20.1" hidden="1" customHeight="1" spans="1:16">
      <c r="A452" s="1142">
        <v>454</v>
      </c>
      <c r="B452" s="1048" t="s">
        <v>147</v>
      </c>
      <c r="C452" s="1213" t="s">
        <v>694</v>
      </c>
      <c r="D452" s="1048" t="s">
        <v>695</v>
      </c>
      <c r="E452" s="1143">
        <v>3600000</v>
      </c>
      <c r="F452" s="1144">
        <v>45821</v>
      </c>
      <c r="G452" s="1144">
        <v>45898</v>
      </c>
      <c r="H452" s="1048" t="s">
        <v>17</v>
      </c>
      <c r="I452" s="1142"/>
      <c r="J452" s="729" t="s">
        <v>120</v>
      </c>
      <c r="K452" s="1148"/>
      <c r="L452" s="1092" t="s">
        <v>696</v>
      </c>
      <c r="M452" s="1203">
        <f ca="1" t="shared" si="14"/>
        <v>314</v>
      </c>
      <c r="N452" s="1204">
        <f t="shared" si="15"/>
        <v>46000</v>
      </c>
      <c r="O452" s="1"/>
      <c r="P452" s="1"/>
    </row>
    <row r="453" ht="20.1" hidden="1" customHeight="1" spans="1:16">
      <c r="A453" s="819">
        <v>445</v>
      </c>
      <c r="B453" s="729" t="s">
        <v>147</v>
      </c>
      <c r="C453" s="1214" t="s">
        <v>697</v>
      </c>
      <c r="D453" s="729" t="s">
        <v>654</v>
      </c>
      <c r="E453" s="1147">
        <v>2000000</v>
      </c>
      <c r="F453" s="775">
        <v>45811</v>
      </c>
      <c r="G453" s="775">
        <v>45902</v>
      </c>
      <c r="H453" s="729" t="s">
        <v>17</v>
      </c>
      <c r="I453" s="819"/>
      <c r="J453" s="729" t="s">
        <v>120</v>
      </c>
      <c r="K453" s="1145"/>
      <c r="L453" s="938" t="s">
        <v>698</v>
      </c>
      <c r="M453" s="919">
        <f ca="1" t="shared" si="14"/>
        <v>324</v>
      </c>
      <c r="N453" s="728">
        <f t="shared" si="15"/>
        <v>45990</v>
      </c>
    </row>
    <row r="454" ht="20.1" hidden="1" customHeight="1" spans="1:16">
      <c r="A454" s="819">
        <v>455</v>
      </c>
      <c r="B454" s="1215" t="s">
        <v>28</v>
      </c>
      <c r="C454" s="1059" t="s">
        <v>699</v>
      </c>
      <c r="D454" s="729" t="s">
        <v>700</v>
      </c>
      <c r="E454" s="1147">
        <v>101230.47</v>
      </c>
      <c r="F454" s="775">
        <v>45821</v>
      </c>
      <c r="G454" s="775">
        <v>45904</v>
      </c>
      <c r="H454" s="729" t="s">
        <v>27</v>
      </c>
      <c r="I454" s="819"/>
      <c r="J454" s="729" t="s">
        <v>120</v>
      </c>
      <c r="K454" s="1145"/>
      <c r="L454" s="932"/>
      <c r="M454" s="919">
        <f ca="1" t="shared" si="14"/>
        <v>314</v>
      </c>
      <c r="N454" s="728">
        <f t="shared" si="15"/>
        <v>46000</v>
      </c>
    </row>
    <row r="455" ht="20.1" customHeight="1" spans="1:16">
      <c r="A455" s="819">
        <v>425</v>
      </c>
      <c r="B455" s="729" t="s">
        <v>79</v>
      </c>
      <c r="C455" s="934" t="s">
        <v>701</v>
      </c>
      <c r="D455" s="729" t="s">
        <v>679</v>
      </c>
      <c r="E455" s="1147">
        <v>540000</v>
      </c>
      <c r="F455" s="775">
        <v>45789</v>
      </c>
      <c r="G455" s="775">
        <v>45905</v>
      </c>
      <c r="H455" s="729" t="s">
        <v>17</v>
      </c>
      <c r="I455" s="819"/>
      <c r="J455" s="729" t="s">
        <v>120</v>
      </c>
      <c r="K455" s="1145"/>
      <c r="L455" s="932"/>
      <c r="M455" s="919">
        <f ca="1" t="shared" si="14"/>
        <v>346</v>
      </c>
      <c r="N455" s="728">
        <f t="shared" si="15"/>
        <v>45968</v>
      </c>
    </row>
    <row r="456" s="1" customFormat="1" ht="20.1" hidden="1" customHeight="1" spans="1:16">
      <c r="A456" s="819">
        <v>434</v>
      </c>
      <c r="B456" s="840" t="s">
        <v>15</v>
      </c>
      <c r="C456" s="729" t="s">
        <v>702</v>
      </c>
      <c r="D456" s="729" t="s">
        <v>652</v>
      </c>
      <c r="E456" s="1147">
        <v>110052.97</v>
      </c>
      <c r="F456" s="775">
        <v>45803</v>
      </c>
      <c r="G456" s="775">
        <v>45908</v>
      </c>
      <c r="H456" s="729" t="s">
        <v>27</v>
      </c>
      <c r="I456" s="819"/>
      <c r="J456" s="729" t="s">
        <v>120</v>
      </c>
      <c r="K456" s="1145"/>
      <c r="L456" s="932"/>
      <c r="M456" s="919">
        <f ca="1" t="shared" si="14"/>
        <v>332</v>
      </c>
      <c r="N456" s="728">
        <f t="shared" si="15"/>
        <v>45982</v>
      </c>
      <c r="O456"/>
      <c r="P456"/>
    </row>
    <row r="457" ht="20.1" hidden="1" customHeight="1" spans="1:16">
      <c r="A457" s="819">
        <v>437</v>
      </c>
      <c r="B457" s="840" t="s">
        <v>15</v>
      </c>
      <c r="C457" s="729" t="s">
        <v>703</v>
      </c>
      <c r="D457" s="729" t="s">
        <v>652</v>
      </c>
      <c r="E457" s="1147">
        <v>214315.98</v>
      </c>
      <c r="F457" s="775">
        <v>45804</v>
      </c>
      <c r="G457" s="775">
        <v>45908</v>
      </c>
      <c r="H457" s="729" t="s">
        <v>27</v>
      </c>
      <c r="I457" s="819"/>
      <c r="J457" s="729" t="s">
        <v>120</v>
      </c>
      <c r="K457" s="1145"/>
      <c r="L457" s="932"/>
      <c r="M457" s="919">
        <f ca="1" t="shared" si="14"/>
        <v>331</v>
      </c>
      <c r="N457" s="728">
        <f t="shared" si="15"/>
        <v>45983</v>
      </c>
    </row>
    <row r="458" ht="20.1" hidden="1" customHeight="1" spans="1:16">
      <c r="A458" s="819">
        <v>468</v>
      </c>
      <c r="B458" s="729" t="s">
        <v>28</v>
      </c>
      <c r="C458" s="729" t="s">
        <v>704</v>
      </c>
      <c r="D458" s="729" t="s">
        <v>705</v>
      </c>
      <c r="E458" s="1147">
        <v>400000</v>
      </c>
      <c r="F458" s="775">
        <v>45832</v>
      </c>
      <c r="G458" s="775">
        <v>45908</v>
      </c>
      <c r="H458" s="729" t="s">
        <v>27</v>
      </c>
      <c r="I458" s="819"/>
      <c r="J458" s="729" t="s">
        <v>120</v>
      </c>
      <c r="K458" s="1148"/>
      <c r="L458" s="932"/>
      <c r="M458" s="919">
        <f ca="1" t="shared" si="14"/>
        <v>303</v>
      </c>
      <c r="N458" s="728">
        <f t="shared" si="15"/>
        <v>46011</v>
      </c>
    </row>
    <row r="459" ht="20.1" hidden="1" customHeight="1" spans="1:16">
      <c r="A459" s="819">
        <v>515</v>
      </c>
      <c r="B459" s="729" t="s">
        <v>89</v>
      </c>
      <c r="C459" s="729" t="s">
        <v>706</v>
      </c>
      <c r="D459" s="729" t="s">
        <v>707</v>
      </c>
      <c r="E459" s="1147">
        <v>799999.47</v>
      </c>
      <c r="F459" s="775">
        <v>45883</v>
      </c>
      <c r="G459" s="775">
        <v>45908</v>
      </c>
      <c r="H459" s="931" t="s">
        <v>17</v>
      </c>
      <c r="I459" s="819"/>
      <c r="J459" s="819"/>
      <c r="K459" s="1148"/>
      <c r="L459" s="932"/>
      <c r="M459" s="919">
        <f ca="1" t="shared" si="14"/>
        <v>252</v>
      </c>
      <c r="N459" s="728">
        <f t="shared" si="15"/>
        <v>46062</v>
      </c>
    </row>
    <row r="460" ht="20.1" hidden="1" customHeight="1" spans="1:16">
      <c r="A460" s="819">
        <v>501</v>
      </c>
      <c r="B460" s="729" t="s">
        <v>75</v>
      </c>
      <c r="C460" s="1059" t="s">
        <v>708</v>
      </c>
      <c r="D460" s="729" t="s">
        <v>709</v>
      </c>
      <c r="E460" s="1147">
        <v>32000</v>
      </c>
      <c r="F460" s="775">
        <v>45869</v>
      </c>
      <c r="G460" s="775">
        <v>45909</v>
      </c>
      <c r="H460" s="729" t="s">
        <v>27</v>
      </c>
      <c r="I460" s="819"/>
      <c r="J460" s="729" t="s">
        <v>120</v>
      </c>
      <c r="K460" s="1148"/>
      <c r="L460" s="932"/>
      <c r="M460" s="919">
        <f ca="1" t="shared" si="14"/>
        <v>266</v>
      </c>
      <c r="N460" s="728">
        <f t="shared" si="15"/>
        <v>46048</v>
      </c>
    </row>
    <row r="461" ht="20.1" hidden="1" customHeight="1" spans="1:16">
      <c r="A461" s="819">
        <v>438</v>
      </c>
      <c r="B461" s="840" t="s">
        <v>15</v>
      </c>
      <c r="C461" s="1059" t="s">
        <v>710</v>
      </c>
      <c r="D461" s="729" t="s">
        <v>626</v>
      </c>
      <c r="E461" s="1147">
        <v>290883.81</v>
      </c>
      <c r="F461" s="775">
        <v>45805</v>
      </c>
      <c r="G461" s="775">
        <v>45912</v>
      </c>
      <c r="H461" s="729" t="s">
        <v>27</v>
      </c>
      <c r="I461" s="819"/>
      <c r="J461" s="729" t="s">
        <v>120</v>
      </c>
      <c r="K461" s="1145"/>
      <c r="L461" s="932"/>
      <c r="M461" s="919">
        <f ca="1" t="shared" si="14"/>
        <v>330</v>
      </c>
      <c r="N461" s="728">
        <f t="shared" si="15"/>
        <v>45984</v>
      </c>
    </row>
    <row r="462" ht="20.1" hidden="1" customHeight="1" spans="1:16">
      <c r="A462" s="1142">
        <v>484</v>
      </c>
      <c r="B462" s="729" t="s">
        <v>28</v>
      </c>
      <c r="C462" s="1059" t="s">
        <v>711</v>
      </c>
      <c r="D462" s="729" t="s">
        <v>712</v>
      </c>
      <c r="E462" s="1147">
        <v>139200</v>
      </c>
      <c r="F462" s="775">
        <v>45839</v>
      </c>
      <c r="G462" s="775">
        <v>45915</v>
      </c>
      <c r="H462" s="729" t="s">
        <v>27</v>
      </c>
      <c r="I462" s="819"/>
      <c r="J462" s="729" t="s">
        <v>120</v>
      </c>
      <c r="K462" s="1148"/>
      <c r="L462" s="932"/>
      <c r="M462" s="919">
        <f ca="1" t="shared" si="14"/>
        <v>296</v>
      </c>
      <c r="N462" s="728">
        <f t="shared" si="15"/>
        <v>46018</v>
      </c>
    </row>
    <row r="463" ht="20.1" hidden="1" customHeight="1" spans="1:16">
      <c r="A463" s="819">
        <v>496</v>
      </c>
      <c r="B463" s="729" t="s">
        <v>31</v>
      </c>
      <c r="C463" s="1059" t="s">
        <v>713</v>
      </c>
      <c r="D463" s="729" t="s">
        <v>714</v>
      </c>
      <c r="E463" s="1147">
        <v>300000</v>
      </c>
      <c r="F463" s="775">
        <v>45861</v>
      </c>
      <c r="G463" s="775">
        <v>45915</v>
      </c>
      <c r="H463" s="931" t="s">
        <v>17</v>
      </c>
      <c r="I463" s="819"/>
      <c r="J463" s="729" t="s">
        <v>120</v>
      </c>
      <c r="K463" s="1148"/>
      <c r="L463" s="932"/>
      <c r="M463" s="919">
        <f ca="1" t="shared" si="14"/>
        <v>274</v>
      </c>
      <c r="N463" s="728">
        <f t="shared" si="15"/>
        <v>46040</v>
      </c>
    </row>
    <row r="464" ht="20.1" hidden="1" customHeight="1" spans="1:16">
      <c r="A464" s="819">
        <v>456</v>
      </c>
      <c r="B464" s="729" t="s">
        <v>25</v>
      </c>
      <c r="C464" s="729" t="s">
        <v>715</v>
      </c>
      <c r="D464" s="729" t="s">
        <v>700</v>
      </c>
      <c r="E464" s="1147">
        <v>77999.3</v>
      </c>
      <c r="F464" s="775">
        <v>45821</v>
      </c>
      <c r="G464" s="775">
        <v>45917</v>
      </c>
      <c r="H464" s="729" t="s">
        <v>27</v>
      </c>
      <c r="I464" s="819"/>
      <c r="J464" s="729" t="s">
        <v>120</v>
      </c>
      <c r="K464" s="1145"/>
      <c r="L464" s="932"/>
      <c r="M464" s="919">
        <f ca="1" t="shared" si="14"/>
        <v>314</v>
      </c>
      <c r="N464" s="728">
        <f t="shared" si="15"/>
        <v>46000</v>
      </c>
    </row>
    <row r="465" ht="20.1" hidden="1" customHeight="1" spans="1:14">
      <c r="A465" s="819">
        <v>470</v>
      </c>
      <c r="B465" s="729" t="s">
        <v>25</v>
      </c>
      <c r="C465" s="729" t="s">
        <v>716</v>
      </c>
      <c r="D465" s="729" t="s">
        <v>717</v>
      </c>
      <c r="E465" s="1147">
        <v>140000</v>
      </c>
      <c r="F465" s="775">
        <v>45833</v>
      </c>
      <c r="G465" s="775">
        <v>45917</v>
      </c>
      <c r="H465" s="729" t="s">
        <v>27</v>
      </c>
      <c r="I465" s="819"/>
      <c r="J465" s="729" t="s">
        <v>120</v>
      </c>
      <c r="K465" s="1148"/>
      <c r="L465" s="932"/>
      <c r="M465" s="919">
        <f ca="1" t="shared" si="14"/>
        <v>302</v>
      </c>
      <c r="N465" s="728">
        <f t="shared" si="15"/>
        <v>46012</v>
      </c>
    </row>
    <row r="466" ht="20.1" hidden="1" customHeight="1" spans="1:14">
      <c r="A466" s="819">
        <v>471</v>
      </c>
      <c r="B466" s="729" t="s">
        <v>25</v>
      </c>
      <c r="C466" s="1059" t="s">
        <v>718</v>
      </c>
      <c r="D466" s="729" t="s">
        <v>719</v>
      </c>
      <c r="E466" s="1147">
        <v>599914.76</v>
      </c>
      <c r="F466" s="775">
        <v>45833</v>
      </c>
      <c r="G466" s="775">
        <v>45918</v>
      </c>
      <c r="H466" s="931" t="s">
        <v>17</v>
      </c>
      <c r="I466" s="819"/>
      <c r="J466" s="729" t="s">
        <v>120</v>
      </c>
      <c r="K466" s="1148"/>
      <c r="L466" s="932"/>
      <c r="M466" s="919">
        <f ca="1" t="shared" si="14"/>
        <v>302</v>
      </c>
      <c r="N466" s="728">
        <f t="shared" si="15"/>
        <v>46012</v>
      </c>
    </row>
    <row r="467" ht="20.1" hidden="1" customHeight="1" spans="1:14">
      <c r="A467" s="819">
        <v>479</v>
      </c>
      <c r="B467" s="729" t="s">
        <v>25</v>
      </c>
      <c r="C467" s="729" t="s">
        <v>720</v>
      </c>
      <c r="D467" s="729" t="s">
        <v>717</v>
      </c>
      <c r="E467" s="1147">
        <v>88000</v>
      </c>
      <c r="F467" s="775">
        <v>45838</v>
      </c>
      <c r="G467" s="775">
        <v>45918</v>
      </c>
      <c r="H467" s="729" t="s">
        <v>27</v>
      </c>
      <c r="I467" s="819"/>
      <c r="J467" s="729" t="s">
        <v>120</v>
      </c>
      <c r="K467" s="1148"/>
      <c r="L467" s="932"/>
      <c r="M467" s="919">
        <f ca="1" t="shared" si="14"/>
        <v>297</v>
      </c>
      <c r="N467" s="728">
        <f t="shared" si="15"/>
        <v>46017</v>
      </c>
    </row>
    <row r="468" ht="20.1" hidden="1" customHeight="1" spans="1:14">
      <c r="A468" s="819">
        <v>480</v>
      </c>
      <c r="B468" s="729" t="s">
        <v>25</v>
      </c>
      <c r="C468" s="729" t="s">
        <v>721</v>
      </c>
      <c r="D468" s="729" t="s">
        <v>717</v>
      </c>
      <c r="E468" s="1147">
        <v>60000</v>
      </c>
      <c r="F468" s="775">
        <v>45838</v>
      </c>
      <c r="G468" s="775">
        <v>45918</v>
      </c>
      <c r="H468" s="729" t="s">
        <v>27</v>
      </c>
      <c r="I468" s="819"/>
      <c r="J468" s="729" t="s">
        <v>120</v>
      </c>
      <c r="K468" s="1148"/>
      <c r="L468" s="932"/>
      <c r="M468" s="919">
        <f ca="1" t="shared" si="14"/>
        <v>297</v>
      </c>
      <c r="N468" s="728">
        <f t="shared" si="15"/>
        <v>46017</v>
      </c>
    </row>
    <row r="469" ht="20.1" hidden="1" customHeight="1" spans="1:14">
      <c r="A469" s="819">
        <v>481</v>
      </c>
      <c r="B469" s="729" t="s">
        <v>25</v>
      </c>
      <c r="C469" s="1059" t="s">
        <v>722</v>
      </c>
      <c r="D469" s="729" t="s">
        <v>717</v>
      </c>
      <c r="E469" s="1147">
        <v>120000</v>
      </c>
      <c r="F469" s="775">
        <v>45838</v>
      </c>
      <c r="G469" s="775">
        <v>45918</v>
      </c>
      <c r="H469" s="729" t="s">
        <v>27</v>
      </c>
      <c r="I469" s="819"/>
      <c r="J469" s="729" t="s">
        <v>120</v>
      </c>
      <c r="K469" s="1148"/>
      <c r="L469" s="932"/>
      <c r="M469" s="919">
        <f ca="1" t="shared" si="14"/>
        <v>297</v>
      </c>
      <c r="N469" s="728">
        <f t="shared" si="15"/>
        <v>46017</v>
      </c>
    </row>
    <row r="470" ht="20.1" hidden="1" customHeight="1" spans="1:14">
      <c r="A470" s="819">
        <v>506</v>
      </c>
      <c r="B470" s="729" t="s">
        <v>228</v>
      </c>
      <c r="C470" s="1059" t="s">
        <v>723</v>
      </c>
      <c r="D470" s="729" t="s">
        <v>724</v>
      </c>
      <c r="E470" s="1147">
        <v>119987.68</v>
      </c>
      <c r="F470" s="775">
        <v>45874</v>
      </c>
      <c r="G470" s="775">
        <v>45918</v>
      </c>
      <c r="H470" s="729" t="s">
        <v>27</v>
      </c>
      <c r="I470" s="819"/>
      <c r="J470" s="729" t="s">
        <v>120</v>
      </c>
      <c r="K470" s="1148"/>
      <c r="L470" s="932"/>
      <c r="M470" s="919">
        <f ca="1" t="shared" si="14"/>
        <v>261</v>
      </c>
      <c r="N470" s="728">
        <f t="shared" si="15"/>
        <v>46053</v>
      </c>
    </row>
    <row r="471" ht="20.1" hidden="1" customHeight="1" spans="1:14">
      <c r="A471" s="819">
        <v>543</v>
      </c>
      <c r="B471" s="729" t="s">
        <v>127</v>
      </c>
      <c r="C471" s="1059" t="s">
        <v>725</v>
      </c>
      <c r="D471" s="819"/>
      <c r="E471" s="1147">
        <v>39913.72</v>
      </c>
      <c r="F471" s="775">
        <v>45916</v>
      </c>
      <c r="G471" s="775">
        <v>45918</v>
      </c>
      <c r="H471" s="729" t="s">
        <v>27</v>
      </c>
      <c r="I471" s="819"/>
      <c r="J471" s="819"/>
      <c r="K471" s="1148"/>
      <c r="L471" s="932"/>
      <c r="M471" s="919">
        <f ca="1" t="shared" si="14"/>
        <v>219</v>
      </c>
      <c r="N471" s="728">
        <f t="shared" si="15"/>
        <v>46095</v>
      </c>
    </row>
    <row r="472" ht="20.1" hidden="1" customHeight="1" spans="1:14">
      <c r="A472" s="819">
        <v>508</v>
      </c>
      <c r="B472" s="729" t="s">
        <v>228</v>
      </c>
      <c r="C472" s="729" t="s">
        <v>726</v>
      </c>
      <c r="D472" s="729" t="s">
        <v>724</v>
      </c>
      <c r="E472" s="1147">
        <v>369000</v>
      </c>
      <c r="F472" s="775">
        <v>45875</v>
      </c>
      <c r="G472" s="775">
        <v>45919</v>
      </c>
      <c r="H472" s="931" t="s">
        <v>17</v>
      </c>
      <c r="I472" s="819"/>
      <c r="J472" s="729" t="s">
        <v>55</v>
      </c>
      <c r="K472" s="1148"/>
      <c r="L472" s="938" t="s">
        <v>727</v>
      </c>
      <c r="M472" s="919">
        <f ca="1" t="shared" si="14"/>
        <v>260</v>
      </c>
      <c r="N472" s="728">
        <f t="shared" si="15"/>
        <v>46054</v>
      </c>
    </row>
    <row r="473" ht="20.1" hidden="1" customHeight="1" spans="1:14">
      <c r="A473" s="819">
        <v>473</v>
      </c>
      <c r="B473" s="729" t="s">
        <v>582</v>
      </c>
      <c r="C473" s="1059" t="s">
        <v>728</v>
      </c>
      <c r="D473" s="729" t="s">
        <v>729</v>
      </c>
      <c r="E473" s="1147">
        <v>80000</v>
      </c>
      <c r="F473" s="775">
        <v>45834</v>
      </c>
      <c r="G473" s="775">
        <v>45923</v>
      </c>
      <c r="H473" s="729" t="s">
        <v>27</v>
      </c>
      <c r="I473" s="819"/>
      <c r="J473" s="729" t="s">
        <v>120</v>
      </c>
      <c r="K473" s="1148"/>
      <c r="L473" s="932"/>
      <c r="M473" s="919">
        <f ca="1" t="shared" si="14"/>
        <v>301</v>
      </c>
      <c r="N473" s="728">
        <f t="shared" si="15"/>
        <v>46013</v>
      </c>
    </row>
    <row r="474" ht="20.1" hidden="1" customHeight="1" spans="1:14">
      <c r="A474" s="819">
        <v>493</v>
      </c>
      <c r="B474" s="729" t="s">
        <v>31</v>
      </c>
      <c r="C474" s="840" t="s">
        <v>730</v>
      </c>
      <c r="D474" s="729" t="s">
        <v>731</v>
      </c>
      <c r="E474" s="1147">
        <v>627947.29</v>
      </c>
      <c r="F474" s="775">
        <v>45860</v>
      </c>
      <c r="G474" s="775">
        <v>45924</v>
      </c>
      <c r="H474" s="931" t="s">
        <v>17</v>
      </c>
      <c r="I474" s="819"/>
      <c r="J474" s="729" t="s">
        <v>120</v>
      </c>
      <c r="K474" s="1145" t="s">
        <v>732</v>
      </c>
      <c r="L474" s="932"/>
      <c r="M474" s="919">
        <f ca="1" t="shared" si="14"/>
        <v>275</v>
      </c>
      <c r="N474" s="728">
        <f t="shared" si="15"/>
        <v>46039</v>
      </c>
    </row>
    <row r="475" ht="20.1" hidden="1" customHeight="1" spans="1:14">
      <c r="A475" s="819">
        <v>441</v>
      </c>
      <c r="B475" s="729" t="s">
        <v>102</v>
      </c>
      <c r="C475" s="729" t="s">
        <v>733</v>
      </c>
      <c r="D475" s="729" t="s">
        <v>654</v>
      </c>
      <c r="E475" s="1147">
        <v>680000</v>
      </c>
      <c r="F475" s="775">
        <v>45806</v>
      </c>
      <c r="G475" s="775">
        <v>45925</v>
      </c>
      <c r="H475" s="729" t="s">
        <v>17</v>
      </c>
      <c r="I475" s="819"/>
      <c r="J475" s="729" t="s">
        <v>120</v>
      </c>
      <c r="K475" s="1145"/>
      <c r="L475" s="932"/>
      <c r="M475" s="919">
        <f ca="1" t="shared" si="14"/>
        <v>329</v>
      </c>
      <c r="N475" s="728">
        <f t="shared" si="15"/>
        <v>45985</v>
      </c>
    </row>
    <row r="476" ht="20.1" customHeight="1" spans="1:14">
      <c r="A476" s="819">
        <v>490</v>
      </c>
      <c r="B476" s="729" t="s">
        <v>79</v>
      </c>
      <c r="C476" s="1059" t="s">
        <v>734</v>
      </c>
      <c r="D476" s="934" t="s">
        <v>735</v>
      </c>
      <c r="E476" s="1147">
        <v>41228.48</v>
      </c>
      <c r="F476" s="775">
        <v>45849</v>
      </c>
      <c r="G476" s="775">
        <v>45925</v>
      </c>
      <c r="H476" s="729" t="s">
        <v>27</v>
      </c>
      <c r="I476" s="819"/>
      <c r="J476" s="729" t="s">
        <v>736</v>
      </c>
      <c r="K476" s="1148"/>
      <c r="L476" s="932"/>
      <c r="M476" s="919">
        <f ca="1" t="shared" si="14"/>
        <v>286</v>
      </c>
      <c r="N476" s="728">
        <f t="shared" si="15"/>
        <v>46028</v>
      </c>
    </row>
    <row r="477" ht="20.1" hidden="1" customHeight="1" spans="1:14">
      <c r="A477" s="819">
        <v>500</v>
      </c>
      <c r="B477" s="729" t="s">
        <v>31</v>
      </c>
      <c r="C477" s="1059" t="s">
        <v>737</v>
      </c>
      <c r="D477" s="729" t="s">
        <v>738</v>
      </c>
      <c r="E477" s="1147">
        <v>280000</v>
      </c>
      <c r="F477" s="775">
        <v>45868</v>
      </c>
      <c r="G477" s="775">
        <v>45925</v>
      </c>
      <c r="H477" s="729" t="s">
        <v>27</v>
      </c>
      <c r="I477" s="819"/>
      <c r="J477" s="729" t="s">
        <v>120</v>
      </c>
      <c r="K477" s="1148"/>
      <c r="L477" s="932"/>
      <c r="M477" s="919">
        <f ca="1" t="shared" si="14"/>
        <v>267</v>
      </c>
      <c r="N477" s="728">
        <f t="shared" si="15"/>
        <v>46047</v>
      </c>
    </row>
    <row r="478" ht="20.1" hidden="1" customHeight="1" spans="1:14">
      <c r="A478" s="819">
        <v>453</v>
      </c>
      <c r="B478" s="840" t="s">
        <v>15</v>
      </c>
      <c r="C478" s="729" t="s">
        <v>739</v>
      </c>
      <c r="D478" s="729" t="s">
        <v>700</v>
      </c>
      <c r="E478" s="1147">
        <v>1319565.5</v>
      </c>
      <c r="F478" s="775">
        <v>45820</v>
      </c>
      <c r="G478" s="775">
        <v>45929</v>
      </c>
      <c r="H478" s="729" t="s">
        <v>17</v>
      </c>
      <c r="I478" s="819"/>
      <c r="J478" s="729" t="s">
        <v>120</v>
      </c>
      <c r="K478" s="1145"/>
      <c r="L478" s="932"/>
      <c r="M478" s="919">
        <f ca="1" t="shared" si="14"/>
        <v>315</v>
      </c>
      <c r="N478" s="728">
        <f t="shared" si="15"/>
        <v>45999</v>
      </c>
    </row>
    <row r="479" ht="20.1" hidden="1" customHeight="1" spans="1:14">
      <c r="A479" s="819">
        <v>458</v>
      </c>
      <c r="B479" s="840" t="s">
        <v>15</v>
      </c>
      <c r="C479" s="1059" t="s">
        <v>740</v>
      </c>
      <c r="D479" s="729" t="s">
        <v>640</v>
      </c>
      <c r="E479" s="1147">
        <v>1200000</v>
      </c>
      <c r="F479" s="775">
        <v>45824</v>
      </c>
      <c r="G479" s="775">
        <v>45929</v>
      </c>
      <c r="H479" s="931" t="s">
        <v>17</v>
      </c>
      <c r="I479" s="819"/>
      <c r="J479" s="729" t="s">
        <v>120</v>
      </c>
      <c r="K479" s="1148"/>
      <c r="L479" s="932"/>
      <c r="M479" s="919">
        <f ca="1" t="shared" si="14"/>
        <v>311</v>
      </c>
      <c r="N479" s="728">
        <f t="shared" si="15"/>
        <v>46003</v>
      </c>
    </row>
    <row r="480" ht="20.1" hidden="1" customHeight="1" spans="1:14">
      <c r="A480" s="819">
        <v>467</v>
      </c>
      <c r="B480" s="840" t="s">
        <v>15</v>
      </c>
      <c r="C480" s="1059" t="s">
        <v>741</v>
      </c>
      <c r="D480" s="729" t="s">
        <v>705</v>
      </c>
      <c r="E480" s="1147">
        <v>941327.7</v>
      </c>
      <c r="F480" s="775">
        <v>45831</v>
      </c>
      <c r="G480" s="775">
        <v>45929</v>
      </c>
      <c r="H480" s="931" t="s">
        <v>17</v>
      </c>
      <c r="I480" s="819"/>
      <c r="J480" s="729" t="s">
        <v>120</v>
      </c>
      <c r="K480" s="1148"/>
      <c r="L480" s="932"/>
      <c r="M480" s="919">
        <f ca="1" t="shared" si="14"/>
        <v>304</v>
      </c>
      <c r="N480" s="728">
        <f t="shared" si="15"/>
        <v>46010</v>
      </c>
    </row>
    <row r="481" ht="20.1" hidden="1" customHeight="1" spans="1:16">
      <c r="A481" s="819">
        <v>472</v>
      </c>
      <c r="B481" s="840" t="s">
        <v>15</v>
      </c>
      <c r="C481" s="1059" t="s">
        <v>742</v>
      </c>
      <c r="D481" s="729" t="s">
        <v>717</v>
      </c>
      <c r="E481" s="1147">
        <v>111964.32</v>
      </c>
      <c r="F481" s="775">
        <v>45833</v>
      </c>
      <c r="G481" s="775">
        <v>45929</v>
      </c>
      <c r="H481" s="729" t="s">
        <v>27</v>
      </c>
      <c r="I481" s="819"/>
      <c r="J481" s="729" t="s">
        <v>120</v>
      </c>
      <c r="K481" s="1148"/>
      <c r="L481" s="932"/>
      <c r="M481" s="919">
        <f ca="1" t="shared" si="14"/>
        <v>302</v>
      </c>
      <c r="N481" s="728">
        <f t="shared" si="15"/>
        <v>46012</v>
      </c>
    </row>
    <row r="482" ht="20.1" hidden="1" customHeight="1" spans="1:16">
      <c r="A482" s="819">
        <v>487</v>
      </c>
      <c r="B482" s="729" t="s">
        <v>28</v>
      </c>
      <c r="C482" s="1059" t="s">
        <v>743</v>
      </c>
      <c r="D482" s="729" t="s">
        <v>712</v>
      </c>
      <c r="E482" s="1147">
        <v>172951.56</v>
      </c>
      <c r="F482" s="775">
        <v>45841</v>
      </c>
      <c r="G482" s="775">
        <v>45929</v>
      </c>
      <c r="H482" s="729" t="s">
        <v>27</v>
      </c>
      <c r="I482" s="819"/>
      <c r="J482" s="729" t="s">
        <v>120</v>
      </c>
      <c r="K482" s="1148"/>
      <c r="L482" s="932"/>
      <c r="M482" s="919">
        <f ca="1" t="shared" si="14"/>
        <v>294</v>
      </c>
      <c r="N482" s="728">
        <f t="shared" si="15"/>
        <v>46020</v>
      </c>
    </row>
    <row r="483" ht="20.1" hidden="1" customHeight="1" spans="1:16">
      <c r="A483" s="819">
        <v>451</v>
      </c>
      <c r="B483" s="840" t="s">
        <v>15</v>
      </c>
      <c r="C483" s="1059" t="s">
        <v>744</v>
      </c>
      <c r="D483" s="729" t="s">
        <v>660</v>
      </c>
      <c r="E483" s="1147">
        <v>360825.56</v>
      </c>
      <c r="F483" s="775">
        <v>45817</v>
      </c>
      <c r="G483" s="775">
        <v>45930</v>
      </c>
      <c r="H483" s="729" t="s">
        <v>27</v>
      </c>
      <c r="I483" s="819"/>
      <c r="J483" s="729" t="s">
        <v>120</v>
      </c>
      <c r="K483" s="1145"/>
      <c r="L483" s="932"/>
      <c r="M483" s="919">
        <f ca="1" t="shared" si="14"/>
        <v>318</v>
      </c>
      <c r="N483" s="728">
        <f t="shared" si="15"/>
        <v>45996</v>
      </c>
    </row>
    <row r="484" ht="20.1" hidden="1" customHeight="1" spans="1:16">
      <c r="A484" s="819">
        <v>459</v>
      </c>
      <c r="B484" s="840" t="s">
        <v>15</v>
      </c>
      <c r="C484" s="1059" t="s">
        <v>745</v>
      </c>
      <c r="D484" s="729" t="s">
        <v>642</v>
      </c>
      <c r="E484" s="1147">
        <v>440000</v>
      </c>
      <c r="F484" s="775">
        <v>45824</v>
      </c>
      <c r="G484" s="775">
        <v>45930</v>
      </c>
      <c r="H484" s="931" t="s">
        <v>17</v>
      </c>
      <c r="I484" s="819"/>
      <c r="J484" s="729" t="s">
        <v>120</v>
      </c>
      <c r="K484" s="1148"/>
      <c r="L484" s="932"/>
      <c r="M484" s="919">
        <f ca="1" t="shared" si="14"/>
        <v>311</v>
      </c>
      <c r="N484" s="728">
        <f t="shared" si="15"/>
        <v>46003</v>
      </c>
    </row>
    <row r="485" ht="20.1" hidden="1" customHeight="1" spans="1:16">
      <c r="A485" s="819">
        <v>461</v>
      </c>
      <c r="B485" s="840" t="s">
        <v>15</v>
      </c>
      <c r="C485" s="1059" t="s">
        <v>746</v>
      </c>
      <c r="D485" s="729" t="s">
        <v>640</v>
      </c>
      <c r="E485" s="1147">
        <v>148010.55</v>
      </c>
      <c r="F485" s="775">
        <v>45826</v>
      </c>
      <c r="G485" s="775">
        <v>45930</v>
      </c>
      <c r="H485" s="729" t="s">
        <v>27</v>
      </c>
      <c r="I485" s="819"/>
      <c r="J485" s="729" t="s">
        <v>120</v>
      </c>
      <c r="K485" s="1148"/>
      <c r="L485" s="932"/>
      <c r="M485" s="919">
        <f ca="1" t="shared" si="14"/>
        <v>309</v>
      </c>
      <c r="N485" s="728">
        <f t="shared" si="15"/>
        <v>46005</v>
      </c>
    </row>
    <row r="486" ht="20.1" hidden="1" customHeight="1" spans="1:16">
      <c r="A486" s="819">
        <v>465</v>
      </c>
      <c r="B486" s="840" t="s">
        <v>15</v>
      </c>
      <c r="C486" s="729" t="s">
        <v>747</v>
      </c>
      <c r="D486" s="729" t="s">
        <v>640</v>
      </c>
      <c r="E486" s="1147">
        <v>307054.6</v>
      </c>
      <c r="F486" s="775">
        <v>45828</v>
      </c>
      <c r="G486" s="775">
        <v>45930</v>
      </c>
      <c r="H486" s="729" t="s">
        <v>27</v>
      </c>
      <c r="I486" s="819"/>
      <c r="J486" s="729" t="s">
        <v>120</v>
      </c>
      <c r="K486" s="1148"/>
      <c r="L486" s="932"/>
      <c r="M486" s="919">
        <f ca="1" t="shared" si="14"/>
        <v>307</v>
      </c>
      <c r="N486" s="728">
        <f t="shared" si="15"/>
        <v>46007</v>
      </c>
    </row>
    <row r="487" ht="20.1" hidden="1" customHeight="1" spans="1:16">
      <c r="A487" s="819">
        <v>469</v>
      </c>
      <c r="B487" s="840" t="s">
        <v>15</v>
      </c>
      <c r="C487" s="1059" t="s">
        <v>748</v>
      </c>
      <c r="D487" s="729" t="s">
        <v>705</v>
      </c>
      <c r="E487" s="1147">
        <v>39524.86</v>
      </c>
      <c r="F487" s="775">
        <v>45832</v>
      </c>
      <c r="G487" s="775">
        <v>45930</v>
      </c>
      <c r="H487" s="729" t="s">
        <v>27</v>
      </c>
      <c r="I487" s="819"/>
      <c r="J487" s="729" t="s">
        <v>120</v>
      </c>
      <c r="K487" s="1148"/>
      <c r="L487" s="932"/>
      <c r="M487" s="919">
        <f ca="1" t="shared" si="14"/>
        <v>303</v>
      </c>
      <c r="N487" s="728">
        <f t="shared" si="15"/>
        <v>46011</v>
      </c>
    </row>
    <row r="488" ht="20.1" hidden="1" customHeight="1" spans="1:16">
      <c r="A488" s="819">
        <v>474</v>
      </c>
      <c r="B488" s="840" t="s">
        <v>15</v>
      </c>
      <c r="C488" s="1059" t="s">
        <v>749</v>
      </c>
      <c r="D488" s="729" t="s">
        <v>712</v>
      </c>
      <c r="E488" s="1147">
        <v>239278.08</v>
      </c>
      <c r="F488" s="775">
        <v>45834</v>
      </c>
      <c r="G488" s="775">
        <v>45930</v>
      </c>
      <c r="H488" s="729" t="s">
        <v>27</v>
      </c>
      <c r="I488" s="819"/>
      <c r="J488" s="729" t="s">
        <v>120</v>
      </c>
      <c r="K488" s="1148"/>
      <c r="L488" s="932"/>
      <c r="M488" s="919">
        <f ca="1" t="shared" si="14"/>
        <v>301</v>
      </c>
      <c r="N488" s="728">
        <f t="shared" si="15"/>
        <v>46013</v>
      </c>
    </row>
    <row r="489" ht="20.1" customHeight="1" spans="1:16">
      <c r="A489" s="819">
        <v>475</v>
      </c>
      <c r="B489" s="729" t="s">
        <v>79</v>
      </c>
      <c r="C489" s="1059" t="s">
        <v>750</v>
      </c>
      <c r="D489" s="729" t="s">
        <v>670</v>
      </c>
      <c r="E489" s="1147">
        <v>783311.16</v>
      </c>
      <c r="F489" s="775">
        <v>45834</v>
      </c>
      <c r="G489" s="775">
        <v>45930</v>
      </c>
      <c r="H489" s="931" t="s">
        <v>17</v>
      </c>
      <c r="I489" s="819"/>
      <c r="J489" s="729" t="s">
        <v>120</v>
      </c>
      <c r="K489" s="1148"/>
      <c r="L489" s="932"/>
      <c r="M489" s="919">
        <f ca="1" t="shared" si="14"/>
        <v>301</v>
      </c>
      <c r="N489" s="728">
        <f t="shared" si="15"/>
        <v>46013</v>
      </c>
    </row>
    <row r="490" ht="20.1" hidden="1" customHeight="1" spans="1:16">
      <c r="A490" s="819">
        <v>482</v>
      </c>
      <c r="B490" s="729" t="s">
        <v>25</v>
      </c>
      <c r="C490" s="1059" t="s">
        <v>751</v>
      </c>
      <c r="D490" s="729" t="s">
        <v>717</v>
      </c>
      <c r="E490" s="1147">
        <v>120000</v>
      </c>
      <c r="F490" s="775">
        <v>45838</v>
      </c>
      <c r="G490" s="775">
        <v>45930</v>
      </c>
      <c r="H490" s="729" t="s">
        <v>27</v>
      </c>
      <c r="I490" s="819"/>
      <c r="J490" s="729" t="s">
        <v>120</v>
      </c>
      <c r="K490" s="1148"/>
      <c r="L490" s="932"/>
      <c r="M490" s="919">
        <f ca="1" t="shared" si="14"/>
        <v>297</v>
      </c>
      <c r="N490" s="728">
        <f t="shared" si="15"/>
        <v>46017</v>
      </c>
    </row>
    <row r="491" ht="20.1" hidden="1" customHeight="1" spans="1:16">
      <c r="A491" s="819">
        <v>457</v>
      </c>
      <c r="B491" s="729" t="s">
        <v>133</v>
      </c>
      <c r="C491" s="729" t="s">
        <v>752</v>
      </c>
      <c r="D491" s="729" t="s">
        <v>695</v>
      </c>
      <c r="E491" s="1147">
        <v>44272.83</v>
      </c>
      <c r="F491" s="775">
        <v>45821</v>
      </c>
      <c r="G491" s="775">
        <v>45939</v>
      </c>
      <c r="H491" s="729" t="s">
        <v>27</v>
      </c>
      <c r="I491" s="819"/>
      <c r="J491" s="729" t="s">
        <v>120</v>
      </c>
      <c r="K491" s="1145"/>
      <c r="L491" s="932"/>
      <c r="M491" s="919">
        <f ca="1" t="shared" si="14"/>
        <v>314</v>
      </c>
      <c r="N491" s="728">
        <f t="shared" si="15"/>
        <v>46000</v>
      </c>
    </row>
    <row r="492" ht="20.1" hidden="1" customHeight="1" spans="1:16">
      <c r="A492" s="819">
        <v>485</v>
      </c>
      <c r="B492" s="729" t="s">
        <v>28</v>
      </c>
      <c r="C492" s="1059" t="s">
        <v>753</v>
      </c>
      <c r="D492" s="729" t="s">
        <v>712</v>
      </c>
      <c r="E492" s="1147">
        <v>159665.6</v>
      </c>
      <c r="F492" s="775">
        <v>45839</v>
      </c>
      <c r="G492" s="775">
        <v>45941</v>
      </c>
      <c r="H492" s="729" t="s">
        <v>27</v>
      </c>
      <c r="I492" s="819"/>
      <c r="J492" s="729" t="s">
        <v>120</v>
      </c>
      <c r="K492" s="1148"/>
      <c r="L492" s="932"/>
      <c r="M492" s="919">
        <f ca="1" t="shared" si="14"/>
        <v>296</v>
      </c>
      <c r="N492" s="728">
        <f t="shared" si="15"/>
        <v>46018</v>
      </c>
    </row>
    <row r="493" ht="20.1" customHeight="1" spans="1:16">
      <c r="A493" s="819">
        <v>502</v>
      </c>
      <c r="B493" s="729" t="s">
        <v>79</v>
      </c>
      <c r="C493" s="1216" t="s">
        <v>754</v>
      </c>
      <c r="D493" s="729" t="s">
        <v>709</v>
      </c>
      <c r="E493" s="1147">
        <v>491428.58</v>
      </c>
      <c r="F493" s="775">
        <v>45869</v>
      </c>
      <c r="G493" s="775">
        <v>45941</v>
      </c>
      <c r="H493" s="729" t="s">
        <v>27</v>
      </c>
      <c r="I493" s="819"/>
      <c r="J493" s="729" t="s">
        <v>120</v>
      </c>
      <c r="K493" s="1148"/>
      <c r="L493" s="932"/>
      <c r="M493" s="919">
        <f ca="1" t="shared" si="14"/>
        <v>266</v>
      </c>
      <c r="N493" s="728">
        <f t="shared" si="15"/>
        <v>46048</v>
      </c>
    </row>
    <row r="494" s="889" customFormat="1" ht="20.1" customHeight="1" spans="1:16">
      <c r="A494" s="1142">
        <v>507</v>
      </c>
      <c r="B494" s="1048" t="s">
        <v>79</v>
      </c>
      <c r="C494" s="1213" t="s">
        <v>755</v>
      </c>
      <c r="D494" s="1048" t="s">
        <v>756</v>
      </c>
      <c r="E494" s="1143">
        <v>533483.34</v>
      </c>
      <c r="F494" s="1144">
        <v>45874</v>
      </c>
      <c r="G494" s="1144">
        <v>45941</v>
      </c>
      <c r="H494" s="1217" t="s">
        <v>17</v>
      </c>
      <c r="I494" s="1142"/>
      <c r="J494" s="1048" t="s">
        <v>120</v>
      </c>
      <c r="K494" s="1048" t="s">
        <v>757</v>
      </c>
      <c r="L494" s="1146"/>
      <c r="M494" s="1203">
        <f ca="1" t="shared" si="14"/>
        <v>261</v>
      </c>
      <c r="N494" s="1204">
        <f t="shared" si="15"/>
        <v>46053</v>
      </c>
      <c r="O494" s="1"/>
      <c r="P494" s="1"/>
    </row>
    <row r="495" ht="20.1" customHeight="1" spans="1:16">
      <c r="A495" s="819">
        <v>513</v>
      </c>
      <c r="B495" s="729" t="s">
        <v>79</v>
      </c>
      <c r="C495" s="1059" t="s">
        <v>758</v>
      </c>
      <c r="D495" s="729" t="s">
        <v>759</v>
      </c>
      <c r="E495" s="1147">
        <v>538324.13</v>
      </c>
      <c r="F495" s="775">
        <v>45880</v>
      </c>
      <c r="G495" s="775">
        <v>45941</v>
      </c>
      <c r="H495" s="931" t="s">
        <v>17</v>
      </c>
      <c r="I495" s="819"/>
      <c r="J495" s="729" t="s">
        <v>120</v>
      </c>
      <c r="K495" s="1148"/>
      <c r="L495" s="932"/>
      <c r="M495" s="919">
        <f ca="1" t="shared" si="14"/>
        <v>255</v>
      </c>
      <c r="N495" s="728">
        <f t="shared" si="15"/>
        <v>46059</v>
      </c>
    </row>
    <row r="496" ht="20.1" customHeight="1" spans="1:16">
      <c r="A496" s="819">
        <v>548</v>
      </c>
      <c r="B496" s="729" t="s">
        <v>79</v>
      </c>
      <c r="C496" s="1059" t="s">
        <v>760</v>
      </c>
      <c r="D496" s="819"/>
      <c r="E496" s="1147">
        <v>531428.56</v>
      </c>
      <c r="F496" s="775">
        <v>45919</v>
      </c>
      <c r="G496" s="775">
        <v>45941</v>
      </c>
      <c r="H496" s="931" t="s">
        <v>17</v>
      </c>
      <c r="I496" s="819"/>
      <c r="J496" s="819"/>
      <c r="K496" s="1148"/>
      <c r="L496" s="932"/>
      <c r="M496" s="919">
        <f ca="1" t="shared" si="14"/>
        <v>216</v>
      </c>
      <c r="N496" s="728">
        <f t="shared" si="15"/>
        <v>46098</v>
      </c>
    </row>
    <row r="497" ht="20.1" customHeight="1" spans="1:16">
      <c r="A497" s="819">
        <v>549</v>
      </c>
      <c r="B497" s="729" t="s">
        <v>79</v>
      </c>
      <c r="C497" s="1216" t="s">
        <v>761</v>
      </c>
      <c r="D497" s="819"/>
      <c r="E497" s="1147">
        <v>982609.58</v>
      </c>
      <c r="F497" s="775">
        <v>45919</v>
      </c>
      <c r="G497" s="775">
        <v>45941</v>
      </c>
      <c r="H497" s="729" t="s">
        <v>27</v>
      </c>
      <c r="I497" s="819"/>
      <c r="J497" s="819"/>
      <c r="K497" s="1148"/>
      <c r="L497" s="932"/>
      <c r="M497" s="919">
        <f ca="1" t="shared" si="14"/>
        <v>216</v>
      </c>
      <c r="N497" s="728">
        <f t="shared" si="15"/>
        <v>46098</v>
      </c>
    </row>
    <row r="498" ht="20.1" hidden="1" customHeight="1" spans="1:16">
      <c r="A498" s="819">
        <v>462</v>
      </c>
      <c r="B498" s="729" t="s">
        <v>28</v>
      </c>
      <c r="C498" s="1059" t="s">
        <v>762</v>
      </c>
      <c r="D498" s="729" t="s">
        <v>642</v>
      </c>
      <c r="E498" s="1147">
        <v>119869.66</v>
      </c>
      <c r="F498" s="775">
        <v>45826</v>
      </c>
      <c r="G498" s="775">
        <v>45943</v>
      </c>
      <c r="H498" s="729" t="s">
        <v>27</v>
      </c>
      <c r="I498" s="819"/>
      <c r="J498" s="729" t="s">
        <v>120</v>
      </c>
      <c r="K498" s="1148"/>
      <c r="L498" s="932"/>
      <c r="M498" s="919">
        <f ca="1" t="shared" si="14"/>
        <v>309</v>
      </c>
      <c r="N498" s="728">
        <f t="shared" si="15"/>
        <v>46005</v>
      </c>
    </row>
    <row r="499" s="1" customFormat="1" ht="20.1" hidden="1" customHeight="1" spans="1:16">
      <c r="A499" s="819">
        <v>527</v>
      </c>
      <c r="B499" s="943" t="s">
        <v>37</v>
      </c>
      <c r="C499" s="1059" t="s">
        <v>763</v>
      </c>
      <c r="D499" s="729" t="s">
        <v>764</v>
      </c>
      <c r="E499" s="1147">
        <v>140000</v>
      </c>
      <c r="F499" s="775">
        <v>45897</v>
      </c>
      <c r="G499" s="775">
        <v>45943</v>
      </c>
      <c r="H499" s="729" t="s">
        <v>27</v>
      </c>
      <c r="I499" s="819"/>
      <c r="J499" s="819"/>
      <c r="K499" s="1148"/>
      <c r="L499" s="932"/>
      <c r="M499" s="919">
        <f ca="1" t="shared" si="14"/>
        <v>238</v>
      </c>
      <c r="N499" s="728">
        <f t="shared" si="15"/>
        <v>46076</v>
      </c>
      <c r="O499"/>
      <c r="P499"/>
    </row>
    <row r="500" ht="20.1" hidden="1" customHeight="1" spans="1:16">
      <c r="A500" s="819">
        <v>466</v>
      </c>
      <c r="B500" s="943" t="s">
        <v>37</v>
      </c>
      <c r="C500" s="1059" t="s">
        <v>765</v>
      </c>
      <c r="D500" s="729" t="s">
        <v>705</v>
      </c>
      <c r="E500" s="1147">
        <v>60000</v>
      </c>
      <c r="F500" s="775">
        <v>45828</v>
      </c>
      <c r="G500" s="775">
        <v>45944</v>
      </c>
      <c r="H500" s="729" t="s">
        <v>27</v>
      </c>
      <c r="I500" s="819"/>
      <c r="J500" s="729" t="s">
        <v>120</v>
      </c>
      <c r="K500" s="1148"/>
      <c r="L500" s="932"/>
      <c r="M500" s="919">
        <f ca="1" t="shared" si="14"/>
        <v>307</v>
      </c>
      <c r="N500" s="728">
        <f t="shared" si="15"/>
        <v>46007</v>
      </c>
    </row>
    <row r="501" ht="20.1" hidden="1" customHeight="1" spans="1:16">
      <c r="A501" s="819">
        <v>486</v>
      </c>
      <c r="B501" s="729" t="s">
        <v>28</v>
      </c>
      <c r="C501" s="729" t="s">
        <v>766</v>
      </c>
      <c r="D501" s="729" t="s">
        <v>712</v>
      </c>
      <c r="E501" s="1147">
        <v>119904</v>
      </c>
      <c r="F501" s="775">
        <v>45840</v>
      </c>
      <c r="G501" s="775">
        <v>45944</v>
      </c>
      <c r="H501" s="729" t="s">
        <v>27</v>
      </c>
      <c r="I501" s="819"/>
      <c r="J501" s="729" t="s">
        <v>120</v>
      </c>
      <c r="K501" s="1148"/>
      <c r="L501" s="932"/>
      <c r="M501" s="919">
        <f ca="1" t="shared" si="14"/>
        <v>295</v>
      </c>
      <c r="N501" s="728">
        <f t="shared" si="15"/>
        <v>46019</v>
      </c>
    </row>
    <row r="502" ht="20.1" customHeight="1" spans="1:16">
      <c r="A502" s="819">
        <v>552</v>
      </c>
      <c r="B502" s="729" t="s">
        <v>79</v>
      </c>
      <c r="C502" s="1059" t="s">
        <v>767</v>
      </c>
      <c r="D502" s="819"/>
      <c r="E502" s="1147">
        <v>143600</v>
      </c>
      <c r="F502" s="775">
        <v>45922</v>
      </c>
      <c r="G502" s="775">
        <v>45945</v>
      </c>
      <c r="H502" s="729" t="s">
        <v>27</v>
      </c>
      <c r="I502" s="819"/>
      <c r="J502" s="819"/>
      <c r="K502" s="1148"/>
      <c r="L502" s="932"/>
      <c r="M502" s="919">
        <f ca="1" t="shared" si="14"/>
        <v>213</v>
      </c>
      <c r="N502" s="728">
        <f t="shared" si="15"/>
        <v>46101</v>
      </c>
    </row>
    <row r="503" ht="20.1" customHeight="1" spans="1:16">
      <c r="A503" s="819">
        <v>557</v>
      </c>
      <c r="B503" s="729" t="s">
        <v>79</v>
      </c>
      <c r="C503" s="1218" t="s">
        <v>768</v>
      </c>
      <c r="D503" s="819"/>
      <c r="E503" s="1147">
        <v>191600</v>
      </c>
      <c r="F503" s="775">
        <v>45930</v>
      </c>
      <c r="G503" s="775">
        <v>45945</v>
      </c>
      <c r="H503" s="729" t="s">
        <v>27</v>
      </c>
      <c r="I503" s="819"/>
      <c r="J503" s="819"/>
      <c r="K503" s="1148"/>
      <c r="L503" s="932"/>
      <c r="M503" s="919">
        <f ca="1" t="shared" si="14"/>
        <v>205</v>
      </c>
      <c r="N503" s="728">
        <f t="shared" si="15"/>
        <v>46109</v>
      </c>
    </row>
    <row r="504" ht="20.1" customHeight="1" spans="1:16">
      <c r="A504" s="819">
        <v>525</v>
      </c>
      <c r="B504" s="838" t="s">
        <v>79</v>
      </c>
      <c r="C504" s="1219" t="s">
        <v>769</v>
      </c>
      <c r="D504" s="1220" t="s">
        <v>770</v>
      </c>
      <c r="E504" s="1147">
        <v>599808.32</v>
      </c>
      <c r="F504" s="775">
        <v>45896</v>
      </c>
      <c r="G504" s="775">
        <v>45946</v>
      </c>
      <c r="H504" s="931" t="s">
        <v>17</v>
      </c>
      <c r="I504" s="819"/>
      <c r="J504" s="729" t="s">
        <v>120</v>
      </c>
      <c r="K504" s="1148"/>
      <c r="L504" s="932"/>
      <c r="M504" s="919">
        <f ca="1" t="shared" si="14"/>
        <v>239</v>
      </c>
      <c r="N504" s="728">
        <f t="shared" si="15"/>
        <v>46075</v>
      </c>
    </row>
    <row r="505" ht="20.1" customHeight="1" spans="1:16">
      <c r="A505" s="819">
        <v>537</v>
      </c>
      <c r="B505" s="729" t="s">
        <v>79</v>
      </c>
      <c r="C505" s="1221" t="s">
        <v>771</v>
      </c>
      <c r="D505" s="1222"/>
      <c r="E505" s="1147">
        <v>1000000</v>
      </c>
      <c r="F505" s="775">
        <v>45904</v>
      </c>
      <c r="G505" s="775">
        <v>45946</v>
      </c>
      <c r="H505" s="931" t="s">
        <v>17</v>
      </c>
      <c r="I505" s="819"/>
      <c r="J505" s="729" t="s">
        <v>120</v>
      </c>
      <c r="K505" s="1148"/>
      <c r="L505" s="932"/>
      <c r="M505" s="919">
        <f ca="1" t="shared" si="14"/>
        <v>231</v>
      </c>
      <c r="N505" s="728">
        <f t="shared" si="15"/>
        <v>46083</v>
      </c>
    </row>
    <row r="506" ht="20.1" hidden="1" customHeight="1" spans="1:16">
      <c r="A506" s="819">
        <v>477</v>
      </c>
      <c r="B506" s="943" t="s">
        <v>37</v>
      </c>
      <c r="C506" s="1059" t="s">
        <v>772</v>
      </c>
      <c r="D506" s="1220" t="s">
        <v>719</v>
      </c>
      <c r="E506" s="1147"/>
      <c r="F506" s="775">
        <v>45835</v>
      </c>
      <c r="G506" s="775">
        <v>45951</v>
      </c>
      <c r="H506" s="931" t="s">
        <v>17</v>
      </c>
      <c r="I506" s="819"/>
      <c r="J506" s="729" t="s">
        <v>371</v>
      </c>
      <c r="K506" s="1148"/>
      <c r="L506" s="932"/>
      <c r="M506" s="919">
        <f ca="1" t="shared" si="14"/>
        <v>300</v>
      </c>
      <c r="N506" s="728">
        <f t="shared" si="15"/>
        <v>46014</v>
      </c>
    </row>
    <row r="507" ht="20.1" hidden="1" customHeight="1" spans="1:16">
      <c r="A507" s="819">
        <v>540</v>
      </c>
      <c r="B507" s="729" t="s">
        <v>228</v>
      </c>
      <c r="C507" s="1059" t="s">
        <v>773</v>
      </c>
      <c r="D507" s="1222"/>
      <c r="E507" s="1147">
        <v>79864</v>
      </c>
      <c r="F507" s="775">
        <v>45910</v>
      </c>
      <c r="G507" s="775">
        <v>45954</v>
      </c>
      <c r="H507" s="729" t="s">
        <v>27</v>
      </c>
      <c r="I507" s="819"/>
      <c r="J507" s="819"/>
      <c r="K507" s="1148"/>
      <c r="L507" s="932"/>
      <c r="M507" s="919">
        <f ca="1" t="shared" si="14"/>
        <v>225</v>
      </c>
      <c r="N507" s="728">
        <f t="shared" si="15"/>
        <v>46089</v>
      </c>
    </row>
    <row r="508" ht="20.1" hidden="1" customHeight="1" spans="1:16">
      <c r="A508" s="819">
        <v>483</v>
      </c>
      <c r="B508" s="729" t="s">
        <v>31</v>
      </c>
      <c r="C508" s="1059" t="s">
        <v>774</v>
      </c>
      <c r="D508" s="729" t="s">
        <v>719</v>
      </c>
      <c r="E508" s="1147">
        <v>1800000</v>
      </c>
      <c r="F508" s="775">
        <v>45838</v>
      </c>
      <c r="G508" s="775">
        <v>45957</v>
      </c>
      <c r="H508" s="931" t="s">
        <v>17</v>
      </c>
      <c r="I508" s="819"/>
      <c r="J508" s="729" t="s">
        <v>120</v>
      </c>
      <c r="K508" s="1148"/>
      <c r="L508" s="932"/>
      <c r="M508" s="919">
        <f ca="1" t="shared" si="14"/>
        <v>297</v>
      </c>
      <c r="N508" s="728">
        <f t="shared" si="15"/>
        <v>46017</v>
      </c>
    </row>
    <row r="509" s="1" customFormat="1" ht="20.1" customHeight="1" spans="1:16">
      <c r="A509" s="819">
        <v>531</v>
      </c>
      <c r="B509" s="729" t="s">
        <v>79</v>
      </c>
      <c r="C509" s="1059" t="s">
        <v>775</v>
      </c>
      <c r="D509" s="819"/>
      <c r="E509" s="1147">
        <v>533010.02</v>
      </c>
      <c r="F509" s="775">
        <v>45903</v>
      </c>
      <c r="G509" s="775">
        <v>45958</v>
      </c>
      <c r="H509" s="931" t="s">
        <v>17</v>
      </c>
      <c r="I509" s="819"/>
      <c r="J509" s="729" t="s">
        <v>120</v>
      </c>
      <c r="K509" s="1148"/>
      <c r="L509" s="932"/>
      <c r="M509" s="919">
        <f ca="1" t="shared" si="14"/>
        <v>232</v>
      </c>
      <c r="N509" s="728">
        <f t="shared" si="15"/>
        <v>46082</v>
      </c>
      <c r="O509"/>
      <c r="P509"/>
    </row>
    <row r="510" ht="20.1" customHeight="1" spans="1:16">
      <c r="A510" s="819">
        <v>550</v>
      </c>
      <c r="B510" s="729" t="s">
        <v>79</v>
      </c>
      <c r="C510" s="1059" t="s">
        <v>776</v>
      </c>
      <c r="D510" s="897"/>
      <c r="E510" s="1147">
        <v>75960.96</v>
      </c>
      <c r="F510" s="775">
        <v>45919</v>
      </c>
      <c r="G510" s="775">
        <v>45958</v>
      </c>
      <c r="H510" s="729" t="s">
        <v>27</v>
      </c>
      <c r="I510" s="819"/>
      <c r="J510" s="819"/>
      <c r="K510" s="1148"/>
      <c r="L510" s="932"/>
      <c r="M510" s="919">
        <f ca="1" t="shared" si="14"/>
        <v>216</v>
      </c>
      <c r="N510" s="728">
        <f t="shared" si="15"/>
        <v>46098</v>
      </c>
    </row>
    <row r="511" ht="20.1" customHeight="1" spans="1:16">
      <c r="A511" s="819">
        <v>554</v>
      </c>
      <c r="B511" s="729" t="s">
        <v>79</v>
      </c>
      <c r="C511" s="1216" t="s">
        <v>777</v>
      </c>
      <c r="D511" s="819"/>
      <c r="E511" s="1147">
        <v>743459.94</v>
      </c>
      <c r="F511" s="775">
        <v>45924</v>
      </c>
      <c r="G511" s="775">
        <v>45958</v>
      </c>
      <c r="H511" s="729" t="s">
        <v>27</v>
      </c>
      <c r="I511" s="819"/>
      <c r="J511" s="819"/>
      <c r="K511" s="1148"/>
      <c r="L511" s="932"/>
      <c r="M511" s="919">
        <f ca="1" t="shared" si="14"/>
        <v>211</v>
      </c>
      <c r="N511" s="728">
        <f t="shared" si="15"/>
        <v>46103</v>
      </c>
    </row>
    <row r="512" ht="20.1" customHeight="1" spans="1:16">
      <c r="A512" s="819">
        <v>555</v>
      </c>
      <c r="B512" s="729" t="s">
        <v>79</v>
      </c>
      <c r="C512" s="1059" t="s">
        <v>778</v>
      </c>
      <c r="D512" s="819"/>
      <c r="E512" s="1147">
        <v>318132.33</v>
      </c>
      <c r="F512" s="775">
        <v>45926</v>
      </c>
      <c r="G512" s="775">
        <v>45958</v>
      </c>
      <c r="H512" s="729" t="s">
        <v>27</v>
      </c>
      <c r="I512" s="819"/>
      <c r="J512" s="819"/>
      <c r="K512" s="1148"/>
      <c r="L512" s="932"/>
      <c r="M512" s="919">
        <f ca="1" t="shared" si="14"/>
        <v>209</v>
      </c>
      <c r="N512" s="728">
        <f t="shared" si="15"/>
        <v>46105</v>
      </c>
    </row>
    <row r="513" ht="20.1" hidden="1" customHeight="1" spans="1:16">
      <c r="A513" s="819">
        <v>489</v>
      </c>
      <c r="B513" s="729" t="s">
        <v>28</v>
      </c>
      <c r="C513" s="1059" t="s">
        <v>779</v>
      </c>
      <c r="D513" s="729" t="s">
        <v>712</v>
      </c>
      <c r="E513" s="1147">
        <v>80000</v>
      </c>
      <c r="F513" s="775">
        <v>45848</v>
      </c>
      <c r="G513" s="775">
        <v>45959</v>
      </c>
      <c r="H513" s="729" t="s">
        <v>27</v>
      </c>
      <c r="I513" s="819"/>
      <c r="J513" s="729" t="s">
        <v>120</v>
      </c>
      <c r="K513" s="1148"/>
      <c r="L513" s="932"/>
      <c r="M513" s="919">
        <f ca="1" t="shared" si="14"/>
        <v>287</v>
      </c>
      <c r="N513" s="728">
        <f t="shared" si="15"/>
        <v>46027</v>
      </c>
    </row>
    <row r="514" ht="20.1" hidden="1" customHeight="1" spans="1:16">
      <c r="A514" s="819">
        <v>488</v>
      </c>
      <c r="B514" s="729" t="s">
        <v>133</v>
      </c>
      <c r="C514" s="1059" t="s">
        <v>780</v>
      </c>
      <c r="D514" s="729" t="s">
        <v>729</v>
      </c>
      <c r="E514" s="1147">
        <v>36130.37</v>
      </c>
      <c r="F514" s="775">
        <v>45841</v>
      </c>
      <c r="G514" s="775">
        <v>45960</v>
      </c>
      <c r="H514" s="729" t="s">
        <v>27</v>
      </c>
      <c r="I514" s="819"/>
      <c r="J514" s="729" t="s">
        <v>55</v>
      </c>
      <c r="K514" s="1148"/>
      <c r="L514" s="932"/>
      <c r="M514" s="919">
        <f ca="1" t="shared" si="14"/>
        <v>294</v>
      </c>
      <c r="N514" s="728">
        <f t="shared" si="15"/>
        <v>46020</v>
      </c>
    </row>
    <row r="515" s="1124" customFormat="1" ht="20.1" hidden="1" customHeight="1" spans="1:16">
      <c r="A515" s="819">
        <v>491</v>
      </c>
      <c r="B515" s="840" t="s">
        <v>15</v>
      </c>
      <c r="C515" s="1059" t="s">
        <v>781</v>
      </c>
      <c r="D515" s="729" t="s">
        <v>719</v>
      </c>
      <c r="E515" s="1147">
        <v>800000</v>
      </c>
      <c r="F515" s="775">
        <v>45849</v>
      </c>
      <c r="G515" s="775">
        <v>45960</v>
      </c>
      <c r="H515" s="931" t="s">
        <v>17</v>
      </c>
      <c r="I515" s="819"/>
      <c r="J515" s="729" t="s">
        <v>120</v>
      </c>
      <c r="K515" s="1148"/>
      <c r="L515" s="932"/>
      <c r="M515" s="919">
        <f ca="1" t="shared" ref="M515:M526" si="16">DATEDIF(F515,TODAY(),"D")</f>
        <v>286</v>
      </c>
      <c r="N515" s="728">
        <f t="shared" ref="N515:N526" si="17">F515+179</f>
        <v>46028</v>
      </c>
      <c r="O515"/>
      <c r="P515"/>
    </row>
    <row r="516" ht="20.1" hidden="1" customHeight="1" spans="1:16">
      <c r="A516" s="819">
        <v>492</v>
      </c>
      <c r="B516" s="1223" t="s">
        <v>15</v>
      </c>
      <c r="C516" s="1089" t="s">
        <v>782</v>
      </c>
      <c r="D516" s="934" t="s">
        <v>735</v>
      </c>
      <c r="E516" s="1188">
        <v>180000</v>
      </c>
      <c r="F516" s="1009">
        <v>45852</v>
      </c>
      <c r="G516" s="1009">
        <v>45960</v>
      </c>
      <c r="H516" s="934" t="s">
        <v>27</v>
      </c>
      <c r="I516" s="1007"/>
      <c r="J516" s="729" t="s">
        <v>783</v>
      </c>
      <c r="K516" s="1148"/>
      <c r="L516" s="1160"/>
      <c r="M516" s="965">
        <f ca="1" t="shared" si="16"/>
        <v>283</v>
      </c>
      <c r="N516" s="966">
        <f t="shared" si="17"/>
        <v>46031</v>
      </c>
      <c r="O516" s="889"/>
      <c r="P516" s="889"/>
    </row>
    <row r="517" ht="20.1" hidden="1" customHeight="1" spans="1:16">
      <c r="A517" s="819">
        <v>494</v>
      </c>
      <c r="B517" s="729" t="s">
        <v>25</v>
      </c>
      <c r="C517" s="1059" t="s">
        <v>784</v>
      </c>
      <c r="D517" s="729" t="s">
        <v>731</v>
      </c>
      <c r="E517" s="1147">
        <v>19941.34</v>
      </c>
      <c r="F517" s="775">
        <v>45860</v>
      </c>
      <c r="G517" s="775">
        <v>45966</v>
      </c>
      <c r="H517" s="729" t="s">
        <v>27</v>
      </c>
      <c r="I517" s="819"/>
      <c r="J517" s="729" t="s">
        <v>120</v>
      </c>
      <c r="K517" s="1145" t="s">
        <v>732</v>
      </c>
      <c r="L517" s="932"/>
      <c r="M517" s="919">
        <f ca="1" t="shared" si="16"/>
        <v>275</v>
      </c>
      <c r="N517" s="728">
        <f t="shared" si="17"/>
        <v>46039</v>
      </c>
    </row>
    <row r="518" ht="20.1" hidden="1" customHeight="1" spans="1:16">
      <c r="A518" s="1142">
        <v>497</v>
      </c>
      <c r="B518" s="1048" t="s">
        <v>25</v>
      </c>
      <c r="C518" s="1213" t="s">
        <v>785</v>
      </c>
      <c r="D518" s="1048" t="s">
        <v>714</v>
      </c>
      <c r="E518" s="1143">
        <v>1000000</v>
      </c>
      <c r="F518" s="1144">
        <v>45861</v>
      </c>
      <c r="G518" s="1144">
        <v>45966</v>
      </c>
      <c r="H518" s="1217" t="s">
        <v>17</v>
      </c>
      <c r="I518" s="1142"/>
      <c r="J518" s="1048" t="s">
        <v>120</v>
      </c>
      <c r="K518" s="1048" t="s">
        <v>757</v>
      </c>
      <c r="L518" s="1146"/>
      <c r="M518" s="1203">
        <f ca="1" t="shared" si="16"/>
        <v>274</v>
      </c>
      <c r="N518" s="1204">
        <f t="shared" si="17"/>
        <v>46040</v>
      </c>
      <c r="O518" s="1224" t="s">
        <v>786</v>
      </c>
      <c r="P518" s="1"/>
    </row>
    <row r="519" ht="20.1" hidden="1" customHeight="1" spans="1:16">
      <c r="A519" s="819">
        <v>498</v>
      </c>
      <c r="B519" s="729" t="s">
        <v>25</v>
      </c>
      <c r="C519" s="1059" t="s">
        <v>787</v>
      </c>
      <c r="D519" s="729" t="s">
        <v>738</v>
      </c>
      <c r="E519" s="1147">
        <v>120000</v>
      </c>
      <c r="F519" s="775">
        <v>45867</v>
      </c>
      <c r="G519" s="775">
        <v>45967</v>
      </c>
      <c r="H519" s="729" t="s">
        <v>27</v>
      </c>
      <c r="I519" s="819"/>
      <c r="J519" s="729" t="s">
        <v>120</v>
      </c>
      <c r="K519" s="1148"/>
      <c r="L519" s="932"/>
      <c r="M519" s="919">
        <f ca="1" t="shared" si="16"/>
        <v>268</v>
      </c>
      <c r="N519" s="728">
        <f t="shared" si="17"/>
        <v>46046</v>
      </c>
    </row>
    <row r="520" ht="20.1" hidden="1" customHeight="1" spans="1:16">
      <c r="A520" s="819">
        <v>499</v>
      </c>
      <c r="B520" s="729" t="s">
        <v>25</v>
      </c>
      <c r="C520" s="1059" t="s">
        <v>788</v>
      </c>
      <c r="D520" s="729" t="s">
        <v>709</v>
      </c>
      <c r="E520" s="1147">
        <v>120000</v>
      </c>
      <c r="F520" s="775">
        <v>45867</v>
      </c>
      <c r="G520" s="775">
        <v>45967</v>
      </c>
      <c r="H520" s="729" t="s">
        <v>27</v>
      </c>
      <c r="I520" s="819"/>
      <c r="J520" s="729" t="s">
        <v>120</v>
      </c>
      <c r="K520" s="1145" t="s">
        <v>732</v>
      </c>
      <c r="L520" s="932"/>
      <c r="M520" s="919">
        <f ca="1" t="shared" si="16"/>
        <v>268</v>
      </c>
      <c r="N520" s="728">
        <f t="shared" si="17"/>
        <v>46046</v>
      </c>
    </row>
    <row r="521" ht="20.1" hidden="1" customHeight="1" spans="1:16">
      <c r="A521" s="819">
        <v>509</v>
      </c>
      <c r="B521" s="729" t="s">
        <v>25</v>
      </c>
      <c r="C521" s="1059" t="s">
        <v>789</v>
      </c>
      <c r="D521" s="729" t="s">
        <v>756</v>
      </c>
      <c r="E521" s="1147">
        <v>80000</v>
      </c>
      <c r="F521" s="775">
        <v>45875</v>
      </c>
      <c r="G521" s="775">
        <v>45967</v>
      </c>
      <c r="H521" s="729" t="s">
        <v>27</v>
      </c>
      <c r="I521" s="819"/>
      <c r="J521" s="729" t="s">
        <v>120</v>
      </c>
      <c r="K521" s="1148"/>
      <c r="L521" s="932"/>
      <c r="M521" s="919">
        <f ca="1" t="shared" si="16"/>
        <v>260</v>
      </c>
      <c r="N521" s="728">
        <f t="shared" si="17"/>
        <v>46054</v>
      </c>
    </row>
    <row r="522" ht="20.1" hidden="1" customHeight="1" spans="1:16">
      <c r="A522" s="819">
        <v>510</v>
      </c>
      <c r="B522" s="729" t="s">
        <v>25</v>
      </c>
      <c r="C522" s="1059" t="s">
        <v>790</v>
      </c>
      <c r="D522" s="729" t="s">
        <v>756</v>
      </c>
      <c r="E522" s="1147">
        <v>119559.2</v>
      </c>
      <c r="F522" s="775">
        <v>45876</v>
      </c>
      <c r="G522" s="775">
        <v>45967</v>
      </c>
      <c r="H522" s="729" t="s">
        <v>27</v>
      </c>
      <c r="I522" s="819"/>
      <c r="J522" s="729" t="s">
        <v>120</v>
      </c>
      <c r="K522" s="1148"/>
      <c r="L522" s="932"/>
      <c r="M522" s="919">
        <f ca="1" t="shared" si="16"/>
        <v>259</v>
      </c>
      <c r="N522" s="728">
        <f t="shared" si="17"/>
        <v>46055</v>
      </c>
    </row>
    <row r="523" ht="20.1" hidden="1" customHeight="1" spans="1:16">
      <c r="A523" s="819">
        <v>529</v>
      </c>
      <c r="B523" s="729" t="s">
        <v>25</v>
      </c>
      <c r="C523" s="1059" t="s">
        <v>791</v>
      </c>
      <c r="D523" s="729" t="s">
        <v>292</v>
      </c>
      <c r="E523" s="1147">
        <v>83162.8</v>
      </c>
      <c r="F523" s="775">
        <v>45902</v>
      </c>
      <c r="G523" s="775">
        <v>45967</v>
      </c>
      <c r="H523" s="729" t="s">
        <v>27</v>
      </c>
      <c r="I523" s="819"/>
      <c r="J523" s="729" t="s">
        <v>120</v>
      </c>
      <c r="K523" s="1148"/>
      <c r="L523" s="932"/>
      <c r="M523" s="919">
        <f ca="1" t="shared" si="16"/>
        <v>233</v>
      </c>
      <c r="N523" s="728">
        <f t="shared" si="17"/>
        <v>46081</v>
      </c>
    </row>
    <row r="524" ht="20.1" hidden="1" customHeight="1" spans="1:16">
      <c r="A524" s="819">
        <v>530</v>
      </c>
      <c r="B524" s="729" t="s">
        <v>25</v>
      </c>
      <c r="C524" s="1059" t="s">
        <v>792</v>
      </c>
      <c r="D524" s="729" t="s">
        <v>292</v>
      </c>
      <c r="E524" s="1147">
        <v>26131.67</v>
      </c>
      <c r="F524" s="775">
        <v>45902</v>
      </c>
      <c r="G524" s="775">
        <v>45967</v>
      </c>
      <c r="H524" s="729" t="s">
        <v>27</v>
      </c>
      <c r="I524" s="819"/>
      <c r="J524" s="729" t="s">
        <v>120</v>
      </c>
      <c r="K524" s="1148"/>
      <c r="L524" s="932"/>
      <c r="M524" s="919">
        <f ca="1" t="shared" si="16"/>
        <v>233</v>
      </c>
      <c r="N524" s="728">
        <f t="shared" si="17"/>
        <v>46081</v>
      </c>
    </row>
    <row r="525" ht="20.1" hidden="1" customHeight="1" spans="1:16">
      <c r="A525" s="819">
        <v>532</v>
      </c>
      <c r="B525" s="729" t="s">
        <v>41</v>
      </c>
      <c r="C525" s="1059" t="s">
        <v>793</v>
      </c>
      <c r="D525" s="819"/>
      <c r="E525" s="1147">
        <v>76000</v>
      </c>
      <c r="F525" s="775">
        <v>45903</v>
      </c>
      <c r="G525" s="775">
        <v>45967</v>
      </c>
      <c r="H525" s="729" t="s">
        <v>27</v>
      </c>
      <c r="I525" s="819"/>
      <c r="J525" s="819"/>
      <c r="K525" s="1148"/>
      <c r="L525" s="932"/>
      <c r="M525" s="919">
        <f ca="1" t="shared" si="16"/>
        <v>232</v>
      </c>
      <c r="N525" s="728">
        <f t="shared" si="17"/>
        <v>46082</v>
      </c>
    </row>
    <row r="526" ht="20.1" hidden="1" customHeight="1" spans="1:16">
      <c r="A526" s="819">
        <v>538</v>
      </c>
      <c r="B526" s="729" t="s">
        <v>25</v>
      </c>
      <c r="C526" s="1059" t="s">
        <v>794</v>
      </c>
      <c r="D526" s="729" t="s">
        <v>292</v>
      </c>
      <c r="E526" s="1147">
        <v>116000</v>
      </c>
      <c r="F526" s="775">
        <v>45908</v>
      </c>
      <c r="G526" s="775">
        <v>45967</v>
      </c>
      <c r="H526" s="729" t="s">
        <v>27</v>
      </c>
      <c r="I526" s="819"/>
      <c r="J526" s="729" t="s">
        <v>120</v>
      </c>
      <c r="K526" s="1148"/>
      <c r="L526" s="932"/>
      <c r="M526" s="919">
        <f ca="1" t="shared" si="16"/>
        <v>227</v>
      </c>
      <c r="N526" s="728">
        <f t="shared" si="17"/>
        <v>46087</v>
      </c>
    </row>
    <row r="527" ht="20.1" hidden="1" customHeight="1" spans="1:16">
      <c r="A527" s="819">
        <v>495</v>
      </c>
      <c r="B527" s="840" t="s">
        <v>15</v>
      </c>
      <c r="C527" s="1059" t="s">
        <v>795</v>
      </c>
      <c r="D527" s="729" t="s">
        <v>714</v>
      </c>
      <c r="E527" s="1147">
        <v>964000</v>
      </c>
      <c r="F527" s="775">
        <v>45860</v>
      </c>
      <c r="G527" s="775">
        <v>45971</v>
      </c>
      <c r="H527" s="931" t="s">
        <v>17</v>
      </c>
      <c r="I527" s="819"/>
      <c r="J527" s="729" t="s">
        <v>120</v>
      </c>
      <c r="K527" s="1148"/>
      <c r="L527" s="932"/>
      <c r="M527" s="919">
        <f ca="1" t="shared" ref="M527:M575" si="18">DATEDIF(F527,TODAY(),"D")</f>
        <v>275</v>
      </c>
      <c r="N527" s="728">
        <f t="shared" ref="N527:N575" si="19">F527+179</f>
        <v>46039</v>
      </c>
    </row>
    <row r="528" ht="20.1" hidden="1" customHeight="1" spans="1:16">
      <c r="A528" s="819">
        <v>504</v>
      </c>
      <c r="B528" s="840" t="s">
        <v>15</v>
      </c>
      <c r="C528" s="1059" t="s">
        <v>796</v>
      </c>
      <c r="D528" s="729" t="s">
        <v>738</v>
      </c>
      <c r="E528" s="1147">
        <v>130000</v>
      </c>
      <c r="F528" s="775">
        <v>45870</v>
      </c>
      <c r="G528" s="775">
        <v>45971</v>
      </c>
      <c r="H528" s="729" t="s">
        <v>27</v>
      </c>
      <c r="I528" s="819"/>
      <c r="J528" s="729" t="s">
        <v>120</v>
      </c>
      <c r="K528" s="1148"/>
      <c r="L528" s="932"/>
      <c r="M528" s="919">
        <f ca="1" t="shared" si="18"/>
        <v>265</v>
      </c>
      <c r="N528" s="728">
        <f t="shared" si="19"/>
        <v>46049</v>
      </c>
    </row>
    <row r="529" ht="20.1" hidden="1" customHeight="1" spans="1:14">
      <c r="A529" s="819">
        <v>541</v>
      </c>
      <c r="B529" s="819" t="s">
        <v>25</v>
      </c>
      <c r="C529" s="1218" t="s">
        <v>797</v>
      </c>
      <c r="D529" s="1225" t="s">
        <v>292</v>
      </c>
      <c r="E529" s="1147">
        <v>64000</v>
      </c>
      <c r="F529" s="775">
        <v>45912</v>
      </c>
      <c r="G529" s="775">
        <v>45971</v>
      </c>
      <c r="H529" s="729" t="s">
        <v>27</v>
      </c>
      <c r="I529" s="819"/>
      <c r="J529" s="729" t="s">
        <v>120</v>
      </c>
      <c r="K529" s="1148"/>
      <c r="L529" s="932"/>
      <c r="M529" s="919">
        <f ca="1" t="shared" si="18"/>
        <v>223</v>
      </c>
      <c r="N529" s="728">
        <f t="shared" si="19"/>
        <v>46091</v>
      </c>
    </row>
    <row r="530" ht="20.1" hidden="1" customHeight="1" spans="1:14">
      <c r="A530" s="819">
        <v>542</v>
      </c>
      <c r="B530" s="958" t="s">
        <v>25</v>
      </c>
      <c r="C530" s="1219" t="s">
        <v>798</v>
      </c>
      <c r="D530" s="1226" t="s">
        <v>292</v>
      </c>
      <c r="E530" s="1147">
        <v>80000</v>
      </c>
      <c r="F530" s="775">
        <v>45912</v>
      </c>
      <c r="G530" s="775">
        <v>45971</v>
      </c>
      <c r="H530" s="729" t="s">
        <v>27</v>
      </c>
      <c r="I530" s="819"/>
      <c r="J530" s="729" t="s">
        <v>120</v>
      </c>
      <c r="K530" s="1148"/>
      <c r="L530" s="932"/>
      <c r="M530" s="919">
        <f ca="1" t="shared" si="18"/>
        <v>223</v>
      </c>
      <c r="N530" s="728">
        <f t="shared" si="19"/>
        <v>46091</v>
      </c>
    </row>
    <row r="531" ht="20.1" hidden="1" customHeight="1" spans="1:14">
      <c r="A531" s="819">
        <v>505</v>
      </c>
      <c r="B531" s="729" t="s">
        <v>22</v>
      </c>
      <c r="C531" s="1221" t="s">
        <v>799</v>
      </c>
      <c r="D531" s="729" t="s">
        <v>738</v>
      </c>
      <c r="E531" s="1147">
        <v>240000</v>
      </c>
      <c r="F531" s="775">
        <v>45870</v>
      </c>
      <c r="G531" s="775">
        <v>45972</v>
      </c>
      <c r="H531" s="729" t="s">
        <v>27</v>
      </c>
      <c r="I531" s="819"/>
      <c r="J531" s="729" t="s">
        <v>120</v>
      </c>
      <c r="K531" s="1148"/>
      <c r="L531" s="932"/>
      <c r="M531" s="919">
        <f ca="1" t="shared" si="18"/>
        <v>265</v>
      </c>
      <c r="N531" s="728">
        <f t="shared" si="19"/>
        <v>46049</v>
      </c>
    </row>
    <row r="532" ht="20.1" hidden="1" customHeight="1" spans="1:14">
      <c r="A532" s="819">
        <v>520</v>
      </c>
      <c r="B532" s="729" t="s">
        <v>28</v>
      </c>
      <c r="C532" s="1059" t="s">
        <v>800</v>
      </c>
      <c r="D532" s="729" t="s">
        <v>759</v>
      </c>
      <c r="E532" s="1147">
        <v>24480</v>
      </c>
      <c r="F532" s="775">
        <v>45890</v>
      </c>
      <c r="G532" s="775">
        <v>45975</v>
      </c>
      <c r="H532" s="729" t="s">
        <v>27</v>
      </c>
      <c r="I532" s="819"/>
      <c r="J532" s="729" t="s">
        <v>120</v>
      </c>
      <c r="K532" s="1148"/>
      <c r="L532" s="932"/>
      <c r="M532" s="919">
        <f ca="1" t="shared" si="18"/>
        <v>245</v>
      </c>
      <c r="N532" s="728">
        <f t="shared" si="19"/>
        <v>46069</v>
      </c>
    </row>
    <row r="533" ht="20.1" customHeight="1" spans="1:14">
      <c r="A533" s="819">
        <v>568</v>
      </c>
      <c r="B533" s="729" t="s">
        <v>79</v>
      </c>
      <c r="C533" s="1218" t="s">
        <v>801</v>
      </c>
      <c r="D533" s="819"/>
      <c r="E533" s="1147">
        <v>799999.98</v>
      </c>
      <c r="F533" s="775">
        <v>45961</v>
      </c>
      <c r="G533" s="775">
        <v>45979</v>
      </c>
      <c r="H533" s="931" t="s">
        <v>17</v>
      </c>
      <c r="I533" s="819"/>
      <c r="J533" s="819"/>
      <c r="K533" s="1148"/>
      <c r="L533" s="932"/>
      <c r="M533" s="919">
        <f ca="1" t="shared" si="18"/>
        <v>174</v>
      </c>
      <c r="N533" s="728">
        <f t="shared" si="19"/>
        <v>46140</v>
      </c>
    </row>
    <row r="534" ht="20.1" customHeight="1" spans="1:14">
      <c r="A534" s="819">
        <v>569</v>
      </c>
      <c r="B534" s="1041" t="s">
        <v>79</v>
      </c>
      <c r="C534" s="1227" t="s">
        <v>802</v>
      </c>
      <c r="D534" s="1222"/>
      <c r="E534" s="1147">
        <v>6285.72</v>
      </c>
      <c r="F534" s="775">
        <v>45961</v>
      </c>
      <c r="G534" s="775">
        <v>45979</v>
      </c>
      <c r="H534" s="729" t="s">
        <v>27</v>
      </c>
      <c r="I534" s="819"/>
      <c r="J534" s="819"/>
      <c r="K534" s="1148"/>
      <c r="L534" s="932"/>
      <c r="M534" s="919">
        <f ca="1" t="shared" si="18"/>
        <v>174</v>
      </c>
      <c r="N534" s="728">
        <f t="shared" si="19"/>
        <v>46140</v>
      </c>
    </row>
    <row r="535" ht="20.1" customHeight="1" spans="1:14">
      <c r="A535" s="819">
        <v>570</v>
      </c>
      <c r="B535" s="987" t="s">
        <v>79</v>
      </c>
      <c r="C535" s="1228" t="s">
        <v>803</v>
      </c>
      <c r="D535" s="819"/>
      <c r="E535" s="1147">
        <v>1714.29</v>
      </c>
      <c r="F535" s="775">
        <v>45961</v>
      </c>
      <c r="G535" s="775">
        <v>45979</v>
      </c>
      <c r="H535" s="729" t="s">
        <v>27</v>
      </c>
      <c r="I535" s="819"/>
      <c r="J535" s="819"/>
      <c r="K535" s="1148"/>
      <c r="L535" s="932"/>
      <c r="M535" s="919">
        <f ca="1" t="shared" si="18"/>
        <v>174</v>
      </c>
      <c r="N535" s="728">
        <f t="shared" si="19"/>
        <v>46140</v>
      </c>
    </row>
    <row r="536" ht="20.1" customHeight="1" spans="1:14">
      <c r="A536" s="819">
        <v>571</v>
      </c>
      <c r="B536" s="987" t="s">
        <v>79</v>
      </c>
      <c r="C536" s="1229" t="s">
        <v>804</v>
      </c>
      <c r="D536" s="819"/>
      <c r="E536" s="1147">
        <v>35619.04</v>
      </c>
      <c r="F536" s="775">
        <v>45961</v>
      </c>
      <c r="G536" s="775">
        <v>45979</v>
      </c>
      <c r="H536" s="729" t="s">
        <v>27</v>
      </c>
      <c r="I536" s="819"/>
      <c r="J536" s="819"/>
      <c r="K536" s="1148"/>
      <c r="L536" s="932"/>
      <c r="M536" s="919">
        <f ca="1" t="shared" si="18"/>
        <v>174</v>
      </c>
      <c r="N536" s="728">
        <f t="shared" si="19"/>
        <v>46140</v>
      </c>
    </row>
    <row r="537" ht="20.1" customHeight="1" spans="1:14">
      <c r="A537" s="819">
        <v>572</v>
      </c>
      <c r="B537" s="987" t="s">
        <v>79</v>
      </c>
      <c r="C537" s="1229" t="s">
        <v>805</v>
      </c>
      <c r="D537" s="819"/>
      <c r="E537" s="1147">
        <v>26858.16</v>
      </c>
      <c r="F537" s="775">
        <v>45961</v>
      </c>
      <c r="G537" s="775">
        <v>45979</v>
      </c>
      <c r="H537" s="729" t="s">
        <v>27</v>
      </c>
      <c r="I537" s="819"/>
      <c r="J537" s="819"/>
      <c r="K537" s="1148"/>
      <c r="L537" s="932"/>
      <c r="M537" s="919">
        <f ca="1" t="shared" si="18"/>
        <v>174</v>
      </c>
      <c r="N537" s="728">
        <f t="shared" si="19"/>
        <v>46140</v>
      </c>
    </row>
    <row r="538" ht="20.1" customHeight="1" spans="1:14">
      <c r="A538" s="819">
        <v>573</v>
      </c>
      <c r="B538" s="987" t="s">
        <v>79</v>
      </c>
      <c r="C538" s="1229" t="s">
        <v>806</v>
      </c>
      <c r="D538" s="819"/>
      <c r="E538" s="1147">
        <v>60952.38</v>
      </c>
      <c r="F538" s="775">
        <v>45961</v>
      </c>
      <c r="G538" s="775">
        <v>45979</v>
      </c>
      <c r="H538" s="951" t="s">
        <v>27</v>
      </c>
      <c r="I538" s="819"/>
      <c r="J538" s="819"/>
      <c r="K538" s="1148"/>
      <c r="L538" s="932"/>
      <c r="M538" s="919">
        <f ca="1" t="shared" si="18"/>
        <v>174</v>
      </c>
      <c r="N538" s="728">
        <f t="shared" si="19"/>
        <v>46140</v>
      </c>
    </row>
    <row r="539" ht="20.1" hidden="1" customHeight="1" spans="1:14">
      <c r="A539" s="819">
        <v>544</v>
      </c>
      <c r="B539" s="729" t="s">
        <v>233</v>
      </c>
      <c r="C539" s="1059" t="s">
        <v>807</v>
      </c>
      <c r="D539" s="819"/>
      <c r="E539" s="1147">
        <v>1800000</v>
      </c>
      <c r="F539" s="775">
        <v>45917</v>
      </c>
      <c r="G539" s="775">
        <v>45980</v>
      </c>
      <c r="H539" s="1023" t="s">
        <v>17</v>
      </c>
      <c r="I539" s="819"/>
      <c r="J539" s="819"/>
      <c r="K539" s="1148"/>
      <c r="L539" s="932"/>
      <c r="M539" s="919">
        <f ca="1" t="shared" si="18"/>
        <v>218</v>
      </c>
      <c r="N539" s="728">
        <f t="shared" si="19"/>
        <v>46096</v>
      </c>
    </row>
    <row r="540" ht="20.1" hidden="1" customHeight="1" spans="1:14">
      <c r="A540" s="819">
        <v>565</v>
      </c>
      <c r="B540" s="729" t="s">
        <v>808</v>
      </c>
      <c r="C540" s="1059" t="s">
        <v>809</v>
      </c>
      <c r="D540" s="819"/>
      <c r="E540" s="1147">
        <v>1520000</v>
      </c>
      <c r="F540" s="775">
        <v>45951</v>
      </c>
      <c r="G540" s="775">
        <v>45980</v>
      </c>
      <c r="H540" s="1023" t="s">
        <v>17</v>
      </c>
      <c r="I540" s="819"/>
      <c r="J540" s="819"/>
      <c r="K540" s="1148"/>
      <c r="L540" s="932"/>
      <c r="M540" s="919">
        <f ca="1" t="shared" si="18"/>
        <v>184</v>
      </c>
      <c r="N540" s="728">
        <f t="shared" si="19"/>
        <v>46130</v>
      </c>
    </row>
    <row r="541" ht="20.1" hidden="1" customHeight="1" spans="1:14">
      <c r="A541" s="819">
        <v>476</v>
      </c>
      <c r="B541" s="729" t="s">
        <v>37</v>
      </c>
      <c r="C541" s="1218" t="s">
        <v>810</v>
      </c>
      <c r="D541" s="729" t="s">
        <v>670</v>
      </c>
      <c r="E541" s="1147"/>
      <c r="F541" s="775">
        <v>45834</v>
      </c>
      <c r="G541" s="775">
        <v>45981</v>
      </c>
      <c r="H541" s="1023" t="s">
        <v>17</v>
      </c>
      <c r="I541" s="819"/>
      <c r="J541" s="729" t="s">
        <v>393</v>
      </c>
      <c r="K541" s="1148"/>
      <c r="L541" s="932"/>
      <c r="M541" s="919">
        <f ca="1" t="shared" si="18"/>
        <v>301</v>
      </c>
      <c r="N541" s="728">
        <f t="shared" si="19"/>
        <v>46013</v>
      </c>
    </row>
    <row r="542" ht="20.1" hidden="1" customHeight="1" spans="1:14">
      <c r="A542" s="819">
        <v>503</v>
      </c>
      <c r="B542" s="838" t="s">
        <v>37</v>
      </c>
      <c r="C542" s="1230" t="s">
        <v>811</v>
      </c>
      <c r="D542" s="1220" t="s">
        <v>709</v>
      </c>
      <c r="E542" s="1147">
        <v>152380.94</v>
      </c>
      <c r="F542" s="775">
        <v>45869</v>
      </c>
      <c r="G542" s="775">
        <v>45981</v>
      </c>
      <c r="H542" s="729" t="s">
        <v>27</v>
      </c>
      <c r="I542" s="819"/>
      <c r="J542" s="729" t="s">
        <v>120</v>
      </c>
      <c r="K542" s="1148"/>
      <c r="L542" s="932"/>
      <c r="M542" s="919">
        <f ca="1" t="shared" si="18"/>
        <v>266</v>
      </c>
      <c r="N542" s="728">
        <f t="shared" si="19"/>
        <v>46048</v>
      </c>
    </row>
    <row r="543" ht="20.1" customHeight="1" spans="1:14">
      <c r="A543" s="819">
        <v>522</v>
      </c>
      <c r="B543" s="838" t="s">
        <v>79</v>
      </c>
      <c r="C543" s="1230" t="s">
        <v>812</v>
      </c>
      <c r="D543" s="1220" t="s">
        <v>770</v>
      </c>
      <c r="E543" s="1147">
        <v>757500</v>
      </c>
      <c r="F543" s="775">
        <v>45891</v>
      </c>
      <c r="G543" s="775">
        <v>45981</v>
      </c>
      <c r="H543" s="931" t="s">
        <v>17</v>
      </c>
      <c r="I543" s="819"/>
      <c r="J543" s="729" t="s">
        <v>120</v>
      </c>
      <c r="K543" s="1148"/>
      <c r="L543" s="932"/>
      <c r="M543" s="919">
        <f ca="1" t="shared" si="18"/>
        <v>244</v>
      </c>
      <c r="N543" s="728">
        <f t="shared" si="19"/>
        <v>46070</v>
      </c>
    </row>
    <row r="544" ht="20.1" customHeight="1" spans="1:14">
      <c r="A544" s="819">
        <v>551</v>
      </c>
      <c r="B544" s="838" t="s">
        <v>79</v>
      </c>
      <c r="C544" s="1230" t="s">
        <v>813</v>
      </c>
      <c r="D544" s="1222"/>
      <c r="E544" s="1147">
        <v>248283.14</v>
      </c>
      <c r="F544" s="775">
        <v>45919</v>
      </c>
      <c r="G544" s="775">
        <v>45981</v>
      </c>
      <c r="H544" s="931" t="s">
        <v>17</v>
      </c>
      <c r="I544" s="819"/>
      <c r="J544" s="819"/>
      <c r="K544" s="1148"/>
      <c r="L544" s="932"/>
      <c r="M544" s="919">
        <f ca="1" t="shared" si="18"/>
        <v>216</v>
      </c>
      <c r="N544" s="728">
        <f t="shared" si="19"/>
        <v>46098</v>
      </c>
    </row>
    <row r="545" ht="20.1" hidden="1" customHeight="1" spans="1:16">
      <c r="A545" s="819">
        <v>518</v>
      </c>
      <c r="B545" s="838" t="s">
        <v>22</v>
      </c>
      <c r="C545" s="1231" t="s">
        <v>814</v>
      </c>
      <c r="D545" s="1220" t="s">
        <v>759</v>
      </c>
      <c r="E545" s="1147">
        <v>2800000</v>
      </c>
      <c r="F545" s="775">
        <v>45888</v>
      </c>
      <c r="G545" s="775">
        <v>45982</v>
      </c>
      <c r="H545" s="931" t="s">
        <v>17</v>
      </c>
      <c r="I545" s="819"/>
      <c r="J545" s="819"/>
      <c r="K545" s="1148"/>
      <c r="L545" s="932"/>
      <c r="M545" s="919">
        <f ca="1" t="shared" si="18"/>
        <v>247</v>
      </c>
      <c r="N545" s="728">
        <f t="shared" si="19"/>
        <v>46067</v>
      </c>
    </row>
    <row r="546" ht="20.1" hidden="1" customHeight="1" spans="1:16">
      <c r="A546" s="819">
        <v>526</v>
      </c>
      <c r="B546" s="840" t="s">
        <v>15</v>
      </c>
      <c r="C546" s="1059" t="s">
        <v>815</v>
      </c>
      <c r="D546" s="729" t="s">
        <v>764</v>
      </c>
      <c r="E546" s="1147">
        <v>836000</v>
      </c>
      <c r="F546" s="775">
        <v>45896</v>
      </c>
      <c r="G546" s="775">
        <v>45987</v>
      </c>
      <c r="H546" s="931" t="s">
        <v>17</v>
      </c>
      <c r="I546" s="819"/>
      <c r="J546" s="729" t="s">
        <v>120</v>
      </c>
      <c r="K546" s="1148"/>
      <c r="L546" s="932"/>
      <c r="M546" s="919">
        <f ca="1" t="shared" si="18"/>
        <v>239</v>
      </c>
      <c r="N546" s="728">
        <f t="shared" si="19"/>
        <v>46075</v>
      </c>
    </row>
    <row r="547" ht="20.1" hidden="1" customHeight="1" spans="1:16">
      <c r="A547" s="1232">
        <v>512</v>
      </c>
      <c r="B547" s="1233" t="s">
        <v>15</v>
      </c>
      <c r="C547" s="1234" t="s">
        <v>816</v>
      </c>
      <c r="D547" s="1235" t="s">
        <v>756</v>
      </c>
      <c r="E547" s="1236">
        <v>798799.44</v>
      </c>
      <c r="F547" s="1237">
        <v>45877</v>
      </c>
      <c r="G547" s="1237">
        <v>45992</v>
      </c>
      <c r="H547" s="1238" t="s">
        <v>17</v>
      </c>
      <c r="I547" s="1232"/>
      <c r="J547" s="1235" t="s">
        <v>120</v>
      </c>
      <c r="K547" s="1232"/>
      <c r="L547" s="1239"/>
      <c r="M547" s="1240">
        <f ca="1" t="shared" si="18"/>
        <v>258</v>
      </c>
      <c r="N547" s="1241">
        <f t="shared" si="19"/>
        <v>46056</v>
      </c>
      <c r="O547" s="1124"/>
      <c r="P547" s="1124"/>
    </row>
    <row r="548" ht="20.1" hidden="1" customHeight="1" spans="1:16">
      <c r="A548" s="819">
        <v>560</v>
      </c>
      <c r="B548" s="729" t="s">
        <v>133</v>
      </c>
      <c r="C548" s="1059" t="s">
        <v>817</v>
      </c>
      <c r="D548" s="729" t="s">
        <v>724</v>
      </c>
      <c r="E548" s="1147">
        <v>15674.83</v>
      </c>
      <c r="F548" s="775">
        <v>45876</v>
      </c>
      <c r="G548" s="775">
        <v>45993</v>
      </c>
      <c r="H548" s="729" t="s">
        <v>27</v>
      </c>
      <c r="I548" s="819"/>
      <c r="J548" s="729" t="s">
        <v>120</v>
      </c>
      <c r="K548" s="1148"/>
      <c r="L548" s="932"/>
      <c r="M548" s="919">
        <f ca="1" t="shared" si="18"/>
        <v>259</v>
      </c>
      <c r="N548" s="728">
        <f t="shared" si="19"/>
        <v>46055</v>
      </c>
    </row>
    <row r="549" ht="20.1" hidden="1" customHeight="1" spans="1:16">
      <c r="A549" s="819">
        <v>519</v>
      </c>
      <c r="B549" s="729" t="s">
        <v>133</v>
      </c>
      <c r="C549" s="1059" t="s">
        <v>818</v>
      </c>
      <c r="D549" s="729" t="s">
        <v>707</v>
      </c>
      <c r="E549" s="1147">
        <v>19943.27</v>
      </c>
      <c r="F549" s="775">
        <v>45889</v>
      </c>
      <c r="G549" s="775">
        <v>45993</v>
      </c>
      <c r="H549" s="729" t="s">
        <v>27</v>
      </c>
      <c r="I549" s="819"/>
      <c r="J549" s="729" t="s">
        <v>120</v>
      </c>
      <c r="K549" s="1148"/>
      <c r="L549" s="932"/>
      <c r="M549" s="919">
        <f ca="1" t="shared" si="18"/>
        <v>246</v>
      </c>
      <c r="N549" s="728">
        <f t="shared" si="19"/>
        <v>46068</v>
      </c>
    </row>
    <row r="550" ht="20.1" hidden="1" customHeight="1" spans="1:16">
      <c r="A550" s="819">
        <v>511</v>
      </c>
      <c r="B550" s="729" t="s">
        <v>102</v>
      </c>
      <c r="C550" s="1059" t="s">
        <v>819</v>
      </c>
      <c r="D550" s="729" t="s">
        <v>724</v>
      </c>
      <c r="E550" s="1147">
        <v>240000</v>
      </c>
      <c r="F550" s="775">
        <v>45876</v>
      </c>
      <c r="G550" s="775">
        <v>45995</v>
      </c>
      <c r="H550" s="931" t="s">
        <v>17</v>
      </c>
      <c r="I550" s="819"/>
      <c r="J550" s="729" t="s">
        <v>55</v>
      </c>
      <c r="K550" s="1148"/>
      <c r="L550" s="938" t="s">
        <v>245</v>
      </c>
      <c r="M550" s="919">
        <f ca="1" t="shared" si="18"/>
        <v>259</v>
      </c>
      <c r="N550" s="728">
        <f t="shared" si="19"/>
        <v>46055</v>
      </c>
    </row>
    <row r="551" ht="20.1" hidden="1" customHeight="1" spans="1:16">
      <c r="A551" s="819">
        <v>514</v>
      </c>
      <c r="B551" s="729" t="s">
        <v>102</v>
      </c>
      <c r="C551" s="1242" t="s">
        <v>820</v>
      </c>
      <c r="D551" s="729" t="s">
        <v>707</v>
      </c>
      <c r="E551" s="1147">
        <v>453000</v>
      </c>
      <c r="F551" s="775">
        <v>45881</v>
      </c>
      <c r="G551" s="775">
        <v>45995</v>
      </c>
      <c r="H551" s="931" t="s">
        <v>17</v>
      </c>
      <c r="I551" s="819"/>
      <c r="J551" s="936" t="s">
        <v>55</v>
      </c>
      <c r="K551" s="1148"/>
      <c r="L551" s="938" t="s">
        <v>245</v>
      </c>
      <c r="M551" s="919">
        <f ca="1" t="shared" si="18"/>
        <v>254</v>
      </c>
      <c r="N551" s="728">
        <f t="shared" si="19"/>
        <v>46060</v>
      </c>
    </row>
    <row r="552" ht="20.1" hidden="1" customHeight="1" spans="1:16">
      <c r="A552" s="819">
        <v>516</v>
      </c>
      <c r="B552" s="729" t="s">
        <v>25</v>
      </c>
      <c r="C552" s="1059" t="s">
        <v>821</v>
      </c>
      <c r="D552" s="729" t="s">
        <v>759</v>
      </c>
      <c r="E552" s="1147">
        <v>120000</v>
      </c>
      <c r="F552" s="775">
        <v>45884</v>
      </c>
      <c r="G552" s="775">
        <v>45995</v>
      </c>
      <c r="H552" s="729" t="s">
        <v>27</v>
      </c>
      <c r="I552" s="819"/>
      <c r="J552" s="729" t="s">
        <v>120</v>
      </c>
      <c r="K552" s="1148"/>
      <c r="L552" s="932"/>
      <c r="M552" s="919">
        <f ca="1" t="shared" si="18"/>
        <v>251</v>
      </c>
      <c r="N552" s="728">
        <f t="shared" si="19"/>
        <v>46063</v>
      </c>
    </row>
    <row r="553" ht="20.1" hidden="1" customHeight="1" spans="1:16">
      <c r="A553" s="819">
        <v>517</v>
      </c>
      <c r="B553" s="840" t="s">
        <v>15</v>
      </c>
      <c r="C553" s="1059" t="s">
        <v>822</v>
      </c>
      <c r="D553" s="729" t="s">
        <v>759</v>
      </c>
      <c r="E553" s="1147">
        <v>363958.67</v>
      </c>
      <c r="F553" s="775">
        <v>45887</v>
      </c>
      <c r="G553" s="775">
        <v>45995</v>
      </c>
      <c r="H553" s="729" t="s">
        <v>27</v>
      </c>
      <c r="I553" s="819"/>
      <c r="J553" s="729" t="s">
        <v>120</v>
      </c>
      <c r="K553" s="1148"/>
      <c r="L553" s="932"/>
      <c r="M553" s="919">
        <f ca="1" t="shared" si="18"/>
        <v>248</v>
      </c>
      <c r="N553" s="728">
        <f t="shared" si="19"/>
        <v>46066</v>
      </c>
    </row>
    <row r="554" ht="20.1" hidden="1" customHeight="1" spans="1:16">
      <c r="A554" s="819">
        <v>539</v>
      </c>
      <c r="B554" s="729" t="s">
        <v>31</v>
      </c>
      <c r="C554" s="1059" t="s">
        <v>823</v>
      </c>
      <c r="D554" s="729" t="s">
        <v>292</v>
      </c>
      <c r="E554" s="1147">
        <v>600000</v>
      </c>
      <c r="F554" s="775">
        <v>45909</v>
      </c>
      <c r="G554" s="775">
        <v>45996</v>
      </c>
      <c r="H554" s="931" t="s">
        <v>17</v>
      </c>
      <c r="I554" s="819"/>
      <c r="J554" s="729" t="s">
        <v>120</v>
      </c>
      <c r="K554" s="1148"/>
      <c r="L554" s="932"/>
      <c r="M554" s="919">
        <f ca="1" t="shared" si="18"/>
        <v>226</v>
      </c>
      <c r="N554" s="728">
        <f t="shared" si="19"/>
        <v>46088</v>
      </c>
    </row>
    <row r="555" ht="20.1" hidden="1" customHeight="1" spans="1:16">
      <c r="A555" s="819">
        <v>556</v>
      </c>
      <c r="B555" s="729" t="s">
        <v>31</v>
      </c>
      <c r="C555" s="1059" t="s">
        <v>824</v>
      </c>
      <c r="D555" s="819"/>
      <c r="E555" s="1147">
        <v>1787387.41</v>
      </c>
      <c r="F555" s="775">
        <v>45926</v>
      </c>
      <c r="G555" s="775">
        <v>45996</v>
      </c>
      <c r="H555" s="931" t="s">
        <v>17</v>
      </c>
      <c r="I555" s="819"/>
      <c r="J555" s="819"/>
      <c r="K555" s="1148"/>
      <c r="L555" s="932"/>
      <c r="M555" s="919">
        <f ca="1" t="shared" si="18"/>
        <v>209</v>
      </c>
      <c r="N555" s="728">
        <f t="shared" si="19"/>
        <v>46105</v>
      </c>
    </row>
    <row r="556" ht="20.1" hidden="1" customHeight="1" spans="1:16">
      <c r="A556" s="819">
        <v>564</v>
      </c>
      <c r="B556" s="729" t="s">
        <v>31</v>
      </c>
      <c r="C556" s="1059" t="s">
        <v>825</v>
      </c>
      <c r="D556" s="819"/>
      <c r="E556" s="1147">
        <v>60910.18</v>
      </c>
      <c r="F556" s="775">
        <v>45945</v>
      </c>
      <c r="G556" s="775">
        <v>45996</v>
      </c>
      <c r="H556" s="729" t="s">
        <v>27</v>
      </c>
      <c r="I556" s="819"/>
      <c r="J556" s="819"/>
      <c r="K556" s="1148"/>
      <c r="L556" s="932"/>
      <c r="M556" s="919">
        <f ca="1" t="shared" si="18"/>
        <v>190</v>
      </c>
      <c r="N556" s="728">
        <f t="shared" si="19"/>
        <v>46124</v>
      </c>
    </row>
    <row r="557" ht="20.1" hidden="1" customHeight="1" spans="1:16">
      <c r="A557" s="819">
        <v>521</v>
      </c>
      <c r="B557" s="729" t="s">
        <v>75</v>
      </c>
      <c r="C557" s="1059" t="s">
        <v>826</v>
      </c>
      <c r="D557" s="729" t="s">
        <v>764</v>
      </c>
      <c r="E557" s="1147">
        <v>126000</v>
      </c>
      <c r="F557" s="775">
        <v>45890</v>
      </c>
      <c r="G557" s="775">
        <v>45999</v>
      </c>
      <c r="H557" s="729" t="s">
        <v>27</v>
      </c>
      <c r="I557" s="819"/>
      <c r="J557" s="819"/>
      <c r="K557" s="1148"/>
      <c r="L557" s="932"/>
      <c r="M557" s="919">
        <f ca="1" t="shared" si="18"/>
        <v>245</v>
      </c>
      <c r="N557" s="728">
        <f t="shared" si="19"/>
        <v>46069</v>
      </c>
    </row>
    <row r="558" ht="20.1" hidden="1" customHeight="1" spans="1:16">
      <c r="A558" s="819">
        <v>545</v>
      </c>
      <c r="B558" s="729" t="s">
        <v>75</v>
      </c>
      <c r="C558" s="1059" t="s">
        <v>827</v>
      </c>
      <c r="D558" s="819"/>
      <c r="E558" s="1147">
        <v>85132.88</v>
      </c>
      <c r="F558" s="775">
        <v>45917</v>
      </c>
      <c r="G558" s="775">
        <v>45999</v>
      </c>
      <c r="H558" s="729" t="s">
        <v>27</v>
      </c>
      <c r="I558" s="819"/>
      <c r="J558" s="819"/>
      <c r="K558" s="1148"/>
      <c r="L558" s="932"/>
      <c r="M558" s="919">
        <f ca="1" t="shared" si="18"/>
        <v>218</v>
      </c>
      <c r="N558" s="728">
        <f t="shared" si="19"/>
        <v>46096</v>
      </c>
    </row>
    <row r="559" ht="20.1" hidden="1" customHeight="1" spans="1:16">
      <c r="A559" s="819">
        <v>574</v>
      </c>
      <c r="B559" s="729" t="s">
        <v>287</v>
      </c>
      <c r="C559" s="1214" t="s">
        <v>828</v>
      </c>
      <c r="D559" s="819"/>
      <c r="E559" s="1147">
        <v>120000</v>
      </c>
      <c r="F559" s="775">
        <v>45973</v>
      </c>
      <c r="G559" s="775">
        <v>45999</v>
      </c>
      <c r="H559" s="729" t="s">
        <v>27</v>
      </c>
      <c r="I559" s="819"/>
      <c r="J559" s="819"/>
      <c r="K559" s="1148"/>
      <c r="L559" s="932"/>
      <c r="M559" s="919">
        <f ca="1" t="shared" si="18"/>
        <v>162</v>
      </c>
      <c r="N559" s="728">
        <f t="shared" si="19"/>
        <v>46152</v>
      </c>
    </row>
    <row r="560" ht="20.1" hidden="1" customHeight="1" spans="1:16">
      <c r="A560" s="819">
        <v>523</v>
      </c>
      <c r="B560" s="840" t="s">
        <v>15</v>
      </c>
      <c r="C560" s="1059" t="s">
        <v>829</v>
      </c>
      <c r="D560" s="729" t="s">
        <v>764</v>
      </c>
      <c r="E560" s="1147">
        <v>540000</v>
      </c>
      <c r="F560" s="977">
        <v>45891</v>
      </c>
      <c r="G560" s="775">
        <v>46000</v>
      </c>
      <c r="H560" s="931" t="s">
        <v>17</v>
      </c>
      <c r="I560" s="819"/>
      <c r="J560" s="729" t="s">
        <v>120</v>
      </c>
      <c r="K560" s="1148"/>
      <c r="L560" s="932"/>
      <c r="M560" s="919">
        <f ca="1" t="shared" si="18"/>
        <v>244</v>
      </c>
      <c r="N560" s="728">
        <f t="shared" si="19"/>
        <v>46070</v>
      </c>
    </row>
    <row r="561" ht="20.1" hidden="1" customHeight="1" spans="1:14">
      <c r="A561" s="819">
        <v>566</v>
      </c>
      <c r="B561" s="729" t="s">
        <v>31</v>
      </c>
      <c r="C561" s="1059" t="s">
        <v>830</v>
      </c>
      <c r="D561" s="819"/>
      <c r="E561" s="1147">
        <v>771767.83</v>
      </c>
      <c r="F561" s="775">
        <v>45951</v>
      </c>
      <c r="G561" s="775">
        <v>46000</v>
      </c>
      <c r="H561" s="931" t="s">
        <v>17</v>
      </c>
      <c r="I561" s="819"/>
      <c r="J561" s="819"/>
      <c r="K561" s="1148"/>
      <c r="L561" s="932"/>
      <c r="M561" s="919">
        <f ca="1" t="shared" si="18"/>
        <v>184</v>
      </c>
      <c r="N561" s="728">
        <f t="shared" si="19"/>
        <v>46130</v>
      </c>
    </row>
    <row r="562" ht="20.1" customHeight="1" spans="1:14">
      <c r="A562" s="819">
        <v>575</v>
      </c>
      <c r="B562" s="729" t="s">
        <v>79</v>
      </c>
      <c r="C562" s="1059" t="s">
        <v>831</v>
      </c>
      <c r="D562" s="819"/>
      <c r="E562" s="1147">
        <v>703438.55</v>
      </c>
      <c r="F562" s="977">
        <v>45973</v>
      </c>
      <c r="G562" s="775">
        <v>46006</v>
      </c>
      <c r="H562" s="931" t="s">
        <v>17</v>
      </c>
      <c r="I562" s="819"/>
      <c r="J562" s="819"/>
      <c r="K562" s="1148"/>
      <c r="L562" s="932"/>
      <c r="M562" s="919">
        <f ca="1" t="shared" si="18"/>
        <v>162</v>
      </c>
      <c r="N562" s="728">
        <f t="shared" si="19"/>
        <v>46152</v>
      </c>
    </row>
    <row r="563" ht="20.1" hidden="1" customHeight="1" spans="1:14">
      <c r="A563" s="819">
        <v>524</v>
      </c>
      <c r="B563" s="729" t="s">
        <v>102</v>
      </c>
      <c r="C563" s="1059" t="s">
        <v>832</v>
      </c>
      <c r="D563" s="729" t="s">
        <v>770</v>
      </c>
      <c r="E563" s="1147">
        <v>1578778.18</v>
      </c>
      <c r="F563" s="989">
        <v>45891</v>
      </c>
      <c r="G563" s="775">
        <v>46007</v>
      </c>
      <c r="H563" s="931" t="s">
        <v>17</v>
      </c>
      <c r="I563" s="819"/>
      <c r="J563" s="819"/>
      <c r="K563" s="1148"/>
      <c r="L563" s="932"/>
      <c r="M563" s="919">
        <f ca="1" t="shared" si="18"/>
        <v>244</v>
      </c>
      <c r="N563" s="728">
        <f t="shared" si="19"/>
        <v>46070</v>
      </c>
    </row>
    <row r="564" ht="20.1" hidden="1" customHeight="1" spans="1:14">
      <c r="A564" s="819">
        <v>533</v>
      </c>
      <c r="B564" s="729" t="s">
        <v>28</v>
      </c>
      <c r="C564" s="1059" t="s">
        <v>833</v>
      </c>
      <c r="D564" s="819"/>
      <c r="E564" s="1147">
        <v>96000</v>
      </c>
      <c r="F564" s="989">
        <v>45903</v>
      </c>
      <c r="G564" s="775">
        <v>46007</v>
      </c>
      <c r="H564" s="729" t="s">
        <v>27</v>
      </c>
      <c r="I564" s="819"/>
      <c r="J564" s="819"/>
      <c r="K564" s="1148"/>
      <c r="L564" s="932"/>
      <c r="M564" s="919">
        <f ca="1" t="shared" si="18"/>
        <v>232</v>
      </c>
      <c r="N564" s="728">
        <f t="shared" si="19"/>
        <v>46082</v>
      </c>
    </row>
    <row r="565" ht="20.1" hidden="1" customHeight="1" spans="1:14">
      <c r="A565" s="819">
        <v>528</v>
      </c>
      <c r="B565" s="840" t="s">
        <v>15</v>
      </c>
      <c r="C565" s="1059" t="s">
        <v>834</v>
      </c>
      <c r="D565" s="729" t="s">
        <v>764</v>
      </c>
      <c r="E565" s="1147">
        <v>599998.38</v>
      </c>
      <c r="F565" s="1022">
        <v>45898</v>
      </c>
      <c r="G565" s="775">
        <v>46008</v>
      </c>
      <c r="H565" s="931" t="s">
        <v>17</v>
      </c>
      <c r="I565" s="819"/>
      <c r="J565" s="729" t="s">
        <v>120</v>
      </c>
      <c r="K565" s="1148"/>
      <c r="L565" s="932"/>
      <c r="M565" s="919">
        <f ca="1" t="shared" si="18"/>
        <v>237</v>
      </c>
      <c r="N565" s="728">
        <f t="shared" si="19"/>
        <v>46077</v>
      </c>
    </row>
    <row r="566" ht="20.1" hidden="1" customHeight="1" spans="1:14">
      <c r="A566" s="819">
        <v>546</v>
      </c>
      <c r="B566" s="729" t="s">
        <v>344</v>
      </c>
      <c r="C566" s="1059" t="s">
        <v>835</v>
      </c>
      <c r="D566" s="819"/>
      <c r="E566" s="1147">
        <v>397174.43</v>
      </c>
      <c r="F566" s="977">
        <v>45918</v>
      </c>
      <c r="G566" s="775">
        <v>46010</v>
      </c>
      <c r="H566" s="931" t="s">
        <v>17</v>
      </c>
      <c r="I566" s="819"/>
      <c r="J566" s="819"/>
      <c r="K566" s="1148"/>
      <c r="L566" s="932"/>
      <c r="M566" s="919">
        <f ca="1" t="shared" si="18"/>
        <v>217</v>
      </c>
      <c r="N566" s="728">
        <f t="shared" si="19"/>
        <v>46097</v>
      </c>
    </row>
    <row r="567" ht="20.1" hidden="1" customHeight="1" spans="1:14">
      <c r="A567" s="819">
        <v>547</v>
      </c>
      <c r="B567" s="729" t="s">
        <v>344</v>
      </c>
      <c r="C567" s="1059" t="s">
        <v>835</v>
      </c>
      <c r="D567" s="819"/>
      <c r="E567" s="1147">
        <v>200000</v>
      </c>
      <c r="F567" s="1243">
        <v>45918</v>
      </c>
      <c r="G567" s="775">
        <v>46010</v>
      </c>
      <c r="H567" s="931" t="s">
        <v>17</v>
      </c>
      <c r="I567" s="819"/>
      <c r="J567" s="819"/>
      <c r="K567" s="1148"/>
      <c r="L567" s="932"/>
      <c r="M567" s="919">
        <f ca="1" t="shared" si="18"/>
        <v>217</v>
      </c>
      <c r="N567" s="728">
        <f t="shared" si="19"/>
        <v>46097</v>
      </c>
    </row>
    <row r="568" ht="20.1" customHeight="1" spans="1:14">
      <c r="A568" s="819">
        <v>577</v>
      </c>
      <c r="B568" s="729" t="s">
        <v>79</v>
      </c>
      <c r="C568" s="1059" t="s">
        <v>836</v>
      </c>
      <c r="D568" s="819"/>
      <c r="E568" s="976">
        <v>73333.32</v>
      </c>
      <c r="F568" s="977">
        <v>45985</v>
      </c>
      <c r="G568" s="775">
        <v>46010</v>
      </c>
      <c r="H568" s="729" t="s">
        <v>27</v>
      </c>
      <c r="I568" s="819"/>
      <c r="J568" s="819"/>
      <c r="K568" s="1148"/>
      <c r="L568" s="932"/>
      <c r="M568" s="919">
        <f ca="1" t="shared" si="18"/>
        <v>150</v>
      </c>
      <c r="N568" s="728">
        <f t="shared" si="19"/>
        <v>46164</v>
      </c>
    </row>
    <row r="569" ht="20.1" customHeight="1" spans="1:14">
      <c r="A569" s="819">
        <v>578</v>
      </c>
      <c r="B569" s="1235" t="s">
        <v>79</v>
      </c>
      <c r="C569" s="1244" t="s">
        <v>837</v>
      </c>
      <c r="D569" s="819"/>
      <c r="E569" s="976">
        <v>44988.14</v>
      </c>
      <c r="F569" s="977">
        <v>45985</v>
      </c>
      <c r="G569" s="775">
        <v>46010</v>
      </c>
      <c r="H569" s="729" t="s">
        <v>27</v>
      </c>
      <c r="I569" s="819"/>
      <c r="J569" s="819"/>
      <c r="K569" s="1148"/>
      <c r="L569" s="932"/>
      <c r="M569" s="919">
        <f ca="1" t="shared" si="18"/>
        <v>150</v>
      </c>
      <c r="N569" s="728">
        <f t="shared" si="19"/>
        <v>46164</v>
      </c>
    </row>
    <row r="570" ht="20.1" customHeight="1" spans="1:14">
      <c r="A570" s="819">
        <v>579</v>
      </c>
      <c r="B570" s="1235" t="s">
        <v>79</v>
      </c>
      <c r="C570" s="1244" t="s">
        <v>838</v>
      </c>
      <c r="D570" s="819"/>
      <c r="E570" s="976">
        <v>9523.82</v>
      </c>
      <c r="F570" s="977">
        <v>45985</v>
      </c>
      <c r="G570" s="775">
        <v>46010</v>
      </c>
      <c r="H570" s="729" t="s">
        <v>27</v>
      </c>
      <c r="I570" s="819"/>
      <c r="J570" s="819"/>
      <c r="K570" s="1148"/>
      <c r="L570" s="932"/>
      <c r="M570" s="919">
        <f ca="1" t="shared" si="18"/>
        <v>150</v>
      </c>
      <c r="N570" s="728">
        <f t="shared" si="19"/>
        <v>46164</v>
      </c>
    </row>
    <row r="571" ht="20.1" customHeight="1" spans="1:14">
      <c r="A571" s="819">
        <v>580</v>
      </c>
      <c r="B571" s="1235" t="s">
        <v>79</v>
      </c>
      <c r="C571" s="1244" t="s">
        <v>838</v>
      </c>
      <c r="D571" s="819"/>
      <c r="E571" s="976">
        <v>8571.44</v>
      </c>
      <c r="F571" s="977">
        <v>45985</v>
      </c>
      <c r="G571" s="775">
        <v>46010</v>
      </c>
      <c r="H571" s="729" t="s">
        <v>27</v>
      </c>
      <c r="I571" s="819"/>
      <c r="J571" s="819"/>
      <c r="K571" s="1148"/>
      <c r="L571" s="932"/>
      <c r="M571" s="919">
        <f ca="1" t="shared" si="18"/>
        <v>150</v>
      </c>
      <c r="N571" s="728">
        <f t="shared" si="19"/>
        <v>46164</v>
      </c>
    </row>
    <row r="572" ht="20.1" customHeight="1" spans="1:14">
      <c r="A572" s="819">
        <v>581</v>
      </c>
      <c r="B572" s="1235" t="s">
        <v>79</v>
      </c>
      <c r="C572" s="1244" t="s">
        <v>839</v>
      </c>
      <c r="D572" s="819"/>
      <c r="E572" s="976">
        <v>40129.43</v>
      </c>
      <c r="F572" s="977">
        <v>45985</v>
      </c>
      <c r="G572" s="775">
        <v>46010</v>
      </c>
      <c r="H572" s="729" t="s">
        <v>27</v>
      </c>
      <c r="I572" s="819"/>
      <c r="J572" s="819"/>
      <c r="K572" s="1148"/>
      <c r="L572" s="932"/>
      <c r="M572" s="919">
        <f ca="1" t="shared" si="18"/>
        <v>150</v>
      </c>
      <c r="N572" s="728">
        <f t="shared" si="19"/>
        <v>46164</v>
      </c>
    </row>
    <row r="573" ht="20.1" customHeight="1" spans="1:14">
      <c r="A573" s="819">
        <v>582</v>
      </c>
      <c r="B573" s="1235" t="s">
        <v>79</v>
      </c>
      <c r="C573" s="1244" t="s">
        <v>840</v>
      </c>
      <c r="D573" s="819"/>
      <c r="E573" s="976">
        <v>18227.19</v>
      </c>
      <c r="F573" s="977">
        <v>45985</v>
      </c>
      <c r="G573" s="775">
        <v>46010</v>
      </c>
      <c r="H573" s="729" t="s">
        <v>27</v>
      </c>
      <c r="I573" s="819"/>
      <c r="J573" s="819"/>
      <c r="K573" s="1148"/>
      <c r="L573" s="932"/>
      <c r="M573" s="919">
        <f ca="1" t="shared" si="18"/>
        <v>150</v>
      </c>
      <c r="N573" s="728">
        <f t="shared" si="19"/>
        <v>46164</v>
      </c>
    </row>
    <row r="574" ht="20.1" customHeight="1" spans="1:14">
      <c r="A574" s="819">
        <v>583</v>
      </c>
      <c r="B574" s="1235" t="s">
        <v>79</v>
      </c>
      <c r="C574" s="1244" t="s">
        <v>840</v>
      </c>
      <c r="D574" s="819"/>
      <c r="E574" s="976">
        <v>25333.34</v>
      </c>
      <c r="F574" s="977">
        <v>45985</v>
      </c>
      <c r="G574" s="775">
        <v>46010</v>
      </c>
      <c r="H574" s="729" t="s">
        <v>27</v>
      </c>
      <c r="I574" s="819"/>
      <c r="J574" s="819"/>
      <c r="K574" s="1148"/>
      <c r="L574" s="932"/>
      <c r="M574" s="919">
        <f ca="1" t="shared" si="18"/>
        <v>150</v>
      </c>
      <c r="N574" s="728">
        <f t="shared" si="19"/>
        <v>46164</v>
      </c>
    </row>
    <row r="575" ht="20.1" customHeight="1" spans="1:14">
      <c r="A575" s="819">
        <v>584</v>
      </c>
      <c r="B575" s="1235" t="s">
        <v>79</v>
      </c>
      <c r="C575" s="1244" t="s">
        <v>841</v>
      </c>
      <c r="D575" s="819"/>
      <c r="E575" s="976">
        <v>213777.78</v>
      </c>
      <c r="F575" s="977">
        <v>45985</v>
      </c>
      <c r="G575" s="775">
        <v>46010</v>
      </c>
      <c r="H575" s="729" t="s">
        <v>27</v>
      </c>
      <c r="I575" s="819"/>
      <c r="J575" s="819"/>
      <c r="K575" s="1148"/>
      <c r="L575" s="932"/>
      <c r="M575" s="919">
        <f ca="1" t="shared" ref="M575:M593" si="20">DATEDIF(F575,TODAY(),"D")</f>
        <v>150</v>
      </c>
      <c r="N575" s="728">
        <f t="shared" ref="N575:N593" si="21">F575+179</f>
        <v>46164</v>
      </c>
    </row>
    <row r="576" ht="20.1" customHeight="1" spans="1:14">
      <c r="A576" s="819">
        <v>585</v>
      </c>
      <c r="B576" s="1235" t="s">
        <v>79</v>
      </c>
      <c r="C576" s="1244" t="s">
        <v>836</v>
      </c>
      <c r="D576" s="819"/>
      <c r="E576" s="976">
        <v>26800.02</v>
      </c>
      <c r="F576" s="977">
        <v>45985</v>
      </c>
      <c r="G576" s="775">
        <v>46010</v>
      </c>
      <c r="H576" s="729" t="s">
        <v>27</v>
      </c>
      <c r="I576" s="819"/>
      <c r="J576" s="819"/>
      <c r="K576" s="1148"/>
      <c r="L576" s="932"/>
      <c r="M576" s="919">
        <f ca="1" t="shared" si="20"/>
        <v>150</v>
      </c>
      <c r="N576" s="728">
        <f t="shared" si="21"/>
        <v>46164</v>
      </c>
    </row>
    <row r="577" ht="20.1" customHeight="1" spans="1:14">
      <c r="A577" s="819">
        <v>586</v>
      </c>
      <c r="B577" s="1235" t="s">
        <v>79</v>
      </c>
      <c r="C577" s="1244" t="s">
        <v>836</v>
      </c>
      <c r="D577" s="819"/>
      <c r="E577" s="976">
        <v>138285.73</v>
      </c>
      <c r="F577" s="977">
        <v>45985</v>
      </c>
      <c r="G577" s="775">
        <v>46010</v>
      </c>
      <c r="H577" s="729" t="s">
        <v>27</v>
      </c>
      <c r="I577" s="819"/>
      <c r="J577" s="819"/>
      <c r="K577" s="1148"/>
      <c r="L577" s="932"/>
      <c r="M577" s="919">
        <f ca="1" t="shared" si="20"/>
        <v>150</v>
      </c>
      <c r="N577" s="728">
        <f t="shared" si="21"/>
        <v>46164</v>
      </c>
    </row>
    <row r="578" ht="20.1" customHeight="1" spans="1:14">
      <c r="A578" s="819">
        <v>587</v>
      </c>
      <c r="B578" s="1235" t="s">
        <v>79</v>
      </c>
      <c r="C578" s="1244" t="s">
        <v>836</v>
      </c>
      <c r="D578" s="819"/>
      <c r="E578" s="976">
        <v>8571.44</v>
      </c>
      <c r="F578" s="977">
        <v>45985</v>
      </c>
      <c r="G578" s="775">
        <v>46010</v>
      </c>
      <c r="H578" s="729" t="s">
        <v>27</v>
      </c>
      <c r="I578" s="819"/>
      <c r="J578" s="819"/>
      <c r="K578" s="1148"/>
      <c r="L578" s="932"/>
      <c r="M578" s="919">
        <f ca="1" t="shared" si="20"/>
        <v>150</v>
      </c>
      <c r="N578" s="728">
        <f t="shared" si="21"/>
        <v>46164</v>
      </c>
    </row>
    <row r="579" ht="20.1" customHeight="1" spans="1:14">
      <c r="A579" s="819">
        <v>588</v>
      </c>
      <c r="B579" s="1060" t="s">
        <v>79</v>
      </c>
      <c r="C579" s="1245" t="s">
        <v>842</v>
      </c>
      <c r="D579" s="819"/>
      <c r="E579" s="976">
        <v>685714.28</v>
      </c>
      <c r="F579" s="989">
        <v>45985</v>
      </c>
      <c r="G579" s="775">
        <v>46010</v>
      </c>
      <c r="H579" s="931" t="s">
        <v>17</v>
      </c>
      <c r="I579" s="819"/>
      <c r="J579" s="819"/>
      <c r="K579" s="1148"/>
      <c r="L579" s="932"/>
      <c r="M579" s="919">
        <f ca="1" t="shared" si="20"/>
        <v>150</v>
      </c>
      <c r="N579" s="728">
        <f t="shared" si="21"/>
        <v>46164</v>
      </c>
    </row>
    <row r="580" ht="20.1" customHeight="1" spans="1:14">
      <c r="A580" s="819">
        <v>589</v>
      </c>
      <c r="B580" s="1060" t="s">
        <v>79</v>
      </c>
      <c r="C580" s="1245" t="s">
        <v>836</v>
      </c>
      <c r="D580" s="819"/>
      <c r="E580" s="976">
        <v>412761.94</v>
      </c>
      <c r="F580" s="989">
        <v>45985</v>
      </c>
      <c r="G580" s="775">
        <v>46010</v>
      </c>
      <c r="H580" s="931" t="s">
        <v>17</v>
      </c>
      <c r="I580" s="819"/>
      <c r="J580" s="819"/>
      <c r="K580" s="1148"/>
      <c r="L580" s="932"/>
      <c r="M580" s="919">
        <f ca="1" t="shared" si="20"/>
        <v>150</v>
      </c>
      <c r="N580" s="728">
        <f t="shared" si="21"/>
        <v>46164</v>
      </c>
    </row>
    <row r="581" ht="20.1" customHeight="1" spans="1:14">
      <c r="A581" s="819">
        <v>592</v>
      </c>
      <c r="B581" s="729" t="s">
        <v>79</v>
      </c>
      <c r="C581" s="1214" t="s">
        <v>843</v>
      </c>
      <c r="D581" s="819"/>
      <c r="E581" s="976">
        <v>193144.49</v>
      </c>
      <c r="F581" s="989">
        <v>46000</v>
      </c>
      <c r="G581" s="775">
        <v>46010</v>
      </c>
      <c r="H581" s="729" t="s">
        <v>27</v>
      </c>
      <c r="I581" s="819"/>
      <c r="J581" s="819"/>
      <c r="K581" s="1148"/>
      <c r="L581" s="932"/>
      <c r="M581" s="919">
        <f ca="1" t="shared" si="20"/>
        <v>135</v>
      </c>
      <c r="N581" s="728">
        <f t="shared" si="21"/>
        <v>46179</v>
      </c>
    </row>
    <row r="582" ht="20.1" hidden="1" customHeight="1" spans="1:14">
      <c r="A582" s="819">
        <v>553</v>
      </c>
      <c r="B582" s="729" t="s">
        <v>22</v>
      </c>
      <c r="C582" s="1066" t="s">
        <v>844</v>
      </c>
      <c r="D582" s="819"/>
      <c r="E582" s="976">
        <v>2000000</v>
      </c>
      <c r="F582" s="989">
        <v>45922</v>
      </c>
      <c r="G582" s="775">
        <v>46015</v>
      </c>
      <c r="H582" s="931" t="s">
        <v>17</v>
      </c>
      <c r="I582" s="819"/>
      <c r="J582" s="819"/>
      <c r="K582" s="1148"/>
      <c r="L582" s="932"/>
      <c r="M582" s="919">
        <f ca="1" t="shared" si="20"/>
        <v>213</v>
      </c>
      <c r="N582" s="728">
        <f t="shared" si="21"/>
        <v>46101</v>
      </c>
    </row>
    <row r="583" ht="20.1" hidden="1" customHeight="1" spans="1:14">
      <c r="A583" s="819">
        <v>534</v>
      </c>
      <c r="B583" s="729" t="s">
        <v>41</v>
      </c>
      <c r="C583" s="1059" t="s">
        <v>845</v>
      </c>
      <c r="D583" s="819"/>
      <c r="E583" s="950">
        <v>240000</v>
      </c>
      <c r="F583" s="989">
        <v>45903</v>
      </c>
      <c r="G583" s="775">
        <v>46016</v>
      </c>
      <c r="H583" s="729" t="s">
        <v>27</v>
      </c>
      <c r="I583" s="819"/>
      <c r="J583" s="819"/>
      <c r="K583" s="1148"/>
      <c r="L583" s="932"/>
      <c r="M583" s="919">
        <f ca="1" t="shared" si="20"/>
        <v>232</v>
      </c>
      <c r="N583" s="728">
        <f t="shared" si="21"/>
        <v>46082</v>
      </c>
    </row>
    <row r="584" ht="20.1" hidden="1" customHeight="1" spans="1:14">
      <c r="A584" s="819">
        <v>535</v>
      </c>
      <c r="B584" s="729" t="s">
        <v>41</v>
      </c>
      <c r="C584" s="1059" t="s">
        <v>846</v>
      </c>
      <c r="D584" s="819"/>
      <c r="E584" s="950">
        <v>360000</v>
      </c>
      <c r="F584" s="989">
        <v>45903</v>
      </c>
      <c r="G584" s="775">
        <v>46016</v>
      </c>
      <c r="H584" s="729" t="s">
        <v>27</v>
      </c>
      <c r="I584" s="819"/>
      <c r="J584" s="819"/>
      <c r="K584" s="1148"/>
      <c r="L584" s="932"/>
      <c r="M584" s="919">
        <f ca="1" t="shared" si="20"/>
        <v>232</v>
      </c>
      <c r="N584" s="728">
        <f t="shared" si="21"/>
        <v>46082</v>
      </c>
    </row>
    <row r="585" ht="20.1" hidden="1" customHeight="1" spans="1:14">
      <c r="A585" s="819">
        <v>536</v>
      </c>
      <c r="B585" s="729" t="s">
        <v>28</v>
      </c>
      <c r="C585" s="1059" t="s">
        <v>847</v>
      </c>
      <c r="D585" s="819"/>
      <c r="E585" s="950">
        <v>119996</v>
      </c>
      <c r="F585" s="989">
        <v>45903</v>
      </c>
      <c r="G585" s="775">
        <v>46016</v>
      </c>
      <c r="H585" s="729" t="s">
        <v>27</v>
      </c>
      <c r="I585" s="819"/>
      <c r="J585" s="819"/>
      <c r="K585" s="1148"/>
      <c r="L585" s="932"/>
      <c r="M585" s="919">
        <f ca="1" t="shared" si="20"/>
        <v>232</v>
      </c>
      <c r="N585" s="728">
        <f t="shared" si="21"/>
        <v>46082</v>
      </c>
    </row>
    <row r="586" ht="20.1" customHeight="1" spans="1:14">
      <c r="A586" s="819">
        <v>591</v>
      </c>
      <c r="B586" s="729" t="s">
        <v>79</v>
      </c>
      <c r="C586" s="1059" t="s">
        <v>848</v>
      </c>
      <c r="D586" s="819"/>
      <c r="E586" s="976">
        <v>118176.83</v>
      </c>
      <c r="F586" s="977">
        <v>45999</v>
      </c>
      <c r="G586" s="775">
        <v>46016</v>
      </c>
      <c r="H586" s="729" t="s">
        <v>27</v>
      </c>
      <c r="I586" s="819"/>
      <c r="J586" s="819"/>
      <c r="K586" s="1148"/>
      <c r="L586" s="932"/>
      <c r="M586" s="919">
        <f ca="1" t="shared" si="20"/>
        <v>136</v>
      </c>
      <c r="N586" s="728">
        <f t="shared" si="21"/>
        <v>46178</v>
      </c>
    </row>
    <row r="587" ht="20.1" customHeight="1" spans="1:14">
      <c r="A587" s="819">
        <v>593</v>
      </c>
      <c r="B587" s="729" t="s">
        <v>79</v>
      </c>
      <c r="C587" s="1059" t="s">
        <v>849</v>
      </c>
      <c r="D587" s="819"/>
      <c r="E587" s="976">
        <v>212000</v>
      </c>
      <c r="F587" s="977">
        <v>46001</v>
      </c>
      <c r="G587" s="775">
        <v>46016</v>
      </c>
      <c r="H587" s="729" t="s">
        <v>27</v>
      </c>
      <c r="I587" s="819"/>
      <c r="J587" s="819"/>
      <c r="K587" s="1148"/>
      <c r="L587" s="932"/>
      <c r="M587" s="919">
        <f ca="1" t="shared" si="20"/>
        <v>134</v>
      </c>
      <c r="N587" s="728">
        <f t="shared" si="21"/>
        <v>46180</v>
      </c>
    </row>
    <row r="588" ht="20.1" hidden="1" customHeight="1" spans="1:14">
      <c r="A588" s="819">
        <v>563</v>
      </c>
      <c r="B588" s="729" t="s">
        <v>28</v>
      </c>
      <c r="C588" s="1059" t="s">
        <v>850</v>
      </c>
      <c r="D588" s="819"/>
      <c r="E588" s="954">
        <v>112000</v>
      </c>
      <c r="F588" s="977">
        <v>45940</v>
      </c>
      <c r="G588" s="775">
        <v>46017</v>
      </c>
      <c r="H588" s="729" t="s">
        <v>27</v>
      </c>
      <c r="I588" s="819"/>
      <c r="J588" s="819"/>
      <c r="K588" s="1148"/>
      <c r="L588" s="932"/>
      <c r="M588" s="919">
        <f ca="1" t="shared" si="20"/>
        <v>195</v>
      </c>
      <c r="N588" s="728">
        <f t="shared" si="21"/>
        <v>46119</v>
      </c>
    </row>
    <row r="589" ht="20.1" customHeight="1" spans="1:14">
      <c r="A589" s="819">
        <v>567</v>
      </c>
      <c r="B589" s="729" t="s">
        <v>79</v>
      </c>
      <c r="C589" s="1066" t="s">
        <v>851</v>
      </c>
      <c r="D589" s="819"/>
      <c r="E589" s="1246">
        <v>2599797.09</v>
      </c>
      <c r="F589" s="989">
        <v>45960</v>
      </c>
      <c r="G589" s="775">
        <v>46020</v>
      </c>
      <c r="H589" s="931" t="s">
        <v>17</v>
      </c>
      <c r="I589" s="819"/>
      <c r="J589" s="819"/>
      <c r="K589" s="1148"/>
      <c r="L589" s="932"/>
      <c r="M589" s="919">
        <f ca="1" t="shared" si="20"/>
        <v>175</v>
      </c>
      <c r="N589" s="728">
        <f t="shared" si="21"/>
        <v>46139</v>
      </c>
    </row>
    <row r="590" ht="20.1" hidden="1" customHeight="1" spans="1:14">
      <c r="A590" s="819">
        <v>576</v>
      </c>
      <c r="B590" s="838" t="s">
        <v>233</v>
      </c>
      <c r="C590" s="1059" t="s">
        <v>852</v>
      </c>
      <c r="D590" s="819"/>
      <c r="E590" s="950">
        <v>400000</v>
      </c>
      <c r="F590" s="1017">
        <v>45982</v>
      </c>
      <c r="G590" s="775">
        <v>46021</v>
      </c>
      <c r="H590" s="729" t="s">
        <v>27</v>
      </c>
      <c r="I590" s="819"/>
      <c r="J590" s="819"/>
      <c r="K590" s="1148"/>
      <c r="L590" s="932"/>
      <c r="M590" s="919">
        <f ca="1" t="shared" si="20"/>
        <v>153</v>
      </c>
      <c r="N590" s="728">
        <f t="shared" si="21"/>
        <v>46161</v>
      </c>
    </row>
    <row r="591" ht="20.1" customHeight="1" spans="1:14">
      <c r="A591" s="819">
        <v>590</v>
      </c>
      <c r="B591" s="729" t="s">
        <v>79</v>
      </c>
      <c r="C591" s="1059" t="s">
        <v>853</v>
      </c>
      <c r="D591" s="819"/>
      <c r="E591" s="976">
        <v>515999.86</v>
      </c>
      <c r="F591" s="1247">
        <v>45992</v>
      </c>
      <c r="G591" s="775">
        <v>46022</v>
      </c>
      <c r="H591" s="931" t="s">
        <v>17</v>
      </c>
      <c r="I591" s="819"/>
      <c r="J591" s="819"/>
      <c r="K591" s="1148"/>
      <c r="L591" s="932"/>
      <c r="M591" s="919">
        <f ca="1" t="shared" si="20"/>
        <v>143</v>
      </c>
      <c r="N591" s="728">
        <f t="shared" si="21"/>
        <v>46171</v>
      </c>
    </row>
    <row r="592" ht="20.1" hidden="1" customHeight="1" spans="1:14">
      <c r="A592" s="819">
        <v>594</v>
      </c>
      <c r="B592" s="729" t="s">
        <v>127</v>
      </c>
      <c r="C592" s="1059" t="s">
        <v>854</v>
      </c>
      <c r="D592" s="819"/>
      <c r="E592" s="950">
        <v>40000</v>
      </c>
      <c r="F592" s="1017">
        <v>46009</v>
      </c>
      <c r="G592" s="775">
        <v>46022</v>
      </c>
      <c r="H592" s="729" t="s">
        <v>27</v>
      </c>
      <c r="I592" s="819"/>
      <c r="J592" s="819"/>
      <c r="K592" s="1148"/>
      <c r="L592" s="932"/>
      <c r="M592" s="919">
        <f ca="1" t="shared" si="20"/>
        <v>126</v>
      </c>
      <c r="N592" s="728">
        <f t="shared" si="21"/>
        <v>46188</v>
      </c>
    </row>
    <row r="593" ht="42" hidden="1" customHeight="1" spans="1:14">
      <c r="A593" s="819">
        <v>595</v>
      </c>
      <c r="B593" s="729" t="s">
        <v>303</v>
      </c>
      <c r="C593" s="1059" t="s">
        <v>855</v>
      </c>
      <c r="D593" s="819"/>
      <c r="E593" s="950">
        <v>800000</v>
      </c>
      <c r="F593" s="989">
        <v>46020</v>
      </c>
      <c r="G593" s="775">
        <v>46022</v>
      </c>
      <c r="H593" s="931" t="s">
        <v>17</v>
      </c>
      <c r="I593" s="819"/>
      <c r="J593" s="819"/>
      <c r="K593" s="1148"/>
      <c r="L593" s="938" t="s">
        <v>856</v>
      </c>
      <c r="M593" s="919">
        <f ca="1" t="shared" si="20"/>
        <v>115</v>
      </c>
      <c r="N593" s="728">
        <f t="shared" si="21"/>
        <v>46199</v>
      </c>
    </row>
    <row r="594" ht="20.1" hidden="1" customHeight="1" spans="1:14">
      <c r="A594" s="819"/>
      <c r="B594" s="729"/>
      <c r="C594" s="1066"/>
      <c r="D594" s="997"/>
      <c r="E594" s="950"/>
      <c r="F594" s="977"/>
      <c r="G594" s="775"/>
      <c r="H594" s="729"/>
      <c r="I594" s="819"/>
      <c r="J594" s="819"/>
      <c r="K594" s="1148"/>
      <c r="L594" s="932"/>
      <c r="M594" s="919"/>
      <c r="N594" s="728"/>
    </row>
    <row r="595" ht="20.1" hidden="1" customHeight="1" spans="1:14">
      <c r="A595" s="819"/>
      <c r="B595" s="729"/>
      <c r="C595" s="1066"/>
      <c r="D595" s="997"/>
      <c r="E595" s="950"/>
      <c r="F595" s="977"/>
      <c r="G595" s="775"/>
      <c r="H595" s="729"/>
      <c r="I595" s="819"/>
      <c r="J595" s="819"/>
      <c r="K595" s="1148"/>
      <c r="L595" s="932"/>
      <c r="M595" s="919"/>
      <c r="N595" s="728"/>
    </row>
    <row r="596" ht="20.1" hidden="1" customHeight="1" spans="1:14">
      <c r="A596" s="819"/>
      <c r="B596" s="729"/>
      <c r="C596" s="1066"/>
      <c r="D596" s="997"/>
      <c r="E596" s="950"/>
      <c r="F596" s="977"/>
      <c r="G596" s="775"/>
      <c r="H596" s="729"/>
      <c r="I596" s="819"/>
      <c r="J596" s="819"/>
      <c r="K596" s="1148"/>
      <c r="L596" s="932"/>
      <c r="M596" s="919"/>
      <c r="N596" s="728"/>
    </row>
    <row r="597" ht="20.1" hidden="1" customHeight="1" spans="1:14">
      <c r="A597" s="819"/>
      <c r="B597" s="729"/>
      <c r="C597" s="1066"/>
      <c r="D597" s="997"/>
      <c r="E597" s="950"/>
      <c r="F597" s="977"/>
      <c r="G597" s="775"/>
      <c r="H597" s="729"/>
      <c r="I597" s="819"/>
      <c r="J597" s="819"/>
      <c r="K597" s="1148"/>
      <c r="L597" s="932"/>
      <c r="M597" s="919"/>
      <c r="N597" s="728"/>
    </row>
    <row r="598" ht="20.1" hidden="1" customHeight="1" spans="1:14">
      <c r="A598" s="819"/>
      <c r="B598" s="729"/>
      <c r="C598" s="1066"/>
      <c r="D598" s="997"/>
      <c r="E598" s="950"/>
      <c r="F598" s="977"/>
      <c r="G598" s="775"/>
      <c r="H598" s="729"/>
      <c r="I598" s="819"/>
      <c r="J598" s="819"/>
      <c r="K598" s="1148"/>
      <c r="L598" s="932"/>
      <c r="M598" s="919"/>
      <c r="N598" s="728"/>
    </row>
    <row r="599" ht="20.1" hidden="1" customHeight="1" spans="1:14">
      <c r="A599" s="819"/>
      <c r="B599" s="729"/>
      <c r="C599" s="666" t="s">
        <v>857</v>
      </c>
      <c r="D599" s="997"/>
      <c r="E599" s="1248">
        <v>765600</v>
      </c>
      <c r="F599" s="1068"/>
      <c r="G599" s="775"/>
      <c r="H599" s="729"/>
      <c r="I599" s="819"/>
      <c r="J599" s="819"/>
      <c r="K599" s="1148"/>
      <c r="L599" s="932"/>
      <c r="M599" s="919"/>
      <c r="N599" s="728"/>
    </row>
    <row r="600" ht="20.1" hidden="1" customHeight="1" spans="1:14">
      <c r="A600" s="819"/>
      <c r="B600" s="729"/>
      <c r="C600" s="666" t="s">
        <v>858</v>
      </c>
      <c r="D600" s="819"/>
      <c r="E600" s="1248">
        <v>400000</v>
      </c>
      <c r="F600" s="1068"/>
      <c r="G600" s="775"/>
      <c r="H600" s="729"/>
      <c r="I600" s="819"/>
      <c r="J600" s="819"/>
      <c r="K600" s="1148"/>
      <c r="L600" s="932"/>
      <c r="M600" s="919"/>
      <c r="N600" s="728"/>
    </row>
    <row r="601" ht="20.1" hidden="1" customHeight="1" spans="1:14">
      <c r="A601" s="819"/>
      <c r="B601" s="819"/>
      <c r="C601" s="819" t="s">
        <v>859</v>
      </c>
      <c r="D601" s="819"/>
      <c r="E601" s="1147">
        <f>SUM(E3:E589)</f>
        <v>284281251.37</v>
      </c>
      <c r="F601" s="775"/>
      <c r="G601" s="775"/>
      <c r="H601" s="819"/>
      <c r="I601" s="819"/>
      <c r="J601" s="819"/>
      <c r="K601" s="1148"/>
      <c r="L601" s="932"/>
      <c r="M601" s="919"/>
      <c r="N601" s="728"/>
    </row>
    <row r="602" ht="42.5" hidden="1" customHeight="1" spans="1:14">
      <c r="A602" s="1249"/>
      <c r="B602" s="1249"/>
      <c r="C602" s="1249"/>
      <c r="D602" s="1249"/>
      <c r="E602" s="1250"/>
      <c r="F602" s="1251"/>
      <c r="G602" s="1251"/>
      <c r="H602" s="1249"/>
      <c r="I602" s="1249"/>
      <c r="J602" s="1249"/>
      <c r="K602" s="1252"/>
      <c r="L602" s="1121" t="s">
        <v>860</v>
      </c>
    </row>
    <row r="603" ht="20.1" hidden="1" customHeight="1" spans="1:14">
      <c r="C603"/>
      <c r="E603"/>
      <c r="F603"/>
      <c r="G603"/>
    </row>
    <row r="604" ht="20.1" hidden="1" customHeight="1" spans="1:14">
      <c r="C604"/>
      <c r="E604"/>
      <c r="F604"/>
      <c r="G604"/>
    </row>
    <row r="605" ht="20.1" hidden="1" customHeight="1" spans="1:14">
      <c r="C605"/>
      <c r="E605"/>
      <c r="F605"/>
      <c r="G605"/>
    </row>
    <row r="606" ht="20.1" hidden="1" customHeight="1" spans="1:14">
      <c r="C606"/>
      <c r="E606"/>
      <c r="F606"/>
      <c r="G606"/>
    </row>
    <row r="607" ht="20.1" hidden="1" customHeight="1" spans="1:14">
      <c r="G607" s="775"/>
    </row>
    <row r="608" ht="20.1" hidden="1" customHeight="1" spans="1:14">
      <c r="G608" s="775"/>
    </row>
    <row r="609" ht="20.1" customHeight="1"/>
    <row r="610" ht="20.1" customHeight="1"/>
    <row r="611" ht="20.1" customHeight="1"/>
    <row r="612" ht="20.1" customHeight="1"/>
    <row r="613" ht="20.1" customHeight="1"/>
    <row r="614" ht="20.1" customHeight="1"/>
    <row r="615" ht="20.1" customHeight="1"/>
    <row r="616" ht="20.1" customHeight="1"/>
    <row r="617" ht="20.1" customHeight="1"/>
    <row r="618" ht="20.1" customHeight="1"/>
    <row r="619" ht="20.1" customHeight="1"/>
    <row r="620" ht="20.1" customHeight="1"/>
    <row r="621" ht="20.1" customHeight="1"/>
    <row r="622" ht="20.1" customHeight="1"/>
    <row r="623" ht="20.1" customHeight="1"/>
    <row r="624" ht="20.1" customHeight="1"/>
    <row r="625" ht="20.1" customHeight="1"/>
    <row r="626" ht="20.1" customHeight="1"/>
    <row r="627" ht="20.1" customHeight="1"/>
    <row r="628" ht="20.1" customHeight="1"/>
    <row r="629" ht="20.1" customHeight="1"/>
    <row r="630" ht="20.1" customHeight="1"/>
    <row r="631" ht="20.1" customHeight="1"/>
    <row r="632" ht="20.1" customHeight="1"/>
    <row r="633" ht="20.1" customHeight="1"/>
  </sheetData>
  <sheetProtection formatCells="0" insertHyperlinks="0" autoFilter="0"/>
  <autoFilter xmlns:etc="http://www.wps.cn/officeDocument/2017/etCustomData" ref="A2:P608" etc:filterBottomFollowUsedRange="1">
    <filterColumn colId="1">
      <customFilters>
        <customFilter operator="equal" val="西安小微担保"/>
      </customFilters>
    </filterColumn>
    <extLst/>
  </autoFilter>
  <sortState ref="A3:N638">
    <sortCondition ref="M2" descending="1"/>
  </sortState>
  <mergeCells count="1">
    <mergeCell ref="A1:N1"/>
  </mergeCells>
  <conditionalFormatting sqref="M2:M1048576">
    <cfRule type="cellIs" dxfId="0" priority="1" operator="greaterThan">
      <formula>180</formula>
    </cfRule>
    <cfRule type="cellIs" dxfId="1" priority="2" operator="greaterThan">
      <formula>160</formula>
    </cfRule>
    <cfRule type="cellIs" dxfId="2" priority="3" operator="greaterThanOrEqual">
      <formula>150</formula>
    </cfRule>
  </conditionalFormatting>
  <pageMargins left="0.75" right="0.75" top="1" bottom="1" header="0.5" footer="0.5"/>
  <pageSetup paperSize="9" scale="5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2"/>
  <sheetViews>
    <sheetView zoomScale="60" zoomScaleNormal="60" workbookViewId="0">
      <pane xSplit="1" ySplit="2" topLeftCell="D204" activePane="bottomRight" state="frozen"/>
      <selection/>
      <selection pane="topRight"/>
      <selection pane="bottomLeft"/>
      <selection pane="bottomRight" activeCell="D204" sqref="D204"/>
    </sheetView>
  </sheetViews>
  <sheetFormatPr defaultColWidth="9" defaultRowHeight="14.1"/>
  <cols>
    <col min="1" max="1" width="4.91891891891892" customWidth="1"/>
    <col min="2" max="2" width="4.7027027027027" customWidth="1"/>
    <col min="3" max="3" width="12.6036036036036" style="891" customWidth="1"/>
    <col min="4" max="4" width="29.9459459459459" style="892" customWidth="1"/>
    <col min="5" max="5" width="24.7747747747748" customWidth="1"/>
    <col min="6" max="6" width="15.0990990990991" style="893" customWidth="1"/>
    <col min="7" max="7" width="13.2792792792793" style="894" customWidth="1"/>
    <col min="8" max="8" width="12.8288288288288" style="895" customWidth="1"/>
    <col min="9" max="9" width="9.54954954954955" customWidth="1"/>
    <col min="10" max="10" width="9.84684684684685" customWidth="1"/>
    <col min="11" max="13" width="9.97297297297297" customWidth="1"/>
    <col min="14" max="14" width="8.67567567567568" customWidth="1"/>
    <col min="15" max="15" width="7.45045045045045" customWidth="1"/>
    <col min="16" max="16" width="7.27927927927928" style="896" customWidth="1"/>
    <col min="17" max="17" width="10.1261261261261" customWidth="1"/>
    <col min="18" max="18" width="14.1981981981982" style="895" customWidth="1"/>
    <col min="19" max="19" width="18.1261261261261" style="878" customWidth="1"/>
    <col min="20" max="20" width="14.8468468468468" customWidth="1"/>
    <col min="21" max="21" width="29.7747747747748" customWidth="1"/>
  </cols>
  <sheetData>
    <row r="1" ht="49.8" customHeight="1" spans="1:20">
      <c r="A1" s="897"/>
      <c r="B1" s="898" t="s">
        <v>0</v>
      </c>
      <c r="C1" s="898"/>
      <c r="D1" s="898"/>
      <c r="E1" s="898"/>
      <c r="F1" s="899"/>
      <c r="G1" s="898"/>
      <c r="H1" s="898"/>
      <c r="I1" s="898"/>
      <c r="J1" s="898"/>
      <c r="K1" s="898"/>
      <c r="L1" s="898"/>
      <c r="M1" s="898"/>
      <c r="N1" s="898"/>
      <c r="O1" s="898"/>
      <c r="P1" s="900"/>
      <c r="Q1" s="898"/>
      <c r="R1" s="898"/>
      <c r="S1" s="898"/>
    </row>
    <row r="2" s="878" customFormat="1" ht="56.7" customHeight="1" spans="1:20">
      <c r="A2" s="901" t="s">
        <v>861</v>
      </c>
      <c r="B2" s="902" t="s">
        <v>862</v>
      </c>
      <c r="C2" s="903" t="s">
        <v>2</v>
      </c>
      <c r="D2" s="903" t="s">
        <v>3</v>
      </c>
      <c r="E2" s="902" t="s">
        <v>4</v>
      </c>
      <c r="F2" s="904" t="s">
        <v>5</v>
      </c>
      <c r="G2" s="905" t="s">
        <v>6</v>
      </c>
      <c r="H2" s="905" t="s">
        <v>7</v>
      </c>
      <c r="I2" s="903" t="s">
        <v>8</v>
      </c>
      <c r="J2" s="902" t="s">
        <v>9</v>
      </c>
      <c r="K2" s="906" t="s">
        <v>863</v>
      </c>
      <c r="L2" s="906" t="s">
        <v>864</v>
      </c>
      <c r="M2" s="906" t="s">
        <v>865</v>
      </c>
      <c r="N2" s="902" t="s">
        <v>866</v>
      </c>
      <c r="O2" s="906" t="s">
        <v>867</v>
      </c>
      <c r="P2" s="907" t="s">
        <v>868</v>
      </c>
      <c r="Q2" s="902" t="s">
        <v>13</v>
      </c>
      <c r="R2" s="908" t="s">
        <v>14</v>
      </c>
      <c r="S2" s="909" t="s">
        <v>12</v>
      </c>
      <c r="T2" s="910"/>
    </row>
    <row r="3" s="887" customFormat="1" ht="39.15" customHeight="1" spans="1:20">
      <c r="A3" s="897">
        <v>1</v>
      </c>
      <c r="B3" s="819">
        <v>512</v>
      </c>
      <c r="C3" s="911" t="s">
        <v>25</v>
      </c>
      <c r="D3" s="912" t="s">
        <v>869</v>
      </c>
      <c r="E3" s="913" t="s">
        <v>870</v>
      </c>
      <c r="F3" s="914">
        <v>120000</v>
      </c>
      <c r="G3" s="915">
        <v>45838</v>
      </c>
      <c r="H3" s="916">
        <v>45918</v>
      </c>
      <c r="I3" s="911" t="s">
        <v>27</v>
      </c>
      <c r="J3" s="917"/>
      <c r="K3" s="913" t="s">
        <v>120</v>
      </c>
      <c r="L3" s="729" t="s">
        <v>871</v>
      </c>
      <c r="M3" s="729" t="s">
        <v>871</v>
      </c>
      <c r="N3" s="917" t="s">
        <v>872</v>
      </c>
      <c r="O3" s="729" t="s">
        <v>873</v>
      </c>
      <c r="P3" s="918" t="s">
        <v>732</v>
      </c>
      <c r="Q3" s="919">
        <f ca="1" t="shared" ref="Q3:Q66" si="0">DATEDIF(G3,TODAY(),"D")</f>
        <v>297</v>
      </c>
      <c r="R3" s="728">
        <f t="shared" ref="R3:R66" si="1">G3+179</f>
        <v>46017</v>
      </c>
      <c r="S3" s="917"/>
      <c r="T3" s="920" t="s">
        <v>874</v>
      </c>
    </row>
    <row r="4" ht="20.1" customHeight="1" spans="1:20">
      <c r="A4" s="897">
        <v>2</v>
      </c>
      <c r="B4" s="919">
        <v>513</v>
      </c>
      <c r="C4" s="921" t="s">
        <v>133</v>
      </c>
      <c r="D4" s="922" t="s">
        <v>875</v>
      </c>
      <c r="E4" s="923" t="s">
        <v>876</v>
      </c>
      <c r="F4" s="921">
        <v>34000</v>
      </c>
      <c r="G4" s="924">
        <v>45876</v>
      </c>
      <c r="H4" s="925">
        <v>45993</v>
      </c>
      <c r="I4" s="921" t="s">
        <v>27</v>
      </c>
      <c r="J4" s="926"/>
      <c r="K4" s="918" t="s">
        <v>120</v>
      </c>
      <c r="L4" s="926"/>
      <c r="M4" s="926"/>
      <c r="N4" s="926"/>
      <c r="O4" s="926"/>
      <c r="P4" s="926"/>
      <c r="Q4" s="919">
        <f ca="1" t="shared" si="0"/>
        <v>259</v>
      </c>
      <c r="R4" s="728">
        <f t="shared" si="1"/>
        <v>46055</v>
      </c>
      <c r="S4" s="927"/>
      <c r="T4" s="928" t="s">
        <v>877</v>
      </c>
    </row>
    <row r="5" ht="26.1" customHeight="1" spans="1:20">
      <c r="A5" s="897">
        <v>3</v>
      </c>
      <c r="B5" s="819">
        <v>514</v>
      </c>
      <c r="C5" s="840" t="s">
        <v>15</v>
      </c>
      <c r="D5" s="929" t="s">
        <v>816</v>
      </c>
      <c r="E5" s="729" t="s">
        <v>756</v>
      </c>
      <c r="F5" s="930">
        <v>798799.44</v>
      </c>
      <c r="G5" s="775">
        <v>45877</v>
      </c>
      <c r="H5" s="775">
        <v>45992</v>
      </c>
      <c r="I5" s="931" t="s">
        <v>17</v>
      </c>
      <c r="J5" s="729" t="s">
        <v>872</v>
      </c>
      <c r="K5" s="729" t="s">
        <v>120</v>
      </c>
      <c r="L5" s="729" t="s">
        <v>120</v>
      </c>
      <c r="M5" s="729" t="s">
        <v>878</v>
      </c>
      <c r="N5" s="729" t="s">
        <v>871</v>
      </c>
      <c r="O5" s="729" t="s">
        <v>871</v>
      </c>
      <c r="P5" s="918" t="s">
        <v>732</v>
      </c>
      <c r="Q5" s="919">
        <f ca="1" t="shared" si="0"/>
        <v>258</v>
      </c>
      <c r="R5" s="728">
        <f t="shared" si="1"/>
        <v>46056</v>
      </c>
      <c r="S5" s="932"/>
      <c r="T5" s="933"/>
    </row>
    <row r="6" ht="20.1" customHeight="1" spans="1:20">
      <c r="A6" s="897">
        <v>4</v>
      </c>
      <c r="B6" s="919">
        <v>515</v>
      </c>
      <c r="C6" s="729" t="s">
        <v>79</v>
      </c>
      <c r="D6" s="929" t="s">
        <v>758</v>
      </c>
      <c r="E6" s="934" t="s">
        <v>759</v>
      </c>
      <c r="F6" s="935">
        <v>538324.13</v>
      </c>
      <c r="G6" s="775">
        <v>45880</v>
      </c>
      <c r="H6" s="775">
        <v>45941</v>
      </c>
      <c r="I6" s="931" t="s">
        <v>17</v>
      </c>
      <c r="J6" s="729" t="s">
        <v>872</v>
      </c>
      <c r="K6" s="729" t="s">
        <v>120</v>
      </c>
      <c r="L6" s="729" t="s">
        <v>120</v>
      </c>
      <c r="M6" s="729" t="s">
        <v>878</v>
      </c>
      <c r="N6" s="729" t="s">
        <v>871</v>
      </c>
      <c r="O6" s="729" t="s">
        <v>871</v>
      </c>
      <c r="P6" s="918" t="s">
        <v>732</v>
      </c>
      <c r="Q6" s="919">
        <f ca="1" t="shared" si="0"/>
        <v>255</v>
      </c>
      <c r="R6" s="728">
        <f t="shared" si="1"/>
        <v>46059</v>
      </c>
      <c r="S6" s="932"/>
      <c r="T6" s="933"/>
    </row>
    <row r="7" ht="20.1" customHeight="1" spans="1:20">
      <c r="A7" s="897">
        <v>5</v>
      </c>
      <c r="B7" s="819">
        <v>516</v>
      </c>
      <c r="C7" s="729" t="s">
        <v>102</v>
      </c>
      <c r="D7" s="929" t="s">
        <v>820</v>
      </c>
      <c r="E7" s="934" t="s">
        <v>707</v>
      </c>
      <c r="F7" s="935">
        <v>453000</v>
      </c>
      <c r="G7" s="775">
        <v>45881</v>
      </c>
      <c r="H7" s="775">
        <v>45995</v>
      </c>
      <c r="I7" s="931" t="s">
        <v>17</v>
      </c>
      <c r="J7" s="729">
        <v>20250108</v>
      </c>
      <c r="K7" s="936" t="s">
        <v>55</v>
      </c>
      <c r="L7" s="919" t="s">
        <v>872</v>
      </c>
      <c r="M7" s="919" t="s">
        <v>872</v>
      </c>
      <c r="N7" s="729" t="s">
        <v>872</v>
      </c>
      <c r="O7" s="729" t="s">
        <v>872</v>
      </c>
      <c r="P7" s="937" t="s">
        <v>872</v>
      </c>
      <c r="Q7" s="919">
        <f ca="1" t="shared" si="0"/>
        <v>254</v>
      </c>
      <c r="R7" s="728">
        <f t="shared" si="1"/>
        <v>46060</v>
      </c>
      <c r="S7" s="938" t="s">
        <v>245</v>
      </c>
      <c r="T7" s="933"/>
    </row>
    <row r="8" ht="20.1" customHeight="1" spans="1:20">
      <c r="A8" s="897">
        <v>6</v>
      </c>
      <c r="B8" s="919">
        <v>517</v>
      </c>
      <c r="C8" s="729" t="s">
        <v>89</v>
      </c>
      <c r="D8" s="939" t="s">
        <v>706</v>
      </c>
      <c r="E8" s="934" t="s">
        <v>707</v>
      </c>
      <c r="F8" s="935">
        <v>799999.47</v>
      </c>
      <c r="G8" s="775">
        <v>45883</v>
      </c>
      <c r="H8" s="775">
        <v>45908</v>
      </c>
      <c r="I8" s="931" t="s">
        <v>17</v>
      </c>
      <c r="J8" s="931"/>
      <c r="K8" s="729" t="s">
        <v>120</v>
      </c>
      <c r="L8" s="729" t="s">
        <v>871</v>
      </c>
      <c r="M8" s="729" t="s">
        <v>878</v>
      </c>
      <c r="N8" s="729" t="s">
        <v>871</v>
      </c>
      <c r="O8" s="729" t="s">
        <v>871</v>
      </c>
      <c r="P8" s="918" t="s">
        <v>732</v>
      </c>
      <c r="Q8" s="919">
        <f ca="1" t="shared" si="0"/>
        <v>252</v>
      </c>
      <c r="R8" s="728">
        <f t="shared" si="1"/>
        <v>46062</v>
      </c>
      <c r="S8" s="932"/>
      <c r="T8" s="933"/>
    </row>
    <row r="9" ht="20.1" customHeight="1" spans="1:20">
      <c r="A9" s="897">
        <v>7</v>
      </c>
      <c r="B9" s="819">
        <v>518</v>
      </c>
      <c r="C9" s="729" t="s">
        <v>25</v>
      </c>
      <c r="D9" s="929" t="s">
        <v>821</v>
      </c>
      <c r="E9" s="934" t="s">
        <v>759</v>
      </c>
      <c r="F9" s="935">
        <v>120000</v>
      </c>
      <c r="G9" s="775">
        <v>45884</v>
      </c>
      <c r="H9" s="775">
        <v>45995</v>
      </c>
      <c r="I9" s="729" t="s">
        <v>27</v>
      </c>
      <c r="J9" s="729" t="s">
        <v>872</v>
      </c>
      <c r="K9" s="729" t="s">
        <v>120</v>
      </c>
      <c r="L9" s="729" t="s">
        <v>879</v>
      </c>
      <c r="M9" s="729">
        <v>1.15</v>
      </c>
      <c r="N9" s="819">
        <v>1.19</v>
      </c>
      <c r="O9" s="819">
        <v>1.23</v>
      </c>
      <c r="P9" s="918" t="s">
        <v>732</v>
      </c>
      <c r="Q9" s="919">
        <f ca="1" t="shared" si="0"/>
        <v>251</v>
      </c>
      <c r="R9" s="728">
        <f t="shared" si="1"/>
        <v>46063</v>
      </c>
      <c r="S9" s="932"/>
      <c r="T9" s="933"/>
    </row>
    <row r="10" ht="20.1" customHeight="1" spans="1:20">
      <c r="A10" s="897">
        <v>8</v>
      </c>
      <c r="B10" s="919">
        <v>519</v>
      </c>
      <c r="C10" s="840" t="s">
        <v>15</v>
      </c>
      <c r="D10" s="929" t="s">
        <v>822</v>
      </c>
      <c r="E10" s="934" t="s">
        <v>759</v>
      </c>
      <c r="F10" s="935">
        <v>363958.67</v>
      </c>
      <c r="G10" s="775">
        <v>45887</v>
      </c>
      <c r="H10" s="775">
        <v>45995</v>
      </c>
      <c r="I10" s="729" t="s">
        <v>27</v>
      </c>
      <c r="J10" s="729" t="s">
        <v>872</v>
      </c>
      <c r="K10" s="729" t="s">
        <v>120</v>
      </c>
      <c r="L10" s="819">
        <v>1.19</v>
      </c>
      <c r="M10" s="819">
        <v>1.19</v>
      </c>
      <c r="N10" s="819">
        <v>1.26</v>
      </c>
      <c r="O10" s="729" t="s">
        <v>871</v>
      </c>
      <c r="P10" s="918" t="s">
        <v>732</v>
      </c>
      <c r="Q10" s="919">
        <f ca="1" t="shared" si="0"/>
        <v>248</v>
      </c>
      <c r="R10" s="728">
        <f t="shared" si="1"/>
        <v>46066</v>
      </c>
      <c r="S10" s="932"/>
      <c r="T10" s="933"/>
    </row>
    <row r="11" ht="20.1" customHeight="1" spans="1:20">
      <c r="A11" s="897">
        <v>9</v>
      </c>
      <c r="B11" s="819">
        <v>520</v>
      </c>
      <c r="C11" s="729" t="s">
        <v>22</v>
      </c>
      <c r="D11" s="929" t="s">
        <v>814</v>
      </c>
      <c r="E11" s="934" t="s">
        <v>759</v>
      </c>
      <c r="F11" s="935">
        <v>2800000</v>
      </c>
      <c r="G11" s="775">
        <v>45888</v>
      </c>
      <c r="H11" s="775">
        <v>45982</v>
      </c>
      <c r="I11" s="931" t="s">
        <v>17</v>
      </c>
      <c r="J11" s="931" t="s">
        <v>872</v>
      </c>
      <c r="K11" s="729" t="s">
        <v>120</v>
      </c>
      <c r="L11" s="819">
        <v>1.26</v>
      </c>
      <c r="M11" s="819">
        <v>2.2</v>
      </c>
      <c r="N11" s="729" t="s">
        <v>871</v>
      </c>
      <c r="O11" s="729" t="s">
        <v>873</v>
      </c>
      <c r="P11" s="918" t="s">
        <v>732</v>
      </c>
      <c r="Q11" s="919">
        <f ca="1" t="shared" si="0"/>
        <v>247</v>
      </c>
      <c r="R11" s="728">
        <f t="shared" si="1"/>
        <v>46067</v>
      </c>
      <c r="S11" s="932"/>
      <c r="T11" s="933"/>
    </row>
    <row r="12" ht="20.1" customHeight="1" spans="1:20">
      <c r="A12" s="897">
        <v>10</v>
      </c>
      <c r="B12" s="919">
        <v>521</v>
      </c>
      <c r="C12" s="729" t="s">
        <v>133</v>
      </c>
      <c r="D12" s="929" t="s">
        <v>818</v>
      </c>
      <c r="E12" s="934" t="s">
        <v>707</v>
      </c>
      <c r="F12" s="935">
        <v>19943.27</v>
      </c>
      <c r="G12" s="775">
        <v>45889</v>
      </c>
      <c r="H12" s="775">
        <v>45993</v>
      </c>
      <c r="I12" s="729" t="s">
        <v>27</v>
      </c>
      <c r="J12" s="729"/>
      <c r="K12" s="729" t="s">
        <v>120</v>
      </c>
      <c r="L12" s="729" t="s">
        <v>871</v>
      </c>
      <c r="M12" s="729" t="s">
        <v>871</v>
      </c>
      <c r="N12" s="729" t="s">
        <v>871</v>
      </c>
      <c r="O12" s="729" t="s">
        <v>880</v>
      </c>
      <c r="P12" s="918" t="s">
        <v>732</v>
      </c>
      <c r="Q12" s="919">
        <f ca="1" t="shared" si="0"/>
        <v>246</v>
      </c>
      <c r="R12" s="728">
        <f t="shared" si="1"/>
        <v>46068</v>
      </c>
      <c r="S12" s="932"/>
      <c r="T12" s="933"/>
    </row>
    <row r="13" ht="20.1" customHeight="1" spans="1:20">
      <c r="A13" s="897">
        <v>11</v>
      </c>
      <c r="B13" s="819">
        <v>522</v>
      </c>
      <c r="C13" s="729" t="s">
        <v>28</v>
      </c>
      <c r="D13" s="929" t="s">
        <v>800</v>
      </c>
      <c r="E13" s="934" t="s">
        <v>759</v>
      </c>
      <c r="F13" s="935">
        <v>24480</v>
      </c>
      <c r="G13" s="775">
        <v>45890</v>
      </c>
      <c r="H13" s="775">
        <v>45975</v>
      </c>
      <c r="I13" s="729" t="s">
        <v>27</v>
      </c>
      <c r="J13" s="729"/>
      <c r="K13" s="729" t="s">
        <v>120</v>
      </c>
      <c r="L13" s="819">
        <v>1.19</v>
      </c>
      <c r="M13" s="819">
        <v>1.19</v>
      </c>
      <c r="N13" s="819">
        <v>1.26</v>
      </c>
      <c r="O13" s="729" t="s">
        <v>873</v>
      </c>
      <c r="P13" s="918" t="s">
        <v>732</v>
      </c>
      <c r="Q13" s="919">
        <f ca="1" t="shared" si="0"/>
        <v>245</v>
      </c>
      <c r="R13" s="728">
        <f t="shared" si="1"/>
        <v>46069</v>
      </c>
      <c r="S13" s="932"/>
      <c r="T13" s="933"/>
    </row>
    <row r="14" ht="20.1" customHeight="1" spans="1:20">
      <c r="A14" s="897">
        <v>12</v>
      </c>
      <c r="B14" s="919">
        <v>523</v>
      </c>
      <c r="C14" s="729" t="s">
        <v>75</v>
      </c>
      <c r="D14" s="929" t="s">
        <v>826</v>
      </c>
      <c r="E14" s="934" t="s">
        <v>770</v>
      </c>
      <c r="F14" s="935">
        <v>126000</v>
      </c>
      <c r="G14" s="775">
        <v>45890</v>
      </c>
      <c r="H14" s="775">
        <v>45999</v>
      </c>
      <c r="I14" s="729" t="s">
        <v>27</v>
      </c>
      <c r="J14" s="729"/>
      <c r="K14" s="729" t="s">
        <v>120</v>
      </c>
      <c r="L14" s="729" t="s">
        <v>871</v>
      </c>
      <c r="M14" s="729" t="s">
        <v>871</v>
      </c>
      <c r="N14" s="729" t="s">
        <v>871</v>
      </c>
      <c r="O14" s="729" t="s">
        <v>873</v>
      </c>
      <c r="P14" s="918" t="s">
        <v>732</v>
      </c>
      <c r="Q14" s="919">
        <f ca="1" t="shared" si="0"/>
        <v>245</v>
      </c>
      <c r="R14" s="728">
        <f t="shared" si="1"/>
        <v>46069</v>
      </c>
      <c r="S14" s="932"/>
    </row>
    <row r="15" ht="20.1" customHeight="1" spans="1:20">
      <c r="A15" s="897">
        <v>13</v>
      </c>
      <c r="B15" s="819">
        <v>524</v>
      </c>
      <c r="C15" s="918" t="s">
        <v>79</v>
      </c>
      <c r="D15" s="940" t="s">
        <v>881</v>
      </c>
      <c r="E15" s="941" t="s">
        <v>882</v>
      </c>
      <c r="F15" s="942">
        <v>480000</v>
      </c>
      <c r="G15" s="915">
        <v>45891</v>
      </c>
      <c r="H15" s="916">
        <v>45946</v>
      </c>
      <c r="I15" s="911" t="s">
        <v>17</v>
      </c>
      <c r="J15" s="917"/>
      <c r="K15" s="729" t="s">
        <v>120</v>
      </c>
      <c r="L15" s="917"/>
      <c r="M15" s="917"/>
      <c r="N15" s="917"/>
      <c r="O15" s="917"/>
      <c r="P15" s="926"/>
      <c r="Q15" s="919">
        <f ca="1" t="shared" si="0"/>
        <v>244</v>
      </c>
      <c r="R15" s="728">
        <f t="shared" si="1"/>
        <v>46070</v>
      </c>
      <c r="S15" s="917"/>
      <c r="T15" s="920" t="s">
        <v>874</v>
      </c>
    </row>
    <row r="16" ht="22.8" customHeight="1" spans="1:20">
      <c r="A16" s="897">
        <v>14</v>
      </c>
      <c r="B16" s="919">
        <v>525</v>
      </c>
      <c r="C16" s="729" t="s">
        <v>79</v>
      </c>
      <c r="D16" s="929" t="s">
        <v>812</v>
      </c>
      <c r="E16" s="934" t="s">
        <v>770</v>
      </c>
      <c r="F16" s="935">
        <v>757500</v>
      </c>
      <c r="G16" s="775">
        <v>45891</v>
      </c>
      <c r="H16" s="775">
        <v>45981</v>
      </c>
      <c r="I16" s="931" t="s">
        <v>17</v>
      </c>
      <c r="J16" s="931"/>
      <c r="K16" s="729" t="s">
        <v>120</v>
      </c>
      <c r="L16" s="729" t="s">
        <v>871</v>
      </c>
      <c r="M16" s="729" t="s">
        <v>871</v>
      </c>
      <c r="N16" s="729" t="s">
        <v>871</v>
      </c>
      <c r="O16" s="729" t="s">
        <v>873</v>
      </c>
      <c r="P16" s="918" t="s">
        <v>732</v>
      </c>
      <c r="Q16" s="919">
        <f ca="1" t="shared" si="0"/>
        <v>244</v>
      </c>
      <c r="R16" s="728">
        <f t="shared" si="1"/>
        <v>46070</v>
      </c>
      <c r="S16" s="932"/>
    </row>
    <row r="17" ht="20.1" customHeight="1" spans="1:19">
      <c r="A17" s="897">
        <v>15</v>
      </c>
      <c r="B17" s="819">
        <v>526</v>
      </c>
      <c r="C17" s="840" t="s">
        <v>15</v>
      </c>
      <c r="D17" s="929" t="s">
        <v>829</v>
      </c>
      <c r="E17" s="934" t="s">
        <v>764</v>
      </c>
      <c r="F17" s="935">
        <v>540000</v>
      </c>
      <c r="G17" s="775">
        <v>45891</v>
      </c>
      <c r="H17" s="775">
        <v>46000</v>
      </c>
      <c r="I17" s="931" t="s">
        <v>17</v>
      </c>
      <c r="J17" s="931"/>
      <c r="K17" s="729" t="s">
        <v>120</v>
      </c>
      <c r="L17" s="729" t="s">
        <v>120</v>
      </c>
      <c r="M17" s="729" t="s">
        <v>871</v>
      </c>
      <c r="N17" s="729" t="s">
        <v>871</v>
      </c>
      <c r="O17" s="729" t="s">
        <v>873</v>
      </c>
      <c r="P17" s="918" t="s">
        <v>732</v>
      </c>
      <c r="Q17" s="919">
        <f ca="1" t="shared" si="0"/>
        <v>244</v>
      </c>
      <c r="R17" s="728">
        <f t="shared" si="1"/>
        <v>46070</v>
      </c>
      <c r="S17" s="932"/>
    </row>
    <row r="18" ht="20.1" customHeight="1" spans="1:19">
      <c r="A18" s="897">
        <v>16</v>
      </c>
      <c r="B18" s="919">
        <v>527</v>
      </c>
      <c r="C18" s="729" t="s">
        <v>102</v>
      </c>
      <c r="D18" s="929" t="s">
        <v>832</v>
      </c>
      <c r="E18" s="934" t="s">
        <v>770</v>
      </c>
      <c r="F18" s="935">
        <v>1578778.18</v>
      </c>
      <c r="G18" s="775">
        <v>45891</v>
      </c>
      <c r="H18" s="775">
        <v>46007</v>
      </c>
      <c r="I18" s="931" t="s">
        <v>17</v>
      </c>
      <c r="J18" s="931"/>
      <c r="K18" s="936" t="s">
        <v>55</v>
      </c>
      <c r="L18" s="819" t="s">
        <v>872</v>
      </c>
      <c r="M18" s="819" t="s">
        <v>872</v>
      </c>
      <c r="N18" s="819" t="s">
        <v>872</v>
      </c>
      <c r="O18" s="819" t="s">
        <v>872</v>
      </c>
      <c r="P18" s="937" t="s">
        <v>872</v>
      </c>
      <c r="Q18" s="919">
        <f ca="1" t="shared" si="0"/>
        <v>244</v>
      </c>
      <c r="R18" s="728">
        <f t="shared" si="1"/>
        <v>46070</v>
      </c>
      <c r="S18" s="938" t="s">
        <v>883</v>
      </c>
    </row>
    <row r="19" ht="17.85" customHeight="1" spans="1:19">
      <c r="A19" s="897">
        <v>17</v>
      </c>
      <c r="B19" s="819">
        <v>528</v>
      </c>
      <c r="C19" s="729" t="s">
        <v>79</v>
      </c>
      <c r="D19" s="929" t="s">
        <v>769</v>
      </c>
      <c r="E19" s="934" t="s">
        <v>770</v>
      </c>
      <c r="F19" s="935">
        <v>599808.32</v>
      </c>
      <c r="G19" s="775">
        <v>45896</v>
      </c>
      <c r="H19" s="775">
        <v>45946</v>
      </c>
      <c r="I19" s="931" t="s">
        <v>17</v>
      </c>
      <c r="J19" s="931"/>
      <c r="K19" s="729" t="s">
        <v>120</v>
      </c>
      <c r="L19" s="729" t="s">
        <v>120</v>
      </c>
      <c r="M19" s="729" t="s">
        <v>871</v>
      </c>
      <c r="N19" s="729" t="s">
        <v>871</v>
      </c>
      <c r="O19" s="729" t="s">
        <v>873</v>
      </c>
      <c r="P19" s="918" t="s">
        <v>732</v>
      </c>
      <c r="Q19" s="919">
        <f ca="1" t="shared" si="0"/>
        <v>239</v>
      </c>
      <c r="R19" s="728">
        <f t="shared" si="1"/>
        <v>46075</v>
      </c>
      <c r="S19" s="932"/>
    </row>
    <row r="20" ht="20.1" customHeight="1" spans="1:19">
      <c r="A20" s="897">
        <v>18</v>
      </c>
      <c r="B20" s="919">
        <v>529</v>
      </c>
      <c r="C20" s="840" t="s">
        <v>15</v>
      </c>
      <c r="D20" s="929" t="s">
        <v>815</v>
      </c>
      <c r="E20" s="934" t="s">
        <v>764</v>
      </c>
      <c r="F20" s="935">
        <v>836000</v>
      </c>
      <c r="G20" s="775">
        <v>45896</v>
      </c>
      <c r="H20" s="775">
        <v>45987</v>
      </c>
      <c r="I20" s="931" t="s">
        <v>17</v>
      </c>
      <c r="J20" s="931"/>
      <c r="K20" s="729" t="s">
        <v>120</v>
      </c>
      <c r="L20" s="729" t="s">
        <v>120</v>
      </c>
      <c r="M20" s="729" t="s">
        <v>871</v>
      </c>
      <c r="N20" s="729" t="s">
        <v>871</v>
      </c>
      <c r="O20" s="729" t="s">
        <v>873</v>
      </c>
      <c r="P20" s="918" t="s">
        <v>732</v>
      </c>
      <c r="Q20" s="919">
        <f ca="1" t="shared" si="0"/>
        <v>239</v>
      </c>
      <c r="R20" s="728">
        <f t="shared" si="1"/>
        <v>46075</v>
      </c>
      <c r="S20" s="932"/>
    </row>
    <row r="21" ht="20.1" customHeight="1" spans="1:19">
      <c r="A21" s="897">
        <v>19</v>
      </c>
      <c r="B21" s="819">
        <v>530</v>
      </c>
      <c r="C21" s="943" t="s">
        <v>37</v>
      </c>
      <c r="D21" s="944" t="s">
        <v>763</v>
      </c>
      <c r="E21" s="934" t="s">
        <v>764</v>
      </c>
      <c r="F21" s="935">
        <v>140000</v>
      </c>
      <c r="G21" s="775">
        <v>45897</v>
      </c>
      <c r="H21" s="775">
        <v>45943</v>
      </c>
      <c r="I21" s="729" t="s">
        <v>27</v>
      </c>
      <c r="J21" s="729"/>
      <c r="K21" s="729" t="s">
        <v>120</v>
      </c>
      <c r="L21" s="729" t="s">
        <v>120</v>
      </c>
      <c r="M21" s="729" t="s">
        <v>871</v>
      </c>
      <c r="N21" s="729" t="s">
        <v>871</v>
      </c>
      <c r="O21" s="729" t="s">
        <v>873</v>
      </c>
      <c r="P21" s="918" t="s">
        <v>732</v>
      </c>
      <c r="Q21" s="919">
        <f ca="1" t="shared" si="0"/>
        <v>238</v>
      </c>
      <c r="R21" s="728">
        <f t="shared" si="1"/>
        <v>46076</v>
      </c>
      <c r="S21" s="932"/>
    </row>
    <row r="22" ht="20.1" customHeight="1" spans="1:19">
      <c r="A22" s="897">
        <v>20</v>
      </c>
      <c r="B22" s="919">
        <v>531</v>
      </c>
      <c r="C22" s="945" t="s">
        <v>15</v>
      </c>
      <c r="D22" s="929" t="s">
        <v>834</v>
      </c>
      <c r="E22" s="934" t="s">
        <v>764</v>
      </c>
      <c r="F22" s="935">
        <v>599998.38</v>
      </c>
      <c r="G22" s="775">
        <v>45898</v>
      </c>
      <c r="H22" s="775">
        <v>46008</v>
      </c>
      <c r="I22" s="931" t="s">
        <v>17</v>
      </c>
      <c r="J22" s="931"/>
      <c r="K22" s="729" t="s">
        <v>120</v>
      </c>
      <c r="L22" s="729" t="s">
        <v>120</v>
      </c>
      <c r="M22" s="729" t="s">
        <v>871</v>
      </c>
      <c r="N22" s="729" t="s">
        <v>871</v>
      </c>
      <c r="O22" s="729" t="s">
        <v>873</v>
      </c>
      <c r="P22" s="918" t="s">
        <v>732</v>
      </c>
      <c r="Q22" s="919">
        <f ca="1" t="shared" si="0"/>
        <v>237</v>
      </c>
      <c r="R22" s="728">
        <f t="shared" si="1"/>
        <v>46077</v>
      </c>
      <c r="S22" s="932"/>
    </row>
    <row r="23" ht="20.1" customHeight="1" spans="1:19">
      <c r="A23" s="897">
        <v>21</v>
      </c>
      <c r="B23" s="819">
        <v>532</v>
      </c>
      <c r="C23" s="838" t="s">
        <v>25</v>
      </c>
      <c r="D23" s="929" t="s">
        <v>791</v>
      </c>
      <c r="E23" s="934" t="s">
        <v>884</v>
      </c>
      <c r="F23" s="935">
        <v>83162.8</v>
      </c>
      <c r="G23" s="775">
        <v>45902</v>
      </c>
      <c r="H23" s="775">
        <v>45967</v>
      </c>
      <c r="I23" s="729" t="s">
        <v>27</v>
      </c>
      <c r="J23" s="729"/>
      <c r="K23" s="729" t="s">
        <v>120</v>
      </c>
      <c r="L23" s="729" t="s">
        <v>120</v>
      </c>
      <c r="M23" s="819">
        <v>2.9</v>
      </c>
      <c r="N23" s="729" t="s">
        <v>871</v>
      </c>
      <c r="O23" s="729" t="s">
        <v>873</v>
      </c>
      <c r="P23" s="918" t="s">
        <v>732</v>
      </c>
      <c r="Q23" s="919">
        <f ca="1" t="shared" si="0"/>
        <v>233</v>
      </c>
      <c r="R23" s="728">
        <f t="shared" si="1"/>
        <v>46081</v>
      </c>
      <c r="S23" s="932"/>
    </row>
    <row r="24" ht="20.1" customHeight="1" spans="1:19">
      <c r="A24" s="897">
        <v>22</v>
      </c>
      <c r="B24" s="919">
        <v>533</v>
      </c>
      <c r="C24" s="838" t="s">
        <v>25</v>
      </c>
      <c r="D24" s="929" t="s">
        <v>792</v>
      </c>
      <c r="E24" s="934" t="s">
        <v>884</v>
      </c>
      <c r="F24" s="935">
        <v>26131.67</v>
      </c>
      <c r="G24" s="775">
        <v>45902</v>
      </c>
      <c r="H24" s="775">
        <v>45967</v>
      </c>
      <c r="I24" s="729" t="s">
        <v>27</v>
      </c>
      <c r="J24" s="729"/>
      <c r="K24" s="729" t="s">
        <v>120</v>
      </c>
      <c r="L24" s="729" t="s">
        <v>120</v>
      </c>
      <c r="M24" s="729" t="s">
        <v>871</v>
      </c>
      <c r="N24" s="729" t="s">
        <v>871</v>
      </c>
      <c r="O24" s="729" t="s">
        <v>873</v>
      </c>
      <c r="P24" s="918" t="s">
        <v>732</v>
      </c>
      <c r="Q24" s="919">
        <f ca="1" t="shared" si="0"/>
        <v>233</v>
      </c>
      <c r="R24" s="728">
        <f t="shared" si="1"/>
        <v>46081</v>
      </c>
      <c r="S24" s="932"/>
    </row>
    <row r="25" ht="20.1" customHeight="1" spans="1:19">
      <c r="A25" s="897">
        <v>23</v>
      </c>
      <c r="B25" s="819">
        <v>534</v>
      </c>
      <c r="C25" s="838" t="s">
        <v>79</v>
      </c>
      <c r="D25" s="929" t="s">
        <v>775</v>
      </c>
      <c r="E25" s="934" t="s">
        <v>884</v>
      </c>
      <c r="F25" s="935">
        <v>533010.02</v>
      </c>
      <c r="G25" s="775">
        <v>45903</v>
      </c>
      <c r="H25" s="775">
        <v>45958</v>
      </c>
      <c r="I25" s="931" t="s">
        <v>17</v>
      </c>
      <c r="J25" s="931"/>
      <c r="K25" s="729" t="s">
        <v>120</v>
      </c>
      <c r="L25" s="729" t="s">
        <v>120</v>
      </c>
      <c r="M25" s="729" t="s">
        <v>871</v>
      </c>
      <c r="N25" s="729" t="s">
        <v>871</v>
      </c>
      <c r="O25" s="729" t="s">
        <v>873</v>
      </c>
      <c r="P25" s="918" t="s">
        <v>732</v>
      </c>
      <c r="Q25" s="919">
        <f ca="1" t="shared" si="0"/>
        <v>232</v>
      </c>
      <c r="R25" s="728">
        <f t="shared" si="1"/>
        <v>46082</v>
      </c>
      <c r="S25" s="932"/>
    </row>
    <row r="26" ht="20.1" customHeight="1" spans="1:19">
      <c r="A26" s="897">
        <v>24</v>
      </c>
      <c r="B26" s="919">
        <v>535</v>
      </c>
      <c r="C26" s="838" t="s">
        <v>41</v>
      </c>
      <c r="D26" s="929" t="s">
        <v>793</v>
      </c>
      <c r="E26" s="934" t="s">
        <v>885</v>
      </c>
      <c r="F26" s="935">
        <v>76000</v>
      </c>
      <c r="G26" s="775">
        <v>45903</v>
      </c>
      <c r="H26" s="775">
        <v>45967</v>
      </c>
      <c r="I26" s="729" t="s">
        <v>27</v>
      </c>
      <c r="J26" s="729"/>
      <c r="K26" s="729" t="s">
        <v>120</v>
      </c>
      <c r="L26" s="729" t="s">
        <v>120</v>
      </c>
      <c r="M26" s="729" t="s">
        <v>871</v>
      </c>
      <c r="N26" s="729" t="s">
        <v>871</v>
      </c>
      <c r="O26" s="729" t="s">
        <v>873</v>
      </c>
      <c r="P26" s="918" t="s">
        <v>732</v>
      </c>
      <c r="Q26" s="919">
        <f ca="1" t="shared" si="0"/>
        <v>232</v>
      </c>
      <c r="R26" s="728">
        <f t="shared" si="1"/>
        <v>46082</v>
      </c>
      <c r="S26" s="932"/>
    </row>
    <row r="27" ht="20.1" customHeight="1" spans="1:19">
      <c r="A27" s="897">
        <v>25</v>
      </c>
      <c r="B27" s="819">
        <v>536</v>
      </c>
      <c r="C27" s="934" t="s">
        <v>28</v>
      </c>
      <c r="D27" s="946" t="s">
        <v>833</v>
      </c>
      <c r="E27" s="934" t="s">
        <v>885</v>
      </c>
      <c r="F27" s="935">
        <v>96000</v>
      </c>
      <c r="G27" s="775">
        <v>45903</v>
      </c>
      <c r="H27" s="775">
        <v>46007</v>
      </c>
      <c r="I27" s="729" t="s">
        <v>27</v>
      </c>
      <c r="J27" s="729"/>
      <c r="K27" s="729" t="s">
        <v>120</v>
      </c>
      <c r="L27" s="729" t="s">
        <v>120</v>
      </c>
      <c r="M27" s="729">
        <v>2.24</v>
      </c>
      <c r="N27" s="729">
        <v>2.24</v>
      </c>
      <c r="O27" s="729" t="s">
        <v>873</v>
      </c>
      <c r="P27" s="918" t="s">
        <v>732</v>
      </c>
      <c r="Q27" s="919">
        <f ca="1" t="shared" si="0"/>
        <v>232</v>
      </c>
      <c r="R27" s="728">
        <f t="shared" si="1"/>
        <v>46082</v>
      </c>
      <c r="S27" s="932"/>
    </row>
    <row r="28" ht="20.1" customHeight="1" spans="1:19">
      <c r="A28" s="897">
        <v>26</v>
      </c>
      <c r="B28" s="919">
        <v>537</v>
      </c>
      <c r="C28" s="729" t="s">
        <v>41</v>
      </c>
      <c r="D28" s="929" t="s">
        <v>846</v>
      </c>
      <c r="E28" s="934" t="s">
        <v>886</v>
      </c>
      <c r="F28" s="947">
        <v>360000</v>
      </c>
      <c r="G28" s="775">
        <v>45903</v>
      </c>
      <c r="H28" s="775">
        <v>46016</v>
      </c>
      <c r="I28" s="729" t="s">
        <v>27</v>
      </c>
      <c r="J28" s="729"/>
      <c r="K28" s="729" t="s">
        <v>120</v>
      </c>
      <c r="L28" s="729" t="s">
        <v>120</v>
      </c>
      <c r="M28" s="729" t="s">
        <v>871</v>
      </c>
      <c r="N28" s="729" t="s">
        <v>871</v>
      </c>
      <c r="O28" s="729" t="s">
        <v>873</v>
      </c>
      <c r="P28" s="918" t="s">
        <v>732</v>
      </c>
      <c r="Q28" s="919">
        <f ca="1" t="shared" si="0"/>
        <v>232</v>
      </c>
      <c r="R28" s="728">
        <f t="shared" si="1"/>
        <v>46082</v>
      </c>
      <c r="S28" s="932"/>
    </row>
    <row r="29" ht="20.1" customHeight="1" spans="1:19">
      <c r="A29" s="897">
        <v>27</v>
      </c>
      <c r="B29" s="819">
        <v>538</v>
      </c>
      <c r="C29" s="729" t="s">
        <v>41</v>
      </c>
      <c r="D29" s="948" t="s">
        <v>845</v>
      </c>
      <c r="E29" s="949" t="s">
        <v>885</v>
      </c>
      <c r="F29" s="950">
        <v>240000</v>
      </c>
      <c r="G29" s="775">
        <v>45903</v>
      </c>
      <c r="H29" s="775">
        <v>46016</v>
      </c>
      <c r="I29" s="951" t="s">
        <v>27</v>
      </c>
      <c r="J29" s="951"/>
      <c r="K29" s="729" t="s">
        <v>120</v>
      </c>
      <c r="L29" s="729" t="s">
        <v>120</v>
      </c>
      <c r="M29" s="729" t="s">
        <v>871</v>
      </c>
      <c r="N29" s="729" t="s">
        <v>871</v>
      </c>
      <c r="O29" s="729" t="s">
        <v>873</v>
      </c>
      <c r="P29" s="918" t="s">
        <v>732</v>
      </c>
      <c r="Q29" s="919">
        <f ca="1" t="shared" si="0"/>
        <v>232</v>
      </c>
      <c r="R29" s="728">
        <f t="shared" si="1"/>
        <v>46082</v>
      </c>
      <c r="S29" s="932"/>
    </row>
    <row r="30" ht="20.1" customHeight="1" spans="1:19">
      <c r="A30" s="897">
        <v>28</v>
      </c>
      <c r="B30" s="919">
        <v>539</v>
      </c>
      <c r="C30" s="934" t="s">
        <v>28</v>
      </c>
      <c r="D30" s="952" t="s">
        <v>847</v>
      </c>
      <c r="E30" s="934" t="s">
        <v>885</v>
      </c>
      <c r="F30" s="950">
        <v>119996</v>
      </c>
      <c r="G30" s="775">
        <v>45903</v>
      </c>
      <c r="H30" s="775">
        <v>46016</v>
      </c>
      <c r="I30" s="951" t="s">
        <v>27</v>
      </c>
      <c r="J30" s="951"/>
      <c r="K30" s="729" t="s">
        <v>120</v>
      </c>
      <c r="L30" s="729" t="s">
        <v>120</v>
      </c>
      <c r="M30" s="819">
        <v>2.24</v>
      </c>
      <c r="N30" s="819">
        <v>2.24</v>
      </c>
      <c r="O30" s="729" t="s">
        <v>873</v>
      </c>
      <c r="P30" s="918" t="s">
        <v>732</v>
      </c>
      <c r="Q30" s="919">
        <f ca="1" t="shared" si="0"/>
        <v>232</v>
      </c>
      <c r="R30" s="728">
        <f t="shared" si="1"/>
        <v>46082</v>
      </c>
      <c r="S30" s="932"/>
    </row>
    <row r="31" ht="20.1" customHeight="1" spans="1:19">
      <c r="A31" s="897">
        <v>29</v>
      </c>
      <c r="B31" s="819">
        <v>540</v>
      </c>
      <c r="C31" s="729" t="s">
        <v>79</v>
      </c>
      <c r="D31" s="948" t="s">
        <v>771</v>
      </c>
      <c r="E31" s="953" t="s">
        <v>884</v>
      </c>
      <c r="F31" s="954">
        <v>1000000</v>
      </c>
      <c r="G31" s="775">
        <v>45904</v>
      </c>
      <c r="H31" s="775">
        <v>45946</v>
      </c>
      <c r="I31" s="931" t="s">
        <v>17</v>
      </c>
      <c r="J31" s="931"/>
      <c r="K31" s="729" t="s">
        <v>120</v>
      </c>
      <c r="L31" s="729" t="s">
        <v>120</v>
      </c>
      <c r="M31" s="729" t="s">
        <v>871</v>
      </c>
      <c r="N31" s="729" t="s">
        <v>871</v>
      </c>
      <c r="O31" s="729" t="s">
        <v>873</v>
      </c>
      <c r="P31" s="918" t="s">
        <v>732</v>
      </c>
      <c r="Q31" s="919">
        <f ca="1" t="shared" si="0"/>
        <v>231</v>
      </c>
      <c r="R31" s="728">
        <f t="shared" si="1"/>
        <v>46083</v>
      </c>
      <c r="S31" s="932"/>
    </row>
    <row r="32" ht="21.6" customHeight="1" spans="1:19">
      <c r="A32" s="897">
        <v>30</v>
      </c>
      <c r="B32" s="919">
        <v>541</v>
      </c>
      <c r="C32" s="838" t="s">
        <v>25</v>
      </c>
      <c r="D32" s="948" t="s">
        <v>794</v>
      </c>
      <c r="E32" s="955" t="s">
        <v>887</v>
      </c>
      <c r="F32" s="954">
        <v>116000</v>
      </c>
      <c r="G32" s="775">
        <v>45908</v>
      </c>
      <c r="H32" s="775">
        <v>45967</v>
      </c>
      <c r="I32" s="729" t="s">
        <v>27</v>
      </c>
      <c r="J32" s="729"/>
      <c r="K32" s="729" t="s">
        <v>120</v>
      </c>
      <c r="L32" s="729" t="s">
        <v>120</v>
      </c>
      <c r="M32" s="729" t="s">
        <v>871</v>
      </c>
      <c r="N32" s="729" t="s">
        <v>871</v>
      </c>
      <c r="O32" s="729" t="s">
        <v>873</v>
      </c>
      <c r="P32" s="918" t="s">
        <v>732</v>
      </c>
      <c r="Q32" s="919">
        <f ca="1" t="shared" si="0"/>
        <v>227</v>
      </c>
      <c r="R32" s="728">
        <f t="shared" si="1"/>
        <v>46087</v>
      </c>
      <c r="S32" s="932"/>
    </row>
    <row r="33" ht="20.1" customHeight="1" spans="1:20">
      <c r="A33" s="897">
        <v>31</v>
      </c>
      <c r="B33" s="819">
        <v>542</v>
      </c>
      <c r="C33" s="956" t="s">
        <v>31</v>
      </c>
      <c r="D33" s="952" t="s">
        <v>823</v>
      </c>
      <c r="E33" s="955" t="s">
        <v>887</v>
      </c>
      <c r="F33" s="954">
        <v>600000</v>
      </c>
      <c r="G33" s="775">
        <v>45909</v>
      </c>
      <c r="H33" s="775">
        <v>45996</v>
      </c>
      <c r="I33" s="931" t="s">
        <v>17</v>
      </c>
      <c r="J33" s="931"/>
      <c r="K33" s="729" t="s">
        <v>120</v>
      </c>
      <c r="L33" s="729" t="s">
        <v>120</v>
      </c>
      <c r="M33" s="729" t="s">
        <v>871</v>
      </c>
      <c r="N33" s="729" t="s">
        <v>871</v>
      </c>
      <c r="O33" s="729" t="s">
        <v>873</v>
      </c>
      <c r="P33" s="918" t="s">
        <v>732</v>
      </c>
      <c r="Q33" s="919">
        <f ca="1" t="shared" si="0"/>
        <v>226</v>
      </c>
      <c r="R33" s="728">
        <f t="shared" si="1"/>
        <v>46088</v>
      </c>
      <c r="S33" s="932"/>
    </row>
    <row r="34" ht="20.1" customHeight="1" spans="1:20">
      <c r="A34" s="897">
        <v>32</v>
      </c>
      <c r="B34" s="919">
        <v>543</v>
      </c>
      <c r="C34" s="838" t="s">
        <v>228</v>
      </c>
      <c r="D34" s="948" t="s">
        <v>773</v>
      </c>
      <c r="E34" s="957" t="s">
        <v>888</v>
      </c>
      <c r="F34" s="954">
        <v>79864</v>
      </c>
      <c r="G34" s="775">
        <v>45910</v>
      </c>
      <c r="H34" s="775">
        <v>45954</v>
      </c>
      <c r="I34" s="729" t="s">
        <v>27</v>
      </c>
      <c r="J34" s="729"/>
      <c r="K34" s="936" t="s">
        <v>55</v>
      </c>
      <c r="L34" s="919" t="s">
        <v>872</v>
      </c>
      <c r="M34" s="919" t="s">
        <v>872</v>
      </c>
      <c r="N34" s="729" t="s">
        <v>872</v>
      </c>
      <c r="O34" s="729" t="s">
        <v>872</v>
      </c>
      <c r="P34" s="937" t="s">
        <v>872</v>
      </c>
      <c r="Q34" s="919">
        <f ca="1" t="shared" si="0"/>
        <v>225</v>
      </c>
      <c r="R34" s="728">
        <f t="shared" si="1"/>
        <v>46089</v>
      </c>
      <c r="S34" s="938" t="s">
        <v>883</v>
      </c>
    </row>
    <row r="35" ht="28.8" customHeight="1" spans="1:20">
      <c r="A35" s="897">
        <v>33</v>
      </c>
      <c r="B35" s="819">
        <v>544</v>
      </c>
      <c r="C35" s="958" t="s">
        <v>25</v>
      </c>
      <c r="D35" s="948" t="s">
        <v>798</v>
      </c>
      <c r="E35" s="957" t="s">
        <v>887</v>
      </c>
      <c r="F35" s="954">
        <v>80000</v>
      </c>
      <c r="G35" s="775">
        <v>45912</v>
      </c>
      <c r="H35" s="775">
        <v>45971</v>
      </c>
      <c r="I35" s="729" t="s">
        <v>27</v>
      </c>
      <c r="J35" s="729"/>
      <c r="K35" s="729" t="s">
        <v>120</v>
      </c>
      <c r="L35" s="729" t="s">
        <v>120</v>
      </c>
      <c r="M35" s="729" t="s">
        <v>871</v>
      </c>
      <c r="N35" s="729" t="s">
        <v>871</v>
      </c>
      <c r="O35" s="729" t="s">
        <v>873</v>
      </c>
      <c r="P35" s="918" t="s">
        <v>732</v>
      </c>
      <c r="Q35" s="919">
        <f ca="1" t="shared" si="0"/>
        <v>223</v>
      </c>
      <c r="R35" s="728">
        <f t="shared" si="1"/>
        <v>46091</v>
      </c>
      <c r="S35" s="932"/>
    </row>
    <row r="36" ht="20.1" customHeight="1" spans="1:20">
      <c r="A36" s="897">
        <v>34</v>
      </c>
      <c r="B36" s="919">
        <v>545</v>
      </c>
      <c r="C36" s="819" t="s">
        <v>25</v>
      </c>
      <c r="D36" s="948" t="s">
        <v>797</v>
      </c>
      <c r="E36" s="955" t="s">
        <v>887</v>
      </c>
      <c r="F36" s="954">
        <v>64000</v>
      </c>
      <c r="G36" s="775">
        <v>45912</v>
      </c>
      <c r="H36" s="775">
        <v>45971</v>
      </c>
      <c r="I36" s="729" t="s">
        <v>27</v>
      </c>
      <c r="J36" s="729"/>
      <c r="K36" s="729" t="s">
        <v>120</v>
      </c>
      <c r="L36" s="729" t="s">
        <v>120</v>
      </c>
      <c r="M36" s="729" t="s">
        <v>871</v>
      </c>
      <c r="N36" s="729" t="s">
        <v>871</v>
      </c>
      <c r="O36" s="729" t="s">
        <v>873</v>
      </c>
      <c r="P36" s="918" t="s">
        <v>732</v>
      </c>
      <c r="Q36" s="783">
        <f ca="1" t="shared" si="0"/>
        <v>223</v>
      </c>
      <c r="R36" s="746">
        <f t="shared" si="1"/>
        <v>46091</v>
      </c>
      <c r="S36" s="932"/>
    </row>
    <row r="37" ht="20.1" customHeight="1" spans="1:20">
      <c r="A37" s="897">
        <v>35</v>
      </c>
      <c r="B37" s="819">
        <v>546</v>
      </c>
      <c r="C37" s="729" t="s">
        <v>127</v>
      </c>
      <c r="D37" s="948" t="s">
        <v>725</v>
      </c>
      <c r="E37" s="955" t="s">
        <v>888</v>
      </c>
      <c r="F37" s="954">
        <v>39913.72</v>
      </c>
      <c r="G37" s="775">
        <v>45916</v>
      </c>
      <c r="H37" s="775">
        <v>45918</v>
      </c>
      <c r="I37" s="729" t="s">
        <v>27</v>
      </c>
      <c r="J37" s="729"/>
      <c r="K37" s="729" t="s">
        <v>120</v>
      </c>
      <c r="L37" s="729" t="s">
        <v>120</v>
      </c>
      <c r="M37" s="729">
        <v>2.24</v>
      </c>
      <c r="N37" s="729" t="s">
        <v>871</v>
      </c>
      <c r="O37" s="729">
        <v>2.26</v>
      </c>
      <c r="P37" s="918" t="s">
        <v>732</v>
      </c>
      <c r="Q37" s="919">
        <f ca="1" t="shared" si="0"/>
        <v>219</v>
      </c>
      <c r="R37" s="728">
        <f t="shared" si="1"/>
        <v>46095</v>
      </c>
      <c r="S37" s="938" t="s">
        <v>786</v>
      </c>
    </row>
    <row r="38" ht="20.1" customHeight="1" spans="1:20">
      <c r="A38" s="897">
        <v>36</v>
      </c>
      <c r="B38" s="919">
        <v>547</v>
      </c>
      <c r="C38" s="729" t="s">
        <v>233</v>
      </c>
      <c r="D38" s="948" t="s">
        <v>807</v>
      </c>
      <c r="E38" s="957" t="s">
        <v>888</v>
      </c>
      <c r="F38" s="954">
        <v>1800000</v>
      </c>
      <c r="G38" s="775">
        <v>45917</v>
      </c>
      <c r="H38" s="775">
        <v>45980</v>
      </c>
      <c r="I38" s="931" t="s">
        <v>17</v>
      </c>
      <c r="J38" s="931"/>
      <c r="K38" s="729" t="s">
        <v>120</v>
      </c>
      <c r="L38" s="729" t="s">
        <v>120</v>
      </c>
      <c r="M38" s="729" t="s">
        <v>871</v>
      </c>
      <c r="N38" s="729" t="s">
        <v>871</v>
      </c>
      <c r="O38" s="729" t="s">
        <v>873</v>
      </c>
      <c r="P38" s="918" t="s">
        <v>732</v>
      </c>
      <c r="Q38" s="919">
        <f ca="1" t="shared" si="0"/>
        <v>218</v>
      </c>
      <c r="R38" s="728">
        <f t="shared" si="1"/>
        <v>46096</v>
      </c>
      <c r="S38" s="932"/>
    </row>
    <row r="39" ht="20.1" customHeight="1" spans="1:20">
      <c r="A39" s="897">
        <v>37</v>
      </c>
      <c r="B39" s="819">
        <v>548</v>
      </c>
      <c r="C39" s="729" t="s">
        <v>75</v>
      </c>
      <c r="D39" s="948" t="s">
        <v>827</v>
      </c>
      <c r="E39" s="957" t="s">
        <v>888</v>
      </c>
      <c r="F39" s="954">
        <v>85132.88</v>
      </c>
      <c r="G39" s="775">
        <v>45917</v>
      </c>
      <c r="H39" s="775">
        <v>45999</v>
      </c>
      <c r="I39" s="729" t="s">
        <v>27</v>
      </c>
      <c r="J39" s="729"/>
      <c r="K39" s="729" t="s">
        <v>120</v>
      </c>
      <c r="L39" s="729" t="s">
        <v>120</v>
      </c>
      <c r="M39" s="729" t="s">
        <v>871</v>
      </c>
      <c r="N39" s="729" t="s">
        <v>871</v>
      </c>
      <c r="O39" s="729" t="s">
        <v>873</v>
      </c>
      <c r="P39" s="918" t="s">
        <v>732</v>
      </c>
      <c r="Q39" s="919">
        <f ca="1" t="shared" si="0"/>
        <v>218</v>
      </c>
      <c r="R39" s="728">
        <f t="shared" si="1"/>
        <v>46096</v>
      </c>
      <c r="S39" s="932"/>
    </row>
    <row r="40" ht="20.1" customHeight="1" spans="1:20">
      <c r="A40" s="897">
        <v>38</v>
      </c>
      <c r="B40" s="919">
        <v>549</v>
      </c>
      <c r="C40" s="729" t="s">
        <v>344</v>
      </c>
      <c r="D40" s="948" t="s">
        <v>835</v>
      </c>
      <c r="E40" s="957" t="s">
        <v>889</v>
      </c>
      <c r="F40" s="954">
        <v>397174.43</v>
      </c>
      <c r="G40" s="775">
        <v>45918</v>
      </c>
      <c r="H40" s="775">
        <v>46010</v>
      </c>
      <c r="I40" s="931" t="s">
        <v>17</v>
      </c>
      <c r="J40" s="931"/>
      <c r="K40" s="936" t="s">
        <v>55</v>
      </c>
      <c r="L40" s="819" t="s">
        <v>872</v>
      </c>
      <c r="M40" s="819" t="s">
        <v>872</v>
      </c>
      <c r="N40" s="819" t="s">
        <v>872</v>
      </c>
      <c r="O40" s="819" t="s">
        <v>872</v>
      </c>
      <c r="P40" s="937" t="s">
        <v>872</v>
      </c>
      <c r="Q40" s="919">
        <f ca="1" t="shared" si="0"/>
        <v>217</v>
      </c>
      <c r="R40" s="728">
        <f t="shared" si="1"/>
        <v>46097</v>
      </c>
      <c r="S40" s="932"/>
    </row>
    <row r="41" ht="20.1" customHeight="1" spans="1:20">
      <c r="A41" s="897">
        <v>39</v>
      </c>
      <c r="B41" s="819">
        <v>550</v>
      </c>
      <c r="C41" s="729" t="s">
        <v>344</v>
      </c>
      <c r="D41" s="948" t="s">
        <v>835</v>
      </c>
      <c r="E41" s="957" t="s">
        <v>889</v>
      </c>
      <c r="F41" s="954">
        <v>200000</v>
      </c>
      <c r="G41" s="775">
        <v>45918</v>
      </c>
      <c r="H41" s="775">
        <v>46010</v>
      </c>
      <c r="I41" s="931" t="s">
        <v>17</v>
      </c>
      <c r="J41" s="931"/>
      <c r="K41" s="936" t="s">
        <v>55</v>
      </c>
      <c r="L41" s="819" t="s">
        <v>872</v>
      </c>
      <c r="M41" s="819" t="s">
        <v>872</v>
      </c>
      <c r="N41" s="819" t="s">
        <v>872</v>
      </c>
      <c r="O41" s="819" t="s">
        <v>872</v>
      </c>
      <c r="P41" s="937" t="s">
        <v>872</v>
      </c>
      <c r="Q41" s="919">
        <f ca="1" t="shared" si="0"/>
        <v>217</v>
      </c>
      <c r="R41" s="728">
        <f t="shared" si="1"/>
        <v>46097</v>
      </c>
      <c r="S41" s="932"/>
    </row>
    <row r="42" ht="20.1" customHeight="1" spans="1:20">
      <c r="A42" s="897">
        <v>40</v>
      </c>
      <c r="B42" s="919">
        <v>551</v>
      </c>
      <c r="C42" s="934" t="s">
        <v>15</v>
      </c>
      <c r="D42" s="959" t="s">
        <v>858</v>
      </c>
      <c r="E42" s="934" t="s">
        <v>890</v>
      </c>
      <c r="F42" s="960">
        <v>400000</v>
      </c>
      <c r="G42" s="961">
        <v>45918</v>
      </c>
      <c r="H42" s="962">
        <v>46030</v>
      </c>
      <c r="I42" s="963" t="s">
        <v>17</v>
      </c>
      <c r="J42" s="964"/>
      <c r="K42" s="934" t="s">
        <v>120</v>
      </c>
      <c r="L42" s="934" t="s">
        <v>120</v>
      </c>
      <c r="M42" s="934" t="s">
        <v>871</v>
      </c>
      <c r="N42" s="934" t="s">
        <v>871</v>
      </c>
      <c r="O42" s="934" t="s">
        <v>873</v>
      </c>
      <c r="P42" s="918" t="s">
        <v>732</v>
      </c>
      <c r="Q42" s="965">
        <f ca="1" t="shared" si="0"/>
        <v>217</v>
      </c>
      <c r="R42" s="966">
        <f t="shared" si="1"/>
        <v>46097</v>
      </c>
      <c r="S42" s="964"/>
      <c r="T42" s="967"/>
    </row>
    <row r="43" ht="20.1" customHeight="1" spans="1:20">
      <c r="A43" s="897">
        <v>41</v>
      </c>
      <c r="B43" s="819">
        <v>552</v>
      </c>
      <c r="C43" s="729" t="s">
        <v>79</v>
      </c>
      <c r="D43" s="968" t="s">
        <v>761</v>
      </c>
      <c r="E43" s="957" t="s">
        <v>891</v>
      </c>
      <c r="F43" s="954">
        <v>982609.58</v>
      </c>
      <c r="G43" s="775">
        <v>45919</v>
      </c>
      <c r="H43" s="775">
        <v>45941</v>
      </c>
      <c r="I43" s="729" t="s">
        <v>27</v>
      </c>
      <c r="J43" s="729"/>
      <c r="K43" s="729" t="s">
        <v>120</v>
      </c>
      <c r="L43" s="934" t="s">
        <v>120</v>
      </c>
      <c r="M43" s="934" t="s">
        <v>871</v>
      </c>
      <c r="N43" s="934" t="s">
        <v>871</v>
      </c>
      <c r="O43" s="934" t="s">
        <v>873</v>
      </c>
      <c r="P43" s="918" t="s">
        <v>732</v>
      </c>
      <c r="Q43" s="919">
        <f ca="1" t="shared" si="0"/>
        <v>216</v>
      </c>
      <c r="R43" s="728">
        <f t="shared" si="1"/>
        <v>46098</v>
      </c>
      <c r="S43" s="932"/>
    </row>
    <row r="44" ht="20.1" customHeight="1" spans="1:20">
      <c r="A44" s="897">
        <v>42</v>
      </c>
      <c r="B44" s="919">
        <v>553</v>
      </c>
      <c r="C44" s="729" t="s">
        <v>79</v>
      </c>
      <c r="D44" s="948" t="s">
        <v>760</v>
      </c>
      <c r="E44" s="934" t="s">
        <v>891</v>
      </c>
      <c r="F44" s="954">
        <v>531428.56</v>
      </c>
      <c r="G44" s="775">
        <v>45919</v>
      </c>
      <c r="H44" s="775">
        <v>45941</v>
      </c>
      <c r="I44" s="931" t="s">
        <v>17</v>
      </c>
      <c r="J44" s="931"/>
      <c r="K44" s="729" t="s">
        <v>120</v>
      </c>
      <c r="L44" s="934" t="s">
        <v>120</v>
      </c>
      <c r="M44" s="934" t="s">
        <v>871</v>
      </c>
      <c r="N44" s="934" t="s">
        <v>871</v>
      </c>
      <c r="O44" s="729" t="s">
        <v>873</v>
      </c>
      <c r="P44" s="918" t="s">
        <v>732</v>
      </c>
      <c r="Q44" s="919">
        <f ca="1" t="shared" si="0"/>
        <v>216</v>
      </c>
      <c r="R44" s="728">
        <f t="shared" si="1"/>
        <v>46098</v>
      </c>
      <c r="S44" s="932"/>
    </row>
    <row r="45" ht="25.8" customHeight="1" spans="1:20">
      <c r="A45" s="897">
        <v>43</v>
      </c>
      <c r="B45" s="819">
        <v>554</v>
      </c>
      <c r="C45" s="969" t="s">
        <v>79</v>
      </c>
      <c r="D45" s="970" t="s">
        <v>776</v>
      </c>
      <c r="E45" s="953" t="s">
        <v>891</v>
      </c>
      <c r="F45" s="971">
        <v>75960.96</v>
      </c>
      <c r="G45" s="972">
        <v>45919</v>
      </c>
      <c r="H45" s="972">
        <v>45958</v>
      </c>
      <c r="I45" s="969" t="s">
        <v>27</v>
      </c>
      <c r="J45" s="969"/>
      <c r="K45" s="969" t="s">
        <v>120</v>
      </c>
      <c r="L45" s="953" t="s">
        <v>120</v>
      </c>
      <c r="M45" s="953" t="s">
        <v>871</v>
      </c>
      <c r="N45" s="953" t="s">
        <v>871</v>
      </c>
      <c r="O45" s="969" t="s">
        <v>873</v>
      </c>
      <c r="P45" s="918" t="s">
        <v>732</v>
      </c>
      <c r="Q45" s="973">
        <f ca="1" t="shared" si="0"/>
        <v>216</v>
      </c>
      <c r="R45" s="974">
        <f t="shared" si="1"/>
        <v>46098</v>
      </c>
      <c r="S45" s="975"/>
    </row>
    <row r="46" ht="20.1" customHeight="1" spans="1:20">
      <c r="A46" s="897">
        <v>44</v>
      </c>
      <c r="B46" s="919">
        <v>555</v>
      </c>
      <c r="C46" s="729" t="s">
        <v>79</v>
      </c>
      <c r="D46" s="948" t="s">
        <v>813</v>
      </c>
      <c r="E46" s="934" t="s">
        <v>891</v>
      </c>
      <c r="F46" s="954">
        <v>248283.14</v>
      </c>
      <c r="G46" s="775">
        <v>45919</v>
      </c>
      <c r="H46" s="775">
        <v>45981</v>
      </c>
      <c r="I46" s="931" t="s">
        <v>17</v>
      </c>
      <c r="J46" s="931"/>
      <c r="K46" s="969" t="s">
        <v>120</v>
      </c>
      <c r="L46" s="934" t="s">
        <v>120</v>
      </c>
      <c r="M46" s="934" t="s">
        <v>871</v>
      </c>
      <c r="N46" s="934" t="s">
        <v>871</v>
      </c>
      <c r="O46" s="729" t="s">
        <v>873</v>
      </c>
      <c r="P46" s="918" t="s">
        <v>732</v>
      </c>
      <c r="Q46" s="919">
        <f ca="1" t="shared" si="0"/>
        <v>216</v>
      </c>
      <c r="R46" s="728">
        <f t="shared" si="1"/>
        <v>46098</v>
      </c>
      <c r="S46" s="932"/>
    </row>
    <row r="47" ht="26.1" customHeight="1" spans="1:20">
      <c r="A47" s="897">
        <v>45</v>
      </c>
      <c r="B47" s="819">
        <v>556</v>
      </c>
      <c r="C47" s="943" t="s">
        <v>37</v>
      </c>
      <c r="D47" s="948" t="s">
        <v>892</v>
      </c>
      <c r="E47" s="934" t="s">
        <v>891</v>
      </c>
      <c r="F47" s="976">
        <v>47619.04</v>
      </c>
      <c r="G47" s="775">
        <v>45919</v>
      </c>
      <c r="H47" s="775">
        <v>46030</v>
      </c>
      <c r="I47" s="729" t="s">
        <v>27</v>
      </c>
      <c r="J47" s="729"/>
      <c r="K47" s="729" t="s">
        <v>120</v>
      </c>
      <c r="L47" s="934" t="s">
        <v>120</v>
      </c>
      <c r="M47" s="934" t="s">
        <v>871</v>
      </c>
      <c r="N47" s="934" t="s">
        <v>871</v>
      </c>
      <c r="O47" s="729" t="s">
        <v>873</v>
      </c>
      <c r="P47" s="918" t="s">
        <v>732</v>
      </c>
      <c r="Q47" s="919">
        <f ca="1" t="shared" si="0"/>
        <v>216</v>
      </c>
      <c r="R47" s="728">
        <f t="shared" si="1"/>
        <v>46098</v>
      </c>
      <c r="S47" s="932"/>
    </row>
    <row r="48" ht="23.1" customHeight="1" spans="1:20">
      <c r="A48" s="897">
        <v>46</v>
      </c>
      <c r="B48" s="919">
        <v>557</v>
      </c>
      <c r="C48" s="729" t="s">
        <v>79</v>
      </c>
      <c r="D48" s="948" t="s">
        <v>767</v>
      </c>
      <c r="E48" s="934" t="s">
        <v>893</v>
      </c>
      <c r="F48" s="954">
        <v>143600</v>
      </c>
      <c r="G48" s="775">
        <v>45922</v>
      </c>
      <c r="H48" s="775">
        <v>45945</v>
      </c>
      <c r="I48" s="729" t="s">
        <v>27</v>
      </c>
      <c r="J48" s="729"/>
      <c r="K48" s="729" t="s">
        <v>120</v>
      </c>
      <c r="L48" s="729" t="s">
        <v>120</v>
      </c>
      <c r="M48" s="819">
        <v>2.24</v>
      </c>
      <c r="N48" s="819">
        <v>2.24</v>
      </c>
      <c r="O48" s="729" t="s">
        <v>873</v>
      </c>
      <c r="P48" s="918" t="s">
        <v>732</v>
      </c>
      <c r="Q48" s="919">
        <f ca="1" t="shared" si="0"/>
        <v>213</v>
      </c>
      <c r="R48" s="728">
        <f t="shared" si="1"/>
        <v>46101</v>
      </c>
      <c r="S48" s="932"/>
    </row>
    <row r="49" ht="24.6" customHeight="1" spans="1:20">
      <c r="A49" s="897">
        <v>47</v>
      </c>
      <c r="B49" s="819">
        <v>558</v>
      </c>
      <c r="C49" s="729" t="s">
        <v>22</v>
      </c>
      <c r="D49" s="948" t="s">
        <v>844</v>
      </c>
      <c r="E49" s="934" t="s">
        <v>893</v>
      </c>
      <c r="F49" s="976">
        <v>2000000</v>
      </c>
      <c r="G49" s="977">
        <v>45922</v>
      </c>
      <c r="H49" s="775">
        <v>46015</v>
      </c>
      <c r="I49" s="931" t="s">
        <v>17</v>
      </c>
      <c r="J49" s="931"/>
      <c r="K49" s="729" t="s">
        <v>120</v>
      </c>
      <c r="L49" s="934" t="s">
        <v>120</v>
      </c>
      <c r="M49" s="934" t="s">
        <v>871</v>
      </c>
      <c r="N49" s="934" t="s">
        <v>871</v>
      </c>
      <c r="O49" s="729" t="s">
        <v>873</v>
      </c>
      <c r="P49" s="918" t="s">
        <v>732</v>
      </c>
      <c r="Q49" s="919">
        <f ca="1" t="shared" si="0"/>
        <v>213</v>
      </c>
      <c r="R49" s="728">
        <f t="shared" si="1"/>
        <v>46101</v>
      </c>
      <c r="S49" s="932"/>
    </row>
    <row r="50" ht="25.05" customHeight="1" spans="1:20">
      <c r="A50" s="897">
        <v>48</v>
      </c>
      <c r="B50" s="919">
        <v>559</v>
      </c>
      <c r="C50" s="934" t="s">
        <v>15</v>
      </c>
      <c r="D50" s="959" t="s">
        <v>857</v>
      </c>
      <c r="E50" s="934" t="s">
        <v>387</v>
      </c>
      <c r="F50" s="960">
        <v>765600</v>
      </c>
      <c r="G50" s="978">
        <v>45922</v>
      </c>
      <c r="H50" s="962">
        <v>46030</v>
      </c>
      <c r="I50" s="960" t="s">
        <v>17</v>
      </c>
      <c r="J50" s="964"/>
      <c r="K50" s="934" t="s">
        <v>120</v>
      </c>
      <c r="L50" s="934" t="s">
        <v>120</v>
      </c>
      <c r="M50" s="934" t="s">
        <v>871</v>
      </c>
      <c r="N50" s="934" t="s">
        <v>871</v>
      </c>
      <c r="O50" s="934" t="s">
        <v>873</v>
      </c>
      <c r="P50" s="918" t="s">
        <v>732</v>
      </c>
      <c r="Q50" s="965">
        <f ca="1" t="shared" si="0"/>
        <v>213</v>
      </c>
      <c r="R50" s="966">
        <f t="shared" si="1"/>
        <v>46101</v>
      </c>
      <c r="S50" s="964"/>
      <c r="T50" s="967"/>
    </row>
    <row r="51" s="888" customFormat="1" ht="23.7" customHeight="1" spans="1:20">
      <c r="A51" s="897">
        <v>49</v>
      </c>
      <c r="B51" s="819">
        <v>560</v>
      </c>
      <c r="C51" s="729" t="s">
        <v>79</v>
      </c>
      <c r="D51" s="979" t="s">
        <v>894</v>
      </c>
      <c r="E51" s="934" t="s">
        <v>895</v>
      </c>
      <c r="F51" s="976">
        <v>361904.76</v>
      </c>
      <c r="G51" s="775">
        <v>45924</v>
      </c>
      <c r="H51" s="775">
        <v>45958</v>
      </c>
      <c r="I51" s="729" t="s">
        <v>27</v>
      </c>
      <c r="J51" s="729"/>
      <c r="K51" s="729" t="s">
        <v>120</v>
      </c>
      <c r="L51" s="934" t="s">
        <v>120</v>
      </c>
      <c r="M51" s="934" t="s">
        <v>871</v>
      </c>
      <c r="N51" s="934" t="s">
        <v>871</v>
      </c>
      <c r="O51" s="934" t="s">
        <v>873</v>
      </c>
      <c r="P51" s="918" t="s">
        <v>732</v>
      </c>
      <c r="Q51" s="919">
        <f ca="1" t="shared" si="0"/>
        <v>211</v>
      </c>
      <c r="R51" s="728">
        <f t="shared" si="1"/>
        <v>46103</v>
      </c>
      <c r="S51" s="932"/>
      <c r="T51"/>
    </row>
    <row r="52" ht="25.35" customHeight="1" spans="1:20">
      <c r="A52" s="897">
        <v>50</v>
      </c>
      <c r="B52" s="919">
        <v>561</v>
      </c>
      <c r="C52" s="729" t="s">
        <v>79</v>
      </c>
      <c r="D52" s="979" t="s">
        <v>896</v>
      </c>
      <c r="E52" s="934" t="s">
        <v>895</v>
      </c>
      <c r="F52" s="976">
        <v>132959.08</v>
      </c>
      <c r="G52" s="775">
        <v>45924</v>
      </c>
      <c r="H52" s="775">
        <v>45958</v>
      </c>
      <c r="I52" s="729" t="s">
        <v>27</v>
      </c>
      <c r="J52" s="729"/>
      <c r="K52" s="729" t="s">
        <v>120</v>
      </c>
      <c r="L52" s="934" t="s">
        <v>120</v>
      </c>
      <c r="M52" s="934" t="s">
        <v>871</v>
      </c>
      <c r="N52" s="934" t="s">
        <v>871</v>
      </c>
      <c r="O52" s="934" t="s">
        <v>873</v>
      </c>
      <c r="P52" s="918" t="s">
        <v>732</v>
      </c>
      <c r="Q52" s="919">
        <f ca="1" t="shared" si="0"/>
        <v>211</v>
      </c>
      <c r="R52" s="728">
        <f t="shared" si="1"/>
        <v>46103</v>
      </c>
      <c r="S52" s="932"/>
    </row>
    <row r="53" ht="26.85" customHeight="1" spans="1:20">
      <c r="A53" s="897">
        <v>51</v>
      </c>
      <c r="B53" s="819">
        <v>562</v>
      </c>
      <c r="C53" s="729" t="s">
        <v>79</v>
      </c>
      <c r="D53" s="980" t="s">
        <v>897</v>
      </c>
      <c r="E53" s="934" t="s">
        <v>895</v>
      </c>
      <c r="F53" s="976">
        <v>100000</v>
      </c>
      <c r="G53" s="775">
        <v>45924</v>
      </c>
      <c r="H53" s="775">
        <v>45958</v>
      </c>
      <c r="I53" s="729" t="s">
        <v>27</v>
      </c>
      <c r="J53" s="729"/>
      <c r="K53" s="729" t="s">
        <v>120</v>
      </c>
      <c r="L53" s="934" t="s">
        <v>120</v>
      </c>
      <c r="M53" s="934" t="s">
        <v>871</v>
      </c>
      <c r="N53" s="934" t="s">
        <v>871</v>
      </c>
      <c r="O53" s="934" t="s">
        <v>873</v>
      </c>
      <c r="P53" s="918" t="s">
        <v>732</v>
      </c>
      <c r="Q53" s="919">
        <f ca="1" t="shared" si="0"/>
        <v>211</v>
      </c>
      <c r="R53" s="728">
        <f t="shared" si="1"/>
        <v>46103</v>
      </c>
      <c r="S53" s="932"/>
    </row>
    <row r="54" ht="29.85" customHeight="1" spans="1:20">
      <c r="A54" s="897">
        <v>52</v>
      </c>
      <c r="B54" s="919">
        <v>563</v>
      </c>
      <c r="C54" s="729" t="s">
        <v>79</v>
      </c>
      <c r="D54" s="979" t="s">
        <v>898</v>
      </c>
      <c r="E54" s="934" t="s">
        <v>895</v>
      </c>
      <c r="F54" s="976">
        <v>74666.68</v>
      </c>
      <c r="G54" s="775">
        <v>45924</v>
      </c>
      <c r="H54" s="775">
        <v>45958</v>
      </c>
      <c r="I54" s="729" t="s">
        <v>27</v>
      </c>
      <c r="J54" s="729"/>
      <c r="K54" s="729" t="s">
        <v>120</v>
      </c>
      <c r="L54" s="934" t="s">
        <v>120</v>
      </c>
      <c r="M54" s="934" t="s">
        <v>871</v>
      </c>
      <c r="N54" s="934" t="s">
        <v>871</v>
      </c>
      <c r="O54" s="934" t="s">
        <v>873</v>
      </c>
      <c r="P54" s="918" t="s">
        <v>732</v>
      </c>
      <c r="Q54" s="919">
        <f ca="1" t="shared" si="0"/>
        <v>211</v>
      </c>
      <c r="R54" s="728">
        <f t="shared" si="1"/>
        <v>46103</v>
      </c>
      <c r="S54" s="932"/>
    </row>
    <row r="55" ht="20.1" customHeight="1" spans="1:20">
      <c r="A55" s="897">
        <v>53</v>
      </c>
      <c r="B55" s="819">
        <v>564</v>
      </c>
      <c r="C55" s="729" t="s">
        <v>79</v>
      </c>
      <c r="D55" s="979" t="s">
        <v>899</v>
      </c>
      <c r="E55" s="934" t="s">
        <v>895</v>
      </c>
      <c r="F55" s="976">
        <v>28571.44</v>
      </c>
      <c r="G55" s="775">
        <v>45924</v>
      </c>
      <c r="H55" s="775">
        <v>45958</v>
      </c>
      <c r="I55" s="729" t="s">
        <v>27</v>
      </c>
      <c r="J55" s="729"/>
      <c r="K55" s="729" t="s">
        <v>120</v>
      </c>
      <c r="L55" s="934" t="s">
        <v>120</v>
      </c>
      <c r="M55" s="934" t="s">
        <v>871</v>
      </c>
      <c r="N55" s="934" t="s">
        <v>871</v>
      </c>
      <c r="O55" s="934" t="s">
        <v>873</v>
      </c>
      <c r="P55" s="918" t="s">
        <v>732</v>
      </c>
      <c r="Q55" s="919">
        <f ca="1" t="shared" si="0"/>
        <v>211</v>
      </c>
      <c r="R55" s="728">
        <f t="shared" si="1"/>
        <v>46103</v>
      </c>
      <c r="S55" s="932"/>
    </row>
    <row r="56" ht="20.1" customHeight="1" spans="1:20">
      <c r="A56" s="897">
        <v>54</v>
      </c>
      <c r="B56" s="919">
        <v>565</v>
      </c>
      <c r="C56" s="729" t="s">
        <v>79</v>
      </c>
      <c r="D56" s="981" t="s">
        <v>900</v>
      </c>
      <c r="E56" s="934" t="s">
        <v>895</v>
      </c>
      <c r="F56" s="976">
        <v>24761.92</v>
      </c>
      <c r="G56" s="775">
        <v>45924</v>
      </c>
      <c r="H56" s="775">
        <v>45958</v>
      </c>
      <c r="I56" s="729" t="s">
        <v>27</v>
      </c>
      <c r="J56" s="729"/>
      <c r="K56" s="729" t="s">
        <v>120</v>
      </c>
      <c r="L56" s="934" t="s">
        <v>120</v>
      </c>
      <c r="M56" s="934" t="s">
        <v>871</v>
      </c>
      <c r="N56" s="934" t="s">
        <v>871</v>
      </c>
      <c r="O56" s="934" t="s">
        <v>873</v>
      </c>
      <c r="P56" s="918" t="s">
        <v>732</v>
      </c>
      <c r="Q56" s="919">
        <f ca="1" t="shared" si="0"/>
        <v>211</v>
      </c>
      <c r="R56" s="728">
        <f t="shared" si="1"/>
        <v>46103</v>
      </c>
      <c r="S56" s="932"/>
    </row>
    <row r="57" ht="20.1" customHeight="1" spans="1:20">
      <c r="A57" s="897">
        <v>55</v>
      </c>
      <c r="B57" s="819">
        <v>566</v>
      </c>
      <c r="C57" s="729" t="s">
        <v>79</v>
      </c>
      <c r="D57" s="979" t="s">
        <v>901</v>
      </c>
      <c r="E57" s="934" t="s">
        <v>895</v>
      </c>
      <c r="F57" s="976">
        <v>16000.01</v>
      </c>
      <c r="G57" s="775">
        <v>45924</v>
      </c>
      <c r="H57" s="775">
        <v>45958</v>
      </c>
      <c r="I57" s="729" t="s">
        <v>27</v>
      </c>
      <c r="J57" s="729"/>
      <c r="K57" s="729" t="s">
        <v>120</v>
      </c>
      <c r="L57" s="934" t="s">
        <v>120</v>
      </c>
      <c r="M57" s="934" t="s">
        <v>871</v>
      </c>
      <c r="N57" s="934" t="s">
        <v>871</v>
      </c>
      <c r="O57" s="934" t="s">
        <v>873</v>
      </c>
      <c r="P57" s="918" t="s">
        <v>732</v>
      </c>
      <c r="Q57" s="919">
        <f ca="1" t="shared" si="0"/>
        <v>211</v>
      </c>
      <c r="R57" s="728">
        <f t="shared" si="1"/>
        <v>46103</v>
      </c>
      <c r="S57" s="932"/>
    </row>
    <row r="58" ht="20.1" customHeight="1" spans="1:20">
      <c r="A58" s="897">
        <v>56</v>
      </c>
      <c r="B58" s="919">
        <v>567</v>
      </c>
      <c r="C58" s="729" t="s">
        <v>79</v>
      </c>
      <c r="D58" s="979" t="s">
        <v>902</v>
      </c>
      <c r="E58" s="934" t="s">
        <v>895</v>
      </c>
      <c r="F58" s="976">
        <v>4596.05</v>
      </c>
      <c r="G58" s="775">
        <v>45924</v>
      </c>
      <c r="H58" s="775">
        <v>45958</v>
      </c>
      <c r="I58" s="729" t="s">
        <v>27</v>
      </c>
      <c r="J58" s="729"/>
      <c r="K58" s="729" t="s">
        <v>120</v>
      </c>
      <c r="L58" s="934" t="s">
        <v>120</v>
      </c>
      <c r="M58" s="934" t="s">
        <v>871</v>
      </c>
      <c r="N58" s="934" t="s">
        <v>871</v>
      </c>
      <c r="O58" s="934" t="s">
        <v>873</v>
      </c>
      <c r="P58" s="918" t="s">
        <v>732</v>
      </c>
      <c r="Q58" s="919">
        <f ca="1" t="shared" si="0"/>
        <v>211</v>
      </c>
      <c r="R58" s="728">
        <f t="shared" si="1"/>
        <v>46103</v>
      </c>
      <c r="S58" s="932"/>
      <c r="T58" s="933"/>
    </row>
    <row r="59" ht="20.1" customHeight="1" spans="1:20">
      <c r="A59" s="897">
        <v>57</v>
      </c>
      <c r="B59" s="819">
        <v>568</v>
      </c>
      <c r="C59" s="729" t="s">
        <v>79</v>
      </c>
      <c r="D59" s="948" t="s">
        <v>778</v>
      </c>
      <c r="E59" s="934" t="s">
        <v>903</v>
      </c>
      <c r="F59" s="954">
        <v>318132.33</v>
      </c>
      <c r="G59" s="775">
        <v>45926</v>
      </c>
      <c r="H59" s="775">
        <v>45958</v>
      </c>
      <c r="I59" s="729" t="s">
        <v>27</v>
      </c>
      <c r="J59" s="729"/>
      <c r="K59" s="729" t="s">
        <v>120</v>
      </c>
      <c r="L59" s="934" t="s">
        <v>120</v>
      </c>
      <c r="M59" s="934" t="s">
        <v>871</v>
      </c>
      <c r="N59" s="934" t="s">
        <v>871</v>
      </c>
      <c r="O59" s="934" t="s">
        <v>873</v>
      </c>
      <c r="P59" s="918" t="s">
        <v>732</v>
      </c>
      <c r="Q59" s="919">
        <f ca="1" t="shared" si="0"/>
        <v>209</v>
      </c>
      <c r="R59" s="728">
        <f t="shared" si="1"/>
        <v>46105</v>
      </c>
      <c r="S59" s="932"/>
    </row>
    <row r="60" ht="20.1" customHeight="1" spans="1:20">
      <c r="A60" s="897">
        <v>58</v>
      </c>
      <c r="B60" s="982">
        <v>569</v>
      </c>
      <c r="C60" s="983" t="s">
        <v>31</v>
      </c>
      <c r="D60" s="984" t="s">
        <v>824</v>
      </c>
      <c r="E60" s="983" t="s">
        <v>904</v>
      </c>
      <c r="F60" s="985">
        <v>1787387.41</v>
      </c>
      <c r="G60" s="986">
        <v>45926</v>
      </c>
      <c r="H60" s="986">
        <v>45996</v>
      </c>
      <c r="I60" s="987" t="s">
        <v>17</v>
      </c>
      <c r="J60" s="987"/>
      <c r="K60" s="983" t="s">
        <v>905</v>
      </c>
      <c r="L60" s="983" t="s">
        <v>120</v>
      </c>
      <c r="M60" s="983" t="s">
        <v>871</v>
      </c>
      <c r="N60" s="983" t="s">
        <v>871</v>
      </c>
      <c r="O60" s="983" t="s">
        <v>873</v>
      </c>
      <c r="P60" s="983" t="s">
        <v>732</v>
      </c>
      <c r="Q60" s="982">
        <f ca="1" t="shared" si="0"/>
        <v>209</v>
      </c>
      <c r="R60" s="988">
        <f t="shared" si="1"/>
        <v>46105</v>
      </c>
      <c r="S60" s="932"/>
    </row>
    <row r="61" ht="20.1" customHeight="1" spans="1:20">
      <c r="A61" s="897">
        <v>59</v>
      </c>
      <c r="B61" s="819">
        <v>570</v>
      </c>
      <c r="C61" s="729" t="s">
        <v>15</v>
      </c>
      <c r="D61" s="948" t="s">
        <v>780</v>
      </c>
      <c r="E61" s="934" t="s">
        <v>904</v>
      </c>
      <c r="F61" s="976">
        <v>315532.22</v>
      </c>
      <c r="G61" s="989">
        <v>45929</v>
      </c>
      <c r="H61" s="775">
        <v>46037</v>
      </c>
      <c r="I61" s="729" t="s">
        <v>27</v>
      </c>
      <c r="J61" s="729"/>
      <c r="K61" s="729" t="s">
        <v>120</v>
      </c>
      <c r="L61" s="934" t="s">
        <v>120</v>
      </c>
      <c r="M61" s="934" t="s">
        <v>871</v>
      </c>
      <c r="N61" s="934" t="s">
        <v>871</v>
      </c>
      <c r="O61" s="729" t="s">
        <v>873</v>
      </c>
      <c r="P61" s="918" t="s">
        <v>732</v>
      </c>
      <c r="Q61" s="919">
        <f ca="1" t="shared" si="0"/>
        <v>206</v>
      </c>
      <c r="R61" s="728">
        <f t="shared" si="1"/>
        <v>46108</v>
      </c>
      <c r="S61" s="932"/>
    </row>
    <row r="62" ht="20.1" customHeight="1" spans="1:20">
      <c r="A62" s="897">
        <v>60</v>
      </c>
      <c r="B62" s="919">
        <v>571</v>
      </c>
      <c r="C62" s="729" t="s">
        <v>15</v>
      </c>
      <c r="D62" s="948" t="s">
        <v>906</v>
      </c>
      <c r="E62" s="934" t="s">
        <v>904</v>
      </c>
      <c r="F62" s="950">
        <v>160000</v>
      </c>
      <c r="G62" s="977">
        <v>45929</v>
      </c>
      <c r="H62" s="775">
        <v>46037</v>
      </c>
      <c r="I62" s="729" t="s">
        <v>27</v>
      </c>
      <c r="J62" s="729"/>
      <c r="K62" s="729" t="s">
        <v>120</v>
      </c>
      <c r="L62" s="934" t="s">
        <v>120</v>
      </c>
      <c r="M62" s="934" t="s">
        <v>871</v>
      </c>
      <c r="N62" s="934" t="s">
        <v>871</v>
      </c>
      <c r="O62" s="729" t="s">
        <v>873</v>
      </c>
      <c r="P62" s="918" t="s">
        <v>732</v>
      </c>
      <c r="Q62" s="919">
        <f ca="1" t="shared" si="0"/>
        <v>206</v>
      </c>
      <c r="R62" s="728">
        <f t="shared" si="1"/>
        <v>46108</v>
      </c>
      <c r="S62" s="932"/>
    </row>
    <row r="63" ht="20.1" customHeight="1" spans="1:20">
      <c r="A63" s="897">
        <v>61</v>
      </c>
      <c r="B63" s="819">
        <v>572</v>
      </c>
      <c r="C63" s="729" t="s">
        <v>79</v>
      </c>
      <c r="D63" s="948" t="s">
        <v>768</v>
      </c>
      <c r="E63" s="934" t="s">
        <v>904</v>
      </c>
      <c r="F63" s="954">
        <v>191600</v>
      </c>
      <c r="G63" s="775">
        <v>45930</v>
      </c>
      <c r="H63" s="775">
        <v>45945</v>
      </c>
      <c r="I63" s="729" t="s">
        <v>27</v>
      </c>
      <c r="J63" s="729"/>
      <c r="K63" s="729" t="s">
        <v>120</v>
      </c>
      <c r="L63" s="934" t="s">
        <v>120</v>
      </c>
      <c r="M63" s="934" t="s">
        <v>871</v>
      </c>
      <c r="N63" s="934" t="s">
        <v>871</v>
      </c>
      <c r="O63" s="729" t="s">
        <v>873</v>
      </c>
      <c r="P63" s="918" t="s">
        <v>732</v>
      </c>
      <c r="Q63" s="919">
        <f ca="1" t="shared" si="0"/>
        <v>205</v>
      </c>
      <c r="R63" s="728">
        <f t="shared" si="1"/>
        <v>46109</v>
      </c>
      <c r="S63" s="932"/>
    </row>
    <row r="64" ht="20.1" customHeight="1" spans="1:20">
      <c r="A64" s="897">
        <v>62</v>
      </c>
      <c r="B64" s="919">
        <v>573</v>
      </c>
      <c r="C64" s="729" t="s">
        <v>25</v>
      </c>
      <c r="D64" s="990" t="s">
        <v>907</v>
      </c>
      <c r="E64" s="934" t="s">
        <v>903</v>
      </c>
      <c r="F64" s="954">
        <v>115760.31</v>
      </c>
      <c r="G64" s="775">
        <v>45930</v>
      </c>
      <c r="H64" s="775">
        <v>45967</v>
      </c>
      <c r="I64" s="729" t="s">
        <v>27</v>
      </c>
      <c r="J64" s="729"/>
      <c r="K64" s="729" t="s">
        <v>120</v>
      </c>
      <c r="L64" s="934" t="s">
        <v>120</v>
      </c>
      <c r="M64" s="934">
        <v>3.24</v>
      </c>
      <c r="N64" s="934" t="s">
        <v>871</v>
      </c>
      <c r="O64" s="729" t="s">
        <v>873</v>
      </c>
      <c r="P64" s="918" t="s">
        <v>732</v>
      </c>
      <c r="Q64" s="919">
        <f ca="1" t="shared" si="0"/>
        <v>205</v>
      </c>
      <c r="R64" s="728">
        <f t="shared" si="1"/>
        <v>46109</v>
      </c>
      <c r="S64" s="932"/>
    </row>
    <row r="65" ht="20.1" customHeight="1" spans="1:20">
      <c r="A65" s="897">
        <v>63</v>
      </c>
      <c r="B65" s="819">
        <v>574</v>
      </c>
      <c r="C65" s="729" t="s">
        <v>25</v>
      </c>
      <c r="D65" s="968" t="s">
        <v>908</v>
      </c>
      <c r="E65" s="934" t="s">
        <v>909</v>
      </c>
      <c r="F65" s="954">
        <v>120000</v>
      </c>
      <c r="G65" s="991">
        <v>45930</v>
      </c>
      <c r="H65" s="775">
        <v>45968</v>
      </c>
      <c r="I65" s="729" t="s">
        <v>27</v>
      </c>
      <c r="J65" s="729"/>
      <c r="K65" s="969" t="s">
        <v>120</v>
      </c>
      <c r="L65" s="934" t="s">
        <v>120</v>
      </c>
      <c r="M65" s="819">
        <v>3.29</v>
      </c>
      <c r="N65" s="819" t="s">
        <v>872</v>
      </c>
      <c r="O65" s="729"/>
      <c r="P65" s="918" t="s">
        <v>732</v>
      </c>
      <c r="Q65" s="919">
        <f ca="1" t="shared" si="0"/>
        <v>205</v>
      </c>
      <c r="R65" s="728">
        <f t="shared" si="1"/>
        <v>46109</v>
      </c>
      <c r="S65" s="932"/>
    </row>
    <row r="66" ht="20.1" customHeight="1" spans="1:20">
      <c r="A66" s="897">
        <v>64</v>
      </c>
      <c r="B66" s="919">
        <v>575</v>
      </c>
      <c r="C66" s="729" t="s">
        <v>25</v>
      </c>
      <c r="D66" s="990" t="s">
        <v>910</v>
      </c>
      <c r="E66" s="934" t="s">
        <v>903</v>
      </c>
      <c r="F66" s="954">
        <v>58223.8</v>
      </c>
      <c r="G66" s="775">
        <v>45930</v>
      </c>
      <c r="H66" s="775">
        <v>45968</v>
      </c>
      <c r="I66" s="729" t="s">
        <v>27</v>
      </c>
      <c r="J66" s="729"/>
      <c r="K66" s="729" t="s">
        <v>120</v>
      </c>
      <c r="L66" s="934" t="s">
        <v>120</v>
      </c>
      <c r="M66" s="934">
        <v>3.24</v>
      </c>
      <c r="N66" s="934" t="s">
        <v>871</v>
      </c>
      <c r="O66" s="729" t="s">
        <v>873</v>
      </c>
      <c r="P66" s="918" t="s">
        <v>732</v>
      </c>
      <c r="Q66" s="919">
        <f ca="1" t="shared" si="0"/>
        <v>205</v>
      </c>
      <c r="R66" s="728">
        <f t="shared" si="1"/>
        <v>46109</v>
      </c>
      <c r="S66" s="932"/>
    </row>
    <row r="67" ht="20.1" customHeight="1" spans="1:20">
      <c r="A67" s="897">
        <v>65</v>
      </c>
      <c r="B67" s="819">
        <v>576</v>
      </c>
      <c r="C67" s="729" t="s">
        <v>25</v>
      </c>
      <c r="D67" s="990" t="s">
        <v>911</v>
      </c>
      <c r="E67" s="934" t="s">
        <v>912</v>
      </c>
      <c r="F67" s="954">
        <v>39970</v>
      </c>
      <c r="G67" s="977">
        <v>45930</v>
      </c>
      <c r="H67" s="775">
        <v>46003</v>
      </c>
      <c r="I67" s="729" t="s">
        <v>27</v>
      </c>
      <c r="J67" s="729"/>
      <c r="K67" s="729" t="s">
        <v>120</v>
      </c>
      <c r="L67" s="934" t="s">
        <v>120</v>
      </c>
      <c r="M67" s="934">
        <v>3.24</v>
      </c>
      <c r="N67" s="934" t="s">
        <v>871</v>
      </c>
      <c r="O67" s="729" t="s">
        <v>873</v>
      </c>
      <c r="P67" s="918" t="s">
        <v>732</v>
      </c>
      <c r="Q67" s="919">
        <f ca="1" t="shared" ref="Q67:Q130" si="2">DATEDIF(G67,TODAY(),"D")</f>
        <v>205</v>
      </c>
      <c r="R67" s="728">
        <f t="shared" ref="R67:R130" si="3">G67+179</f>
        <v>46109</v>
      </c>
      <c r="S67" s="932"/>
    </row>
    <row r="68" ht="20.1" customHeight="1" spans="1:20">
      <c r="A68" s="897">
        <v>66</v>
      </c>
      <c r="B68" s="919">
        <v>577</v>
      </c>
      <c r="C68" s="729" t="s">
        <v>25</v>
      </c>
      <c r="D68" s="990" t="s">
        <v>913</v>
      </c>
      <c r="E68" s="934" t="s">
        <v>912</v>
      </c>
      <c r="F68" s="976">
        <v>119465.5</v>
      </c>
      <c r="G68" s="977">
        <v>45930</v>
      </c>
      <c r="H68" s="775">
        <v>46022</v>
      </c>
      <c r="I68" s="729" t="s">
        <v>27</v>
      </c>
      <c r="J68" s="729"/>
      <c r="K68" s="729" t="s">
        <v>120</v>
      </c>
      <c r="L68" s="934" t="s">
        <v>120</v>
      </c>
      <c r="M68" s="934">
        <v>3.24</v>
      </c>
      <c r="N68" s="934" t="s">
        <v>871</v>
      </c>
      <c r="O68" s="729" t="s">
        <v>873</v>
      </c>
      <c r="P68" s="918" t="s">
        <v>732</v>
      </c>
      <c r="Q68" s="919">
        <f ca="1" t="shared" si="2"/>
        <v>205</v>
      </c>
      <c r="R68" s="728">
        <f t="shared" si="3"/>
        <v>46109</v>
      </c>
      <c r="S68" s="932"/>
    </row>
    <row r="69" ht="20.1" customHeight="1" spans="1:20">
      <c r="A69" s="897">
        <v>67</v>
      </c>
      <c r="B69" s="819">
        <v>578</v>
      </c>
      <c r="C69" s="729" t="s">
        <v>15</v>
      </c>
      <c r="D69" s="948" t="s">
        <v>914</v>
      </c>
      <c r="E69" s="934" t="s">
        <v>915</v>
      </c>
      <c r="F69" s="976">
        <v>507126.08</v>
      </c>
      <c r="G69" s="977">
        <v>45930</v>
      </c>
      <c r="H69" s="775">
        <v>46037</v>
      </c>
      <c r="I69" s="931" t="s">
        <v>17</v>
      </c>
      <c r="J69" s="729"/>
      <c r="K69" s="729" t="s">
        <v>120</v>
      </c>
      <c r="L69" s="934" t="s">
        <v>120</v>
      </c>
      <c r="M69" s="934" t="s">
        <v>871</v>
      </c>
      <c r="N69" s="934" t="s">
        <v>871</v>
      </c>
      <c r="O69" s="729" t="s">
        <v>873</v>
      </c>
      <c r="P69" s="918" t="s">
        <v>732</v>
      </c>
      <c r="Q69" s="919">
        <f ca="1" t="shared" si="2"/>
        <v>205</v>
      </c>
      <c r="R69" s="728">
        <f t="shared" si="3"/>
        <v>46109</v>
      </c>
      <c r="S69" s="932"/>
    </row>
    <row r="70" ht="20.1" customHeight="1" spans="1:20">
      <c r="A70" s="897">
        <v>68</v>
      </c>
      <c r="B70" s="919">
        <v>579</v>
      </c>
      <c r="C70" s="729" t="s">
        <v>15</v>
      </c>
      <c r="D70" s="990" t="s">
        <v>916</v>
      </c>
      <c r="E70" s="934" t="s">
        <v>912</v>
      </c>
      <c r="F70" s="976">
        <v>316263.28</v>
      </c>
      <c r="G70" s="977">
        <v>45930</v>
      </c>
      <c r="H70" s="775">
        <v>46037</v>
      </c>
      <c r="I70" s="729" t="s">
        <v>27</v>
      </c>
      <c r="J70" s="729"/>
      <c r="K70" s="729" t="s">
        <v>120</v>
      </c>
      <c r="L70" s="934" t="s">
        <v>120</v>
      </c>
      <c r="M70" s="819">
        <v>3.24</v>
      </c>
      <c r="N70" s="934" t="s">
        <v>871</v>
      </c>
      <c r="O70" s="729" t="s">
        <v>873</v>
      </c>
      <c r="P70" s="918" t="s">
        <v>732</v>
      </c>
      <c r="Q70" s="919">
        <f ca="1" t="shared" si="2"/>
        <v>205</v>
      </c>
      <c r="R70" s="728">
        <f t="shared" si="3"/>
        <v>46109</v>
      </c>
      <c r="S70" s="932"/>
    </row>
    <row r="71" ht="20.1" customHeight="1" spans="1:20">
      <c r="A71" s="897">
        <v>69</v>
      </c>
      <c r="B71" s="819">
        <v>580</v>
      </c>
      <c r="C71" s="729" t="s">
        <v>25</v>
      </c>
      <c r="D71" s="952" t="s">
        <v>917</v>
      </c>
      <c r="E71" s="934" t="s">
        <v>915</v>
      </c>
      <c r="F71" s="950">
        <v>76000</v>
      </c>
      <c r="G71" s="977">
        <v>45930</v>
      </c>
      <c r="H71" s="775">
        <v>46041</v>
      </c>
      <c r="I71" s="729" t="s">
        <v>27</v>
      </c>
      <c r="J71" s="729"/>
      <c r="K71" s="729" t="s">
        <v>120</v>
      </c>
      <c r="L71" s="934" t="s">
        <v>120</v>
      </c>
      <c r="M71" s="934" t="s">
        <v>871</v>
      </c>
      <c r="N71" s="934" t="s">
        <v>871</v>
      </c>
      <c r="O71" s="729" t="s">
        <v>873</v>
      </c>
      <c r="P71" s="918" t="s">
        <v>732</v>
      </c>
      <c r="Q71" s="919">
        <f ca="1" t="shared" si="2"/>
        <v>205</v>
      </c>
      <c r="R71" s="728">
        <f t="shared" si="3"/>
        <v>46109</v>
      </c>
      <c r="S71" s="932"/>
    </row>
    <row r="72" ht="20.1" customHeight="1" spans="1:20">
      <c r="A72" s="897">
        <v>70</v>
      </c>
      <c r="B72" s="919">
        <v>581</v>
      </c>
      <c r="C72" s="729" t="s">
        <v>25</v>
      </c>
      <c r="D72" s="952" t="s">
        <v>918</v>
      </c>
      <c r="E72" s="934" t="s">
        <v>915</v>
      </c>
      <c r="F72" s="950">
        <v>120000</v>
      </c>
      <c r="G72" s="977">
        <v>45930</v>
      </c>
      <c r="H72" s="775">
        <v>46042</v>
      </c>
      <c r="I72" s="729" t="s">
        <v>27</v>
      </c>
      <c r="J72" s="729"/>
      <c r="K72" s="729" t="s">
        <v>120</v>
      </c>
      <c r="L72" s="934" t="s">
        <v>120</v>
      </c>
      <c r="M72" s="934" t="s">
        <v>871</v>
      </c>
      <c r="N72" s="934" t="s">
        <v>871</v>
      </c>
      <c r="O72" s="729" t="s">
        <v>873</v>
      </c>
      <c r="P72" s="918" t="s">
        <v>732</v>
      </c>
      <c r="Q72" s="919">
        <f ca="1" t="shared" si="2"/>
        <v>205</v>
      </c>
      <c r="R72" s="728">
        <f t="shared" si="3"/>
        <v>46109</v>
      </c>
      <c r="S72" s="932"/>
    </row>
    <row r="73" ht="20.1" customHeight="1" spans="1:20">
      <c r="A73" s="897">
        <v>71</v>
      </c>
      <c r="B73" s="819">
        <v>582</v>
      </c>
      <c r="C73" s="729" t="s">
        <v>28</v>
      </c>
      <c r="D73" s="948" t="s">
        <v>850</v>
      </c>
      <c r="E73" s="934" t="s">
        <v>919</v>
      </c>
      <c r="F73" s="954">
        <v>112000</v>
      </c>
      <c r="G73" s="977">
        <v>45940</v>
      </c>
      <c r="H73" s="775">
        <v>46017</v>
      </c>
      <c r="I73" s="729" t="s">
        <v>27</v>
      </c>
      <c r="J73" s="729"/>
      <c r="K73" s="729" t="s">
        <v>120</v>
      </c>
      <c r="L73" s="729" t="s">
        <v>120</v>
      </c>
      <c r="M73" s="934" t="s">
        <v>871</v>
      </c>
      <c r="N73" s="934" t="s">
        <v>871</v>
      </c>
      <c r="O73" s="729" t="s">
        <v>873</v>
      </c>
      <c r="P73" s="918" t="s">
        <v>732</v>
      </c>
      <c r="Q73" s="919">
        <f ca="1" t="shared" si="2"/>
        <v>195</v>
      </c>
      <c r="R73" s="728">
        <f t="shared" si="3"/>
        <v>46119</v>
      </c>
      <c r="S73" s="938" t="s">
        <v>786</v>
      </c>
    </row>
    <row r="74" ht="20.1" customHeight="1" spans="1:20">
      <c r="A74" s="897">
        <v>72</v>
      </c>
      <c r="B74" s="973">
        <v>583</v>
      </c>
      <c r="C74" s="969" t="s">
        <v>15</v>
      </c>
      <c r="D74" s="992" t="s">
        <v>920</v>
      </c>
      <c r="E74" s="953" t="s">
        <v>921</v>
      </c>
      <c r="F74" s="993"/>
      <c r="G74" s="994">
        <v>45940</v>
      </c>
      <c r="H74" s="995">
        <v>46044</v>
      </c>
      <c r="I74" s="969" t="s">
        <v>27</v>
      </c>
      <c r="J74" s="969"/>
      <c r="K74" s="996" t="s">
        <v>55</v>
      </c>
      <c r="L74" s="997" t="s">
        <v>872</v>
      </c>
      <c r="M74" s="997" t="s">
        <v>872</v>
      </c>
      <c r="N74" s="819" t="s">
        <v>872</v>
      </c>
      <c r="O74" s="819" t="s">
        <v>872</v>
      </c>
      <c r="P74" s="998" t="s">
        <v>872</v>
      </c>
      <c r="Q74" s="973">
        <f ca="1" t="shared" si="2"/>
        <v>195</v>
      </c>
      <c r="R74" s="974">
        <f t="shared" si="3"/>
        <v>46119</v>
      </c>
      <c r="S74" s="975"/>
    </row>
    <row r="75" ht="20.1" customHeight="1" spans="1:20">
      <c r="A75" s="897">
        <v>73</v>
      </c>
      <c r="B75" s="819">
        <v>584</v>
      </c>
      <c r="C75" s="729" t="s">
        <v>31</v>
      </c>
      <c r="D75" s="948" t="s">
        <v>825</v>
      </c>
      <c r="E75" s="934" t="s">
        <v>919</v>
      </c>
      <c r="F75" s="999">
        <v>60910.18</v>
      </c>
      <c r="G75" s="775">
        <v>45945</v>
      </c>
      <c r="H75" s="1000">
        <v>45996</v>
      </c>
      <c r="I75" s="729" t="s">
        <v>27</v>
      </c>
      <c r="J75" s="729"/>
      <c r="K75" s="729" t="s">
        <v>120</v>
      </c>
      <c r="L75" s="729" t="s">
        <v>120</v>
      </c>
      <c r="M75" s="934" t="s">
        <v>871</v>
      </c>
      <c r="N75" s="819" t="s">
        <v>872</v>
      </c>
      <c r="O75" s="729"/>
      <c r="P75" s="918" t="s">
        <v>732</v>
      </c>
      <c r="Q75" s="919">
        <f ca="1" t="shared" si="2"/>
        <v>190</v>
      </c>
      <c r="R75" s="728">
        <f t="shared" si="3"/>
        <v>46124</v>
      </c>
      <c r="S75" s="938" t="s">
        <v>786</v>
      </c>
    </row>
    <row r="76" ht="20.1" customHeight="1" spans="1:20">
      <c r="A76" s="897">
        <v>74</v>
      </c>
      <c r="B76" s="919">
        <v>585</v>
      </c>
      <c r="C76" s="729" t="s">
        <v>15</v>
      </c>
      <c r="D76" s="1001" t="s">
        <v>922</v>
      </c>
      <c r="E76" s="934" t="s">
        <v>919</v>
      </c>
      <c r="F76" s="1002">
        <v>320000</v>
      </c>
      <c r="G76" s="977">
        <v>45946</v>
      </c>
      <c r="H76" s="1000">
        <v>46062</v>
      </c>
      <c r="I76" s="729" t="s">
        <v>27</v>
      </c>
      <c r="J76" s="729"/>
      <c r="K76" s="729" t="s">
        <v>120</v>
      </c>
      <c r="L76" s="1003" t="s">
        <v>923</v>
      </c>
      <c r="M76" s="819">
        <v>3.24</v>
      </c>
      <c r="N76" s="934" t="s">
        <v>871</v>
      </c>
      <c r="O76" s="729" t="s">
        <v>873</v>
      </c>
      <c r="P76" s="937"/>
      <c r="Q76" s="919">
        <f ca="1" t="shared" si="2"/>
        <v>189</v>
      </c>
      <c r="R76" s="728">
        <f t="shared" si="3"/>
        <v>46125</v>
      </c>
      <c r="S76" s="932"/>
    </row>
    <row r="77" ht="20.1" customHeight="1" spans="1:20">
      <c r="A77" s="897">
        <v>75</v>
      </c>
      <c r="B77" s="819">
        <v>586</v>
      </c>
      <c r="C77" s="729" t="s">
        <v>15</v>
      </c>
      <c r="D77" s="1004" t="s">
        <v>924</v>
      </c>
      <c r="E77" s="953" t="s">
        <v>921</v>
      </c>
      <c r="F77" s="1002">
        <v>200000</v>
      </c>
      <c r="G77" s="977">
        <v>45946</v>
      </c>
      <c r="H77" s="1000">
        <v>46062</v>
      </c>
      <c r="I77" s="729" t="s">
        <v>27</v>
      </c>
      <c r="J77" s="729"/>
      <c r="K77" s="729" t="s">
        <v>120</v>
      </c>
      <c r="L77" s="1003" t="s">
        <v>923</v>
      </c>
      <c r="M77" s="819">
        <v>3.31</v>
      </c>
      <c r="N77" s="934" t="s">
        <v>871</v>
      </c>
      <c r="O77" s="819"/>
      <c r="P77" s="937"/>
      <c r="Q77" s="919">
        <f ca="1" t="shared" si="2"/>
        <v>189</v>
      </c>
      <c r="R77" s="728">
        <f t="shared" si="3"/>
        <v>46125</v>
      </c>
      <c r="S77" s="932"/>
    </row>
    <row r="78" ht="20.1" customHeight="1" spans="1:20">
      <c r="A78" s="897">
        <v>76</v>
      </c>
      <c r="B78" s="919">
        <v>587</v>
      </c>
      <c r="C78" s="729" t="s">
        <v>15</v>
      </c>
      <c r="D78" s="1005" t="s">
        <v>925</v>
      </c>
      <c r="E78" s="953" t="s">
        <v>921</v>
      </c>
      <c r="F78" s="1006">
        <v>157023.33</v>
      </c>
      <c r="G78" s="977">
        <v>45946</v>
      </c>
      <c r="H78" s="1000">
        <v>46062</v>
      </c>
      <c r="I78" s="729" t="s">
        <v>27</v>
      </c>
      <c r="J78" s="729"/>
      <c r="K78" s="729" t="s">
        <v>120</v>
      </c>
      <c r="L78" s="1003" t="s">
        <v>923</v>
      </c>
      <c r="M78" s="819">
        <v>3.31</v>
      </c>
      <c r="N78" s="934" t="s">
        <v>871</v>
      </c>
      <c r="O78" s="819"/>
      <c r="P78" s="937"/>
      <c r="Q78" s="919">
        <f ca="1" t="shared" si="2"/>
        <v>189</v>
      </c>
      <c r="R78" s="728">
        <f t="shared" si="3"/>
        <v>46125</v>
      </c>
      <c r="S78" s="932"/>
    </row>
    <row r="79" ht="25.8" customHeight="1" spans="1:20">
      <c r="A79" s="897">
        <v>77</v>
      </c>
      <c r="B79" s="1007">
        <v>588</v>
      </c>
      <c r="C79" s="934" t="s">
        <v>808</v>
      </c>
      <c r="D79" s="952" t="s">
        <v>809</v>
      </c>
      <c r="E79" s="953" t="s">
        <v>921</v>
      </c>
      <c r="F79" s="1008">
        <v>1520000</v>
      </c>
      <c r="G79" s="1009">
        <v>45951</v>
      </c>
      <c r="H79" s="1010">
        <v>45980</v>
      </c>
      <c r="I79" s="1011" t="s">
        <v>17</v>
      </c>
      <c r="J79" s="1012"/>
      <c r="K79" s="1013" t="s">
        <v>55</v>
      </c>
      <c r="L79" s="1007" t="s">
        <v>872</v>
      </c>
      <c r="M79" s="1007" t="s">
        <v>872</v>
      </c>
      <c r="N79" s="1007" t="s">
        <v>872</v>
      </c>
      <c r="O79" s="1007" t="s">
        <v>872</v>
      </c>
      <c r="P79" s="1007" t="s">
        <v>872</v>
      </c>
      <c r="Q79" s="965">
        <f ca="1" t="shared" si="2"/>
        <v>184</v>
      </c>
      <c r="R79" s="966">
        <f t="shared" si="3"/>
        <v>46130</v>
      </c>
      <c r="S79" s="1014" t="s">
        <v>926</v>
      </c>
      <c r="T79" s="889"/>
    </row>
    <row r="80" s="889" customFormat="1" ht="29.55" customHeight="1" spans="1:20">
      <c r="A80" s="897">
        <v>78</v>
      </c>
      <c r="B80" s="919">
        <v>589</v>
      </c>
      <c r="C80" s="729" t="s">
        <v>31</v>
      </c>
      <c r="D80" s="948" t="s">
        <v>830</v>
      </c>
      <c r="E80" s="934" t="s">
        <v>919</v>
      </c>
      <c r="F80" s="999">
        <v>771767.83</v>
      </c>
      <c r="G80" s="775">
        <v>45951</v>
      </c>
      <c r="H80" s="1000">
        <v>46000</v>
      </c>
      <c r="I80" s="931" t="s">
        <v>17</v>
      </c>
      <c r="J80" s="1015"/>
      <c r="K80" s="729" t="s">
        <v>120</v>
      </c>
      <c r="L80" s="819"/>
      <c r="M80" s="819"/>
      <c r="N80" s="819"/>
      <c r="O80" s="819"/>
      <c r="P80" s="937"/>
      <c r="Q80" s="919">
        <f ca="1" t="shared" si="2"/>
        <v>184</v>
      </c>
      <c r="R80" s="728">
        <f t="shared" si="3"/>
        <v>46130</v>
      </c>
      <c r="S80" s="932"/>
      <c r="T80"/>
    </row>
    <row r="81" ht="20.1" customHeight="1" spans="1:20">
      <c r="A81" s="897">
        <v>79</v>
      </c>
      <c r="B81" s="819">
        <v>590</v>
      </c>
      <c r="C81" s="729" t="s">
        <v>28</v>
      </c>
      <c r="D81" s="968" t="s">
        <v>927</v>
      </c>
      <c r="E81" s="934" t="s">
        <v>909</v>
      </c>
      <c r="F81" s="1002">
        <v>104000</v>
      </c>
      <c r="G81" s="977">
        <v>45952</v>
      </c>
      <c r="H81" s="1000">
        <v>46059</v>
      </c>
      <c r="I81" s="729" t="s">
        <v>27</v>
      </c>
      <c r="J81" s="729"/>
      <c r="K81" s="819"/>
      <c r="L81" s="819"/>
      <c r="M81" s="819"/>
      <c r="N81" s="819"/>
      <c r="O81" s="819"/>
      <c r="P81" s="937"/>
      <c r="Q81" s="919">
        <f ca="1" t="shared" si="2"/>
        <v>183</v>
      </c>
      <c r="R81" s="728">
        <f t="shared" si="3"/>
        <v>46131</v>
      </c>
      <c r="S81" s="932"/>
    </row>
    <row r="82" ht="20.1" customHeight="1" spans="1:20">
      <c r="A82" s="897">
        <v>80</v>
      </c>
      <c r="B82" s="919">
        <v>591</v>
      </c>
      <c r="C82" s="729" t="s">
        <v>15</v>
      </c>
      <c r="D82" s="1001" t="s">
        <v>928</v>
      </c>
      <c r="E82" s="934" t="s">
        <v>929</v>
      </c>
      <c r="F82" s="1002">
        <v>400000</v>
      </c>
      <c r="G82" s="977">
        <v>45952</v>
      </c>
      <c r="H82" s="1000">
        <v>46062</v>
      </c>
      <c r="I82" s="729" t="s">
        <v>27</v>
      </c>
      <c r="J82" s="729"/>
      <c r="K82" s="729" t="s">
        <v>120</v>
      </c>
      <c r="L82" s="1003" t="s">
        <v>923</v>
      </c>
      <c r="M82" s="819">
        <v>3.24</v>
      </c>
      <c r="N82" s="934" t="s">
        <v>871</v>
      </c>
      <c r="O82" s="819"/>
      <c r="P82" s="937"/>
      <c r="Q82" s="919">
        <f ca="1" t="shared" si="2"/>
        <v>183</v>
      </c>
      <c r="R82" s="728">
        <f t="shared" si="3"/>
        <v>46131</v>
      </c>
      <c r="S82" s="932"/>
    </row>
    <row r="83" ht="20.1" customHeight="1" spans="1:20">
      <c r="A83" s="897">
        <v>81</v>
      </c>
      <c r="B83" s="819">
        <v>592</v>
      </c>
      <c r="C83" s="729" t="s">
        <v>15</v>
      </c>
      <c r="D83" s="948" t="s">
        <v>930</v>
      </c>
      <c r="E83" s="934" t="s">
        <v>929</v>
      </c>
      <c r="F83" s="1002">
        <v>240000</v>
      </c>
      <c r="G83" s="977">
        <v>45952</v>
      </c>
      <c r="H83" s="1000">
        <v>46062</v>
      </c>
      <c r="I83" s="729" t="s">
        <v>27</v>
      </c>
      <c r="J83" s="729"/>
      <c r="K83" s="729" t="s">
        <v>120</v>
      </c>
      <c r="L83" s="1003" t="s">
        <v>923</v>
      </c>
      <c r="M83" s="819"/>
      <c r="N83" s="934" t="s">
        <v>871</v>
      </c>
      <c r="O83" s="729" t="s">
        <v>873</v>
      </c>
      <c r="P83" s="937"/>
      <c r="Q83" s="919">
        <f ca="1" t="shared" si="2"/>
        <v>183</v>
      </c>
      <c r="R83" s="728">
        <f t="shared" si="3"/>
        <v>46131</v>
      </c>
      <c r="S83" s="932"/>
    </row>
    <row r="84" ht="22.8" customHeight="1" spans="1:20">
      <c r="A84" s="897">
        <v>82</v>
      </c>
      <c r="B84" s="919">
        <v>593</v>
      </c>
      <c r="C84" s="729" t="s">
        <v>28</v>
      </c>
      <c r="D84" s="968" t="s">
        <v>931</v>
      </c>
      <c r="E84" s="934" t="s">
        <v>932</v>
      </c>
      <c r="F84" s="950">
        <v>60000</v>
      </c>
      <c r="G84" s="994">
        <v>45954</v>
      </c>
      <c r="H84" s="775">
        <v>46058</v>
      </c>
      <c r="I84" s="729" t="s">
        <v>27</v>
      </c>
      <c r="J84" s="729"/>
      <c r="K84" s="819"/>
      <c r="L84" s="819"/>
      <c r="M84" s="819"/>
      <c r="N84" s="819"/>
      <c r="O84" s="819"/>
      <c r="P84" s="937"/>
      <c r="Q84" s="919">
        <f ca="1" t="shared" si="2"/>
        <v>181</v>
      </c>
      <c r="R84" s="728">
        <f t="shared" si="3"/>
        <v>46133</v>
      </c>
      <c r="S84" s="932"/>
    </row>
    <row r="85" ht="20.1" customHeight="1" spans="1:20">
      <c r="A85" s="897">
        <v>83</v>
      </c>
      <c r="B85" s="819">
        <v>594</v>
      </c>
      <c r="C85" s="729" t="s">
        <v>15</v>
      </c>
      <c r="D85" s="948" t="s">
        <v>933</v>
      </c>
      <c r="E85" s="934" t="s">
        <v>929</v>
      </c>
      <c r="F85" s="976">
        <v>278285.13</v>
      </c>
      <c r="G85" s="977">
        <v>45954</v>
      </c>
      <c r="H85" s="775">
        <v>46062</v>
      </c>
      <c r="I85" s="729" t="s">
        <v>27</v>
      </c>
      <c r="J85" s="729"/>
      <c r="K85" s="729" t="s">
        <v>120</v>
      </c>
      <c r="L85" s="819"/>
      <c r="M85" s="819"/>
      <c r="N85" s="934"/>
      <c r="O85" s="729" t="s">
        <v>873</v>
      </c>
      <c r="P85" s="937"/>
      <c r="Q85" s="919">
        <f ca="1" t="shared" si="2"/>
        <v>181</v>
      </c>
      <c r="R85" s="728">
        <f t="shared" si="3"/>
        <v>46133</v>
      </c>
      <c r="S85" s="932"/>
    </row>
    <row r="86" ht="20.1" customHeight="1" spans="1:20">
      <c r="A86" s="897">
        <v>84</v>
      </c>
      <c r="B86" s="919">
        <v>595</v>
      </c>
      <c r="C86" s="729" t="s">
        <v>15</v>
      </c>
      <c r="D86" s="948" t="s">
        <v>934</v>
      </c>
      <c r="E86" s="934" t="s">
        <v>929</v>
      </c>
      <c r="F86" s="1016">
        <v>191741.24</v>
      </c>
      <c r="G86" s="989">
        <v>45954</v>
      </c>
      <c r="H86" s="775">
        <v>46062</v>
      </c>
      <c r="I86" s="729" t="s">
        <v>27</v>
      </c>
      <c r="J86" s="729"/>
      <c r="K86" s="729" t="s">
        <v>120</v>
      </c>
      <c r="L86" s="1003" t="s">
        <v>923</v>
      </c>
      <c r="M86" s="819"/>
      <c r="N86" s="934" t="s">
        <v>871</v>
      </c>
      <c r="O86" s="729" t="s">
        <v>873</v>
      </c>
      <c r="P86" s="937"/>
      <c r="Q86" s="919">
        <f ca="1" t="shared" si="2"/>
        <v>181</v>
      </c>
      <c r="R86" s="728">
        <f t="shared" si="3"/>
        <v>46133</v>
      </c>
      <c r="S86" s="932"/>
    </row>
    <row r="87" ht="20.1" customHeight="1" spans="1:20">
      <c r="A87" s="897">
        <v>85</v>
      </c>
      <c r="B87" s="819">
        <v>596</v>
      </c>
      <c r="C87" s="838" t="s">
        <v>15</v>
      </c>
      <c r="D87" s="1004" t="s">
        <v>935</v>
      </c>
      <c r="E87" s="934" t="s">
        <v>909</v>
      </c>
      <c r="F87" s="976">
        <v>117231.38</v>
      </c>
      <c r="G87" s="1017">
        <v>45954</v>
      </c>
      <c r="H87" s="775">
        <v>46062</v>
      </c>
      <c r="I87" s="729" t="s">
        <v>27</v>
      </c>
      <c r="J87" s="729"/>
      <c r="K87" s="729" t="s">
        <v>120</v>
      </c>
      <c r="L87" s="1003" t="s">
        <v>923</v>
      </c>
      <c r="M87" s="819">
        <v>3.31</v>
      </c>
      <c r="N87" s="934" t="s">
        <v>871</v>
      </c>
      <c r="O87" s="819"/>
      <c r="P87" s="937"/>
      <c r="Q87" s="919">
        <f ca="1" t="shared" si="2"/>
        <v>181</v>
      </c>
      <c r="R87" s="728">
        <f t="shared" si="3"/>
        <v>46133</v>
      </c>
      <c r="S87" s="932"/>
    </row>
    <row r="88" ht="20.1" customHeight="1" spans="1:20">
      <c r="A88" s="897">
        <v>86</v>
      </c>
      <c r="B88" s="919">
        <v>597</v>
      </c>
      <c r="C88" s="729" t="s">
        <v>79</v>
      </c>
      <c r="D88" s="948" t="s">
        <v>851</v>
      </c>
      <c r="E88" s="934" t="s">
        <v>909</v>
      </c>
      <c r="F88" s="976">
        <v>2599797.09</v>
      </c>
      <c r="G88" s="989">
        <v>45960</v>
      </c>
      <c r="H88" s="775">
        <v>46020</v>
      </c>
      <c r="I88" s="931" t="s">
        <v>17</v>
      </c>
      <c r="J88" s="931"/>
      <c r="K88" s="729" t="s">
        <v>120</v>
      </c>
      <c r="L88" s="819"/>
      <c r="M88" s="819"/>
      <c r="N88" s="819"/>
      <c r="O88" s="819"/>
      <c r="P88" s="937"/>
      <c r="Q88" s="919">
        <f ca="1" t="shared" si="2"/>
        <v>175</v>
      </c>
      <c r="R88" s="728">
        <f t="shared" si="3"/>
        <v>46139</v>
      </c>
      <c r="S88" s="932"/>
      <c r="T88" s="933"/>
    </row>
    <row r="89" ht="20.1" customHeight="1" spans="1:20">
      <c r="A89" s="897">
        <v>87</v>
      </c>
      <c r="B89" s="1018">
        <v>598</v>
      </c>
      <c r="C89" s="951" t="s">
        <v>79</v>
      </c>
      <c r="D89" s="1019" t="s">
        <v>801</v>
      </c>
      <c r="E89" s="1020" t="s">
        <v>932</v>
      </c>
      <c r="F89" s="1021">
        <v>799999.98</v>
      </c>
      <c r="G89" s="1022">
        <v>45961</v>
      </c>
      <c r="H89" s="991">
        <v>45979</v>
      </c>
      <c r="I89" s="1023" t="s">
        <v>17</v>
      </c>
      <c r="J89" s="1023"/>
      <c r="K89" s="729" t="s">
        <v>120</v>
      </c>
      <c r="L89" s="1018"/>
      <c r="M89" s="1018"/>
      <c r="N89" s="1018"/>
      <c r="O89" s="1018"/>
      <c r="P89" s="1024"/>
      <c r="Q89" s="1025">
        <f ca="1" t="shared" si="2"/>
        <v>174</v>
      </c>
      <c r="R89" s="834">
        <f t="shared" si="3"/>
        <v>46140</v>
      </c>
      <c r="S89" s="1026"/>
    </row>
    <row r="90" ht="20.1" customHeight="1" spans="1:20">
      <c r="A90" s="897">
        <v>88</v>
      </c>
      <c r="B90" s="1027">
        <v>599</v>
      </c>
      <c r="C90" s="1028" t="s">
        <v>79</v>
      </c>
      <c r="D90" s="1029" t="s">
        <v>936</v>
      </c>
      <c r="E90" s="1030" t="s">
        <v>932</v>
      </c>
      <c r="F90" s="1031">
        <v>60952.38</v>
      </c>
      <c r="G90" s="1032">
        <v>45961</v>
      </c>
      <c r="H90" s="1033">
        <v>45979</v>
      </c>
      <c r="I90" s="1034" t="s">
        <v>27</v>
      </c>
      <c r="J90" s="1034"/>
      <c r="K90" s="1035"/>
      <c r="L90" s="1035"/>
      <c r="M90" s="1035"/>
      <c r="N90" s="1035"/>
      <c r="O90" s="1035"/>
      <c r="P90" s="1036"/>
      <c r="Q90" s="1027">
        <f ca="1" t="shared" si="2"/>
        <v>174</v>
      </c>
      <c r="R90" s="1037">
        <f t="shared" si="3"/>
        <v>46140</v>
      </c>
      <c r="S90" s="1038"/>
    </row>
    <row r="91" ht="23.55" customHeight="1" spans="1:20">
      <c r="A91" s="897">
        <v>89</v>
      </c>
      <c r="B91" s="819">
        <v>600</v>
      </c>
      <c r="C91" s="987" t="s">
        <v>79</v>
      </c>
      <c r="D91" s="1039" t="s">
        <v>937</v>
      </c>
      <c r="E91" s="934" t="s">
        <v>932</v>
      </c>
      <c r="F91" s="1021">
        <v>35619.04</v>
      </c>
      <c r="G91" s="1022">
        <v>45961</v>
      </c>
      <c r="H91" s="775">
        <v>45979</v>
      </c>
      <c r="I91" s="729" t="s">
        <v>27</v>
      </c>
      <c r="J91" s="729"/>
      <c r="K91" s="819"/>
      <c r="L91" s="819"/>
      <c r="M91" s="819"/>
      <c r="N91" s="819"/>
      <c r="O91" s="819"/>
      <c r="P91" s="937"/>
      <c r="Q91" s="919">
        <f ca="1" t="shared" si="2"/>
        <v>174</v>
      </c>
      <c r="R91" s="728">
        <f t="shared" si="3"/>
        <v>46140</v>
      </c>
      <c r="S91" s="1040"/>
    </row>
    <row r="92" ht="20.1" customHeight="1" spans="1:20">
      <c r="A92" s="897">
        <v>90</v>
      </c>
      <c r="B92" s="919">
        <v>601</v>
      </c>
      <c r="C92" s="1041" t="s">
        <v>79</v>
      </c>
      <c r="D92" s="1039" t="s">
        <v>938</v>
      </c>
      <c r="E92" s="934" t="s">
        <v>932</v>
      </c>
      <c r="F92" s="954">
        <v>26858.16</v>
      </c>
      <c r="G92" s="775">
        <v>45961</v>
      </c>
      <c r="H92" s="775">
        <v>45979</v>
      </c>
      <c r="I92" s="729" t="s">
        <v>27</v>
      </c>
      <c r="J92" s="729"/>
      <c r="K92" s="819"/>
      <c r="L92" s="819"/>
      <c r="M92" s="819"/>
      <c r="N92" s="819"/>
      <c r="O92" s="819"/>
      <c r="P92" s="937"/>
      <c r="Q92" s="919">
        <f ca="1" t="shared" si="2"/>
        <v>174</v>
      </c>
      <c r="R92" s="728">
        <f t="shared" si="3"/>
        <v>46140</v>
      </c>
      <c r="S92" s="1040"/>
    </row>
    <row r="93" ht="22.95" customHeight="1" spans="1:20">
      <c r="A93" s="897">
        <v>91</v>
      </c>
      <c r="B93" s="819">
        <v>602</v>
      </c>
      <c r="C93" s="987" t="s">
        <v>79</v>
      </c>
      <c r="D93" s="1042" t="s">
        <v>939</v>
      </c>
      <c r="E93" s="934" t="s">
        <v>932</v>
      </c>
      <c r="F93" s="954">
        <v>6285.72</v>
      </c>
      <c r="G93" s="775">
        <v>45961</v>
      </c>
      <c r="H93" s="775">
        <v>45979</v>
      </c>
      <c r="I93" s="729" t="s">
        <v>27</v>
      </c>
      <c r="J93" s="729"/>
      <c r="K93" s="819"/>
      <c r="L93" s="819"/>
      <c r="M93" s="819"/>
      <c r="N93" s="819"/>
      <c r="O93" s="819"/>
      <c r="P93" s="937"/>
      <c r="Q93" s="919">
        <f ca="1" t="shared" si="2"/>
        <v>174</v>
      </c>
      <c r="R93" s="728">
        <f t="shared" si="3"/>
        <v>46140</v>
      </c>
      <c r="S93" s="1040"/>
      <c r="T93" s="933"/>
    </row>
    <row r="94" ht="20.1" customHeight="1" spans="1:20">
      <c r="A94" s="897">
        <v>92</v>
      </c>
      <c r="B94" s="919">
        <v>603</v>
      </c>
      <c r="C94" s="987" t="s">
        <v>79</v>
      </c>
      <c r="D94" s="1039" t="s">
        <v>940</v>
      </c>
      <c r="E94" s="934" t="s">
        <v>932</v>
      </c>
      <c r="F94" s="954">
        <v>1714.29</v>
      </c>
      <c r="G94" s="775">
        <v>45961</v>
      </c>
      <c r="H94" s="775">
        <v>45979</v>
      </c>
      <c r="I94" s="729" t="s">
        <v>27</v>
      </c>
      <c r="J94" s="729"/>
      <c r="K94" s="819"/>
      <c r="L94" s="819"/>
      <c r="M94" s="819"/>
      <c r="N94" s="819"/>
      <c r="O94" s="819"/>
      <c r="P94" s="937"/>
      <c r="Q94" s="919">
        <f ca="1" t="shared" si="2"/>
        <v>174</v>
      </c>
      <c r="R94" s="728">
        <f t="shared" si="3"/>
        <v>46140</v>
      </c>
      <c r="S94" s="1040"/>
    </row>
    <row r="95" ht="20.1" customHeight="1" spans="1:20">
      <c r="A95" s="897">
        <v>93</v>
      </c>
      <c r="B95" s="819">
        <v>604</v>
      </c>
      <c r="C95" s="729" t="s">
        <v>15</v>
      </c>
      <c r="D95" s="948" t="s">
        <v>941</v>
      </c>
      <c r="E95" s="934" t="s">
        <v>942</v>
      </c>
      <c r="F95" s="950">
        <v>520000</v>
      </c>
      <c r="G95" s="977">
        <v>45961</v>
      </c>
      <c r="H95" s="775">
        <v>46062</v>
      </c>
      <c r="I95" s="931" t="s">
        <v>17</v>
      </c>
      <c r="J95" s="729"/>
      <c r="K95" s="729" t="s">
        <v>120</v>
      </c>
      <c r="L95" s="819"/>
      <c r="M95" s="819"/>
      <c r="N95" s="819"/>
      <c r="O95" s="819"/>
      <c r="P95" s="937"/>
      <c r="Q95" s="919">
        <f ca="1" t="shared" si="2"/>
        <v>174</v>
      </c>
      <c r="R95" s="728">
        <f t="shared" si="3"/>
        <v>46140</v>
      </c>
      <c r="S95" s="1040"/>
    </row>
    <row r="96" ht="20.1" customHeight="1" spans="1:20">
      <c r="A96" s="897">
        <v>94</v>
      </c>
      <c r="B96" s="919">
        <v>605</v>
      </c>
      <c r="C96" s="729" t="s">
        <v>25</v>
      </c>
      <c r="D96" s="948" t="s">
        <v>943</v>
      </c>
      <c r="E96" s="934" t="s">
        <v>942</v>
      </c>
      <c r="F96" s="950">
        <v>120000</v>
      </c>
      <c r="G96" s="977">
        <v>45961</v>
      </c>
      <c r="H96" s="775">
        <v>46062</v>
      </c>
      <c r="I96" s="729" t="s">
        <v>27</v>
      </c>
      <c r="J96" s="729"/>
      <c r="K96" s="819"/>
      <c r="L96" s="819"/>
      <c r="M96" s="819"/>
      <c r="N96" s="819"/>
      <c r="O96" s="819"/>
      <c r="P96" s="937"/>
      <c r="Q96" s="919">
        <f ca="1" t="shared" si="2"/>
        <v>174</v>
      </c>
      <c r="R96" s="728">
        <f t="shared" si="3"/>
        <v>46140</v>
      </c>
      <c r="S96" s="1040"/>
      <c r="T96" s="933"/>
    </row>
    <row r="97" s="890" customFormat="1" ht="19.05" customHeight="1" spans="1:20">
      <c r="A97" s="897">
        <v>95</v>
      </c>
      <c r="B97" s="819">
        <v>606</v>
      </c>
      <c r="C97" s="729" t="s">
        <v>25</v>
      </c>
      <c r="D97" s="948" t="s">
        <v>944</v>
      </c>
      <c r="E97" s="934" t="s">
        <v>942</v>
      </c>
      <c r="F97" s="950">
        <v>200000</v>
      </c>
      <c r="G97" s="977">
        <v>45961</v>
      </c>
      <c r="H97" s="775">
        <v>46063</v>
      </c>
      <c r="I97" s="729" t="s">
        <v>27</v>
      </c>
      <c r="J97" s="729"/>
      <c r="K97" s="819"/>
      <c r="L97" s="819"/>
      <c r="M97" s="819"/>
      <c r="N97" s="819"/>
      <c r="O97" s="819"/>
      <c r="P97" s="937"/>
      <c r="Q97" s="919">
        <f ca="1" t="shared" si="2"/>
        <v>174</v>
      </c>
      <c r="R97" s="728">
        <f t="shared" si="3"/>
        <v>46140</v>
      </c>
      <c r="S97" s="1040"/>
    </row>
    <row r="98" ht="20.1" customHeight="1" spans="1:20">
      <c r="A98" s="897">
        <v>96</v>
      </c>
      <c r="B98" s="973">
        <v>607</v>
      </c>
      <c r="C98" s="969" t="s">
        <v>15</v>
      </c>
      <c r="D98" s="970" t="s">
        <v>945</v>
      </c>
      <c r="E98" s="953" t="s">
        <v>942</v>
      </c>
      <c r="F98" s="1043">
        <v>125377.65</v>
      </c>
      <c r="G98" s="994">
        <v>45961</v>
      </c>
      <c r="H98" s="972">
        <v>46066</v>
      </c>
      <c r="I98" s="969" t="s">
        <v>27</v>
      </c>
      <c r="J98" s="969"/>
      <c r="K98" s="997"/>
      <c r="L98" s="997"/>
      <c r="M98" s="997"/>
      <c r="N98" s="997"/>
      <c r="O98" s="997"/>
      <c r="P98" s="998"/>
      <c r="Q98" s="973">
        <f ca="1" t="shared" si="2"/>
        <v>174</v>
      </c>
      <c r="R98" s="974">
        <f t="shared" si="3"/>
        <v>46140</v>
      </c>
      <c r="S98" s="1044"/>
    </row>
    <row r="99" ht="20.1" customHeight="1" spans="1:20">
      <c r="A99" s="897">
        <v>97</v>
      </c>
      <c r="B99" s="819">
        <v>608</v>
      </c>
      <c r="C99" s="729" t="s">
        <v>15</v>
      </c>
      <c r="D99" s="1045" t="s">
        <v>946</v>
      </c>
      <c r="E99" s="969" t="s">
        <v>947</v>
      </c>
      <c r="F99" s="976">
        <v>35648.98</v>
      </c>
      <c r="G99" s="1046">
        <v>45961</v>
      </c>
      <c r="H99" s="775">
        <v>46066</v>
      </c>
      <c r="I99" s="729" t="s">
        <v>27</v>
      </c>
      <c r="J99" s="729"/>
      <c r="K99" s="819"/>
      <c r="L99" s="819"/>
      <c r="M99" s="819"/>
      <c r="N99" s="819"/>
      <c r="O99" s="819"/>
      <c r="P99" s="937"/>
      <c r="Q99" s="919">
        <f ca="1" t="shared" si="2"/>
        <v>174</v>
      </c>
      <c r="R99" s="728">
        <f t="shared" si="3"/>
        <v>46140</v>
      </c>
      <c r="S99" s="1040"/>
    </row>
    <row r="100" ht="20.1" customHeight="1" spans="1:20">
      <c r="A100" s="897">
        <v>98</v>
      </c>
      <c r="B100" s="919">
        <v>609</v>
      </c>
      <c r="C100" s="729" t="s">
        <v>15</v>
      </c>
      <c r="D100" s="948" t="s">
        <v>948</v>
      </c>
      <c r="E100" s="934" t="s">
        <v>413</v>
      </c>
      <c r="F100" s="976">
        <v>206807.25</v>
      </c>
      <c r="G100" s="977">
        <v>45965</v>
      </c>
      <c r="H100" s="775">
        <v>46066</v>
      </c>
      <c r="I100" s="729" t="s">
        <v>27</v>
      </c>
      <c r="J100" s="729"/>
      <c r="K100" s="819"/>
      <c r="L100" s="819"/>
      <c r="M100" s="819"/>
      <c r="N100" s="1047"/>
      <c r="O100" s="819"/>
      <c r="P100" s="937"/>
      <c r="Q100" s="919">
        <f ca="1" t="shared" si="2"/>
        <v>170</v>
      </c>
      <c r="R100" s="728">
        <f t="shared" si="3"/>
        <v>46144</v>
      </c>
      <c r="S100" s="1040"/>
    </row>
    <row r="101" ht="20.1" customHeight="1" spans="1:20">
      <c r="A101" s="897">
        <v>99</v>
      </c>
      <c r="B101" s="819">
        <v>610</v>
      </c>
      <c r="C101" s="729" t="s">
        <v>15</v>
      </c>
      <c r="D101" s="948" t="s">
        <v>949</v>
      </c>
      <c r="E101" s="953" t="s">
        <v>413</v>
      </c>
      <c r="F101" s="976">
        <v>188128.59</v>
      </c>
      <c r="G101" s="977">
        <v>45965</v>
      </c>
      <c r="H101" s="775">
        <v>46066</v>
      </c>
      <c r="I101" s="729" t="s">
        <v>27</v>
      </c>
      <c r="J101" s="729"/>
      <c r="K101" s="819"/>
      <c r="L101" s="819"/>
      <c r="M101" s="819"/>
      <c r="N101" s="819"/>
      <c r="O101" s="819"/>
      <c r="P101" s="937"/>
      <c r="Q101" s="919">
        <f ca="1" t="shared" si="2"/>
        <v>170</v>
      </c>
      <c r="R101" s="728">
        <f t="shared" si="3"/>
        <v>46144</v>
      </c>
      <c r="S101" s="1040"/>
    </row>
    <row r="102" ht="22.5" customHeight="1" spans="1:20">
      <c r="A102" s="897">
        <v>100</v>
      </c>
      <c r="B102" s="919">
        <v>611</v>
      </c>
      <c r="C102" s="729" t="s">
        <v>15</v>
      </c>
      <c r="D102" s="948" t="s">
        <v>950</v>
      </c>
      <c r="E102" s="953" t="s">
        <v>413</v>
      </c>
      <c r="F102" s="950">
        <v>540000</v>
      </c>
      <c r="G102" s="977">
        <v>45971</v>
      </c>
      <c r="H102" s="775">
        <v>46066</v>
      </c>
      <c r="I102" s="931" t="s">
        <v>17</v>
      </c>
      <c r="J102" s="729"/>
      <c r="K102" s="819"/>
      <c r="L102" s="819"/>
      <c r="M102" s="819"/>
      <c r="N102" s="819"/>
      <c r="O102" s="819"/>
      <c r="P102" s="937"/>
      <c r="Q102" s="919">
        <f ca="1" t="shared" si="2"/>
        <v>164</v>
      </c>
      <c r="R102" s="728">
        <f t="shared" si="3"/>
        <v>46150</v>
      </c>
      <c r="S102" s="1040"/>
    </row>
    <row r="103" ht="20.1" customHeight="1" spans="1:20">
      <c r="A103" s="897">
        <v>101</v>
      </c>
      <c r="B103" s="819">
        <v>612</v>
      </c>
      <c r="C103" s="1048" t="s">
        <v>287</v>
      </c>
      <c r="D103" s="1049" t="s">
        <v>828</v>
      </c>
      <c r="E103" s="1050" t="s">
        <v>437</v>
      </c>
      <c r="F103" s="1051">
        <v>120000</v>
      </c>
      <c r="G103" s="1052">
        <v>45973</v>
      </c>
      <c r="H103" s="1052">
        <v>45999</v>
      </c>
      <c r="I103" s="1053" t="s">
        <v>27</v>
      </c>
      <c r="J103" s="1053"/>
      <c r="K103" s="1054"/>
      <c r="L103" s="1054"/>
      <c r="M103" s="1054"/>
      <c r="N103" s="1054"/>
      <c r="O103" s="1054"/>
      <c r="P103" s="1054"/>
      <c r="Q103" s="1055">
        <f ca="1" t="shared" si="2"/>
        <v>162</v>
      </c>
      <c r="R103" s="1056">
        <f t="shared" si="3"/>
        <v>46152</v>
      </c>
      <c r="S103" s="1057" t="s">
        <v>856</v>
      </c>
    </row>
    <row r="104" ht="42.6" customHeight="1" spans="1:20">
      <c r="A104" s="897">
        <v>102</v>
      </c>
      <c r="B104" s="919">
        <v>613</v>
      </c>
      <c r="C104" s="729" t="s">
        <v>79</v>
      </c>
      <c r="D104" s="948" t="s">
        <v>831</v>
      </c>
      <c r="E104" s="934" t="s">
        <v>437</v>
      </c>
      <c r="F104" s="954">
        <v>703438.55</v>
      </c>
      <c r="G104" s="977">
        <v>45973</v>
      </c>
      <c r="H104" s="775">
        <v>46006</v>
      </c>
      <c r="I104" s="931" t="s">
        <v>17</v>
      </c>
      <c r="J104" s="931"/>
      <c r="K104" s="819"/>
      <c r="L104" s="819"/>
      <c r="M104" s="819"/>
      <c r="N104" s="819"/>
      <c r="O104" s="819"/>
      <c r="P104" s="937"/>
      <c r="Q104" s="919">
        <f ca="1" t="shared" si="2"/>
        <v>162</v>
      </c>
      <c r="R104" s="728">
        <f t="shared" si="3"/>
        <v>46152</v>
      </c>
      <c r="S104" s="1040"/>
    </row>
    <row r="105" ht="20.1" customHeight="1" spans="1:20">
      <c r="A105" s="897">
        <v>103</v>
      </c>
      <c r="B105" s="819">
        <v>614</v>
      </c>
      <c r="C105" s="729" t="s">
        <v>31</v>
      </c>
      <c r="D105" s="948" t="s">
        <v>951</v>
      </c>
      <c r="E105" s="934" t="s">
        <v>952</v>
      </c>
      <c r="F105" s="1058">
        <v>1076000</v>
      </c>
      <c r="G105" s="977">
        <v>45973</v>
      </c>
      <c r="H105" s="775">
        <v>46078</v>
      </c>
      <c r="I105" s="931" t="s">
        <v>17</v>
      </c>
      <c r="J105" s="729"/>
      <c r="K105" s="819"/>
      <c r="L105" s="819"/>
      <c r="M105" s="819"/>
      <c r="N105" s="819"/>
      <c r="O105" s="819"/>
      <c r="P105" s="937"/>
      <c r="Q105" s="919">
        <f ca="1" t="shared" si="2"/>
        <v>162</v>
      </c>
      <c r="R105" s="728">
        <f t="shared" si="3"/>
        <v>46152</v>
      </c>
      <c r="S105" s="1040"/>
      <c r="T105" s="933"/>
    </row>
    <row r="106" ht="20.1" customHeight="1" spans="1:20">
      <c r="A106" s="897">
        <v>104</v>
      </c>
      <c r="B106" s="819">
        <v>616</v>
      </c>
      <c r="C106" s="729" t="s">
        <v>75</v>
      </c>
      <c r="D106" s="948" t="s">
        <v>953</v>
      </c>
      <c r="E106" s="969" t="s">
        <v>954</v>
      </c>
      <c r="F106" s="976">
        <v>7076.57</v>
      </c>
      <c r="G106" s="977">
        <v>45979</v>
      </c>
      <c r="H106" s="775">
        <v>46062</v>
      </c>
      <c r="I106" s="729" t="s">
        <v>27</v>
      </c>
      <c r="J106" s="729"/>
      <c r="K106" s="819"/>
      <c r="L106" s="819"/>
      <c r="M106" s="819"/>
      <c r="N106" s="819"/>
      <c r="O106" s="819"/>
      <c r="P106" s="937"/>
      <c r="Q106" s="919">
        <f ca="1" t="shared" si="2"/>
        <v>156</v>
      </c>
      <c r="R106" s="728">
        <f t="shared" si="3"/>
        <v>46158</v>
      </c>
      <c r="S106" s="1040"/>
      <c r="T106" s="933"/>
    </row>
    <row r="107" ht="22.8" customHeight="1" spans="1:20">
      <c r="A107" s="897">
        <v>105</v>
      </c>
      <c r="B107" s="919">
        <v>617</v>
      </c>
      <c r="C107" s="729" t="s">
        <v>75</v>
      </c>
      <c r="D107" s="970" t="s">
        <v>955</v>
      </c>
      <c r="E107" s="729" t="s">
        <v>954</v>
      </c>
      <c r="F107" s="1043">
        <v>5104.77</v>
      </c>
      <c r="G107" s="994">
        <v>45979</v>
      </c>
      <c r="H107" s="972">
        <v>46067</v>
      </c>
      <c r="I107" s="969" t="s">
        <v>27</v>
      </c>
      <c r="J107" s="969"/>
      <c r="K107" s="997"/>
      <c r="L107" s="997"/>
      <c r="M107" s="997"/>
      <c r="N107" s="997"/>
      <c r="O107" s="997"/>
      <c r="P107" s="998"/>
      <c r="Q107" s="973">
        <f ca="1" t="shared" si="2"/>
        <v>156</v>
      </c>
      <c r="R107" s="974">
        <f t="shared" si="3"/>
        <v>46158</v>
      </c>
      <c r="S107" s="1044"/>
      <c r="T107" s="933"/>
    </row>
    <row r="108" ht="20.1" customHeight="1" spans="1:20">
      <c r="A108" s="897">
        <v>106</v>
      </c>
      <c r="B108" s="819">
        <v>618</v>
      </c>
      <c r="C108" s="729" t="s">
        <v>75</v>
      </c>
      <c r="D108" s="948" t="s">
        <v>955</v>
      </c>
      <c r="E108" s="729" t="s">
        <v>954</v>
      </c>
      <c r="F108" s="976">
        <v>5088.46</v>
      </c>
      <c r="G108" s="977">
        <v>45979</v>
      </c>
      <c r="H108" s="775">
        <v>46067</v>
      </c>
      <c r="I108" s="729" t="s">
        <v>27</v>
      </c>
      <c r="J108" s="729"/>
      <c r="K108" s="819"/>
      <c r="L108" s="819"/>
      <c r="M108" s="819"/>
      <c r="N108" s="819"/>
      <c r="O108" s="819"/>
      <c r="P108" s="937"/>
      <c r="Q108" s="919">
        <f ca="1" t="shared" si="2"/>
        <v>156</v>
      </c>
      <c r="R108" s="728">
        <f t="shared" si="3"/>
        <v>46158</v>
      </c>
      <c r="S108" s="1040"/>
      <c r="T108" s="933"/>
    </row>
    <row r="109" ht="20.1" customHeight="1" spans="1:20">
      <c r="A109" s="897">
        <v>107</v>
      </c>
      <c r="B109" s="919">
        <v>619</v>
      </c>
      <c r="C109" s="729" t="s">
        <v>75</v>
      </c>
      <c r="D109" s="948" t="s">
        <v>956</v>
      </c>
      <c r="E109" s="729" t="s">
        <v>954</v>
      </c>
      <c r="F109" s="976">
        <v>4446.76</v>
      </c>
      <c r="G109" s="977">
        <v>45979</v>
      </c>
      <c r="H109" s="775">
        <v>46067</v>
      </c>
      <c r="I109" s="729" t="s">
        <v>27</v>
      </c>
      <c r="J109" s="729"/>
      <c r="K109" s="819"/>
      <c r="L109" s="819"/>
      <c r="M109" s="819"/>
      <c r="N109" s="819"/>
      <c r="O109" s="819"/>
      <c r="P109" s="937"/>
      <c r="Q109" s="919">
        <f ca="1" t="shared" si="2"/>
        <v>156</v>
      </c>
      <c r="R109" s="728">
        <f t="shared" si="3"/>
        <v>46158</v>
      </c>
      <c r="S109" s="1040"/>
      <c r="T109" s="933"/>
    </row>
    <row r="110" ht="20.1" customHeight="1" spans="1:20">
      <c r="A110" s="897">
        <v>108</v>
      </c>
      <c r="B110" s="819">
        <v>620</v>
      </c>
      <c r="C110" s="729" t="s">
        <v>75</v>
      </c>
      <c r="D110" s="948" t="s">
        <v>957</v>
      </c>
      <c r="E110" s="729" t="s">
        <v>954</v>
      </c>
      <c r="F110" s="976">
        <v>2751.98</v>
      </c>
      <c r="G110" s="977">
        <v>45979</v>
      </c>
      <c r="H110" s="775">
        <v>46067</v>
      </c>
      <c r="I110" s="729" t="s">
        <v>27</v>
      </c>
      <c r="J110" s="729"/>
      <c r="K110" s="819"/>
      <c r="L110" s="819"/>
      <c r="M110" s="819"/>
      <c r="N110" s="819"/>
      <c r="O110" s="819"/>
      <c r="P110" s="937"/>
      <c r="Q110" s="919">
        <f ca="1" t="shared" si="2"/>
        <v>156</v>
      </c>
      <c r="R110" s="728">
        <f t="shared" si="3"/>
        <v>46158</v>
      </c>
      <c r="S110" s="1040"/>
      <c r="T110" s="933"/>
    </row>
    <row r="111" ht="20.1" customHeight="1" spans="1:20">
      <c r="A111" s="897">
        <v>109</v>
      </c>
      <c r="B111" s="919">
        <v>621</v>
      </c>
      <c r="C111" s="729" t="s">
        <v>233</v>
      </c>
      <c r="D111" s="948" t="s">
        <v>852</v>
      </c>
      <c r="E111" s="934" t="s">
        <v>958</v>
      </c>
      <c r="F111" s="950">
        <v>400000</v>
      </c>
      <c r="G111" s="977">
        <v>45982</v>
      </c>
      <c r="H111" s="775">
        <v>46021</v>
      </c>
      <c r="I111" s="729" t="s">
        <v>27</v>
      </c>
      <c r="J111" s="729"/>
      <c r="K111" s="819"/>
      <c r="L111" s="819"/>
      <c r="M111" s="819"/>
      <c r="N111" s="819"/>
      <c r="O111" s="819"/>
      <c r="P111" s="937"/>
      <c r="Q111" s="919">
        <f ca="1" t="shared" si="2"/>
        <v>153</v>
      </c>
      <c r="R111" s="728">
        <f t="shared" si="3"/>
        <v>46161</v>
      </c>
      <c r="S111" s="1040"/>
    </row>
    <row r="112" ht="20.1" customHeight="1" spans="1:20">
      <c r="A112" s="897">
        <v>110</v>
      </c>
      <c r="B112" s="819">
        <v>622</v>
      </c>
      <c r="C112" s="729" t="s">
        <v>15</v>
      </c>
      <c r="D112" s="1059" t="s">
        <v>959</v>
      </c>
      <c r="E112" s="953" t="s">
        <v>952</v>
      </c>
      <c r="F112" s="950">
        <v>420000</v>
      </c>
      <c r="G112" s="977">
        <v>45982</v>
      </c>
      <c r="H112" s="775">
        <v>46094</v>
      </c>
      <c r="I112" s="931" t="s">
        <v>17</v>
      </c>
      <c r="J112" s="729"/>
      <c r="K112" s="819"/>
      <c r="L112" s="819"/>
      <c r="M112" s="819"/>
      <c r="N112" s="819"/>
      <c r="O112" s="819"/>
      <c r="P112" s="937"/>
      <c r="Q112" s="919">
        <f ca="1" t="shared" si="2"/>
        <v>153</v>
      </c>
      <c r="R112" s="728">
        <f t="shared" si="3"/>
        <v>46161</v>
      </c>
      <c r="S112" s="1040"/>
    </row>
    <row r="113" ht="20.1" customHeight="1" spans="1:20">
      <c r="A113" s="897">
        <v>111</v>
      </c>
      <c r="B113" s="919">
        <v>623</v>
      </c>
      <c r="C113" s="729" t="s">
        <v>15</v>
      </c>
      <c r="D113" s="1059" t="s">
        <v>960</v>
      </c>
      <c r="E113" s="953" t="s">
        <v>952</v>
      </c>
      <c r="F113" s="950">
        <v>440000</v>
      </c>
      <c r="G113" s="977">
        <v>45982</v>
      </c>
      <c r="H113" s="775">
        <v>46094</v>
      </c>
      <c r="I113" s="931" t="s">
        <v>17</v>
      </c>
      <c r="J113" s="729"/>
      <c r="K113" s="819"/>
      <c r="L113" s="819"/>
      <c r="M113" s="819"/>
      <c r="N113" s="819"/>
      <c r="O113" s="819"/>
      <c r="P113" s="937"/>
      <c r="Q113" s="919">
        <f ca="1" t="shared" si="2"/>
        <v>153</v>
      </c>
      <c r="R113" s="728">
        <f t="shared" si="3"/>
        <v>46161</v>
      </c>
      <c r="S113" s="1040"/>
    </row>
    <row r="114" ht="20.1" customHeight="1" spans="1:20">
      <c r="A114" s="897">
        <v>112</v>
      </c>
      <c r="B114" s="819">
        <v>624</v>
      </c>
      <c r="C114" s="729" t="s">
        <v>15</v>
      </c>
      <c r="D114" s="1059" t="s">
        <v>961</v>
      </c>
      <c r="E114" s="953" t="s">
        <v>952</v>
      </c>
      <c r="F114" s="950">
        <v>376000</v>
      </c>
      <c r="G114" s="977">
        <v>45982</v>
      </c>
      <c r="H114" s="775">
        <v>46094</v>
      </c>
      <c r="I114" s="729" t="s">
        <v>27</v>
      </c>
      <c r="J114" s="729"/>
      <c r="K114" s="819"/>
      <c r="L114" s="819"/>
      <c r="M114" s="819"/>
      <c r="N114" s="819"/>
      <c r="O114" s="819"/>
      <c r="P114" s="937"/>
      <c r="Q114" s="919">
        <f ca="1" t="shared" si="2"/>
        <v>153</v>
      </c>
      <c r="R114" s="728">
        <f t="shared" si="3"/>
        <v>46161</v>
      </c>
      <c r="S114" s="1040"/>
    </row>
    <row r="115" ht="20.1" customHeight="1" spans="1:20">
      <c r="A115" s="897">
        <v>113</v>
      </c>
      <c r="B115" s="919">
        <v>625</v>
      </c>
      <c r="C115" s="1060" t="s">
        <v>79</v>
      </c>
      <c r="D115" s="1061" t="s">
        <v>842</v>
      </c>
      <c r="E115" s="953" t="s">
        <v>958</v>
      </c>
      <c r="F115" s="976">
        <v>685714.28</v>
      </c>
      <c r="G115" s="977">
        <v>45985</v>
      </c>
      <c r="H115" s="775">
        <v>46010</v>
      </c>
      <c r="I115" s="931" t="s">
        <v>17</v>
      </c>
      <c r="J115" s="931"/>
      <c r="K115" s="819"/>
      <c r="L115" s="819"/>
      <c r="M115" s="819"/>
      <c r="N115" s="819"/>
      <c r="O115" s="819"/>
      <c r="P115" s="937"/>
      <c r="Q115" s="919">
        <f ca="1" t="shared" si="2"/>
        <v>150</v>
      </c>
      <c r="R115" s="728">
        <f t="shared" si="3"/>
        <v>46164</v>
      </c>
      <c r="S115" s="1040"/>
    </row>
    <row r="116" ht="20.1" customHeight="1" spans="1:20">
      <c r="A116" s="897">
        <v>114</v>
      </c>
      <c r="B116" s="819">
        <v>626</v>
      </c>
      <c r="C116" s="1060" t="s">
        <v>79</v>
      </c>
      <c r="D116" s="1061" t="s">
        <v>836</v>
      </c>
      <c r="E116" s="953" t="s">
        <v>958</v>
      </c>
      <c r="F116" s="976">
        <v>412761.94</v>
      </c>
      <c r="G116" s="977">
        <v>45985</v>
      </c>
      <c r="H116" s="775">
        <v>46010</v>
      </c>
      <c r="I116" s="931" t="s">
        <v>17</v>
      </c>
      <c r="J116" s="931"/>
      <c r="K116" s="819"/>
      <c r="L116" s="819"/>
      <c r="M116" s="819"/>
      <c r="N116" s="819"/>
      <c r="O116" s="819"/>
      <c r="P116" s="937"/>
      <c r="Q116" s="919">
        <f ca="1" t="shared" si="2"/>
        <v>150</v>
      </c>
      <c r="R116" s="728">
        <f t="shared" si="3"/>
        <v>46164</v>
      </c>
      <c r="S116" s="1040"/>
    </row>
    <row r="117" ht="20.1" customHeight="1" spans="1:20">
      <c r="A117" s="897">
        <v>115</v>
      </c>
      <c r="B117" s="919">
        <v>627</v>
      </c>
      <c r="C117" s="934" t="s">
        <v>79</v>
      </c>
      <c r="D117" s="1062" t="s">
        <v>962</v>
      </c>
      <c r="E117" s="953" t="s">
        <v>963</v>
      </c>
      <c r="F117" s="976">
        <v>213777.78</v>
      </c>
      <c r="G117" s="977">
        <v>45985</v>
      </c>
      <c r="H117" s="775">
        <v>46010</v>
      </c>
      <c r="I117" s="729" t="s">
        <v>27</v>
      </c>
      <c r="J117" s="729"/>
      <c r="K117" s="819"/>
      <c r="L117" s="819"/>
      <c r="M117" s="819"/>
      <c r="N117" s="819"/>
      <c r="O117" s="819"/>
      <c r="P117" s="937"/>
      <c r="Q117" s="919">
        <f ca="1" t="shared" si="2"/>
        <v>150</v>
      </c>
      <c r="R117" s="728">
        <f t="shared" si="3"/>
        <v>46164</v>
      </c>
      <c r="S117" s="1040"/>
    </row>
    <row r="118" ht="20.1" customHeight="1" spans="1:20">
      <c r="A118" s="897">
        <v>116</v>
      </c>
      <c r="B118" s="819">
        <v>628</v>
      </c>
      <c r="C118" s="934" t="s">
        <v>79</v>
      </c>
      <c r="D118" s="1062" t="s">
        <v>964</v>
      </c>
      <c r="E118" s="953" t="s">
        <v>963</v>
      </c>
      <c r="F118" s="976">
        <v>138285.73</v>
      </c>
      <c r="G118" s="977">
        <v>45985</v>
      </c>
      <c r="H118" s="775">
        <v>46010</v>
      </c>
      <c r="I118" s="729" t="s">
        <v>27</v>
      </c>
      <c r="J118" s="729"/>
      <c r="K118" s="819"/>
      <c r="L118" s="819"/>
      <c r="M118" s="819"/>
      <c r="N118" s="819"/>
      <c r="O118" s="819"/>
      <c r="P118" s="937"/>
      <c r="Q118" s="919">
        <f ca="1" t="shared" si="2"/>
        <v>150</v>
      </c>
      <c r="R118" s="728">
        <f t="shared" si="3"/>
        <v>46164</v>
      </c>
      <c r="S118" s="1040"/>
    </row>
    <row r="119" ht="20.1" customHeight="1" spans="1:20">
      <c r="A119" s="897">
        <v>117</v>
      </c>
      <c r="B119" s="919">
        <v>629</v>
      </c>
      <c r="C119" s="934" t="s">
        <v>79</v>
      </c>
      <c r="D119" s="1063" t="s">
        <v>965</v>
      </c>
      <c r="E119" s="953" t="s">
        <v>963</v>
      </c>
      <c r="F119" s="976">
        <v>73333.32</v>
      </c>
      <c r="G119" s="977">
        <v>45985</v>
      </c>
      <c r="H119" s="775">
        <v>46010</v>
      </c>
      <c r="I119" s="729" t="s">
        <v>27</v>
      </c>
      <c r="J119" s="729"/>
      <c r="K119" s="819"/>
      <c r="L119" s="819"/>
      <c r="M119" s="819"/>
      <c r="N119" s="819"/>
      <c r="O119" s="819"/>
      <c r="P119" s="937"/>
      <c r="Q119" s="919">
        <f ca="1" t="shared" si="2"/>
        <v>150</v>
      </c>
      <c r="R119" s="728">
        <f t="shared" si="3"/>
        <v>46164</v>
      </c>
      <c r="S119" s="1040"/>
    </row>
    <row r="120" ht="20.1" customHeight="1" spans="1:20">
      <c r="A120" s="897">
        <v>118</v>
      </c>
      <c r="B120" s="819">
        <v>630</v>
      </c>
      <c r="C120" s="934" t="s">
        <v>79</v>
      </c>
      <c r="D120" s="1062" t="s">
        <v>966</v>
      </c>
      <c r="E120" s="953" t="s">
        <v>963</v>
      </c>
      <c r="F120" s="976">
        <v>44988.14</v>
      </c>
      <c r="G120" s="977">
        <v>45985</v>
      </c>
      <c r="H120" s="775">
        <v>46010</v>
      </c>
      <c r="I120" s="729" t="s">
        <v>27</v>
      </c>
      <c r="J120" s="729"/>
      <c r="K120" s="819"/>
      <c r="L120" s="819"/>
      <c r="M120" s="819"/>
      <c r="N120" s="819"/>
      <c r="O120" s="819"/>
      <c r="P120" s="937"/>
      <c r="Q120" s="919">
        <f ca="1" t="shared" si="2"/>
        <v>150</v>
      </c>
      <c r="R120" s="728">
        <f t="shared" si="3"/>
        <v>46164</v>
      </c>
      <c r="S120" s="1040"/>
    </row>
    <row r="121" ht="25.8" customHeight="1" spans="1:20">
      <c r="A121" s="897">
        <v>119</v>
      </c>
      <c r="B121" s="919">
        <v>631</v>
      </c>
      <c r="C121" s="934" t="s">
        <v>79</v>
      </c>
      <c r="D121" s="1062" t="s">
        <v>967</v>
      </c>
      <c r="E121" s="953" t="s">
        <v>963</v>
      </c>
      <c r="F121" s="976">
        <v>40129.43</v>
      </c>
      <c r="G121" s="977">
        <v>45985</v>
      </c>
      <c r="H121" s="775">
        <v>46010</v>
      </c>
      <c r="I121" s="729" t="s">
        <v>27</v>
      </c>
      <c r="J121" s="729"/>
      <c r="K121" s="819"/>
      <c r="L121" s="819"/>
      <c r="M121" s="819"/>
      <c r="N121" s="819"/>
      <c r="O121" s="819"/>
      <c r="P121" s="937"/>
      <c r="Q121" s="919">
        <f ca="1" t="shared" si="2"/>
        <v>150</v>
      </c>
      <c r="R121" s="728">
        <f t="shared" si="3"/>
        <v>46164</v>
      </c>
      <c r="S121" s="1040"/>
    </row>
    <row r="122" ht="30.3" customHeight="1" spans="1:20">
      <c r="A122" s="897">
        <v>120</v>
      </c>
      <c r="B122" s="819">
        <v>632</v>
      </c>
      <c r="C122" s="934" t="s">
        <v>79</v>
      </c>
      <c r="D122" s="1062" t="s">
        <v>968</v>
      </c>
      <c r="E122" s="953" t="s">
        <v>963</v>
      </c>
      <c r="F122" s="976">
        <v>26800.02</v>
      </c>
      <c r="G122" s="977">
        <v>45985</v>
      </c>
      <c r="H122" s="775">
        <v>46010</v>
      </c>
      <c r="I122" s="729" t="s">
        <v>27</v>
      </c>
      <c r="J122" s="729"/>
      <c r="K122" s="819"/>
      <c r="L122" s="819"/>
      <c r="M122" s="819"/>
      <c r="N122" s="819"/>
      <c r="O122" s="819"/>
      <c r="P122" s="937"/>
      <c r="Q122" s="919">
        <f ca="1" t="shared" si="2"/>
        <v>150</v>
      </c>
      <c r="R122" s="728">
        <f t="shared" si="3"/>
        <v>46164</v>
      </c>
      <c r="S122" s="1040"/>
    </row>
    <row r="123" ht="20.1" customHeight="1" spans="1:20">
      <c r="A123" s="897">
        <v>121</v>
      </c>
      <c r="B123" s="919">
        <v>633</v>
      </c>
      <c r="C123" s="934" t="s">
        <v>79</v>
      </c>
      <c r="D123" s="1062" t="s">
        <v>969</v>
      </c>
      <c r="E123" s="953" t="s">
        <v>963</v>
      </c>
      <c r="F123" s="976">
        <v>25333.34</v>
      </c>
      <c r="G123" s="977">
        <v>45985</v>
      </c>
      <c r="H123" s="775">
        <v>46010</v>
      </c>
      <c r="I123" s="729" t="s">
        <v>27</v>
      </c>
      <c r="J123" s="729"/>
      <c r="K123" s="819"/>
      <c r="L123" s="819"/>
      <c r="M123" s="819"/>
      <c r="N123" s="819"/>
      <c r="O123" s="819"/>
      <c r="P123" s="937"/>
      <c r="Q123" s="919">
        <f ca="1" t="shared" si="2"/>
        <v>150</v>
      </c>
      <c r="R123" s="728">
        <f t="shared" si="3"/>
        <v>46164</v>
      </c>
      <c r="S123" s="1040"/>
    </row>
    <row r="124" ht="20.1" customHeight="1" spans="1:20">
      <c r="A124" s="897">
        <v>122</v>
      </c>
      <c r="B124" s="819">
        <v>634</v>
      </c>
      <c r="C124" s="934" t="s">
        <v>79</v>
      </c>
      <c r="D124" s="1062" t="s">
        <v>970</v>
      </c>
      <c r="E124" s="953" t="s">
        <v>963</v>
      </c>
      <c r="F124" s="976">
        <v>18227.19</v>
      </c>
      <c r="G124" s="977">
        <v>45985</v>
      </c>
      <c r="H124" s="775">
        <v>46010</v>
      </c>
      <c r="I124" s="729" t="s">
        <v>27</v>
      </c>
      <c r="J124" s="729"/>
      <c r="K124" s="819"/>
      <c r="L124" s="819"/>
      <c r="M124" s="819"/>
      <c r="N124" s="819"/>
      <c r="O124" s="819"/>
      <c r="P124" s="937"/>
      <c r="Q124" s="919">
        <f ca="1" t="shared" si="2"/>
        <v>150</v>
      </c>
      <c r="R124" s="728">
        <f t="shared" si="3"/>
        <v>46164</v>
      </c>
      <c r="S124" s="1040"/>
    </row>
    <row r="125" ht="20.1" customHeight="1" spans="1:20">
      <c r="A125" s="897">
        <v>123</v>
      </c>
      <c r="B125" s="919">
        <v>635</v>
      </c>
      <c r="C125" s="934" t="s">
        <v>79</v>
      </c>
      <c r="D125" s="1062" t="s">
        <v>971</v>
      </c>
      <c r="E125" s="953" t="s">
        <v>963</v>
      </c>
      <c r="F125" s="976">
        <v>9523.82</v>
      </c>
      <c r="G125" s="977">
        <v>45985</v>
      </c>
      <c r="H125" s="775">
        <v>46010</v>
      </c>
      <c r="I125" s="729" t="s">
        <v>27</v>
      </c>
      <c r="J125" s="729"/>
      <c r="K125" s="819"/>
      <c r="L125" s="819"/>
      <c r="M125" s="819"/>
      <c r="N125" s="819"/>
      <c r="O125" s="819"/>
      <c r="P125" s="937"/>
      <c r="Q125" s="919">
        <f ca="1" t="shared" si="2"/>
        <v>150</v>
      </c>
      <c r="R125" s="728">
        <f t="shared" si="3"/>
        <v>46164</v>
      </c>
      <c r="S125" s="1040"/>
    </row>
    <row r="126" ht="30.3" customHeight="1" spans="1:20">
      <c r="A126" s="897">
        <v>124</v>
      </c>
      <c r="B126" s="819">
        <v>636</v>
      </c>
      <c r="C126" s="934" t="s">
        <v>79</v>
      </c>
      <c r="D126" s="1062" t="s">
        <v>972</v>
      </c>
      <c r="E126" s="934" t="s">
        <v>963</v>
      </c>
      <c r="F126" s="976">
        <v>8571.44</v>
      </c>
      <c r="G126" s="977">
        <v>45985</v>
      </c>
      <c r="H126" s="775">
        <v>46010</v>
      </c>
      <c r="I126" s="729" t="s">
        <v>27</v>
      </c>
      <c r="J126" s="729"/>
      <c r="K126" s="819"/>
      <c r="L126" s="819"/>
      <c r="M126" s="819"/>
      <c r="N126" s="819"/>
      <c r="O126" s="819"/>
      <c r="P126" s="937"/>
      <c r="Q126" s="919">
        <f ca="1" t="shared" si="2"/>
        <v>150</v>
      </c>
      <c r="R126" s="728">
        <f t="shared" si="3"/>
        <v>46164</v>
      </c>
      <c r="S126" s="1040"/>
      <c r="T126" s="933"/>
    </row>
    <row r="127" ht="20.1" customHeight="1" spans="1:20">
      <c r="A127" s="897">
        <v>125</v>
      </c>
      <c r="B127" s="919">
        <v>637</v>
      </c>
      <c r="C127" s="934" t="s">
        <v>79</v>
      </c>
      <c r="D127" s="1062" t="s">
        <v>973</v>
      </c>
      <c r="E127" s="934" t="s">
        <v>963</v>
      </c>
      <c r="F127" s="976">
        <v>8571.44</v>
      </c>
      <c r="G127" s="977">
        <v>45985</v>
      </c>
      <c r="H127" s="775">
        <v>46010</v>
      </c>
      <c r="I127" s="729" t="s">
        <v>27</v>
      </c>
      <c r="J127" s="729"/>
      <c r="K127" s="819"/>
      <c r="L127" s="819"/>
      <c r="M127" s="819"/>
      <c r="N127" s="819"/>
      <c r="O127" s="819"/>
      <c r="P127" s="937"/>
      <c r="Q127" s="919">
        <f ca="1" t="shared" si="2"/>
        <v>150</v>
      </c>
      <c r="R127" s="728">
        <f t="shared" si="3"/>
        <v>46164</v>
      </c>
      <c r="S127" s="1040"/>
      <c r="T127" s="933"/>
    </row>
    <row r="128" ht="20.1" customHeight="1" spans="1:20">
      <c r="A128" s="897">
        <v>126</v>
      </c>
      <c r="B128" s="819">
        <v>638</v>
      </c>
      <c r="C128" s="729" t="s">
        <v>15</v>
      </c>
      <c r="D128" s="1059" t="s">
        <v>974</v>
      </c>
      <c r="E128" s="934" t="s">
        <v>975</v>
      </c>
      <c r="F128" s="976">
        <v>1855970.27</v>
      </c>
      <c r="G128" s="1064">
        <v>45985</v>
      </c>
      <c r="H128" s="775">
        <v>46094</v>
      </c>
      <c r="I128" s="931" t="s">
        <v>17</v>
      </c>
      <c r="J128" s="729"/>
      <c r="K128" s="819"/>
      <c r="L128" s="819"/>
      <c r="M128" s="819"/>
      <c r="N128" s="819"/>
      <c r="O128" s="819"/>
      <c r="P128" s="937"/>
      <c r="Q128" s="919">
        <f ca="1" t="shared" si="2"/>
        <v>150</v>
      </c>
      <c r="R128" s="728">
        <f t="shared" si="3"/>
        <v>46164</v>
      </c>
      <c r="S128" s="1040"/>
    </row>
    <row r="129" ht="20.1" customHeight="1" spans="1:20">
      <c r="A129" s="897">
        <v>127</v>
      </c>
      <c r="B129" s="919">
        <v>639</v>
      </c>
      <c r="C129" s="729" t="s">
        <v>15</v>
      </c>
      <c r="D129" s="1059" t="s">
        <v>976</v>
      </c>
      <c r="E129" s="934" t="s">
        <v>975</v>
      </c>
      <c r="F129" s="976">
        <v>599798.62</v>
      </c>
      <c r="G129" s="977">
        <v>45986</v>
      </c>
      <c r="H129" s="775">
        <v>46094</v>
      </c>
      <c r="I129" s="931" t="s">
        <v>17</v>
      </c>
      <c r="J129" s="729"/>
      <c r="K129" s="819"/>
      <c r="L129" s="819"/>
      <c r="M129" s="819"/>
      <c r="N129" s="819"/>
      <c r="O129" s="819"/>
      <c r="P129" s="937"/>
      <c r="Q129" s="919">
        <f ca="1" t="shared" si="2"/>
        <v>149</v>
      </c>
      <c r="R129" s="728">
        <f t="shared" si="3"/>
        <v>46165</v>
      </c>
      <c r="S129" s="1040"/>
    </row>
    <row r="130" ht="20.1" customHeight="1" spans="1:20">
      <c r="A130" s="897">
        <v>128</v>
      </c>
      <c r="B130" s="819">
        <v>640</v>
      </c>
      <c r="C130" s="729" t="s">
        <v>57</v>
      </c>
      <c r="D130" s="1065" t="s">
        <v>977</v>
      </c>
      <c r="E130" s="934" t="s">
        <v>978</v>
      </c>
      <c r="F130" s="950">
        <v>3960000</v>
      </c>
      <c r="G130" s="977">
        <v>45989</v>
      </c>
      <c r="H130" s="775">
        <v>46055</v>
      </c>
      <c r="I130" s="931" t="s">
        <v>17</v>
      </c>
      <c r="J130" s="729"/>
      <c r="K130" s="819"/>
      <c r="L130" s="819"/>
      <c r="M130" s="819"/>
      <c r="N130" s="819"/>
      <c r="O130" s="819"/>
      <c r="P130" s="937"/>
      <c r="Q130" s="919">
        <f ca="1" t="shared" si="2"/>
        <v>146</v>
      </c>
      <c r="R130" s="728">
        <f t="shared" si="3"/>
        <v>46168</v>
      </c>
      <c r="S130" s="1040"/>
    </row>
    <row r="131" ht="20.1" customHeight="1" spans="1:20">
      <c r="A131" s="897">
        <v>129</v>
      </c>
      <c r="B131" s="819">
        <v>698</v>
      </c>
      <c r="C131" s="729" t="s">
        <v>15</v>
      </c>
      <c r="D131" s="1059" t="s">
        <v>979</v>
      </c>
      <c r="E131" s="729" t="s">
        <v>980</v>
      </c>
      <c r="F131" s="976">
        <v>628295.79</v>
      </c>
      <c r="G131" s="977">
        <v>45989</v>
      </c>
      <c r="H131" s="775">
        <v>46099</v>
      </c>
      <c r="I131" s="931" t="s">
        <v>17</v>
      </c>
      <c r="J131" s="729"/>
      <c r="K131" s="819"/>
      <c r="L131" s="819"/>
      <c r="M131" s="819"/>
      <c r="N131" s="819"/>
      <c r="O131" s="819"/>
      <c r="P131" s="937"/>
      <c r="Q131" s="919">
        <f ca="1" t="shared" ref="Q131:Q194" si="4">DATEDIF(G131,TODAY(),"D")</f>
        <v>146</v>
      </c>
      <c r="R131" s="728">
        <f t="shared" ref="R131:R194" si="5">G131+179</f>
        <v>46168</v>
      </c>
      <c r="S131" s="1040"/>
    </row>
    <row r="132" ht="20.1" customHeight="1" spans="1:20">
      <c r="A132" s="897">
        <v>130</v>
      </c>
      <c r="B132" s="919">
        <v>641</v>
      </c>
      <c r="C132" s="729" t="s">
        <v>79</v>
      </c>
      <c r="D132" s="948" t="s">
        <v>853</v>
      </c>
      <c r="E132" s="934" t="s">
        <v>978</v>
      </c>
      <c r="F132" s="976">
        <v>515999.86</v>
      </c>
      <c r="G132" s="977">
        <v>45992</v>
      </c>
      <c r="H132" s="775">
        <v>46022</v>
      </c>
      <c r="I132" s="931" t="s">
        <v>17</v>
      </c>
      <c r="J132" s="931"/>
      <c r="K132" s="819"/>
      <c r="L132" s="819"/>
      <c r="M132" s="819"/>
      <c r="N132" s="819"/>
      <c r="O132" s="819"/>
      <c r="P132" s="937"/>
      <c r="Q132" s="919">
        <f ca="1" t="shared" si="4"/>
        <v>143</v>
      </c>
      <c r="R132" s="728">
        <f t="shared" si="5"/>
        <v>46171</v>
      </c>
      <c r="S132" s="1040"/>
    </row>
    <row r="133" ht="20.1" customHeight="1" spans="1:20">
      <c r="A133" s="897">
        <v>131</v>
      </c>
      <c r="B133" s="819"/>
      <c r="C133" s="729" t="s">
        <v>15</v>
      </c>
      <c r="D133" s="1066" t="s">
        <v>981</v>
      </c>
      <c r="E133" s="819"/>
      <c r="F133" s="1067">
        <v>1720000</v>
      </c>
      <c r="G133" s="1068">
        <v>45995</v>
      </c>
      <c r="H133" s="775">
        <v>46108</v>
      </c>
      <c r="I133" s="931" t="s">
        <v>17</v>
      </c>
      <c r="J133" s="729"/>
      <c r="K133" s="819"/>
      <c r="L133" s="819"/>
      <c r="M133" s="819"/>
      <c r="N133" s="819"/>
      <c r="O133" s="819"/>
      <c r="P133" s="937"/>
      <c r="Q133" s="919">
        <f ca="1" t="shared" si="4"/>
        <v>140</v>
      </c>
      <c r="R133" s="728">
        <f t="shared" si="5"/>
        <v>46174</v>
      </c>
      <c r="S133" s="1040"/>
    </row>
    <row r="134" ht="20.1" customHeight="1" spans="1:20">
      <c r="A134" s="897">
        <v>132</v>
      </c>
      <c r="B134" s="819"/>
      <c r="C134" s="729" t="s">
        <v>15</v>
      </c>
      <c r="D134" s="1066" t="s">
        <v>982</v>
      </c>
      <c r="E134" s="819"/>
      <c r="F134" s="829">
        <v>379986.5</v>
      </c>
      <c r="G134" s="1064">
        <v>45995</v>
      </c>
      <c r="H134" s="775">
        <v>46112</v>
      </c>
      <c r="I134" s="729" t="s">
        <v>27</v>
      </c>
      <c r="J134" s="729"/>
      <c r="K134" s="819"/>
      <c r="L134" s="819"/>
      <c r="M134" s="819"/>
      <c r="N134" s="819"/>
      <c r="O134" s="819"/>
      <c r="P134" s="937"/>
      <c r="Q134" s="919">
        <f ca="1" t="shared" si="4"/>
        <v>140</v>
      </c>
      <c r="R134" s="728">
        <f t="shared" si="5"/>
        <v>46174</v>
      </c>
      <c r="S134" s="1040"/>
    </row>
    <row r="135" ht="20.1" customHeight="1" spans="1:20">
      <c r="A135" s="897">
        <v>133</v>
      </c>
      <c r="B135" s="1069">
        <v>642</v>
      </c>
      <c r="C135" s="1070" t="s">
        <v>79</v>
      </c>
      <c r="D135" s="1071" t="s">
        <v>848</v>
      </c>
      <c r="E135" s="1070" t="s">
        <v>980</v>
      </c>
      <c r="F135" s="1072">
        <v>118176.83</v>
      </c>
      <c r="G135" s="1073">
        <v>45999</v>
      </c>
      <c r="H135" s="1074">
        <v>46016</v>
      </c>
      <c r="I135" s="1070" t="s">
        <v>27</v>
      </c>
      <c r="J135" s="1070"/>
      <c r="K135" s="1069"/>
      <c r="L135" s="1069"/>
      <c r="M135" s="1069"/>
      <c r="N135" s="1069"/>
      <c r="O135" s="1069"/>
      <c r="P135" s="1075"/>
      <c r="Q135" s="1076">
        <f ca="1" t="shared" si="4"/>
        <v>136</v>
      </c>
      <c r="R135" s="1077">
        <f t="shared" si="5"/>
        <v>46178</v>
      </c>
      <c r="S135" s="1078"/>
    </row>
    <row r="136" ht="20.1" customHeight="1" spans="1:20">
      <c r="A136" s="897">
        <v>134</v>
      </c>
      <c r="B136" s="997"/>
      <c r="C136" s="969" t="s">
        <v>15</v>
      </c>
      <c r="D136" s="1079" t="s">
        <v>983</v>
      </c>
      <c r="E136" s="997"/>
      <c r="F136" s="863">
        <v>252936.76</v>
      </c>
      <c r="G136" s="1080">
        <v>45999</v>
      </c>
      <c r="H136" s="972">
        <v>46108</v>
      </c>
      <c r="I136" s="969" t="s">
        <v>27</v>
      </c>
      <c r="J136" s="969"/>
      <c r="K136" s="997"/>
      <c r="L136" s="997"/>
      <c r="M136" s="997"/>
      <c r="N136" s="997"/>
      <c r="O136" s="997"/>
      <c r="P136" s="998"/>
      <c r="Q136" s="973">
        <f ca="1" t="shared" si="4"/>
        <v>136</v>
      </c>
      <c r="R136" s="974">
        <f t="shared" si="5"/>
        <v>46178</v>
      </c>
      <c r="S136" s="975"/>
    </row>
    <row r="137" ht="20.1" customHeight="1" spans="1:20">
      <c r="A137" s="897">
        <v>135</v>
      </c>
      <c r="B137" s="819"/>
      <c r="C137" s="729" t="s">
        <v>15</v>
      </c>
      <c r="D137" s="1066" t="s">
        <v>984</v>
      </c>
      <c r="E137" s="819"/>
      <c r="F137" s="1067">
        <v>376000</v>
      </c>
      <c r="G137" s="1068">
        <v>45999</v>
      </c>
      <c r="H137" s="775">
        <v>46108</v>
      </c>
      <c r="I137" s="729" t="s">
        <v>27</v>
      </c>
      <c r="J137" s="729"/>
      <c r="K137" s="819"/>
      <c r="L137" s="819"/>
      <c r="M137" s="819"/>
      <c r="N137" s="819"/>
      <c r="O137" s="819"/>
      <c r="P137" s="937"/>
      <c r="Q137" s="919">
        <f ca="1" t="shared" si="4"/>
        <v>136</v>
      </c>
      <c r="R137" s="728">
        <f t="shared" si="5"/>
        <v>46178</v>
      </c>
      <c r="S137" s="932"/>
    </row>
    <row r="138" ht="20.1" customHeight="1" spans="1:20">
      <c r="A138" s="897">
        <v>136</v>
      </c>
      <c r="B138" s="919">
        <v>643</v>
      </c>
      <c r="C138" s="729" t="s">
        <v>79</v>
      </c>
      <c r="D138" s="948" t="s">
        <v>843</v>
      </c>
      <c r="E138" s="729" t="s">
        <v>980</v>
      </c>
      <c r="F138" s="976">
        <v>193144.49</v>
      </c>
      <c r="G138" s="977">
        <v>46000</v>
      </c>
      <c r="H138" s="775">
        <v>46010</v>
      </c>
      <c r="I138" s="729" t="s">
        <v>27</v>
      </c>
      <c r="J138" s="729"/>
      <c r="K138" s="819"/>
      <c r="L138" s="819"/>
      <c r="M138" s="819"/>
      <c r="N138" s="819"/>
      <c r="O138" s="819"/>
      <c r="P138" s="937"/>
      <c r="Q138" s="919">
        <f ca="1" t="shared" si="4"/>
        <v>135</v>
      </c>
      <c r="R138" s="728">
        <f t="shared" si="5"/>
        <v>46179</v>
      </c>
      <c r="S138" s="932"/>
    </row>
    <row r="139" ht="20.1" customHeight="1" spans="1:20">
      <c r="A139" s="897">
        <v>137</v>
      </c>
      <c r="B139" s="819">
        <v>644</v>
      </c>
      <c r="C139" s="729" t="s">
        <v>75</v>
      </c>
      <c r="D139" s="948" t="s">
        <v>985</v>
      </c>
      <c r="E139" s="729"/>
      <c r="F139" s="976">
        <v>8579.47</v>
      </c>
      <c r="G139" s="977">
        <v>46000</v>
      </c>
      <c r="H139" s="775">
        <v>46062</v>
      </c>
      <c r="I139" s="729" t="s">
        <v>27</v>
      </c>
      <c r="J139" s="729"/>
      <c r="K139" s="819"/>
      <c r="L139" s="819"/>
      <c r="M139" s="819"/>
      <c r="N139" s="819"/>
      <c r="O139" s="819"/>
      <c r="P139" s="937"/>
      <c r="Q139" s="919">
        <f ca="1" t="shared" si="4"/>
        <v>135</v>
      </c>
      <c r="R139" s="728">
        <f t="shared" si="5"/>
        <v>46179</v>
      </c>
      <c r="S139" s="932"/>
    </row>
    <row r="140" ht="20.1" customHeight="1" spans="1:20">
      <c r="A140" s="897">
        <v>138</v>
      </c>
      <c r="B140" s="919">
        <v>645</v>
      </c>
      <c r="C140" s="729" t="s">
        <v>75</v>
      </c>
      <c r="D140" s="948" t="s">
        <v>986</v>
      </c>
      <c r="E140" s="819"/>
      <c r="F140" s="1081">
        <v>135277.04</v>
      </c>
      <c r="G140" s="977">
        <v>46000</v>
      </c>
      <c r="H140" s="775">
        <v>46067</v>
      </c>
      <c r="I140" s="729" t="s">
        <v>27</v>
      </c>
      <c r="J140" s="729"/>
      <c r="K140" s="819"/>
      <c r="L140" s="819"/>
      <c r="M140" s="819"/>
      <c r="N140" s="819"/>
      <c r="O140" s="819"/>
      <c r="P140" s="937"/>
      <c r="Q140" s="919">
        <f ca="1" t="shared" si="4"/>
        <v>135</v>
      </c>
      <c r="R140" s="728">
        <f t="shared" si="5"/>
        <v>46179</v>
      </c>
      <c r="S140" s="932"/>
      <c r="T140" s="933"/>
    </row>
    <row r="141" ht="20.1" customHeight="1" spans="1:20">
      <c r="A141" s="897">
        <v>139</v>
      </c>
      <c r="B141" s="819">
        <v>646</v>
      </c>
      <c r="C141" s="729" t="s">
        <v>75</v>
      </c>
      <c r="D141" s="948" t="s">
        <v>987</v>
      </c>
      <c r="E141" s="729"/>
      <c r="F141" s="976">
        <v>9355.42</v>
      </c>
      <c r="G141" s="977">
        <v>46000</v>
      </c>
      <c r="H141" s="775">
        <v>46067</v>
      </c>
      <c r="I141" s="729" t="s">
        <v>27</v>
      </c>
      <c r="J141" s="729"/>
      <c r="K141" s="819"/>
      <c r="L141" s="819"/>
      <c r="M141" s="819"/>
      <c r="N141" s="819"/>
      <c r="O141" s="819"/>
      <c r="P141" s="937"/>
      <c r="Q141" s="919">
        <f ca="1" t="shared" si="4"/>
        <v>135</v>
      </c>
      <c r="R141" s="728">
        <f t="shared" si="5"/>
        <v>46179</v>
      </c>
      <c r="S141" s="932"/>
      <c r="T141" s="933"/>
    </row>
    <row r="142" ht="20.1" customHeight="1" spans="1:20">
      <c r="A142" s="897">
        <v>140</v>
      </c>
      <c r="B142" s="919">
        <v>647</v>
      </c>
      <c r="C142" s="729" t="s">
        <v>79</v>
      </c>
      <c r="D142" s="948" t="s">
        <v>849</v>
      </c>
      <c r="E142" s="934"/>
      <c r="F142" s="919">
        <v>212000</v>
      </c>
      <c r="G142" s="977">
        <v>46001</v>
      </c>
      <c r="H142" s="775">
        <v>46016</v>
      </c>
      <c r="I142" s="729" t="s">
        <v>27</v>
      </c>
      <c r="J142" s="729"/>
      <c r="K142" s="819"/>
      <c r="L142" s="819"/>
      <c r="M142" s="819"/>
      <c r="N142" s="819"/>
      <c r="O142" s="819"/>
      <c r="P142" s="937"/>
      <c r="Q142" s="919">
        <f ca="1" t="shared" si="4"/>
        <v>134</v>
      </c>
      <c r="R142" s="728">
        <f t="shared" si="5"/>
        <v>46180</v>
      </c>
      <c r="S142" s="932"/>
      <c r="T142" s="933"/>
    </row>
    <row r="143" ht="37.05" customHeight="1" spans="1:20">
      <c r="A143" s="897">
        <v>141</v>
      </c>
      <c r="B143" s="819"/>
      <c r="C143" s="729" t="s">
        <v>15</v>
      </c>
      <c r="D143" s="1066" t="s">
        <v>988</v>
      </c>
      <c r="E143" s="819"/>
      <c r="F143" s="1067">
        <v>1072000</v>
      </c>
      <c r="G143" s="1064">
        <v>46003</v>
      </c>
      <c r="H143" s="775">
        <v>46108</v>
      </c>
      <c r="I143" s="931" t="s">
        <v>17</v>
      </c>
      <c r="J143" s="729"/>
      <c r="K143" s="819"/>
      <c r="L143" s="819"/>
      <c r="M143" s="819"/>
      <c r="N143" s="819"/>
      <c r="O143" s="819"/>
      <c r="P143" s="937"/>
      <c r="Q143" s="919">
        <f ca="1" t="shared" si="4"/>
        <v>132</v>
      </c>
      <c r="R143" s="728">
        <f t="shared" si="5"/>
        <v>46182</v>
      </c>
      <c r="S143" s="932"/>
      <c r="T143" s="933"/>
    </row>
    <row r="144" ht="28.05" customHeight="1" spans="1:20">
      <c r="A144" s="897">
        <v>142</v>
      </c>
      <c r="B144" s="819">
        <v>648</v>
      </c>
      <c r="C144" s="729" t="s">
        <v>75</v>
      </c>
      <c r="D144" s="948" t="s">
        <v>989</v>
      </c>
      <c r="E144" s="819"/>
      <c r="F144" s="976">
        <v>7658.68</v>
      </c>
      <c r="G144" s="977">
        <v>46007</v>
      </c>
      <c r="H144" s="775">
        <v>46100</v>
      </c>
      <c r="I144" s="729" t="s">
        <v>27</v>
      </c>
      <c r="J144" s="729"/>
      <c r="K144" s="819"/>
      <c r="L144" s="819"/>
      <c r="M144" s="819"/>
      <c r="N144" s="819"/>
      <c r="O144" s="819"/>
      <c r="P144" s="937"/>
      <c r="Q144" s="919">
        <f ca="1" t="shared" si="4"/>
        <v>128</v>
      </c>
      <c r="R144" s="728">
        <f t="shared" si="5"/>
        <v>46186</v>
      </c>
      <c r="S144" s="932"/>
      <c r="T144" s="933"/>
    </row>
    <row r="145" ht="20.1" customHeight="1" spans="1:20">
      <c r="A145" s="897">
        <v>143</v>
      </c>
      <c r="B145" s="919">
        <v>649</v>
      </c>
      <c r="C145" s="729" t="s">
        <v>127</v>
      </c>
      <c r="D145" s="948" t="s">
        <v>854</v>
      </c>
      <c r="E145" s="934"/>
      <c r="F145" s="950">
        <v>40000</v>
      </c>
      <c r="G145" s="977">
        <v>46009</v>
      </c>
      <c r="H145" s="775">
        <v>46022</v>
      </c>
      <c r="I145" s="729" t="s">
        <v>27</v>
      </c>
      <c r="J145" s="729"/>
      <c r="K145" s="819"/>
      <c r="L145" s="819"/>
      <c r="M145" s="819"/>
      <c r="N145" s="819"/>
      <c r="O145" s="819"/>
      <c r="P145" s="937"/>
      <c r="Q145" s="919">
        <f ca="1" t="shared" si="4"/>
        <v>126</v>
      </c>
      <c r="R145" s="728">
        <f t="shared" si="5"/>
        <v>46188</v>
      </c>
      <c r="S145" s="932"/>
      <c r="T145" s="933"/>
    </row>
    <row r="146" ht="20.1" customHeight="1" spans="1:20">
      <c r="A146" s="897">
        <v>144</v>
      </c>
      <c r="B146" s="819">
        <v>650</v>
      </c>
      <c r="C146" s="729" t="s">
        <v>79</v>
      </c>
      <c r="D146" s="1059" t="s">
        <v>990</v>
      </c>
      <c r="E146" s="819"/>
      <c r="F146" s="950">
        <v>240000</v>
      </c>
      <c r="G146" s="977">
        <v>46009</v>
      </c>
      <c r="H146" s="775">
        <v>46099</v>
      </c>
      <c r="I146" s="729" t="s">
        <v>27</v>
      </c>
      <c r="J146" s="729"/>
      <c r="K146" s="819"/>
      <c r="L146" s="819"/>
      <c r="M146" s="819"/>
      <c r="N146" s="819"/>
      <c r="O146" s="819"/>
      <c r="P146" s="937"/>
      <c r="Q146" s="919">
        <f ca="1" t="shared" si="4"/>
        <v>126</v>
      </c>
      <c r="R146" s="728">
        <f t="shared" si="5"/>
        <v>46188</v>
      </c>
      <c r="S146" s="932"/>
      <c r="T146" s="933"/>
    </row>
    <row r="147" ht="20.1" customHeight="1" spans="1:20">
      <c r="A147" s="897">
        <v>145</v>
      </c>
      <c r="B147" s="919">
        <v>651</v>
      </c>
      <c r="C147" s="729" t="s">
        <v>79</v>
      </c>
      <c r="D147" s="948" t="s">
        <v>991</v>
      </c>
      <c r="E147" s="819"/>
      <c r="F147" s="950">
        <v>180000</v>
      </c>
      <c r="G147" s="977">
        <v>46009</v>
      </c>
      <c r="H147" s="775">
        <v>46099</v>
      </c>
      <c r="I147" s="729" t="s">
        <v>27</v>
      </c>
      <c r="J147" s="729"/>
      <c r="K147" s="819"/>
      <c r="L147" s="819"/>
      <c r="M147" s="819"/>
      <c r="N147" s="819"/>
      <c r="O147" s="819"/>
      <c r="P147" s="937"/>
      <c r="Q147" s="919">
        <f ca="1" t="shared" si="4"/>
        <v>126</v>
      </c>
      <c r="R147" s="728">
        <f t="shared" si="5"/>
        <v>46188</v>
      </c>
      <c r="S147" s="932"/>
      <c r="T147" s="933"/>
    </row>
    <row r="148" ht="20.1" customHeight="1" spans="1:20">
      <c r="A148" s="897">
        <v>146</v>
      </c>
      <c r="B148" s="819">
        <v>652</v>
      </c>
      <c r="C148" s="729" t="s">
        <v>79</v>
      </c>
      <c r="D148" s="1059" t="s">
        <v>992</v>
      </c>
      <c r="E148" s="819"/>
      <c r="F148" s="950">
        <v>180000</v>
      </c>
      <c r="G148" s="977">
        <v>46009</v>
      </c>
      <c r="H148" s="775">
        <v>46099</v>
      </c>
      <c r="I148" s="729" t="s">
        <v>27</v>
      </c>
      <c r="J148" s="729"/>
      <c r="K148" s="819"/>
      <c r="L148" s="819"/>
      <c r="M148" s="819"/>
      <c r="N148" s="819"/>
      <c r="O148" s="819"/>
      <c r="P148" s="937"/>
      <c r="Q148" s="919">
        <f ca="1" t="shared" si="4"/>
        <v>126</v>
      </c>
      <c r="R148" s="728">
        <f t="shared" si="5"/>
        <v>46188</v>
      </c>
      <c r="S148" s="932"/>
      <c r="T148" s="933"/>
    </row>
    <row r="149" ht="25.8" customHeight="1" spans="1:20">
      <c r="A149" s="897">
        <v>147</v>
      </c>
      <c r="B149" s="919">
        <v>653</v>
      </c>
      <c r="C149" s="729" t="s">
        <v>102</v>
      </c>
      <c r="D149" s="948" t="s">
        <v>993</v>
      </c>
      <c r="E149" s="1007"/>
      <c r="F149" s="950">
        <v>3000000</v>
      </c>
      <c r="G149" s="1064">
        <v>46010</v>
      </c>
      <c r="H149" s="775">
        <v>46065</v>
      </c>
      <c r="I149" s="931" t="s">
        <v>17</v>
      </c>
      <c r="J149" s="729"/>
      <c r="K149" s="819"/>
      <c r="L149" s="819"/>
      <c r="M149" s="819"/>
      <c r="N149" s="819"/>
      <c r="O149" s="819"/>
      <c r="P149" s="937"/>
      <c r="Q149" s="919">
        <f ca="1" t="shared" si="4"/>
        <v>125</v>
      </c>
      <c r="R149" s="728">
        <f t="shared" si="5"/>
        <v>46189</v>
      </c>
      <c r="S149" s="932"/>
      <c r="T149" s="933"/>
    </row>
    <row r="150" ht="29.55" customHeight="1" spans="1:20">
      <c r="A150" s="897">
        <v>148</v>
      </c>
      <c r="B150" s="819">
        <v>654</v>
      </c>
      <c r="C150" s="729" t="s">
        <v>79</v>
      </c>
      <c r="D150" s="1059" t="s">
        <v>994</v>
      </c>
      <c r="E150" s="819"/>
      <c r="F150" s="950">
        <v>80000</v>
      </c>
      <c r="G150" s="1064">
        <v>46010</v>
      </c>
      <c r="H150" s="775">
        <v>46099</v>
      </c>
      <c r="I150" s="729" t="s">
        <v>27</v>
      </c>
      <c r="J150" s="729"/>
      <c r="K150" s="819"/>
      <c r="L150" s="819"/>
      <c r="M150" s="819"/>
      <c r="N150" s="819"/>
      <c r="O150" s="819"/>
      <c r="P150" s="937"/>
      <c r="Q150" s="919">
        <f ca="1" t="shared" si="4"/>
        <v>125</v>
      </c>
      <c r="R150" s="728">
        <f t="shared" si="5"/>
        <v>46189</v>
      </c>
      <c r="S150" s="932"/>
    </row>
    <row r="151" ht="20.1" customHeight="1" spans="1:20">
      <c r="A151" s="897">
        <v>149</v>
      </c>
      <c r="B151" s="819"/>
      <c r="C151" s="729" t="s">
        <v>15</v>
      </c>
      <c r="D151" s="1066" t="s">
        <v>995</v>
      </c>
      <c r="E151" s="819"/>
      <c r="F151" s="1067">
        <v>136000</v>
      </c>
      <c r="G151" s="1068">
        <v>46010</v>
      </c>
      <c r="H151" s="775">
        <v>46108</v>
      </c>
      <c r="I151" s="729" t="s">
        <v>27</v>
      </c>
      <c r="J151" s="729"/>
      <c r="K151" s="819"/>
      <c r="L151" s="819"/>
      <c r="M151" s="819"/>
      <c r="N151" s="819"/>
      <c r="O151" s="819"/>
      <c r="P151" s="937"/>
      <c r="Q151" s="919">
        <f ca="1" t="shared" si="4"/>
        <v>125</v>
      </c>
      <c r="R151" s="728">
        <f t="shared" si="5"/>
        <v>46189</v>
      </c>
      <c r="S151" s="932"/>
      <c r="T151" s="897"/>
    </row>
    <row r="152" ht="20.1" customHeight="1" spans="1:20">
      <c r="A152" s="897">
        <v>150</v>
      </c>
      <c r="B152" s="897"/>
      <c r="C152" s="919"/>
      <c r="D152" s="1066" t="s">
        <v>996</v>
      </c>
      <c r="E152" s="897"/>
      <c r="F152" s="829">
        <v>1139580.17</v>
      </c>
      <c r="G152" s="1068">
        <v>46010</v>
      </c>
      <c r="H152" s="728"/>
      <c r="I152" s="931" t="s">
        <v>17</v>
      </c>
      <c r="J152" s="897"/>
      <c r="K152" s="897"/>
      <c r="L152" s="897"/>
      <c r="M152" s="897"/>
      <c r="N152" s="897"/>
      <c r="O152" s="897"/>
      <c r="P152" s="1082"/>
      <c r="Q152" s="919">
        <f ca="1" t="shared" si="4"/>
        <v>125</v>
      </c>
      <c r="R152" s="728">
        <f t="shared" si="5"/>
        <v>46189</v>
      </c>
      <c r="S152" s="1083"/>
      <c r="T152" s="897"/>
    </row>
    <row r="153" ht="32.55" customHeight="1" spans="1:20">
      <c r="A153" s="897">
        <v>151</v>
      </c>
      <c r="B153" s="919">
        <v>655</v>
      </c>
      <c r="C153" s="729" t="s">
        <v>31</v>
      </c>
      <c r="D153" s="948" t="s">
        <v>997</v>
      </c>
      <c r="E153" s="819"/>
      <c r="F153" s="950">
        <v>1120000</v>
      </c>
      <c r="G153" s="977">
        <v>46011</v>
      </c>
      <c r="H153" s="775">
        <v>46078</v>
      </c>
      <c r="I153" s="931" t="s">
        <v>17</v>
      </c>
      <c r="J153" s="729"/>
      <c r="K153" s="819"/>
      <c r="L153" s="819"/>
      <c r="M153" s="819"/>
      <c r="N153" s="819"/>
      <c r="O153" s="819"/>
      <c r="P153" s="937"/>
      <c r="Q153" s="919">
        <f ca="1" t="shared" si="4"/>
        <v>124</v>
      </c>
      <c r="R153" s="728">
        <f t="shared" si="5"/>
        <v>46190</v>
      </c>
      <c r="S153" s="932"/>
      <c r="T153" s="897"/>
    </row>
    <row r="154" ht="31.05" customHeight="1" spans="1:20">
      <c r="A154" s="897">
        <v>152</v>
      </c>
      <c r="B154" s="819">
        <v>656</v>
      </c>
      <c r="C154" s="729" t="s">
        <v>31</v>
      </c>
      <c r="D154" s="948" t="s">
        <v>998</v>
      </c>
      <c r="E154" s="729"/>
      <c r="F154" s="950">
        <v>20000</v>
      </c>
      <c r="G154" s="977">
        <v>46011</v>
      </c>
      <c r="H154" s="775">
        <v>46078</v>
      </c>
      <c r="I154" s="729" t="s">
        <v>27</v>
      </c>
      <c r="J154" s="729"/>
      <c r="K154" s="819"/>
      <c r="L154" s="819"/>
      <c r="M154" s="819"/>
      <c r="N154" s="819"/>
      <c r="O154" s="819"/>
      <c r="P154" s="937"/>
      <c r="Q154" s="919">
        <f ca="1" t="shared" si="4"/>
        <v>124</v>
      </c>
      <c r="R154" s="728">
        <f t="shared" si="5"/>
        <v>46190</v>
      </c>
      <c r="S154" s="932"/>
      <c r="T154" s="897"/>
    </row>
    <row r="155" ht="34.05" customHeight="1" spans="1:20">
      <c r="A155" s="897">
        <v>153</v>
      </c>
      <c r="B155" s="919">
        <v>657</v>
      </c>
      <c r="C155" s="729" t="s">
        <v>31</v>
      </c>
      <c r="D155" s="948" t="s">
        <v>997</v>
      </c>
      <c r="E155" s="819"/>
      <c r="F155" s="950">
        <v>1120000</v>
      </c>
      <c r="G155" s="977">
        <v>46011</v>
      </c>
      <c r="H155" s="775">
        <v>46078</v>
      </c>
      <c r="I155" s="931" t="s">
        <v>17</v>
      </c>
      <c r="J155" s="729"/>
      <c r="K155" s="819"/>
      <c r="L155" s="819"/>
      <c r="M155" s="819"/>
      <c r="N155" s="819"/>
      <c r="O155" s="819"/>
      <c r="P155" s="937"/>
      <c r="Q155" s="919">
        <f ca="1" t="shared" si="4"/>
        <v>124</v>
      </c>
      <c r="R155" s="728">
        <f t="shared" si="5"/>
        <v>46190</v>
      </c>
      <c r="S155" s="932"/>
      <c r="T155" s="897"/>
    </row>
    <row r="156" ht="30.3" customHeight="1" spans="1:20">
      <c r="A156" s="897">
        <v>154</v>
      </c>
      <c r="B156" s="819">
        <v>658</v>
      </c>
      <c r="C156" s="840" t="s">
        <v>313</v>
      </c>
      <c r="D156" s="948" t="s">
        <v>999</v>
      </c>
      <c r="E156" s="819"/>
      <c r="F156" s="976">
        <v>831771.94</v>
      </c>
      <c r="G156" s="1068">
        <v>46013</v>
      </c>
      <c r="H156" s="775">
        <v>46084</v>
      </c>
      <c r="I156" s="931" t="s">
        <v>17</v>
      </c>
      <c r="J156" s="729"/>
      <c r="K156" s="819"/>
      <c r="L156" s="819"/>
      <c r="M156" s="819"/>
      <c r="N156" s="819"/>
      <c r="O156" s="819"/>
      <c r="P156" s="937"/>
      <c r="Q156" s="919">
        <f ca="1" t="shared" si="4"/>
        <v>122</v>
      </c>
      <c r="R156" s="728">
        <f t="shared" si="5"/>
        <v>46192</v>
      </c>
      <c r="S156" s="932"/>
      <c r="T156" s="897"/>
    </row>
    <row r="157" ht="20.1" customHeight="1" spans="1:20">
      <c r="A157" s="897">
        <v>155</v>
      </c>
      <c r="B157" s="919">
        <v>659</v>
      </c>
      <c r="C157" s="729" t="s">
        <v>79</v>
      </c>
      <c r="D157" s="948" t="s">
        <v>1000</v>
      </c>
      <c r="E157" s="934"/>
      <c r="F157" s="976">
        <v>199992.44</v>
      </c>
      <c r="G157" s="977">
        <v>46014</v>
      </c>
      <c r="H157" s="775">
        <v>46031</v>
      </c>
      <c r="I157" s="729" t="s">
        <v>27</v>
      </c>
      <c r="J157" s="729"/>
      <c r="K157" s="819"/>
      <c r="L157" s="819"/>
      <c r="M157" s="819"/>
      <c r="N157" s="819"/>
      <c r="O157" s="819"/>
      <c r="P157" s="937"/>
      <c r="Q157" s="919">
        <f ca="1" t="shared" si="4"/>
        <v>121</v>
      </c>
      <c r="R157" s="728">
        <f t="shared" si="5"/>
        <v>46193</v>
      </c>
      <c r="S157" s="932"/>
      <c r="T157" s="897"/>
    </row>
    <row r="158" ht="20.1" customHeight="1" spans="1:20">
      <c r="A158" s="897">
        <v>156</v>
      </c>
      <c r="B158" s="819">
        <v>660</v>
      </c>
      <c r="C158" s="729" t="s">
        <v>79</v>
      </c>
      <c r="D158" s="1084" t="s">
        <v>1001</v>
      </c>
      <c r="E158" s="927"/>
      <c r="F158" s="1085">
        <v>298453.08</v>
      </c>
      <c r="G158" s="1086">
        <v>46015</v>
      </c>
      <c r="H158" s="1087">
        <v>46038</v>
      </c>
      <c r="I158" s="1088" t="s">
        <v>17</v>
      </c>
      <c r="J158" s="927"/>
      <c r="K158" s="927"/>
      <c r="L158" s="927"/>
      <c r="M158" s="927"/>
      <c r="N158" s="927"/>
      <c r="O158" s="927"/>
      <c r="P158" s="926"/>
      <c r="Q158" s="919">
        <f ca="1" t="shared" si="4"/>
        <v>120</v>
      </c>
      <c r="R158" s="728">
        <f t="shared" si="5"/>
        <v>46194</v>
      </c>
      <c r="S158" s="927"/>
      <c r="T158" s="927"/>
    </row>
    <row r="159" ht="26.55" customHeight="1" spans="1:20">
      <c r="A159" s="897">
        <v>157</v>
      </c>
      <c r="B159" s="919">
        <v>661</v>
      </c>
      <c r="C159" s="934" t="s">
        <v>102</v>
      </c>
      <c r="D159" s="1089" t="s">
        <v>1002</v>
      </c>
      <c r="E159" s="1007"/>
      <c r="F159" s="1090">
        <v>3917998.99</v>
      </c>
      <c r="G159" s="1091">
        <v>46017</v>
      </c>
      <c r="H159" s="1009">
        <v>46094</v>
      </c>
      <c r="I159" s="1011" t="s">
        <v>17</v>
      </c>
      <c r="J159" s="729"/>
      <c r="K159" s="819"/>
      <c r="L159" s="819"/>
      <c r="M159" s="819"/>
      <c r="N159" s="819"/>
      <c r="O159" s="819"/>
      <c r="P159" s="937"/>
      <c r="Q159" s="919">
        <f ca="1" t="shared" si="4"/>
        <v>118</v>
      </c>
      <c r="R159" s="728">
        <f t="shared" si="5"/>
        <v>46196</v>
      </c>
      <c r="S159" s="932"/>
      <c r="T159" s="933"/>
    </row>
    <row r="160" ht="28.8" customHeight="1" spans="1:20">
      <c r="A160" s="897">
        <v>158</v>
      </c>
      <c r="B160" s="819">
        <v>662</v>
      </c>
      <c r="C160" s="729" t="s">
        <v>303</v>
      </c>
      <c r="D160" s="948" t="s">
        <v>855</v>
      </c>
      <c r="E160" s="934"/>
      <c r="F160" s="950">
        <v>800000</v>
      </c>
      <c r="G160" s="977">
        <v>46020</v>
      </c>
      <c r="H160" s="775">
        <v>46022</v>
      </c>
      <c r="I160" s="931" t="s">
        <v>17</v>
      </c>
      <c r="J160" s="931"/>
      <c r="K160" s="819"/>
      <c r="L160" s="819"/>
      <c r="M160" s="819"/>
      <c r="N160" s="819"/>
      <c r="O160" s="819"/>
      <c r="P160" s="937"/>
      <c r="Q160" s="919">
        <f ca="1" t="shared" si="4"/>
        <v>115</v>
      </c>
      <c r="R160" s="728">
        <f t="shared" si="5"/>
        <v>46199</v>
      </c>
      <c r="S160" s="1092" t="s">
        <v>856</v>
      </c>
      <c r="T160" s="933"/>
    </row>
    <row r="161" ht="28.8" customHeight="1" spans="1:20">
      <c r="A161" s="897">
        <v>159</v>
      </c>
      <c r="B161" s="919">
        <v>663</v>
      </c>
      <c r="C161" s="1093" t="s">
        <v>79</v>
      </c>
      <c r="D161" s="1094" t="s">
        <v>1003</v>
      </c>
      <c r="E161" s="1007"/>
      <c r="F161" s="950">
        <v>1572000</v>
      </c>
      <c r="G161" s="1095">
        <v>46021</v>
      </c>
      <c r="H161" s="775">
        <v>46056</v>
      </c>
      <c r="I161" s="931" t="s">
        <v>17</v>
      </c>
      <c r="J161" s="729"/>
      <c r="K161" s="819"/>
      <c r="L161" s="819"/>
      <c r="M161" s="819"/>
      <c r="N161" s="819"/>
      <c r="O161" s="819"/>
      <c r="P161" s="937"/>
      <c r="Q161" s="919">
        <f ca="1" t="shared" si="4"/>
        <v>114</v>
      </c>
      <c r="R161" s="728">
        <f t="shared" si="5"/>
        <v>46200</v>
      </c>
      <c r="S161" s="932"/>
      <c r="T161" s="933"/>
    </row>
    <row r="162" ht="20.1" customHeight="1" spans="1:20">
      <c r="A162" s="897">
        <v>160</v>
      </c>
      <c r="B162" s="819">
        <v>664</v>
      </c>
      <c r="C162" s="1096"/>
      <c r="D162" s="1097" t="s">
        <v>1004</v>
      </c>
      <c r="E162" s="1098"/>
      <c r="F162" s="976">
        <v>289523.81</v>
      </c>
      <c r="G162" s="1095">
        <v>46021</v>
      </c>
      <c r="H162" s="775">
        <v>46056</v>
      </c>
      <c r="I162" s="729" t="s">
        <v>27</v>
      </c>
      <c r="J162" s="729"/>
      <c r="K162" s="819"/>
      <c r="L162" s="819"/>
      <c r="M162" s="819"/>
      <c r="N162" s="819"/>
      <c r="O162" s="819"/>
      <c r="P162" s="937"/>
      <c r="Q162" s="919">
        <f ca="1" t="shared" si="4"/>
        <v>114</v>
      </c>
      <c r="R162" s="728">
        <f t="shared" si="5"/>
        <v>46200</v>
      </c>
      <c r="S162" s="932"/>
      <c r="T162" s="933"/>
    </row>
    <row r="163" ht="20.1" customHeight="1" spans="1:20">
      <c r="A163" s="897">
        <v>161</v>
      </c>
      <c r="B163" s="919">
        <v>665</v>
      </c>
      <c r="C163" s="1096"/>
      <c r="D163" s="1099" t="s">
        <v>1005</v>
      </c>
      <c r="E163" s="1007"/>
      <c r="F163" s="950">
        <v>240000</v>
      </c>
      <c r="G163" s="1095">
        <v>46021</v>
      </c>
      <c r="H163" s="775">
        <v>46056</v>
      </c>
      <c r="I163" s="729" t="s">
        <v>27</v>
      </c>
      <c r="J163" s="729"/>
      <c r="K163" s="819"/>
      <c r="L163" s="819"/>
      <c r="M163" s="819"/>
      <c r="N163" s="819"/>
      <c r="O163" s="819"/>
      <c r="P163" s="937"/>
      <c r="Q163" s="919">
        <f ca="1" t="shared" si="4"/>
        <v>114</v>
      </c>
      <c r="R163" s="728">
        <f t="shared" si="5"/>
        <v>46200</v>
      </c>
      <c r="S163" s="932"/>
      <c r="T163" s="933"/>
    </row>
    <row r="164" ht="20.1" customHeight="1" spans="1:20">
      <c r="A164" s="897">
        <v>162</v>
      </c>
      <c r="B164" s="819">
        <v>666</v>
      </c>
      <c r="C164" s="1093"/>
      <c r="D164" s="1100" t="s">
        <v>1006</v>
      </c>
      <c r="E164" s="1007"/>
      <c r="F164" s="976">
        <v>238095.24</v>
      </c>
      <c r="G164" s="1095">
        <v>46021</v>
      </c>
      <c r="H164" s="775">
        <v>46056</v>
      </c>
      <c r="I164" s="931" t="s">
        <v>17</v>
      </c>
      <c r="J164" s="729"/>
      <c r="K164" s="819"/>
      <c r="L164" s="819"/>
      <c r="M164" s="819"/>
      <c r="N164" s="819"/>
      <c r="O164" s="819"/>
      <c r="P164" s="937"/>
      <c r="Q164" s="919">
        <f ca="1" t="shared" si="4"/>
        <v>114</v>
      </c>
      <c r="R164" s="728">
        <f t="shared" si="5"/>
        <v>46200</v>
      </c>
      <c r="S164" s="932"/>
      <c r="T164" s="933"/>
    </row>
    <row r="165" ht="20.1" customHeight="1" spans="1:20">
      <c r="A165" s="897">
        <v>163</v>
      </c>
      <c r="B165" s="919">
        <v>667</v>
      </c>
      <c r="C165" s="1096"/>
      <c r="D165" s="1099" t="s">
        <v>1007</v>
      </c>
      <c r="E165" s="1007"/>
      <c r="F165" s="976">
        <v>237714.28</v>
      </c>
      <c r="G165" s="1095">
        <v>46021</v>
      </c>
      <c r="H165" s="775">
        <v>46056</v>
      </c>
      <c r="I165" s="729" t="s">
        <v>27</v>
      </c>
      <c r="J165" s="729"/>
      <c r="K165" s="819"/>
      <c r="L165" s="819"/>
      <c r="M165" s="819"/>
      <c r="N165" s="819"/>
      <c r="O165" s="819"/>
      <c r="P165" s="937"/>
      <c r="Q165" s="919">
        <f ca="1" t="shared" si="4"/>
        <v>114</v>
      </c>
      <c r="R165" s="728">
        <f t="shared" si="5"/>
        <v>46200</v>
      </c>
      <c r="S165" s="932"/>
      <c r="T165" s="933"/>
    </row>
    <row r="166" ht="20.1" customHeight="1" spans="1:20">
      <c r="A166" s="897">
        <v>164</v>
      </c>
      <c r="B166" s="819">
        <v>668</v>
      </c>
      <c r="C166" s="1096" t="s">
        <v>79</v>
      </c>
      <c r="D166" s="1099" t="s">
        <v>1008</v>
      </c>
      <c r="E166" s="1007"/>
      <c r="F166" s="976">
        <v>133333.32</v>
      </c>
      <c r="G166" s="1095">
        <v>46021</v>
      </c>
      <c r="H166" s="775">
        <v>46056</v>
      </c>
      <c r="I166" s="729" t="s">
        <v>27</v>
      </c>
      <c r="J166" s="729"/>
      <c r="K166" s="819"/>
      <c r="L166" s="819"/>
      <c r="M166" s="819"/>
      <c r="N166" s="819"/>
      <c r="O166" s="819"/>
      <c r="P166" s="937"/>
      <c r="Q166" s="919">
        <f ca="1" t="shared" si="4"/>
        <v>114</v>
      </c>
      <c r="R166" s="728">
        <f t="shared" si="5"/>
        <v>46200</v>
      </c>
      <c r="S166" s="932"/>
      <c r="T166" s="933"/>
    </row>
    <row r="167" ht="20.1" customHeight="1" spans="1:20">
      <c r="A167" s="897">
        <v>165</v>
      </c>
      <c r="B167" s="919">
        <v>669</v>
      </c>
      <c r="C167" s="1093"/>
      <c r="D167" s="1100" t="s">
        <v>1009</v>
      </c>
      <c r="E167" s="1007"/>
      <c r="F167" s="976">
        <v>35047.62</v>
      </c>
      <c r="G167" s="1095">
        <v>46021</v>
      </c>
      <c r="H167" s="775">
        <v>46056</v>
      </c>
      <c r="I167" s="931" t="s">
        <v>17</v>
      </c>
      <c r="J167" s="729"/>
      <c r="K167" s="819"/>
      <c r="L167" s="819"/>
      <c r="M167" s="819"/>
      <c r="N167" s="819"/>
      <c r="O167" s="819"/>
      <c r="P167" s="937"/>
      <c r="Q167" s="919">
        <f ca="1" t="shared" si="4"/>
        <v>114</v>
      </c>
      <c r="R167" s="728">
        <f t="shared" si="5"/>
        <v>46200</v>
      </c>
      <c r="S167" s="932"/>
      <c r="T167" s="933"/>
    </row>
    <row r="168" ht="20.1" customHeight="1" spans="1:20">
      <c r="A168" s="897">
        <v>166</v>
      </c>
      <c r="B168" s="819">
        <v>670</v>
      </c>
      <c r="C168" s="1096"/>
      <c r="D168" s="1099" t="s">
        <v>1010</v>
      </c>
      <c r="E168" s="1007"/>
      <c r="F168" s="976">
        <v>13333.34</v>
      </c>
      <c r="G168" s="1095">
        <v>46021</v>
      </c>
      <c r="H168" s="775">
        <v>46056</v>
      </c>
      <c r="I168" s="729" t="s">
        <v>27</v>
      </c>
      <c r="J168" s="729"/>
      <c r="K168" s="819"/>
      <c r="L168" s="819"/>
      <c r="M168" s="819"/>
      <c r="N168" s="819"/>
      <c r="O168" s="819"/>
      <c r="P168" s="937"/>
      <c r="Q168" s="919">
        <f ca="1" t="shared" si="4"/>
        <v>114</v>
      </c>
      <c r="R168" s="728">
        <f t="shared" si="5"/>
        <v>46200</v>
      </c>
      <c r="S168" s="932"/>
      <c r="T168" s="933"/>
    </row>
    <row r="169" ht="20.1" customHeight="1" spans="1:20">
      <c r="A169" s="897">
        <v>167</v>
      </c>
      <c r="B169" s="919">
        <v>671</v>
      </c>
      <c r="C169" s="1096"/>
      <c r="D169" s="1099" t="s">
        <v>1011</v>
      </c>
      <c r="E169" s="1007"/>
      <c r="F169" s="976">
        <v>12380.96</v>
      </c>
      <c r="G169" s="1095">
        <v>46021</v>
      </c>
      <c r="H169" s="775">
        <v>46056</v>
      </c>
      <c r="I169" s="729" t="s">
        <v>27</v>
      </c>
      <c r="J169" s="729"/>
      <c r="K169" s="819"/>
      <c r="L169" s="819"/>
      <c r="M169" s="819"/>
      <c r="N169" s="819"/>
      <c r="O169" s="819"/>
      <c r="P169" s="937"/>
      <c r="Q169" s="919">
        <f ca="1" t="shared" si="4"/>
        <v>114</v>
      </c>
      <c r="R169" s="728">
        <f t="shared" si="5"/>
        <v>46200</v>
      </c>
      <c r="S169" s="932"/>
      <c r="T169" s="933"/>
    </row>
    <row r="170" ht="20.1" customHeight="1" spans="1:20">
      <c r="A170" s="897">
        <v>168</v>
      </c>
      <c r="B170" s="819">
        <v>672</v>
      </c>
      <c r="C170" s="1096"/>
      <c r="D170" s="1099" t="s">
        <v>1012</v>
      </c>
      <c r="E170" s="1007"/>
      <c r="F170" s="976">
        <v>11428.58</v>
      </c>
      <c r="G170" s="1095">
        <v>46021</v>
      </c>
      <c r="H170" s="775">
        <v>46056</v>
      </c>
      <c r="I170" s="729" t="s">
        <v>27</v>
      </c>
      <c r="J170" s="729"/>
      <c r="K170" s="819"/>
      <c r="L170" s="819"/>
      <c r="M170" s="819"/>
      <c r="N170" s="819"/>
      <c r="O170" s="819"/>
      <c r="P170" s="937"/>
      <c r="Q170" s="919">
        <f ca="1" t="shared" si="4"/>
        <v>114</v>
      </c>
      <c r="R170" s="728">
        <f t="shared" si="5"/>
        <v>46200</v>
      </c>
      <c r="S170" s="932"/>
      <c r="T170" s="933"/>
    </row>
    <row r="171" ht="20.1" customHeight="1" spans="1:20">
      <c r="A171" s="897">
        <v>169</v>
      </c>
      <c r="B171" s="919">
        <v>673</v>
      </c>
      <c r="C171" s="729" t="s">
        <v>41</v>
      </c>
      <c r="D171" s="1059" t="s">
        <v>1013</v>
      </c>
      <c r="E171" s="819"/>
      <c r="F171" s="976">
        <v>392434.7</v>
      </c>
      <c r="G171" s="977">
        <v>46022</v>
      </c>
      <c r="H171" s="775">
        <v>46090</v>
      </c>
      <c r="I171" s="931" t="s">
        <v>17</v>
      </c>
      <c r="J171" s="729"/>
      <c r="K171" s="819"/>
      <c r="L171" s="819"/>
      <c r="M171" s="819"/>
      <c r="N171" s="819"/>
      <c r="O171" s="819"/>
      <c r="P171" s="937"/>
      <c r="Q171" s="919">
        <f ca="1" t="shared" si="4"/>
        <v>113</v>
      </c>
      <c r="R171" s="728">
        <f t="shared" si="5"/>
        <v>46201</v>
      </c>
      <c r="S171" s="932"/>
    </row>
    <row r="172" ht="20.1" customHeight="1" spans="1:20">
      <c r="A172" s="897">
        <v>170</v>
      </c>
      <c r="B172" s="819">
        <v>674</v>
      </c>
      <c r="C172" s="729" t="s">
        <v>28</v>
      </c>
      <c r="D172" s="1059" t="s">
        <v>1014</v>
      </c>
      <c r="E172" s="819"/>
      <c r="F172" s="976">
        <v>79599.51</v>
      </c>
      <c r="G172" s="977">
        <v>46026</v>
      </c>
      <c r="H172" s="775">
        <v>46097</v>
      </c>
      <c r="I172" s="729" t="s">
        <v>27</v>
      </c>
      <c r="J172" s="729"/>
      <c r="K172" s="819"/>
      <c r="L172" s="819"/>
      <c r="M172" s="819"/>
      <c r="N172" s="819"/>
      <c r="O172" s="819"/>
      <c r="P172" s="937"/>
      <c r="Q172" s="919">
        <f ca="1" t="shared" si="4"/>
        <v>109</v>
      </c>
      <c r="R172" s="728">
        <f t="shared" si="5"/>
        <v>46205</v>
      </c>
      <c r="S172" s="932"/>
    </row>
    <row r="173" ht="26.4" customHeight="1" spans="1:20">
      <c r="A173" s="897">
        <v>171</v>
      </c>
      <c r="B173" s="919">
        <v>675</v>
      </c>
      <c r="C173" s="729" t="s">
        <v>79</v>
      </c>
      <c r="D173" s="1084" t="s">
        <v>1015</v>
      </c>
      <c r="E173" s="927"/>
      <c r="F173" s="1085">
        <v>307217.87</v>
      </c>
      <c r="G173" s="1101">
        <v>46027</v>
      </c>
      <c r="H173" s="1087">
        <v>46038</v>
      </c>
      <c r="I173" s="1088" t="s">
        <v>17</v>
      </c>
      <c r="J173" s="927"/>
      <c r="K173" s="927"/>
      <c r="L173" s="927"/>
      <c r="M173" s="927"/>
      <c r="N173" s="927"/>
      <c r="O173" s="927"/>
      <c r="P173" s="926"/>
      <c r="Q173" s="919">
        <f ca="1" t="shared" si="4"/>
        <v>108</v>
      </c>
      <c r="R173" s="728">
        <f t="shared" si="5"/>
        <v>46206</v>
      </c>
      <c r="S173" s="927"/>
      <c r="T173" s="1102"/>
    </row>
    <row r="174" ht="20.1" customHeight="1" spans="1:20">
      <c r="A174" s="897">
        <v>172</v>
      </c>
      <c r="B174" s="819">
        <v>676</v>
      </c>
      <c r="C174" s="729" t="s">
        <v>79</v>
      </c>
      <c r="D174" s="948" t="s">
        <v>1016</v>
      </c>
      <c r="E174" s="934"/>
      <c r="F174" s="976">
        <v>318052.8</v>
      </c>
      <c r="G174" s="977">
        <v>46027</v>
      </c>
      <c r="H174" s="775">
        <v>46056</v>
      </c>
      <c r="I174" s="729" t="s">
        <v>27</v>
      </c>
      <c r="J174" s="729"/>
      <c r="K174" s="819"/>
      <c r="L174" s="819"/>
      <c r="M174" s="819"/>
      <c r="N174" s="819"/>
      <c r="O174" s="819"/>
      <c r="P174" s="937"/>
      <c r="Q174" s="919">
        <f ca="1" t="shared" si="4"/>
        <v>108</v>
      </c>
      <c r="R174" s="728">
        <f t="shared" si="5"/>
        <v>46206</v>
      </c>
      <c r="S174" s="932"/>
      <c r="T174" s="933"/>
    </row>
    <row r="175" ht="20.1" customHeight="1" spans="1:20">
      <c r="A175" s="897">
        <v>173</v>
      </c>
      <c r="B175" s="919">
        <v>677</v>
      </c>
      <c r="C175" s="729" t="s">
        <v>79</v>
      </c>
      <c r="D175" s="948" t="s">
        <v>1017</v>
      </c>
      <c r="E175" s="934"/>
      <c r="F175" s="976">
        <v>197266.32</v>
      </c>
      <c r="G175" s="977">
        <v>46029</v>
      </c>
      <c r="H175" s="775">
        <v>46051</v>
      </c>
      <c r="I175" s="729" t="s">
        <v>27</v>
      </c>
      <c r="J175" s="729"/>
      <c r="K175" s="819"/>
      <c r="L175" s="819"/>
      <c r="M175" s="819"/>
      <c r="N175" s="819"/>
      <c r="O175" s="819"/>
      <c r="P175" s="937"/>
      <c r="Q175" s="919">
        <f ca="1" t="shared" si="4"/>
        <v>106</v>
      </c>
      <c r="R175" s="728">
        <f t="shared" si="5"/>
        <v>46208</v>
      </c>
      <c r="S175" s="932"/>
      <c r="T175" s="933"/>
    </row>
    <row r="176" ht="20.1" customHeight="1" spans="1:20">
      <c r="A176" s="897">
        <v>174</v>
      </c>
      <c r="B176" s="819">
        <v>678</v>
      </c>
      <c r="C176" s="729" t="s">
        <v>28</v>
      </c>
      <c r="D176" s="1065" t="s">
        <v>1018</v>
      </c>
      <c r="E176" s="819"/>
      <c r="F176" s="950">
        <v>120000</v>
      </c>
      <c r="G176" s="977">
        <v>46029</v>
      </c>
      <c r="H176" s="775">
        <v>46100</v>
      </c>
      <c r="I176" s="729" t="s">
        <v>27</v>
      </c>
      <c r="J176" s="729"/>
      <c r="K176" s="819"/>
      <c r="L176" s="819"/>
      <c r="M176" s="819"/>
      <c r="N176" s="819"/>
      <c r="O176" s="819"/>
      <c r="P176" s="937"/>
      <c r="Q176" s="919">
        <f ca="1" t="shared" si="4"/>
        <v>106</v>
      </c>
      <c r="R176" s="728">
        <f t="shared" si="5"/>
        <v>46208</v>
      </c>
      <c r="S176" s="932"/>
    </row>
    <row r="177" ht="20.1" customHeight="1" spans="1:20">
      <c r="A177" s="897">
        <v>175</v>
      </c>
      <c r="B177" s="919">
        <v>679</v>
      </c>
      <c r="C177" s="729" t="s">
        <v>79</v>
      </c>
      <c r="D177" s="948" t="s">
        <v>1019</v>
      </c>
      <c r="E177" s="934"/>
      <c r="F177" s="950">
        <v>196000</v>
      </c>
      <c r="G177" s="977">
        <v>46030</v>
      </c>
      <c r="H177" s="775">
        <v>46051</v>
      </c>
      <c r="I177" s="729" t="s">
        <v>27</v>
      </c>
      <c r="J177" s="729"/>
      <c r="K177" s="819"/>
      <c r="L177" s="819"/>
      <c r="M177" s="819"/>
      <c r="N177" s="819"/>
      <c r="O177" s="819"/>
      <c r="P177" s="937"/>
      <c r="Q177" s="919">
        <f ca="1" t="shared" si="4"/>
        <v>105</v>
      </c>
      <c r="R177" s="728">
        <f t="shared" si="5"/>
        <v>46209</v>
      </c>
      <c r="S177" s="932"/>
      <c r="T177" s="933"/>
    </row>
    <row r="178" ht="20.1" customHeight="1" spans="1:20">
      <c r="A178" s="897">
        <v>176</v>
      </c>
      <c r="B178" s="819">
        <v>680</v>
      </c>
      <c r="C178" s="729" t="s">
        <v>79</v>
      </c>
      <c r="D178" s="948" t="s">
        <v>1020</v>
      </c>
      <c r="E178" s="934"/>
      <c r="F178" s="976">
        <v>504950.12</v>
      </c>
      <c r="G178" s="977">
        <v>46031</v>
      </c>
      <c r="H178" s="775">
        <v>46056</v>
      </c>
      <c r="I178" s="931" t="s">
        <v>17</v>
      </c>
      <c r="J178" s="729"/>
      <c r="K178" s="819"/>
      <c r="L178" s="819"/>
      <c r="M178" s="819"/>
      <c r="N178" s="819"/>
      <c r="O178" s="819"/>
      <c r="P178" s="937"/>
      <c r="Q178" s="919">
        <f ca="1" t="shared" si="4"/>
        <v>104</v>
      </c>
      <c r="R178" s="728">
        <f t="shared" si="5"/>
        <v>46210</v>
      </c>
      <c r="S178" s="932"/>
      <c r="T178" s="933"/>
    </row>
    <row r="179" ht="20.1" customHeight="1" spans="1:20">
      <c r="A179" s="897">
        <v>177</v>
      </c>
      <c r="B179" s="919">
        <v>681</v>
      </c>
      <c r="C179" s="729" t="s">
        <v>79</v>
      </c>
      <c r="D179" s="948" t="s">
        <v>1021</v>
      </c>
      <c r="E179" s="1007"/>
      <c r="F179" s="950">
        <v>172800</v>
      </c>
      <c r="G179" s="977">
        <v>46049</v>
      </c>
      <c r="H179" s="775">
        <v>46062</v>
      </c>
      <c r="I179" s="729" t="s">
        <v>27</v>
      </c>
      <c r="J179" s="729"/>
      <c r="K179" s="819"/>
      <c r="L179" s="819"/>
      <c r="M179" s="819"/>
      <c r="N179" s="819"/>
      <c r="O179" s="819"/>
      <c r="P179" s="937"/>
      <c r="Q179" s="919">
        <f ca="1" t="shared" si="4"/>
        <v>86</v>
      </c>
      <c r="R179" s="728">
        <f t="shared" si="5"/>
        <v>46228</v>
      </c>
      <c r="S179" s="932"/>
      <c r="T179" s="933"/>
    </row>
    <row r="180" ht="32.55" customHeight="1" spans="1:20">
      <c r="A180" s="897">
        <v>178</v>
      </c>
      <c r="B180" s="819">
        <v>682</v>
      </c>
      <c r="C180" s="729" t="s">
        <v>79</v>
      </c>
      <c r="D180" s="948" t="s">
        <v>1022</v>
      </c>
      <c r="E180" s="819"/>
      <c r="F180" s="976">
        <v>167842.62</v>
      </c>
      <c r="G180" s="977">
        <v>46050</v>
      </c>
      <c r="H180" s="775">
        <v>46066</v>
      </c>
      <c r="I180" s="729" t="s">
        <v>27</v>
      </c>
      <c r="J180" s="729"/>
      <c r="K180" s="819"/>
      <c r="L180" s="819"/>
      <c r="M180" s="819"/>
      <c r="N180" s="819"/>
      <c r="O180" s="819"/>
      <c r="P180" s="937"/>
      <c r="Q180" s="919">
        <f ca="1" t="shared" si="4"/>
        <v>85</v>
      </c>
      <c r="R180" s="728">
        <f t="shared" si="5"/>
        <v>46229</v>
      </c>
      <c r="S180" s="932"/>
      <c r="T180" s="933"/>
    </row>
    <row r="181" ht="25.8" customHeight="1" spans="1:20">
      <c r="A181" s="897">
        <v>179</v>
      </c>
      <c r="B181" s="919">
        <v>683</v>
      </c>
      <c r="C181" s="729" t="s">
        <v>79</v>
      </c>
      <c r="D181" s="1059" t="s">
        <v>1023</v>
      </c>
      <c r="E181" s="819"/>
      <c r="F181" s="950">
        <v>400000</v>
      </c>
      <c r="G181" s="977">
        <v>46057</v>
      </c>
      <c r="H181" s="775">
        <v>46085</v>
      </c>
      <c r="I181" s="729" t="s">
        <v>27</v>
      </c>
      <c r="J181" s="729"/>
      <c r="K181" s="819"/>
      <c r="L181" s="819"/>
      <c r="M181" s="819"/>
      <c r="N181" s="819"/>
      <c r="O181" s="819"/>
      <c r="P181" s="937"/>
      <c r="Q181" s="919">
        <f ca="1" t="shared" si="4"/>
        <v>78</v>
      </c>
      <c r="R181" s="728">
        <f t="shared" si="5"/>
        <v>46236</v>
      </c>
      <c r="S181" s="932"/>
    </row>
    <row r="182" ht="33.3" customHeight="1" spans="1:20">
      <c r="A182" s="897">
        <v>180</v>
      </c>
      <c r="B182" s="819">
        <v>684</v>
      </c>
      <c r="C182" s="729" t="s">
        <v>79</v>
      </c>
      <c r="D182" s="948" t="s">
        <v>1024</v>
      </c>
      <c r="E182" s="819"/>
      <c r="F182" s="976">
        <v>279886.4</v>
      </c>
      <c r="G182" s="1064">
        <v>46058</v>
      </c>
      <c r="H182" s="775">
        <v>46066</v>
      </c>
      <c r="I182" s="729" t="s">
        <v>27</v>
      </c>
      <c r="J182" s="729"/>
      <c r="K182" s="819"/>
      <c r="L182" s="819"/>
      <c r="M182" s="819"/>
      <c r="N182" s="819"/>
      <c r="O182" s="819"/>
      <c r="P182" s="937"/>
      <c r="Q182" s="919">
        <f ca="1" t="shared" si="4"/>
        <v>77</v>
      </c>
      <c r="R182" s="728">
        <f t="shared" si="5"/>
        <v>46237</v>
      </c>
      <c r="S182" s="932"/>
      <c r="T182" s="933"/>
    </row>
    <row r="183" ht="20.1" customHeight="1" spans="1:20">
      <c r="A183" s="897">
        <v>181</v>
      </c>
      <c r="B183" s="919">
        <v>685</v>
      </c>
      <c r="C183" s="729" t="s">
        <v>79</v>
      </c>
      <c r="D183" s="1059" t="s">
        <v>1025</v>
      </c>
      <c r="E183" s="819"/>
      <c r="F183" s="976">
        <v>255401.93</v>
      </c>
      <c r="G183" s="977">
        <v>46058</v>
      </c>
      <c r="H183" s="775">
        <v>46085</v>
      </c>
      <c r="I183" s="729" t="s">
        <v>27</v>
      </c>
      <c r="J183" s="729"/>
      <c r="K183" s="819"/>
      <c r="L183" s="819"/>
      <c r="M183" s="819"/>
      <c r="N183" s="819"/>
      <c r="O183" s="819"/>
      <c r="P183" s="937"/>
      <c r="Q183" s="919">
        <f ca="1" t="shared" si="4"/>
        <v>77</v>
      </c>
      <c r="R183" s="728">
        <f t="shared" si="5"/>
        <v>46237</v>
      </c>
      <c r="S183" s="932"/>
    </row>
    <row r="184" ht="20.1" customHeight="1" spans="1:20">
      <c r="A184" s="897">
        <v>182</v>
      </c>
      <c r="B184" s="819">
        <v>686</v>
      </c>
      <c r="C184" s="729" t="s">
        <v>79</v>
      </c>
      <c r="D184" s="948" t="s">
        <v>1026</v>
      </c>
      <c r="E184" s="819"/>
      <c r="F184" s="976">
        <v>159979.52</v>
      </c>
      <c r="G184" s="977">
        <v>46063</v>
      </c>
      <c r="H184" s="775">
        <v>46066</v>
      </c>
      <c r="I184" s="729" t="s">
        <v>27</v>
      </c>
      <c r="J184" s="729"/>
      <c r="K184" s="819"/>
      <c r="L184" s="819"/>
      <c r="M184" s="819"/>
      <c r="N184" s="819"/>
      <c r="O184" s="819"/>
      <c r="P184" s="937"/>
      <c r="Q184" s="919">
        <f ca="1" t="shared" si="4"/>
        <v>72</v>
      </c>
      <c r="R184" s="728">
        <f t="shared" si="5"/>
        <v>46242</v>
      </c>
      <c r="S184" s="932"/>
      <c r="T184" s="933"/>
    </row>
    <row r="185" ht="20.1" customHeight="1" spans="1:20">
      <c r="A185" s="897">
        <v>183</v>
      </c>
      <c r="B185" s="919">
        <v>687</v>
      </c>
      <c r="C185" s="729" t="s">
        <v>79</v>
      </c>
      <c r="D185" s="1059" t="s">
        <v>1027</v>
      </c>
      <c r="E185" s="819"/>
      <c r="F185" s="976">
        <v>180084.43</v>
      </c>
      <c r="G185" s="977">
        <v>46063</v>
      </c>
      <c r="H185" s="775">
        <v>46085</v>
      </c>
      <c r="I185" s="729" t="s">
        <v>27</v>
      </c>
      <c r="J185" s="729"/>
      <c r="K185" s="819"/>
      <c r="L185" s="819"/>
      <c r="M185" s="819"/>
      <c r="N185" s="819"/>
      <c r="O185" s="819"/>
      <c r="P185" s="937"/>
      <c r="Q185" s="919">
        <f ca="1" t="shared" si="4"/>
        <v>72</v>
      </c>
      <c r="R185" s="728">
        <f t="shared" si="5"/>
        <v>46242</v>
      </c>
      <c r="S185" s="932"/>
    </row>
    <row r="186" ht="20.1" customHeight="1" spans="1:20">
      <c r="A186" s="897">
        <v>184</v>
      </c>
      <c r="B186" s="819"/>
      <c r="C186" s="729" t="s">
        <v>75</v>
      </c>
      <c r="D186" s="1059" t="s">
        <v>996</v>
      </c>
      <c r="E186" s="819"/>
      <c r="F186" s="976">
        <v>1139580.17</v>
      </c>
      <c r="G186" s="1064">
        <v>46064</v>
      </c>
      <c r="H186" s="775">
        <v>46108</v>
      </c>
      <c r="I186" s="931" t="s">
        <v>17</v>
      </c>
      <c r="J186" s="729"/>
      <c r="K186" s="819"/>
      <c r="L186" s="819"/>
      <c r="M186" s="819"/>
      <c r="N186" s="819"/>
      <c r="O186" s="819"/>
      <c r="P186" s="937"/>
      <c r="Q186" s="919">
        <f ca="1" t="shared" si="4"/>
        <v>71</v>
      </c>
      <c r="R186" s="728">
        <f t="shared" si="5"/>
        <v>46243</v>
      </c>
      <c r="S186" s="932"/>
    </row>
    <row r="187" ht="31.05" customHeight="1" spans="1:20">
      <c r="A187" s="897">
        <v>185</v>
      </c>
      <c r="B187" s="819">
        <v>688</v>
      </c>
      <c r="C187" s="969" t="s">
        <v>79</v>
      </c>
      <c r="D187" s="1059" t="s">
        <v>1028</v>
      </c>
      <c r="E187" s="819"/>
      <c r="F187" s="976">
        <v>86042.53</v>
      </c>
      <c r="G187" s="977">
        <v>46066</v>
      </c>
      <c r="H187" s="775">
        <v>46091</v>
      </c>
      <c r="I187" s="729" t="s">
        <v>27</v>
      </c>
      <c r="J187" s="729"/>
      <c r="K187" s="819"/>
      <c r="L187" s="819"/>
      <c r="M187" s="819"/>
      <c r="N187" s="819"/>
      <c r="O187" s="819"/>
      <c r="P187" s="937"/>
      <c r="Q187" s="919">
        <f ca="1" t="shared" si="4"/>
        <v>69</v>
      </c>
      <c r="R187" s="728">
        <f t="shared" si="5"/>
        <v>46245</v>
      </c>
      <c r="S187" s="932"/>
    </row>
    <row r="188" ht="33.3" customHeight="1" spans="1:20">
      <c r="A188" s="897">
        <v>186</v>
      </c>
      <c r="B188" s="919">
        <v>689</v>
      </c>
      <c r="C188" s="729" t="s">
        <v>79</v>
      </c>
      <c r="D188" s="1059" t="s">
        <v>1029</v>
      </c>
      <c r="E188" s="819"/>
      <c r="F188" s="976">
        <v>274555.22</v>
      </c>
      <c r="G188" s="1046">
        <v>46066</v>
      </c>
      <c r="H188" s="775">
        <v>46097</v>
      </c>
      <c r="I188" s="729" t="s">
        <v>27</v>
      </c>
      <c r="J188" s="729"/>
      <c r="K188" s="819"/>
      <c r="L188" s="819"/>
      <c r="M188" s="819"/>
      <c r="N188" s="819"/>
      <c r="O188" s="819"/>
      <c r="P188" s="937"/>
      <c r="Q188" s="919">
        <f ca="1" t="shared" si="4"/>
        <v>69</v>
      </c>
      <c r="R188" s="728">
        <f t="shared" si="5"/>
        <v>46245</v>
      </c>
      <c r="S188" s="932"/>
    </row>
    <row r="189" ht="20.1" customHeight="1" spans="1:20">
      <c r="A189" s="897">
        <v>187</v>
      </c>
      <c r="B189" s="819">
        <v>690</v>
      </c>
      <c r="C189" s="729" t="s">
        <v>79</v>
      </c>
      <c r="D189" s="1103" t="s">
        <v>1030</v>
      </c>
      <c r="E189" s="819"/>
      <c r="F189" s="950">
        <v>120000</v>
      </c>
      <c r="G189" s="989">
        <v>46078</v>
      </c>
      <c r="H189" s="775">
        <v>46093</v>
      </c>
      <c r="I189" s="729" t="s">
        <v>27</v>
      </c>
      <c r="J189" s="729"/>
      <c r="K189" s="819"/>
      <c r="L189" s="819"/>
      <c r="M189" s="819"/>
      <c r="N189" s="819"/>
      <c r="O189" s="819"/>
      <c r="P189" s="937"/>
      <c r="Q189" s="919">
        <f ca="1" t="shared" si="4"/>
        <v>57</v>
      </c>
      <c r="R189" s="728">
        <f t="shared" si="5"/>
        <v>46257</v>
      </c>
      <c r="S189" s="932"/>
    </row>
    <row r="190" ht="28.05" customHeight="1" spans="1:20">
      <c r="A190" s="897">
        <v>188</v>
      </c>
      <c r="B190" s="919">
        <v>691</v>
      </c>
      <c r="C190" s="729" t="s">
        <v>79</v>
      </c>
      <c r="D190" s="1104" t="s">
        <v>1031</v>
      </c>
      <c r="E190" s="819"/>
      <c r="F190" s="976">
        <v>68571.44</v>
      </c>
      <c r="G190" s="977">
        <v>46078</v>
      </c>
      <c r="H190" s="775">
        <v>46093</v>
      </c>
      <c r="I190" s="729" t="s">
        <v>27</v>
      </c>
      <c r="J190" s="729"/>
      <c r="K190" s="819"/>
      <c r="L190" s="819"/>
      <c r="M190" s="819"/>
      <c r="N190" s="819"/>
      <c r="O190" s="819"/>
      <c r="P190" s="937"/>
      <c r="Q190" s="919">
        <f ca="1" t="shared" si="4"/>
        <v>57</v>
      </c>
      <c r="R190" s="728">
        <f t="shared" si="5"/>
        <v>46257</v>
      </c>
      <c r="S190" s="932"/>
    </row>
    <row r="191" ht="20.1" customHeight="1" spans="1:20">
      <c r="A191" s="897">
        <v>189</v>
      </c>
      <c r="B191" s="819">
        <v>692</v>
      </c>
      <c r="C191" s="729" t="s">
        <v>79</v>
      </c>
      <c r="D191" s="1104" t="s">
        <v>1032</v>
      </c>
      <c r="E191" s="819"/>
      <c r="F191" s="976">
        <v>183170.98</v>
      </c>
      <c r="G191" s="977">
        <v>46078</v>
      </c>
      <c r="H191" s="775">
        <v>46093</v>
      </c>
      <c r="I191" s="729" t="s">
        <v>27</v>
      </c>
      <c r="J191" s="729"/>
      <c r="K191" s="819"/>
      <c r="L191" s="819"/>
      <c r="M191" s="819"/>
      <c r="N191" s="819"/>
      <c r="O191" s="819"/>
      <c r="P191" s="937"/>
      <c r="Q191" s="919">
        <f ca="1" t="shared" si="4"/>
        <v>57</v>
      </c>
      <c r="R191" s="728">
        <f t="shared" si="5"/>
        <v>46257</v>
      </c>
      <c r="S191" s="932"/>
    </row>
    <row r="192" ht="20.1" customHeight="1" spans="1:20">
      <c r="A192" s="897">
        <v>190</v>
      </c>
      <c r="B192" s="919">
        <v>693</v>
      </c>
      <c r="C192" s="729" t="s">
        <v>79</v>
      </c>
      <c r="D192" s="1104" t="s">
        <v>1033</v>
      </c>
      <c r="E192" s="819"/>
      <c r="F192" s="976">
        <v>18842.39</v>
      </c>
      <c r="G192" s="977">
        <v>46078</v>
      </c>
      <c r="H192" s="775">
        <v>46093</v>
      </c>
      <c r="I192" s="729" t="s">
        <v>27</v>
      </c>
      <c r="J192" s="729"/>
      <c r="K192" s="819"/>
      <c r="L192" s="819"/>
      <c r="M192" s="819"/>
      <c r="N192" s="819"/>
      <c r="O192" s="819"/>
      <c r="P192" s="937"/>
      <c r="Q192" s="919">
        <f ca="1" t="shared" si="4"/>
        <v>57</v>
      </c>
      <c r="R192" s="728">
        <f t="shared" si="5"/>
        <v>46257</v>
      </c>
      <c r="S192" s="932"/>
    </row>
    <row r="193" ht="20.1" customHeight="1" spans="1:19">
      <c r="A193" s="897">
        <v>191</v>
      </c>
      <c r="B193" s="819">
        <v>694</v>
      </c>
      <c r="C193" s="729" t="s">
        <v>79</v>
      </c>
      <c r="D193" s="1104" t="s">
        <v>1034</v>
      </c>
      <c r="E193" s="819"/>
      <c r="F193" s="976">
        <v>45714.28</v>
      </c>
      <c r="G193" s="977">
        <v>46078</v>
      </c>
      <c r="H193" s="775">
        <v>46093</v>
      </c>
      <c r="I193" s="729" t="s">
        <v>27</v>
      </c>
      <c r="J193" s="729"/>
      <c r="K193" s="819"/>
      <c r="L193" s="819"/>
      <c r="M193" s="819"/>
      <c r="N193" s="819"/>
      <c r="O193" s="819"/>
      <c r="P193" s="937"/>
      <c r="Q193" s="919">
        <f ca="1" t="shared" si="4"/>
        <v>57</v>
      </c>
      <c r="R193" s="728">
        <f t="shared" si="5"/>
        <v>46257</v>
      </c>
      <c r="S193" s="932"/>
    </row>
    <row r="194" ht="20.1" customHeight="1" spans="1:19">
      <c r="A194" s="897">
        <v>192</v>
      </c>
      <c r="B194" s="919">
        <v>695</v>
      </c>
      <c r="C194" s="729" t="s">
        <v>79</v>
      </c>
      <c r="D194" s="1104" t="s">
        <v>1035</v>
      </c>
      <c r="E194" s="819"/>
      <c r="F194" s="976">
        <v>10231.52</v>
      </c>
      <c r="G194" s="977">
        <v>46078</v>
      </c>
      <c r="H194" s="775">
        <v>46093</v>
      </c>
      <c r="I194" s="729" t="s">
        <v>27</v>
      </c>
      <c r="J194" s="729"/>
      <c r="K194" s="819"/>
      <c r="L194" s="819"/>
      <c r="M194" s="819"/>
      <c r="N194" s="819"/>
      <c r="O194" s="819"/>
      <c r="P194" s="937"/>
      <c r="Q194" s="919">
        <f ca="1" t="shared" si="4"/>
        <v>57</v>
      </c>
      <c r="R194" s="728">
        <f t="shared" si="5"/>
        <v>46257</v>
      </c>
      <c r="S194" s="932"/>
    </row>
    <row r="195" ht="28.05" customHeight="1" spans="1:19">
      <c r="A195" s="897">
        <v>193</v>
      </c>
      <c r="B195" s="819">
        <v>696</v>
      </c>
      <c r="C195" s="729" t="s">
        <v>79</v>
      </c>
      <c r="D195" s="1104" t="s">
        <v>1036</v>
      </c>
      <c r="E195" s="819"/>
      <c r="F195" s="976">
        <v>229175.61</v>
      </c>
      <c r="G195" s="977">
        <v>46078</v>
      </c>
      <c r="H195" s="775">
        <v>46093</v>
      </c>
      <c r="I195" s="729" t="s">
        <v>27</v>
      </c>
      <c r="J195" s="729"/>
      <c r="K195" s="819"/>
      <c r="L195" s="819"/>
      <c r="M195" s="819"/>
      <c r="N195" s="819"/>
      <c r="O195" s="819"/>
      <c r="P195" s="937"/>
      <c r="Q195" s="919">
        <f ca="1" t="shared" ref="Q195:Q205" si="6">DATEDIF(G195,TODAY(),"D")</f>
        <v>57</v>
      </c>
      <c r="R195" s="728">
        <f t="shared" ref="R195:R205" si="7">G195+179</f>
        <v>46257</v>
      </c>
      <c r="S195" s="932"/>
    </row>
    <row r="196" ht="20.1" customHeight="1" spans="1:19">
      <c r="A196" s="897">
        <v>194</v>
      </c>
      <c r="B196" s="919">
        <v>697</v>
      </c>
      <c r="C196" s="729" t="s">
        <v>79</v>
      </c>
      <c r="D196" s="1104" t="s">
        <v>1037</v>
      </c>
      <c r="E196" s="819"/>
      <c r="F196" s="976">
        <v>50961.06</v>
      </c>
      <c r="G196" s="977">
        <v>46078</v>
      </c>
      <c r="H196" s="775">
        <v>46093</v>
      </c>
      <c r="I196" s="729" t="s">
        <v>27</v>
      </c>
      <c r="J196" s="729"/>
      <c r="K196" s="819"/>
      <c r="L196" s="819"/>
      <c r="M196" s="819"/>
      <c r="N196" s="819"/>
      <c r="O196" s="819"/>
      <c r="P196" s="937"/>
      <c r="Q196" s="919">
        <f ca="1" t="shared" si="6"/>
        <v>57</v>
      </c>
      <c r="R196" s="728">
        <f t="shared" si="7"/>
        <v>46257</v>
      </c>
      <c r="S196" s="932"/>
    </row>
    <row r="197" ht="20.1" customHeight="1" spans="1:19">
      <c r="A197" s="897">
        <v>195</v>
      </c>
      <c r="B197" s="819">
        <v>698</v>
      </c>
      <c r="C197" s="729" t="s">
        <v>79</v>
      </c>
      <c r="D197" s="1105" t="s">
        <v>1038</v>
      </c>
      <c r="E197" s="819"/>
      <c r="F197" s="1058">
        <v>800000</v>
      </c>
      <c r="G197" s="977">
        <v>46078</v>
      </c>
      <c r="H197" s="775">
        <v>46093</v>
      </c>
      <c r="I197" s="931" t="s">
        <v>17</v>
      </c>
      <c r="J197" s="729"/>
      <c r="K197" s="819"/>
      <c r="L197" s="819"/>
      <c r="M197" s="819"/>
      <c r="N197" s="819"/>
      <c r="O197" s="819"/>
      <c r="P197" s="937"/>
      <c r="Q197" s="919">
        <f ca="1" t="shared" si="6"/>
        <v>57</v>
      </c>
      <c r="R197" s="728">
        <f t="shared" si="7"/>
        <v>46257</v>
      </c>
      <c r="S197" s="932"/>
    </row>
    <row r="198" ht="20.1" customHeight="1" spans="1:19">
      <c r="A198" s="897">
        <v>196</v>
      </c>
      <c r="B198" s="919">
        <v>699</v>
      </c>
      <c r="C198" s="729" t="s">
        <v>79</v>
      </c>
      <c r="D198" s="1106" t="s">
        <v>1039</v>
      </c>
      <c r="E198" s="819"/>
      <c r="F198" s="976">
        <v>323809.53</v>
      </c>
      <c r="G198" s="977">
        <v>46078</v>
      </c>
      <c r="H198" s="775">
        <v>46093</v>
      </c>
      <c r="I198" s="931" t="s">
        <v>17</v>
      </c>
      <c r="J198" s="729"/>
      <c r="K198" s="819"/>
      <c r="L198" s="819"/>
      <c r="M198" s="819"/>
      <c r="N198" s="819"/>
      <c r="O198" s="819"/>
      <c r="P198" s="937"/>
      <c r="Q198" s="919">
        <f ca="1" t="shared" si="6"/>
        <v>57</v>
      </c>
      <c r="R198" s="728">
        <f t="shared" si="7"/>
        <v>46257</v>
      </c>
      <c r="S198" s="932"/>
    </row>
    <row r="199" ht="20.1" customHeight="1" spans="1:19">
      <c r="A199" s="897">
        <v>197</v>
      </c>
      <c r="B199" s="819">
        <v>700</v>
      </c>
      <c r="C199" s="729" t="s">
        <v>79</v>
      </c>
      <c r="D199" s="1106" t="s">
        <v>1040</v>
      </c>
      <c r="E199" s="819"/>
      <c r="F199" s="976">
        <v>291428.58</v>
      </c>
      <c r="G199" s="977">
        <v>46078</v>
      </c>
      <c r="H199" s="775">
        <v>46093</v>
      </c>
      <c r="I199" s="931" t="s">
        <v>17</v>
      </c>
      <c r="J199" s="729"/>
      <c r="K199" s="819"/>
      <c r="L199" s="819"/>
      <c r="M199" s="819"/>
      <c r="N199" s="819"/>
      <c r="O199" s="819"/>
      <c r="P199" s="937"/>
      <c r="Q199" s="919">
        <f ca="1" t="shared" si="6"/>
        <v>57</v>
      </c>
      <c r="R199" s="728">
        <f t="shared" si="7"/>
        <v>46257</v>
      </c>
      <c r="S199" s="932"/>
    </row>
    <row r="200" ht="20.1" customHeight="1" spans="1:19">
      <c r="A200" s="897">
        <v>198</v>
      </c>
      <c r="B200" s="919">
        <v>701</v>
      </c>
      <c r="C200" s="729" t="s">
        <v>79</v>
      </c>
      <c r="D200" s="1106" t="s">
        <v>1041</v>
      </c>
      <c r="E200" s="819"/>
      <c r="F200" s="950">
        <v>592000</v>
      </c>
      <c r="G200" s="977">
        <v>46078</v>
      </c>
      <c r="H200" s="775">
        <v>46093</v>
      </c>
      <c r="I200" s="931" t="s">
        <v>17</v>
      </c>
      <c r="J200" s="729"/>
      <c r="K200" s="819"/>
      <c r="L200" s="819"/>
      <c r="M200" s="819"/>
      <c r="N200" s="819"/>
      <c r="O200" s="819"/>
      <c r="P200" s="937"/>
      <c r="Q200" s="919">
        <f ca="1" t="shared" si="6"/>
        <v>57</v>
      </c>
      <c r="R200" s="728">
        <f t="shared" si="7"/>
        <v>46257</v>
      </c>
      <c r="S200" s="932"/>
    </row>
    <row r="201" ht="20.1" customHeight="1" spans="1:19">
      <c r="A201" s="897">
        <v>199</v>
      </c>
      <c r="B201" s="819">
        <v>702</v>
      </c>
      <c r="C201" s="729" t="s">
        <v>79</v>
      </c>
      <c r="D201" s="1106" t="s">
        <v>1042</v>
      </c>
      <c r="E201" s="819"/>
      <c r="F201" s="976">
        <v>287619.04</v>
      </c>
      <c r="G201" s="977">
        <v>46078</v>
      </c>
      <c r="H201" s="775">
        <v>46093</v>
      </c>
      <c r="I201" s="931" t="s">
        <v>17</v>
      </c>
      <c r="J201" s="729"/>
      <c r="K201" s="819"/>
      <c r="L201" s="819"/>
      <c r="M201" s="819"/>
      <c r="N201" s="819"/>
      <c r="O201" s="819"/>
      <c r="P201" s="937"/>
      <c r="Q201" s="919">
        <f ca="1" t="shared" si="6"/>
        <v>57</v>
      </c>
      <c r="R201" s="728">
        <f t="shared" si="7"/>
        <v>46257</v>
      </c>
      <c r="S201" s="932"/>
    </row>
    <row r="202" ht="20.1" customHeight="1" spans="1:19">
      <c r="A202" s="897">
        <v>200</v>
      </c>
      <c r="B202" s="919">
        <v>703</v>
      </c>
      <c r="C202" s="729" t="s">
        <v>79</v>
      </c>
      <c r="D202" s="1059" t="s">
        <v>1043</v>
      </c>
      <c r="E202" s="819"/>
      <c r="F202" s="1002">
        <v>799580</v>
      </c>
      <c r="G202" s="977">
        <v>46084</v>
      </c>
      <c r="H202" s="775">
        <v>46097</v>
      </c>
      <c r="I202" s="931" t="s">
        <v>17</v>
      </c>
      <c r="J202" s="729"/>
      <c r="K202" s="819"/>
      <c r="L202" s="819"/>
      <c r="M202" s="819"/>
      <c r="N202" s="819"/>
      <c r="O202" s="819"/>
      <c r="P202" s="937"/>
      <c r="Q202" s="919">
        <f ca="1" t="shared" si="6"/>
        <v>51</v>
      </c>
      <c r="R202" s="728">
        <f t="shared" si="7"/>
        <v>46263</v>
      </c>
      <c r="S202" s="932"/>
    </row>
    <row r="203" ht="20.1" customHeight="1" spans="1:19">
      <c r="A203" s="897">
        <v>201</v>
      </c>
      <c r="B203" s="819"/>
      <c r="C203" s="729" t="s">
        <v>79</v>
      </c>
      <c r="D203" s="1059" t="s">
        <v>1044</v>
      </c>
      <c r="E203" s="819"/>
      <c r="F203" s="1006">
        <v>199999.98</v>
      </c>
      <c r="G203" s="977">
        <v>46084</v>
      </c>
      <c r="H203" s="775">
        <v>46108</v>
      </c>
      <c r="I203" s="729" t="s">
        <v>27</v>
      </c>
      <c r="J203" s="729"/>
      <c r="K203" s="819"/>
      <c r="L203" s="819"/>
      <c r="M203" s="819"/>
      <c r="N203" s="819"/>
      <c r="O203" s="819"/>
      <c r="P203" s="937"/>
      <c r="Q203" s="919">
        <f ca="1" t="shared" si="6"/>
        <v>51</v>
      </c>
      <c r="R203" s="728">
        <f t="shared" si="7"/>
        <v>46263</v>
      </c>
      <c r="S203" s="932"/>
    </row>
    <row r="204" ht="20.1" customHeight="1" spans="1:19">
      <c r="A204" s="897">
        <v>202</v>
      </c>
      <c r="B204" s="819"/>
      <c r="C204" s="951" t="s">
        <v>79</v>
      </c>
      <c r="D204" s="1059" t="s">
        <v>1045</v>
      </c>
      <c r="E204" s="1018"/>
      <c r="F204" s="1107">
        <v>192177.35</v>
      </c>
      <c r="G204" s="977">
        <v>46090</v>
      </c>
      <c r="H204" s="775">
        <v>46108</v>
      </c>
      <c r="I204" s="729" t="s">
        <v>27</v>
      </c>
      <c r="J204" s="729"/>
      <c r="K204" s="819"/>
      <c r="L204" s="819"/>
      <c r="M204" s="819"/>
      <c r="N204" s="819"/>
      <c r="O204" s="819"/>
      <c r="P204" s="937"/>
      <c r="Q204" s="919">
        <f ca="1" t="shared" si="6"/>
        <v>45</v>
      </c>
      <c r="R204" s="728">
        <f t="shared" si="7"/>
        <v>46269</v>
      </c>
      <c r="S204" s="932"/>
    </row>
    <row r="205" ht="20.1" customHeight="1" spans="1:19">
      <c r="A205" s="897">
        <v>203</v>
      </c>
      <c r="B205" s="819"/>
      <c r="C205" s="729" t="s">
        <v>79</v>
      </c>
      <c r="D205" s="1059" t="s">
        <v>1046</v>
      </c>
      <c r="E205" s="819"/>
      <c r="F205" s="1107">
        <v>139429.84</v>
      </c>
      <c r="G205" s="977">
        <v>46092</v>
      </c>
      <c r="H205" s="775">
        <v>46108</v>
      </c>
      <c r="I205" s="729" t="s">
        <v>27</v>
      </c>
      <c r="J205" s="729"/>
      <c r="K205" s="819"/>
      <c r="L205" s="819"/>
      <c r="M205" s="819"/>
      <c r="N205" s="819"/>
      <c r="O205" s="819"/>
      <c r="P205" s="937"/>
      <c r="Q205" s="919">
        <f ca="1" t="shared" si="6"/>
        <v>43</v>
      </c>
      <c r="R205" s="728">
        <f t="shared" si="7"/>
        <v>46271</v>
      </c>
      <c r="S205" s="932"/>
    </row>
    <row r="206" ht="20.1" customHeight="1" spans="1:19">
      <c r="A206" s="897"/>
      <c r="B206" s="897"/>
      <c r="C206" s="919"/>
      <c r="D206" s="1108"/>
      <c r="E206" s="897"/>
      <c r="F206" s="1109"/>
      <c r="G206" s="1110"/>
      <c r="H206" s="728"/>
      <c r="I206" s="897"/>
      <c r="J206" s="897"/>
      <c r="K206" s="897"/>
      <c r="L206" s="897"/>
      <c r="M206" s="897"/>
      <c r="N206" s="897"/>
      <c r="O206" s="897"/>
      <c r="P206" s="1082"/>
      <c r="Q206" s="919"/>
      <c r="R206" s="728"/>
      <c r="S206" s="1083"/>
    </row>
    <row r="207" ht="20.1" customHeight="1" spans="1:19">
      <c r="A207" s="897"/>
      <c r="B207" s="897"/>
      <c r="C207" s="919"/>
      <c r="D207" s="1108"/>
      <c r="E207" s="897"/>
      <c r="F207" s="1109"/>
      <c r="G207" s="1110"/>
      <c r="H207" s="728"/>
      <c r="I207" s="897"/>
      <c r="J207" s="897"/>
      <c r="K207" s="897"/>
      <c r="L207" s="897"/>
      <c r="M207" s="897"/>
      <c r="N207" s="897"/>
      <c r="O207" s="897"/>
      <c r="P207" s="1082"/>
      <c r="Q207" s="919"/>
      <c r="R207" s="728"/>
      <c r="S207" s="1083"/>
    </row>
    <row r="208" ht="20.1" customHeight="1" spans="1:19">
      <c r="A208" s="897"/>
      <c r="B208" s="897"/>
      <c r="C208" s="919"/>
      <c r="D208" s="1108"/>
      <c r="E208" s="897"/>
      <c r="F208" s="1109"/>
      <c r="G208" s="1110"/>
      <c r="H208" s="728"/>
      <c r="I208" s="897"/>
      <c r="J208" s="897"/>
      <c r="K208" s="897"/>
      <c r="L208" s="897"/>
      <c r="M208" s="897"/>
      <c r="N208" s="897"/>
      <c r="O208" s="897"/>
      <c r="P208" s="1082"/>
      <c r="Q208" s="919"/>
      <c r="R208" s="728"/>
      <c r="S208" s="1083"/>
    </row>
    <row r="209" ht="20.1" customHeight="1" spans="1:19">
      <c r="A209" s="897"/>
      <c r="B209" s="897"/>
      <c r="C209" s="919"/>
      <c r="D209" s="1108"/>
      <c r="E209" s="897"/>
      <c r="F209" s="1109"/>
      <c r="G209" s="1110"/>
      <c r="H209" s="728"/>
      <c r="I209" s="897"/>
      <c r="J209" s="897"/>
      <c r="K209" s="897"/>
      <c r="L209" s="897"/>
      <c r="M209" s="897"/>
      <c r="N209" s="897"/>
      <c r="O209" s="897"/>
      <c r="P209" s="1082"/>
      <c r="Q209" s="919"/>
      <c r="R209" s="728"/>
      <c r="S209" s="1083"/>
    </row>
    <row r="210" ht="20.1" customHeight="1" spans="1:19">
      <c r="A210" s="897"/>
      <c r="B210" s="897"/>
      <c r="C210" s="919"/>
      <c r="D210" s="1108"/>
      <c r="E210" s="897"/>
      <c r="F210" s="1109"/>
      <c r="G210" s="1110"/>
      <c r="H210" s="728"/>
      <c r="I210" s="897"/>
      <c r="J210" s="897"/>
      <c r="K210" s="897"/>
      <c r="L210" s="897"/>
      <c r="M210" s="897"/>
      <c r="N210" s="897"/>
      <c r="O210" s="897"/>
      <c r="P210" s="1082"/>
      <c r="Q210" s="919"/>
      <c r="R210" s="728"/>
      <c r="S210" s="1083"/>
    </row>
    <row r="211" ht="20.1" customHeight="1" spans="1:19">
      <c r="A211" s="897"/>
      <c r="B211" s="897"/>
      <c r="C211" s="919"/>
      <c r="D211" s="1108"/>
      <c r="E211" s="897"/>
      <c r="F211" s="1109"/>
      <c r="G211" s="1110"/>
      <c r="H211" s="728"/>
      <c r="I211" s="897"/>
      <c r="J211" s="897"/>
      <c r="K211" s="897"/>
      <c r="L211" s="897"/>
      <c r="M211" s="897"/>
      <c r="N211" s="897"/>
      <c r="O211" s="897"/>
      <c r="P211" s="1082"/>
      <c r="Q211" s="919"/>
      <c r="R211" s="728"/>
      <c r="S211" s="1083"/>
    </row>
    <row r="212" ht="20.1" customHeight="1" spans="1:19">
      <c r="A212" s="897"/>
      <c r="B212" s="897"/>
      <c r="C212" s="919"/>
      <c r="D212" s="1108"/>
      <c r="E212" s="897"/>
      <c r="F212" s="1109"/>
      <c r="G212" s="1110"/>
      <c r="H212" s="728"/>
      <c r="I212" s="897"/>
      <c r="J212" s="897"/>
      <c r="K212" s="897"/>
      <c r="L212" s="897"/>
      <c r="M212" s="897"/>
      <c r="N212" s="897"/>
      <c r="O212" s="897"/>
      <c r="P212" s="1082"/>
      <c r="Q212" s="919"/>
      <c r="R212" s="728"/>
      <c r="S212" s="1083"/>
    </row>
    <row r="213" ht="20.1" customHeight="1" spans="1:19">
      <c r="A213" s="897"/>
      <c r="B213" s="897"/>
      <c r="C213" s="919"/>
      <c r="D213" s="1108"/>
      <c r="E213" s="897"/>
      <c r="F213" s="1109"/>
      <c r="G213" s="1110"/>
      <c r="H213" s="728"/>
      <c r="I213" s="897"/>
      <c r="J213" s="897"/>
      <c r="K213" s="897"/>
      <c r="L213" s="897"/>
      <c r="M213" s="897"/>
      <c r="N213" s="897"/>
      <c r="O213" s="897"/>
      <c r="P213" s="1082"/>
      <c r="Q213" s="919"/>
      <c r="R213" s="728"/>
      <c r="S213" s="1083"/>
    </row>
    <row r="214" ht="20.1" customHeight="1" spans="1:19">
      <c r="A214" s="897"/>
      <c r="B214" s="819"/>
      <c r="C214" s="729"/>
      <c r="D214" s="1059"/>
      <c r="E214" s="819"/>
      <c r="F214" s="976"/>
      <c r="G214" s="1064"/>
      <c r="H214" s="775"/>
      <c r="I214" s="931"/>
      <c r="J214" s="729"/>
      <c r="K214" s="819"/>
      <c r="L214" s="819"/>
      <c r="M214" s="819"/>
      <c r="N214" s="819"/>
      <c r="O214" s="819"/>
      <c r="P214" s="937"/>
      <c r="Q214" s="919"/>
      <c r="R214" s="728"/>
      <c r="S214" s="932"/>
    </row>
    <row r="215" ht="20.1" customHeight="1" spans="1:19">
      <c r="A215" s="897"/>
      <c r="B215" s="819"/>
      <c r="C215" s="729"/>
      <c r="D215" s="1059"/>
      <c r="E215" s="819"/>
      <c r="F215" s="976"/>
      <c r="G215" s="1064"/>
      <c r="H215" s="775"/>
      <c r="I215" s="931"/>
      <c r="J215" s="729"/>
      <c r="K215" s="819"/>
      <c r="L215" s="819"/>
      <c r="M215" s="819"/>
      <c r="N215" s="819"/>
      <c r="O215" s="819"/>
      <c r="P215" s="937"/>
      <c r="Q215" s="919"/>
      <c r="R215" s="728"/>
      <c r="S215" s="932"/>
    </row>
    <row r="216" ht="20.1" customHeight="1" spans="1:19">
      <c r="A216" s="897"/>
      <c r="B216" s="819"/>
      <c r="C216" s="729"/>
      <c r="D216" s="1059"/>
      <c r="E216" s="819"/>
      <c r="F216" s="976"/>
      <c r="G216" s="1064"/>
      <c r="H216" s="775"/>
      <c r="I216" s="931"/>
      <c r="J216" s="729"/>
      <c r="K216" s="819"/>
      <c r="L216" s="819"/>
      <c r="M216" s="819"/>
      <c r="N216" s="819"/>
      <c r="O216" s="819"/>
      <c r="P216" s="937"/>
      <c r="Q216" s="919"/>
      <c r="R216" s="728"/>
      <c r="S216" s="932"/>
    </row>
    <row r="217" ht="20.1" customHeight="1" spans="1:19">
      <c r="A217" s="897"/>
      <c r="B217" s="819"/>
      <c r="C217" s="729"/>
      <c r="D217" s="1059"/>
      <c r="E217" s="819"/>
      <c r="F217" s="976"/>
      <c r="G217" s="1064"/>
      <c r="H217" s="775"/>
      <c r="I217" s="931"/>
      <c r="J217" s="729"/>
      <c r="K217" s="819"/>
      <c r="L217" s="819"/>
      <c r="M217" s="819"/>
      <c r="N217" s="819"/>
      <c r="O217" s="819"/>
      <c r="P217" s="937"/>
      <c r="Q217" s="919"/>
      <c r="R217" s="728"/>
      <c r="S217" s="932"/>
    </row>
    <row r="218" ht="20.1" customHeight="1" spans="1:19">
      <c r="A218" s="897"/>
      <c r="B218" s="819"/>
      <c r="C218" s="729"/>
      <c r="D218" s="1059"/>
      <c r="E218" s="819"/>
      <c r="F218" s="976"/>
      <c r="G218" s="1064"/>
      <c r="H218" s="775"/>
      <c r="I218" s="931"/>
      <c r="J218" s="729"/>
      <c r="K218" s="819"/>
      <c r="L218" s="819"/>
      <c r="M218" s="819"/>
      <c r="N218" s="819"/>
      <c r="O218" s="819"/>
      <c r="P218" s="937"/>
      <c r="Q218" s="919"/>
      <c r="R218" s="728"/>
      <c r="S218" s="932"/>
    </row>
    <row r="219" ht="20.1" customHeight="1" spans="1:19">
      <c r="A219" s="897"/>
      <c r="B219" s="819"/>
      <c r="C219" s="729"/>
      <c r="D219" s="948"/>
      <c r="E219" s="819"/>
      <c r="F219" s="950"/>
      <c r="G219" s="1068"/>
      <c r="H219" s="775"/>
      <c r="I219" s="729"/>
      <c r="J219" s="729"/>
      <c r="K219" s="819"/>
      <c r="L219" s="819"/>
      <c r="M219" s="819"/>
      <c r="N219" s="819"/>
      <c r="O219" s="819"/>
      <c r="P219" s="937"/>
      <c r="Q219" s="919"/>
      <c r="R219" s="728"/>
      <c r="S219" s="932"/>
    </row>
    <row r="220" ht="20.1" customHeight="1" spans="1:19">
      <c r="A220" s="897"/>
      <c r="B220" s="819"/>
      <c r="C220" s="729"/>
      <c r="D220" s="948"/>
      <c r="E220" s="819"/>
      <c r="F220" s="950"/>
      <c r="G220" s="1068"/>
      <c r="H220" s="775"/>
      <c r="I220" s="729"/>
      <c r="J220" s="729"/>
      <c r="K220" s="819"/>
      <c r="L220" s="819"/>
      <c r="M220" s="819"/>
      <c r="N220" s="819"/>
      <c r="O220" s="819"/>
      <c r="P220" s="937"/>
      <c r="Q220" s="919"/>
      <c r="R220" s="728"/>
      <c r="S220" s="932"/>
    </row>
    <row r="221" ht="20.1" customHeight="1" spans="1:19">
      <c r="A221" s="897"/>
      <c r="B221" s="819"/>
      <c r="C221" s="729"/>
      <c r="D221" s="948"/>
      <c r="E221" s="819"/>
      <c r="F221" s="950"/>
      <c r="G221" s="1068"/>
      <c r="H221" s="775"/>
      <c r="I221" s="729"/>
      <c r="J221" s="729"/>
      <c r="K221" s="819"/>
      <c r="L221" s="819"/>
      <c r="M221" s="819"/>
      <c r="N221" s="819"/>
      <c r="O221" s="819"/>
      <c r="P221" s="937"/>
      <c r="Q221" s="919"/>
      <c r="R221" s="728"/>
      <c r="S221" s="932"/>
    </row>
    <row r="222" ht="42.5" customHeight="1" spans="1:19">
      <c r="A222" s="897"/>
      <c r="B222" s="819"/>
      <c r="C222" s="729"/>
      <c r="D222" s="948"/>
      <c r="E222" s="819"/>
      <c r="F222" s="950"/>
      <c r="G222" s="1068"/>
      <c r="H222" s="775"/>
      <c r="I222" s="729"/>
      <c r="J222" s="729"/>
      <c r="K222" s="819"/>
      <c r="L222" s="819"/>
      <c r="M222" s="819"/>
      <c r="N222" s="819"/>
      <c r="O222" s="819"/>
      <c r="P222" s="937"/>
      <c r="Q222" s="919"/>
      <c r="R222" s="728"/>
      <c r="S222" s="932"/>
    </row>
    <row r="223" ht="20.1" customHeight="1" spans="1:19">
      <c r="A223" s="897"/>
      <c r="B223" s="819"/>
      <c r="C223" s="729"/>
      <c r="D223" s="932" t="s">
        <v>859</v>
      </c>
      <c r="E223" s="819"/>
      <c r="F223" s="954">
        <f>SUM(F13:F220)</f>
        <v>74845284.97</v>
      </c>
      <c r="G223" s="1068"/>
      <c r="H223" s="775"/>
      <c r="I223" s="729"/>
      <c r="J223" s="729"/>
      <c r="K223" s="819"/>
      <c r="L223" s="819"/>
      <c r="M223" s="819"/>
      <c r="N223" s="819"/>
      <c r="O223" s="819"/>
      <c r="P223" s="937"/>
      <c r="Q223" s="919"/>
      <c r="R223" s="728"/>
      <c r="S223" s="932"/>
    </row>
    <row r="224" ht="20.1" customHeight="1" spans="1:19">
      <c r="A224" s="933"/>
      <c r="B224" s="1111"/>
      <c r="C224" s="828"/>
      <c r="D224" s="1045"/>
      <c r="E224" s="1111"/>
      <c r="F224" s="1112"/>
      <c r="G224" s="1113"/>
      <c r="H224" s="1022"/>
      <c r="I224" s="828"/>
      <c r="J224" s="828"/>
      <c r="K224" s="1111"/>
      <c r="L224" s="1111"/>
      <c r="M224" s="1111"/>
      <c r="N224" s="1111"/>
      <c r="O224" s="1111"/>
      <c r="P224" s="1114"/>
      <c r="Q224" s="1115"/>
      <c r="R224" s="1116"/>
      <c r="S224" s="1117"/>
    </row>
    <row r="225" ht="20.1" customHeight="1" spans="1:19">
      <c r="A225" s="933"/>
      <c r="B225" s="1111"/>
      <c r="C225" s="828"/>
      <c r="D225" s="1045"/>
      <c r="E225" s="1111"/>
      <c r="F225" s="1112"/>
      <c r="G225" s="1113"/>
      <c r="H225" s="1022"/>
      <c r="I225" s="828"/>
      <c r="J225" s="828"/>
      <c r="K225" s="1111"/>
      <c r="L225" s="1111"/>
      <c r="M225" s="1111"/>
      <c r="N225" s="1111"/>
      <c r="O225" s="1111"/>
      <c r="P225" s="1114"/>
      <c r="Q225" s="1115"/>
      <c r="R225" s="1116"/>
      <c r="S225" s="1117"/>
    </row>
    <row r="226" ht="20.1" customHeight="1" spans="1:19">
      <c r="A226" s="933"/>
      <c r="B226" s="1111"/>
      <c r="C226" s="828"/>
      <c r="D226" s="1045"/>
      <c r="E226" s="1111"/>
      <c r="F226" s="1112"/>
      <c r="G226" s="1113"/>
      <c r="H226" s="1022"/>
      <c r="I226" s="828"/>
      <c r="J226" s="828"/>
      <c r="K226" s="1111"/>
      <c r="L226" s="1111"/>
      <c r="M226" s="1111"/>
      <c r="N226" s="1111"/>
      <c r="O226" s="1111"/>
      <c r="P226" s="1114"/>
      <c r="Q226" s="1115"/>
      <c r="R226" s="1116"/>
      <c r="S226" s="1117"/>
    </row>
    <row r="227" ht="20.1" customHeight="1" spans="1:19">
      <c r="A227" s="933"/>
      <c r="B227" s="1111"/>
      <c r="C227" s="828"/>
      <c r="D227" s="1045"/>
      <c r="E227" s="1111"/>
      <c r="F227" s="1112"/>
      <c r="G227" s="1113"/>
      <c r="H227" s="1022"/>
      <c r="I227" s="828"/>
      <c r="J227" s="828"/>
      <c r="K227" s="1111"/>
      <c r="L227" s="1111"/>
      <c r="M227" s="1111"/>
      <c r="N227" s="1111"/>
      <c r="O227" s="1111"/>
      <c r="P227" s="1114"/>
      <c r="Q227" s="1115"/>
      <c r="R227" s="1116"/>
      <c r="S227" s="1117"/>
    </row>
    <row r="228" ht="20.1" customHeight="1" spans="1:19">
      <c r="A228" s="933"/>
      <c r="B228" s="1111"/>
      <c r="C228" s="828"/>
      <c r="D228" s="1045"/>
      <c r="E228" s="1111"/>
      <c r="F228" s="1112"/>
      <c r="G228" s="1113"/>
      <c r="H228" s="1022"/>
      <c r="I228" s="828"/>
      <c r="J228" s="828"/>
      <c r="K228" s="1111"/>
      <c r="L228" s="1111"/>
      <c r="M228" s="1111"/>
      <c r="N228" s="1111"/>
      <c r="O228" s="1111"/>
      <c r="P228" s="1114"/>
      <c r="Q228" s="1115"/>
      <c r="R228" s="1116"/>
      <c r="S228" s="1117"/>
    </row>
    <row r="229" ht="20.1" customHeight="1" spans="1:19">
      <c r="A229" s="933"/>
      <c r="B229" s="1111"/>
      <c r="C229" s="828"/>
      <c r="D229" s="1045"/>
      <c r="E229" s="1111"/>
      <c r="F229" s="1112"/>
      <c r="G229" s="1113"/>
      <c r="H229" s="1022"/>
      <c r="I229" s="828"/>
      <c r="J229" s="828"/>
      <c r="K229" s="1111"/>
      <c r="L229" s="1111"/>
      <c r="M229" s="1111"/>
      <c r="N229" s="1111"/>
      <c r="O229" s="1111"/>
      <c r="P229" s="1114"/>
      <c r="Q229" s="1115"/>
      <c r="R229" s="1116"/>
      <c r="S229" s="1117"/>
    </row>
    <row r="230" ht="20.1" customHeight="1" spans="1:19">
      <c r="A230" s="933"/>
      <c r="B230" s="1111"/>
      <c r="C230" s="828"/>
      <c r="D230" s="1045"/>
      <c r="E230" s="1111"/>
      <c r="F230" s="1112"/>
      <c r="G230" s="1113"/>
      <c r="H230" s="1022"/>
      <c r="I230" s="828"/>
      <c r="J230" s="828"/>
      <c r="K230" s="1111"/>
      <c r="L230" s="1111"/>
      <c r="M230" s="1111"/>
      <c r="N230" s="1111"/>
      <c r="O230" s="1111"/>
      <c r="P230" s="1114"/>
      <c r="Q230" s="1115"/>
      <c r="R230" s="1116"/>
      <c r="S230" s="1117"/>
    </row>
    <row r="231" ht="20.1" customHeight="1" spans="1:19">
      <c r="A231" s="933"/>
      <c r="B231" s="1111"/>
      <c r="C231" s="828"/>
      <c r="D231" s="1045"/>
      <c r="E231" s="1111"/>
      <c r="F231" s="1112"/>
      <c r="G231" s="1113"/>
      <c r="H231" s="1022"/>
      <c r="I231" s="828"/>
      <c r="J231" s="828"/>
      <c r="K231" s="1111"/>
      <c r="L231" s="1111"/>
      <c r="M231" s="1111"/>
      <c r="N231" s="1111"/>
      <c r="O231" s="1111"/>
      <c r="P231" s="1114"/>
      <c r="Q231" s="1115"/>
      <c r="R231" s="1116"/>
      <c r="S231" s="1117"/>
    </row>
    <row r="232" ht="20.1" customHeight="1" spans="1:19">
      <c r="A232" s="933"/>
      <c r="B232" s="1111"/>
      <c r="C232" s="1111"/>
      <c r="D232" s="1117"/>
      <c r="E232" s="1111"/>
      <c r="F232" s="1118"/>
      <c r="G232" s="1022"/>
      <c r="H232" s="1022"/>
      <c r="I232" s="1111"/>
      <c r="J232" s="1111"/>
      <c r="K232" s="1111"/>
      <c r="L232" s="1111"/>
      <c r="M232" s="1111"/>
      <c r="N232" s="1111"/>
      <c r="O232" s="1111"/>
      <c r="P232" s="1114"/>
      <c r="Q232" s="1115"/>
      <c r="R232" s="1116"/>
      <c r="S232" s="1119"/>
    </row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 spans="4:19">
      <c r="D241" s="1120"/>
      <c r="F241" s="891"/>
      <c r="G241"/>
      <c r="H241" s="891"/>
      <c r="R241"/>
      <c r="S241"/>
    </row>
    <row r="242" ht="20.1" customHeight="1" spans="4:19">
      <c r="D242" s="1120"/>
      <c r="F242" s="891"/>
      <c r="G242"/>
      <c r="H242" s="891"/>
      <c r="R242"/>
      <c r="S242"/>
    </row>
    <row r="243" ht="20.1" customHeight="1" spans="4:19">
      <c r="D243" s="1120"/>
      <c r="F243" s="891"/>
      <c r="G243"/>
      <c r="H243" s="891"/>
      <c r="R243"/>
      <c r="S243" s="1121" t="s">
        <v>1047</v>
      </c>
    </row>
    <row r="244" ht="20.1" customHeight="1" spans="4:19">
      <c r="D244" s="1120"/>
      <c r="F244" s="891"/>
      <c r="G244"/>
      <c r="H244" s="891"/>
      <c r="R244"/>
      <c r="S244"/>
    </row>
    <row r="245" ht="20.1" customHeight="1" spans="4:19">
      <c r="D245" s="1120"/>
      <c r="F245" s="891"/>
      <c r="G245"/>
      <c r="H245" s="891"/>
      <c r="R245"/>
      <c r="S245"/>
    </row>
    <row r="246" ht="20.1" customHeight="1" spans="4:19">
      <c r="D246" s="1120"/>
      <c r="F246" s="891"/>
      <c r="G246"/>
      <c r="H246" s="891"/>
      <c r="R246"/>
      <c r="S246"/>
    </row>
    <row r="247" ht="20.1" customHeight="1" spans="4:19">
      <c r="D247" s="1120"/>
      <c r="F247" s="891"/>
      <c r="G247"/>
      <c r="H247" s="891"/>
      <c r="R247"/>
      <c r="S247"/>
    </row>
    <row r="248" ht="20.1" customHeight="1" spans="4:19">
      <c r="D248" s="1120"/>
      <c r="F248" s="891"/>
      <c r="G248"/>
      <c r="H248" s="891"/>
      <c r="R248"/>
      <c r="S248"/>
    </row>
    <row r="249" ht="20.1" customHeight="1" spans="4:19">
      <c r="D249" s="1120"/>
      <c r="F249" s="891"/>
      <c r="G249"/>
      <c r="H249" s="891"/>
      <c r="R249"/>
      <c r="S249"/>
    </row>
    <row r="250" ht="20.1" customHeight="1" spans="4:19">
      <c r="D250" s="1120"/>
      <c r="F250" s="891"/>
      <c r="G250"/>
      <c r="H250" s="891"/>
      <c r="R250"/>
      <c r="S250"/>
    </row>
    <row r="251" ht="20.1" customHeight="1" spans="4:19">
      <c r="D251" s="1120"/>
      <c r="F251" s="891"/>
      <c r="G251"/>
      <c r="H251" s="891"/>
      <c r="R251"/>
      <c r="S251"/>
    </row>
    <row r="252" ht="20.1" customHeight="1" spans="4:19">
      <c r="D252" s="1120"/>
      <c r="F252" s="891"/>
      <c r="G252"/>
      <c r="H252" s="891"/>
      <c r="R252"/>
      <c r="S252"/>
    </row>
    <row r="253" ht="20.1" customHeight="1" spans="4:19">
      <c r="D253" s="1120"/>
      <c r="F253" s="891"/>
      <c r="G253"/>
      <c r="H253" s="891"/>
      <c r="R253"/>
      <c r="S253"/>
    </row>
    <row r="254" spans="4:19">
      <c r="D254" s="1120"/>
      <c r="F254" s="891"/>
      <c r="G254"/>
      <c r="H254" s="891"/>
      <c r="I254" s="897"/>
      <c r="Q254" s="897"/>
      <c r="R254" s="897"/>
      <c r="S254"/>
    </row>
    <row r="255" spans="4:19">
      <c r="D255" s="1120"/>
      <c r="F255" s="891"/>
      <c r="G255"/>
      <c r="H255" s="891"/>
      <c r="Q255" s="897"/>
      <c r="R255" s="897"/>
      <c r="S255"/>
    </row>
    <row r="256" spans="4:19">
      <c r="D256" s="1120"/>
      <c r="F256" s="891"/>
      <c r="G256"/>
      <c r="H256" s="891"/>
      <c r="Q256" s="897"/>
      <c r="R256" s="897"/>
      <c r="S256"/>
    </row>
    <row r="257" spans="4:19">
      <c r="D257" s="1120"/>
      <c r="F257" s="891"/>
      <c r="G257"/>
      <c r="H257" s="891"/>
      <c r="Q257" s="897"/>
      <c r="R257" s="897"/>
      <c r="S257"/>
    </row>
    <row r="258" spans="4:19">
      <c r="D258" s="1120"/>
      <c r="F258" s="891"/>
      <c r="G258"/>
      <c r="H258" s="891"/>
      <c r="Q258" s="897"/>
      <c r="R258" s="897"/>
      <c r="S258"/>
    </row>
    <row r="259" spans="4:19">
      <c r="D259" s="1120"/>
      <c r="F259" s="891"/>
      <c r="G259"/>
      <c r="H259" s="891"/>
      <c r="Q259" s="897"/>
      <c r="R259" s="897"/>
      <c r="S259"/>
    </row>
    <row r="260" spans="4:19">
      <c r="D260" s="1120"/>
      <c r="F260" s="891"/>
      <c r="G260"/>
      <c r="H260" s="891"/>
      <c r="Q260" s="897"/>
      <c r="R260" s="897"/>
      <c r="S260"/>
    </row>
    <row r="261" spans="4:19">
      <c r="D261" s="1120"/>
      <c r="F261" s="891"/>
      <c r="G261"/>
      <c r="H261" s="891"/>
      <c r="Q261" s="897"/>
      <c r="R261" s="897"/>
      <c r="S261"/>
    </row>
    <row r="262" spans="4:19">
      <c r="D262" s="1120"/>
      <c r="F262" s="891"/>
      <c r="G262"/>
      <c r="H262" s="891"/>
      <c r="Q262" s="897"/>
      <c r="R262" s="897"/>
      <c r="S26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T262" etc:filterBottomFollowUsedRange="1">
    <extLst/>
  </autoFilter>
  <sortState ref="A1:T262">
    <sortCondition ref="Q1" descending="1"/>
  </sortState>
  <conditionalFormatting sqref="Q$1:Q$1048576">
    <cfRule type="cellIs" dxfId="2" priority="1" operator="greaterThan">
      <formula>149</formula>
    </cfRule>
    <cfRule type="cellIs" dxfId="3" priority="2" operator="greaterThan">
      <formula>159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BP103"/>
  <sheetViews>
    <sheetView tabSelected="1" zoomScale="55" zoomScaleNormal="55" workbookViewId="0">
      <pane ySplit="3" topLeftCell="A4" activePane="bottomLeft" state="frozen"/>
      <selection/>
      <selection pane="bottomLeft" activeCell="N87" sqref="N87"/>
    </sheetView>
  </sheetViews>
  <sheetFormatPr defaultColWidth="9" defaultRowHeight="14.1"/>
  <cols>
    <col min="1" max="1" width="5.07207207207207" customWidth="1"/>
    <col min="2" max="2" width="4.47747747747748" customWidth="1"/>
    <col min="3" max="3" width="10.7027027027027" customWidth="1"/>
    <col min="4" max="4" width="13.7477477477477" style="878" customWidth="1"/>
    <col min="5" max="5" width="15.4774774774775" customWidth="1"/>
    <col min="6" max="6" width="13.3513513513514" customWidth="1"/>
    <col min="8" max="8" width="6.25225225225225" customWidth="1"/>
    <col min="9" max="9" width="15.0720720720721" customWidth="1"/>
    <col min="10" max="10" width="10.0540540540541" customWidth="1"/>
    <col min="11" max="11" width="12" customWidth="1"/>
    <col min="12" max="12" width="7.17117117117117" customWidth="1"/>
    <col min="13" max="13" width="11.8468468468468" customWidth="1"/>
    <col min="14" max="14" width="14.3783783783784" customWidth="1"/>
    <col min="15" max="15" width="17.3963963963964" customWidth="1"/>
    <col min="16" max="16" width="15.2972972972973" customWidth="1"/>
    <col min="17" max="17" width="16.1261261261261" customWidth="1"/>
    <col min="18" max="18" width="12" customWidth="1"/>
    <col min="19" max="19" width="14.3783783783784" customWidth="1"/>
    <col min="20" max="21" width="14.8738738738739"/>
    <col min="22" max="22" width="16.6216216216216" customWidth="1"/>
    <col min="25" max="25" width="22.6216216216216" customWidth="1"/>
    <col min="69" max="77" width="9" hidden="1" customWidth="1"/>
    <col min="101" max="101" width="9" hidden="1" customWidth="1"/>
  </cols>
  <sheetData>
    <row r="1" spans="1:25">
      <c r="A1" s="113" t="s">
        <v>1048</v>
      </c>
      <c r="B1" s="113"/>
      <c r="C1" s="113"/>
      <c r="D1" s="879"/>
      <c r="E1" s="114"/>
      <c r="F1" s="113"/>
      <c r="G1" s="113"/>
      <c r="H1" s="113"/>
      <c r="I1" s="115"/>
      <c r="J1" s="116"/>
      <c r="K1" s="116"/>
      <c r="L1" s="113"/>
      <c r="M1" s="117"/>
      <c r="N1" s="113"/>
      <c r="O1" s="113"/>
      <c r="P1" s="113"/>
      <c r="Q1" s="113"/>
      <c r="R1" s="113"/>
      <c r="S1" s="115"/>
      <c r="T1" s="113"/>
      <c r="U1" s="113"/>
      <c r="V1" s="113"/>
      <c r="W1" s="113"/>
      <c r="X1" s="113"/>
      <c r="Y1" s="113"/>
    </row>
    <row r="2" spans="1:25">
      <c r="A2" s="118" t="s">
        <v>1</v>
      </c>
      <c r="B2" s="118" t="s">
        <v>1049</v>
      </c>
      <c r="C2" s="118" t="s">
        <v>1050</v>
      </c>
      <c r="D2" s="121" t="s">
        <v>3</v>
      </c>
      <c r="E2" s="119" t="s">
        <v>1051</v>
      </c>
      <c r="F2" s="120" t="s">
        <v>1052</v>
      </c>
      <c r="G2" s="120" t="s">
        <v>1053</v>
      </c>
      <c r="H2" s="121" t="s">
        <v>1054</v>
      </c>
      <c r="I2" s="122" t="s">
        <v>1055</v>
      </c>
      <c r="J2" s="123" t="s">
        <v>1056</v>
      </c>
      <c r="K2" s="123" t="s">
        <v>1057</v>
      </c>
      <c r="L2" s="120" t="s">
        <v>1058</v>
      </c>
      <c r="M2" s="124" t="s">
        <v>6</v>
      </c>
      <c r="N2" s="121" t="s">
        <v>1059</v>
      </c>
      <c r="O2" s="121" t="s">
        <v>1060</v>
      </c>
      <c r="P2" s="121" t="s">
        <v>1061</v>
      </c>
      <c r="Q2" s="120" t="s">
        <v>1062</v>
      </c>
      <c r="R2" s="120" t="s">
        <v>1063</v>
      </c>
      <c r="S2" s="122" t="s">
        <v>1064</v>
      </c>
      <c r="T2" s="125" t="s">
        <v>1065</v>
      </c>
      <c r="U2" s="126" t="s">
        <v>1066</v>
      </c>
      <c r="V2" s="127"/>
      <c r="W2" s="126"/>
      <c r="X2" s="128"/>
      <c r="Y2" s="129" t="s">
        <v>12</v>
      </c>
    </row>
    <row r="3" spans="1:25">
      <c r="A3" s="130"/>
      <c r="B3" s="130"/>
      <c r="C3" s="130"/>
      <c r="D3" s="132"/>
      <c r="E3" s="131"/>
      <c r="F3" s="120"/>
      <c r="G3" s="120"/>
      <c r="H3" s="132"/>
      <c r="I3" s="122"/>
      <c r="J3" s="123"/>
      <c r="K3" s="123"/>
      <c r="L3" s="120"/>
      <c r="M3" s="133"/>
      <c r="N3" s="134"/>
      <c r="O3" s="132"/>
      <c r="P3" s="132"/>
      <c r="Q3" s="120"/>
      <c r="R3" s="120"/>
      <c r="S3" s="122"/>
      <c r="T3" s="135"/>
      <c r="U3" s="136" t="s">
        <v>1067</v>
      </c>
      <c r="V3" s="120" t="s">
        <v>1068</v>
      </c>
      <c r="W3" s="120" t="s">
        <v>1069</v>
      </c>
      <c r="X3" s="137" t="s">
        <v>1064</v>
      </c>
      <c r="Y3" s="129"/>
    </row>
    <row r="4" ht="36" customHeight="1" spans="1:25">
      <c r="A4" s="467">
        <v>1</v>
      </c>
      <c r="B4" s="548">
        <v>2026</v>
      </c>
      <c r="C4" s="548" t="s">
        <v>22</v>
      </c>
      <c r="D4" s="663" t="s">
        <v>799</v>
      </c>
      <c r="E4" s="424" t="s">
        <v>1070</v>
      </c>
      <c r="F4" s="642" t="s">
        <v>1071</v>
      </c>
      <c r="G4" s="338" t="s">
        <v>1072</v>
      </c>
      <c r="H4" s="613">
        <v>0.8</v>
      </c>
      <c r="I4" s="426">
        <v>600000</v>
      </c>
      <c r="J4" s="574">
        <v>45446</v>
      </c>
      <c r="K4" s="574">
        <v>45810</v>
      </c>
      <c r="L4" s="651">
        <v>0.4</v>
      </c>
      <c r="M4" s="574">
        <v>45870</v>
      </c>
      <c r="N4" s="575">
        <v>613200</v>
      </c>
      <c r="O4" s="575">
        <v>600000</v>
      </c>
      <c r="P4" s="575">
        <v>480000</v>
      </c>
      <c r="Q4" s="575">
        <v>490560</v>
      </c>
      <c r="R4" s="574">
        <v>46021</v>
      </c>
      <c r="S4" s="575">
        <v>240000</v>
      </c>
      <c r="T4" s="650">
        <v>46028</v>
      </c>
      <c r="U4" s="650">
        <v>46029</v>
      </c>
      <c r="V4" s="575">
        <v>120000</v>
      </c>
      <c r="W4" s="576"/>
      <c r="X4" s="658"/>
      <c r="Y4" s="653"/>
    </row>
    <row r="5" ht="36" customHeight="1" spans="1:25">
      <c r="A5" s="467">
        <v>2</v>
      </c>
      <c r="B5" s="548">
        <v>2026</v>
      </c>
      <c r="C5" s="548" t="s">
        <v>31</v>
      </c>
      <c r="D5" s="663" t="s">
        <v>1073</v>
      </c>
      <c r="E5" s="424" t="s">
        <v>1074</v>
      </c>
      <c r="F5" s="642" t="s">
        <v>1075</v>
      </c>
      <c r="G5" s="338" t="s">
        <v>1076</v>
      </c>
      <c r="H5" s="613">
        <v>0.8</v>
      </c>
      <c r="I5" s="426">
        <v>1600000</v>
      </c>
      <c r="J5" s="574">
        <v>45072</v>
      </c>
      <c r="K5" s="574">
        <v>45801</v>
      </c>
      <c r="L5" s="651">
        <v>0.2</v>
      </c>
      <c r="M5" s="574">
        <v>45915</v>
      </c>
      <c r="N5" s="575">
        <v>1502917.47</v>
      </c>
      <c r="O5" s="575">
        <v>1500000</v>
      </c>
      <c r="P5" s="575">
        <v>1200000</v>
      </c>
      <c r="Q5" s="575">
        <v>1202333.98</v>
      </c>
      <c r="R5" s="574">
        <v>46021</v>
      </c>
      <c r="S5" s="575">
        <v>300000</v>
      </c>
      <c r="T5" s="650">
        <v>46028</v>
      </c>
      <c r="U5" s="650"/>
      <c r="V5" s="575"/>
      <c r="W5" s="576"/>
      <c r="X5" s="658"/>
      <c r="Y5" s="655" t="s">
        <v>1077</v>
      </c>
    </row>
    <row r="6" ht="36" customHeight="1" spans="1:25">
      <c r="A6" s="467">
        <v>3</v>
      </c>
      <c r="B6" s="548">
        <v>2026</v>
      </c>
      <c r="C6" s="548" t="s">
        <v>25</v>
      </c>
      <c r="D6" s="663" t="s">
        <v>1078</v>
      </c>
      <c r="E6" s="424" t="s">
        <v>1079</v>
      </c>
      <c r="F6" s="642" t="s">
        <v>1080</v>
      </c>
      <c r="G6" s="338" t="s">
        <v>1076</v>
      </c>
      <c r="H6" s="613">
        <v>0.8</v>
      </c>
      <c r="I6" s="426">
        <v>5000000</v>
      </c>
      <c r="J6" s="574">
        <v>45072</v>
      </c>
      <c r="K6" s="574">
        <v>45802</v>
      </c>
      <c r="L6" s="651">
        <v>0.2</v>
      </c>
      <c r="M6" s="574">
        <v>45861</v>
      </c>
      <c r="N6" s="575">
        <v>5030243.06</v>
      </c>
      <c r="O6" s="575">
        <v>5000000</v>
      </c>
      <c r="P6" s="575">
        <v>4000000</v>
      </c>
      <c r="Q6" s="575">
        <v>4024194.45</v>
      </c>
      <c r="R6" s="574">
        <v>46043</v>
      </c>
      <c r="S6" s="575">
        <v>1000000</v>
      </c>
      <c r="T6" s="650">
        <v>46051</v>
      </c>
      <c r="U6" s="650"/>
      <c r="V6" s="575"/>
      <c r="W6" s="576"/>
      <c r="X6" s="658"/>
      <c r="Y6" s="655" t="s">
        <v>1077</v>
      </c>
    </row>
    <row r="7" ht="36" customHeight="1" spans="1:25">
      <c r="A7" s="467">
        <v>4</v>
      </c>
      <c r="B7" s="548">
        <v>2026</v>
      </c>
      <c r="C7" s="548" t="s">
        <v>79</v>
      </c>
      <c r="D7" s="663" t="s">
        <v>755</v>
      </c>
      <c r="E7" s="424" t="s">
        <v>1081</v>
      </c>
      <c r="F7" s="642" t="s">
        <v>1082</v>
      </c>
      <c r="G7" s="338" t="s">
        <v>1072</v>
      </c>
      <c r="H7" s="613">
        <v>0.8</v>
      </c>
      <c r="I7" s="426">
        <v>1350000</v>
      </c>
      <c r="J7" s="574">
        <v>45421</v>
      </c>
      <c r="K7" s="574">
        <v>45785</v>
      </c>
      <c r="L7" s="651">
        <v>0.2</v>
      </c>
      <c r="M7" s="574">
        <v>45874</v>
      </c>
      <c r="N7" s="575">
        <v>1336895.87</v>
      </c>
      <c r="O7" s="575">
        <v>1333708.34</v>
      </c>
      <c r="P7" s="575">
        <v>1066966.67</v>
      </c>
      <c r="Q7" s="575">
        <v>1069516.69</v>
      </c>
      <c r="R7" s="574">
        <v>46048</v>
      </c>
      <c r="S7" s="575">
        <v>533483.34</v>
      </c>
      <c r="T7" s="650">
        <v>46048</v>
      </c>
      <c r="U7" s="650">
        <v>46051</v>
      </c>
      <c r="V7" s="575">
        <v>266741.67</v>
      </c>
      <c r="W7" s="576"/>
      <c r="X7" s="658"/>
      <c r="Y7" s="655"/>
    </row>
    <row r="8" ht="36" customHeight="1" spans="1:25">
      <c r="A8" s="467">
        <v>5</v>
      </c>
      <c r="B8" s="548">
        <v>2026</v>
      </c>
      <c r="C8" s="548" t="s">
        <v>25</v>
      </c>
      <c r="D8" s="663" t="s">
        <v>789</v>
      </c>
      <c r="E8" s="424" t="s">
        <v>1083</v>
      </c>
      <c r="F8" s="642" t="s">
        <v>1084</v>
      </c>
      <c r="G8" s="338" t="s">
        <v>1085</v>
      </c>
      <c r="H8" s="613">
        <v>0.8</v>
      </c>
      <c r="I8" s="426">
        <v>200000</v>
      </c>
      <c r="J8" s="574">
        <v>44957</v>
      </c>
      <c r="K8" s="574">
        <v>46052</v>
      </c>
      <c r="L8" s="651">
        <v>0.4</v>
      </c>
      <c r="M8" s="574">
        <v>45875</v>
      </c>
      <c r="N8" s="575">
        <v>201915.11</v>
      </c>
      <c r="O8" s="575">
        <v>200000</v>
      </c>
      <c r="P8" s="575">
        <v>160000</v>
      </c>
      <c r="Q8" s="575">
        <v>161532.09</v>
      </c>
      <c r="R8" s="574">
        <v>46027</v>
      </c>
      <c r="S8" s="575">
        <v>80000</v>
      </c>
      <c r="T8" s="650">
        <v>46030</v>
      </c>
      <c r="U8" s="650">
        <v>46036</v>
      </c>
      <c r="V8" s="575">
        <v>40000</v>
      </c>
      <c r="W8" s="576"/>
      <c r="X8" s="658"/>
      <c r="Y8" s="653"/>
    </row>
    <row r="9" ht="36" customHeight="1" spans="1:25">
      <c r="A9" s="467">
        <v>6</v>
      </c>
      <c r="B9" s="548">
        <v>2026</v>
      </c>
      <c r="C9" s="548" t="s">
        <v>25</v>
      </c>
      <c r="D9" s="663" t="s">
        <v>790</v>
      </c>
      <c r="E9" s="424" t="s">
        <v>1086</v>
      </c>
      <c r="F9" s="642" t="s">
        <v>1084</v>
      </c>
      <c r="G9" s="338" t="s">
        <v>1085</v>
      </c>
      <c r="H9" s="613">
        <v>0.8</v>
      </c>
      <c r="I9" s="426">
        <v>300000</v>
      </c>
      <c r="J9" s="574">
        <v>44970</v>
      </c>
      <c r="K9" s="574">
        <v>45700</v>
      </c>
      <c r="L9" s="651">
        <v>0.4</v>
      </c>
      <c r="M9" s="574">
        <v>45876</v>
      </c>
      <c r="N9" s="575">
        <v>298898.01</v>
      </c>
      <c r="O9" s="575">
        <v>298898.01</v>
      </c>
      <c r="P9" s="575">
        <v>239118.41</v>
      </c>
      <c r="Q9" s="575">
        <v>239118.41</v>
      </c>
      <c r="R9" s="574">
        <v>46028</v>
      </c>
      <c r="S9" s="575">
        <v>119559.2</v>
      </c>
      <c r="T9" s="650">
        <v>46034</v>
      </c>
      <c r="U9" s="650">
        <v>46036</v>
      </c>
      <c r="V9" s="575">
        <v>59779.6</v>
      </c>
      <c r="W9" s="576"/>
      <c r="X9" s="658"/>
      <c r="Y9" s="653"/>
    </row>
    <row r="10" ht="36" customHeight="1" spans="1:25">
      <c r="A10" s="467">
        <v>7</v>
      </c>
      <c r="B10" s="548">
        <v>2026</v>
      </c>
      <c r="C10" s="548" t="s">
        <v>15</v>
      </c>
      <c r="D10" s="663" t="s">
        <v>816</v>
      </c>
      <c r="E10" s="424" t="s">
        <v>1087</v>
      </c>
      <c r="F10" s="642" t="s">
        <v>1088</v>
      </c>
      <c r="G10" s="338" t="s">
        <v>1072</v>
      </c>
      <c r="H10" s="613">
        <v>0.8</v>
      </c>
      <c r="I10" s="426">
        <v>2000000</v>
      </c>
      <c r="J10" s="574">
        <v>45423</v>
      </c>
      <c r="K10" s="574">
        <v>45787</v>
      </c>
      <c r="L10" s="651">
        <v>0.4</v>
      </c>
      <c r="M10" s="574">
        <v>45877</v>
      </c>
      <c r="N10" s="575">
        <v>2000956.91</v>
      </c>
      <c r="O10" s="575">
        <v>1996998.61</v>
      </c>
      <c r="P10" s="575">
        <v>1597598.89</v>
      </c>
      <c r="Q10" s="575">
        <v>1600765.53</v>
      </c>
      <c r="R10" s="574">
        <v>46050</v>
      </c>
      <c r="S10" s="575">
        <v>798799.44</v>
      </c>
      <c r="T10" s="650">
        <v>46055</v>
      </c>
      <c r="U10" s="650">
        <v>46056</v>
      </c>
      <c r="V10" s="575">
        <v>399399.72</v>
      </c>
      <c r="W10" s="576"/>
      <c r="X10" s="658"/>
      <c r="Y10" s="653"/>
    </row>
    <row r="11" ht="36" customHeight="1" spans="1:25">
      <c r="A11" s="467">
        <v>8</v>
      </c>
      <c r="B11" s="548">
        <v>2026</v>
      </c>
      <c r="C11" s="548" t="s">
        <v>31</v>
      </c>
      <c r="D11" s="663" t="s">
        <v>1089</v>
      </c>
      <c r="E11" s="1253" t="s">
        <v>1090</v>
      </c>
      <c r="F11" s="642" t="s">
        <v>1091</v>
      </c>
      <c r="G11" s="338" t="s">
        <v>1072</v>
      </c>
      <c r="H11" s="613">
        <v>0.8</v>
      </c>
      <c r="I11" s="426">
        <v>237000</v>
      </c>
      <c r="J11" s="574">
        <v>45408</v>
      </c>
      <c r="K11" s="574">
        <v>45772</v>
      </c>
      <c r="L11" s="651">
        <v>0.4</v>
      </c>
      <c r="M11" s="574">
        <v>45860</v>
      </c>
      <c r="N11" s="575">
        <v>236986.73</v>
      </c>
      <c r="O11" s="575">
        <v>236868.23</v>
      </c>
      <c r="P11" s="575">
        <v>189494.58</v>
      </c>
      <c r="Q11" s="575">
        <v>189589.38</v>
      </c>
      <c r="R11" s="574">
        <v>46021</v>
      </c>
      <c r="S11" s="575">
        <v>94747.29</v>
      </c>
      <c r="T11" s="650">
        <v>46030</v>
      </c>
      <c r="U11" s="650">
        <v>46030</v>
      </c>
      <c r="V11" s="575">
        <v>47373.65</v>
      </c>
      <c r="W11" s="576"/>
      <c r="X11" s="658"/>
      <c r="Y11" s="653"/>
    </row>
    <row r="12" ht="36" customHeight="1" spans="1:25">
      <c r="A12" s="467">
        <v>9</v>
      </c>
      <c r="B12" s="548">
        <v>2026</v>
      </c>
      <c r="C12" s="548" t="s">
        <v>31</v>
      </c>
      <c r="D12" s="663" t="s">
        <v>1089</v>
      </c>
      <c r="E12" s="1253" t="s">
        <v>1092</v>
      </c>
      <c r="F12" s="642" t="s">
        <v>1091</v>
      </c>
      <c r="G12" s="338" t="s">
        <v>1072</v>
      </c>
      <c r="H12" s="613">
        <v>0.8</v>
      </c>
      <c r="I12" s="426">
        <v>1333000</v>
      </c>
      <c r="J12" s="574">
        <v>45408</v>
      </c>
      <c r="K12" s="574">
        <v>45772</v>
      </c>
      <c r="L12" s="651">
        <v>0.4</v>
      </c>
      <c r="M12" s="574">
        <v>45860</v>
      </c>
      <c r="N12" s="575">
        <v>1333666.5</v>
      </c>
      <c r="O12" s="575">
        <v>1333000</v>
      </c>
      <c r="P12" s="575">
        <v>1066400</v>
      </c>
      <c r="Q12" s="575">
        <v>1066933.2</v>
      </c>
      <c r="R12" s="574">
        <v>46021</v>
      </c>
      <c r="S12" s="575">
        <v>533200</v>
      </c>
      <c r="T12" s="650">
        <v>46030</v>
      </c>
      <c r="U12" s="650">
        <v>46030</v>
      </c>
      <c r="V12" s="575">
        <v>266600</v>
      </c>
      <c r="W12" s="576"/>
      <c r="X12" s="658"/>
      <c r="Y12" s="653"/>
    </row>
    <row r="13" ht="36" customHeight="1" spans="1:25">
      <c r="A13" s="467">
        <v>10</v>
      </c>
      <c r="B13" s="548">
        <v>2026</v>
      </c>
      <c r="C13" s="548" t="s">
        <v>79</v>
      </c>
      <c r="D13" s="663" t="s">
        <v>1093</v>
      </c>
      <c r="E13" s="1253" t="s">
        <v>1094</v>
      </c>
      <c r="F13" s="642" t="s">
        <v>1095</v>
      </c>
      <c r="G13" s="338" t="s">
        <v>1072</v>
      </c>
      <c r="H13" s="613">
        <v>0.8</v>
      </c>
      <c r="I13" s="426">
        <v>1000000</v>
      </c>
      <c r="J13" s="574">
        <v>45499</v>
      </c>
      <c r="K13" s="574">
        <v>46228</v>
      </c>
      <c r="L13" s="651">
        <v>0.2</v>
      </c>
      <c r="M13" s="574">
        <v>45735</v>
      </c>
      <c r="N13" s="575">
        <v>1000000</v>
      </c>
      <c r="O13" s="575">
        <v>1000000</v>
      </c>
      <c r="P13" s="575">
        <v>800000</v>
      </c>
      <c r="Q13" s="575">
        <v>800000</v>
      </c>
      <c r="R13" s="574">
        <v>46021</v>
      </c>
      <c r="S13" s="575">
        <v>200000</v>
      </c>
      <c r="T13" s="650">
        <v>46028</v>
      </c>
      <c r="U13" s="650"/>
      <c r="V13" s="616"/>
      <c r="W13" s="576"/>
      <c r="X13" s="658"/>
      <c r="Y13" s="655" t="s">
        <v>1077</v>
      </c>
    </row>
    <row r="14" ht="36" customHeight="1" spans="1:25">
      <c r="A14" s="467">
        <v>11</v>
      </c>
      <c r="B14" s="548">
        <v>2026</v>
      </c>
      <c r="C14" s="548" t="s">
        <v>79</v>
      </c>
      <c r="D14" s="663" t="s">
        <v>1093</v>
      </c>
      <c r="E14" s="1253" t="s">
        <v>1096</v>
      </c>
      <c r="F14" s="642" t="s">
        <v>1095</v>
      </c>
      <c r="G14" s="338" t="s">
        <v>1072</v>
      </c>
      <c r="H14" s="613">
        <v>0.8</v>
      </c>
      <c r="I14" s="426">
        <v>2000000</v>
      </c>
      <c r="J14" s="574">
        <v>45517</v>
      </c>
      <c r="K14" s="574">
        <v>46259</v>
      </c>
      <c r="L14" s="651">
        <v>0.2</v>
      </c>
      <c r="M14" s="574">
        <v>45735</v>
      </c>
      <c r="N14" s="575">
        <v>2000000</v>
      </c>
      <c r="O14" s="575">
        <v>2000000</v>
      </c>
      <c r="P14" s="575">
        <v>1600000</v>
      </c>
      <c r="Q14" s="575">
        <v>1600000</v>
      </c>
      <c r="R14" s="574">
        <v>46021</v>
      </c>
      <c r="S14" s="575">
        <v>400000</v>
      </c>
      <c r="T14" s="650">
        <v>46028</v>
      </c>
      <c r="U14" s="650"/>
      <c r="V14" s="616"/>
      <c r="W14" s="576"/>
      <c r="X14" s="658"/>
      <c r="Y14" s="655" t="s">
        <v>1077</v>
      </c>
    </row>
    <row r="15" ht="36" customHeight="1" spans="1:25">
      <c r="A15" s="467">
        <v>12</v>
      </c>
      <c r="B15" s="664">
        <v>2026</v>
      </c>
      <c r="C15" s="664" t="s">
        <v>79</v>
      </c>
      <c r="D15" s="880" t="s">
        <v>734</v>
      </c>
      <c r="E15" s="424" t="s">
        <v>1097</v>
      </c>
      <c r="F15" s="666" t="s">
        <v>1098</v>
      </c>
      <c r="G15" s="338" t="s">
        <v>1072</v>
      </c>
      <c r="H15" s="613">
        <v>0.8</v>
      </c>
      <c r="I15" s="426">
        <v>160000</v>
      </c>
      <c r="J15" s="574">
        <v>45398</v>
      </c>
      <c r="K15" s="574">
        <v>45762</v>
      </c>
      <c r="L15" s="651">
        <v>0.4</v>
      </c>
      <c r="M15" s="574">
        <v>45849</v>
      </c>
      <c r="N15" s="575">
        <v>103071.2</v>
      </c>
      <c r="O15" s="575">
        <v>82456.96</v>
      </c>
      <c r="P15" s="575">
        <v>41228.48</v>
      </c>
      <c r="Q15" s="575">
        <v>41228.48</v>
      </c>
      <c r="R15" s="574">
        <v>46009</v>
      </c>
      <c r="S15" s="575">
        <v>41228.48</v>
      </c>
      <c r="T15" s="650">
        <v>46028</v>
      </c>
      <c r="U15" s="650">
        <v>46029</v>
      </c>
      <c r="V15" s="575">
        <v>20614.24</v>
      </c>
      <c r="W15" s="576"/>
      <c r="X15" s="658"/>
      <c r="Y15" s="653"/>
    </row>
    <row r="16" ht="36" customHeight="1" spans="1:25">
      <c r="A16" s="467">
        <v>13</v>
      </c>
      <c r="B16" s="548">
        <v>2026</v>
      </c>
      <c r="C16" s="548" t="s">
        <v>37</v>
      </c>
      <c r="D16" s="663" t="s">
        <v>811</v>
      </c>
      <c r="E16" s="1253" t="s">
        <v>1099</v>
      </c>
      <c r="F16" s="642" t="s">
        <v>1095</v>
      </c>
      <c r="G16" s="338" t="s">
        <v>1100</v>
      </c>
      <c r="H16" s="613">
        <v>0.8</v>
      </c>
      <c r="I16" s="426">
        <v>1000000</v>
      </c>
      <c r="J16" s="574">
        <v>45133</v>
      </c>
      <c r="K16" s="574">
        <v>45864</v>
      </c>
      <c r="L16" s="651">
        <v>0.4</v>
      </c>
      <c r="M16" s="574">
        <v>45869</v>
      </c>
      <c r="N16" s="575">
        <v>380952.35</v>
      </c>
      <c r="O16" s="575">
        <v>380952.35</v>
      </c>
      <c r="P16" s="575">
        <v>304761.88</v>
      </c>
      <c r="Q16" s="575">
        <v>304761.88</v>
      </c>
      <c r="R16" s="574">
        <v>46027</v>
      </c>
      <c r="S16" s="575">
        <v>152380.94</v>
      </c>
      <c r="T16" s="650">
        <v>46031</v>
      </c>
      <c r="U16" s="650">
        <v>46036</v>
      </c>
      <c r="V16" s="575">
        <v>76190.47</v>
      </c>
      <c r="W16" s="576"/>
      <c r="X16" s="658"/>
      <c r="Y16" s="653"/>
    </row>
    <row r="17" ht="36" customHeight="1" spans="1:25">
      <c r="A17" s="467">
        <v>14</v>
      </c>
      <c r="B17" s="548">
        <v>2026</v>
      </c>
      <c r="C17" s="548" t="s">
        <v>25</v>
      </c>
      <c r="D17" s="663" t="s">
        <v>788</v>
      </c>
      <c r="E17" s="1253" t="s">
        <v>1101</v>
      </c>
      <c r="F17" s="642" t="s">
        <v>1102</v>
      </c>
      <c r="G17" s="338" t="s">
        <v>1103</v>
      </c>
      <c r="H17" s="613">
        <v>0.8</v>
      </c>
      <c r="I17" s="426">
        <v>300000</v>
      </c>
      <c r="J17" s="574">
        <v>44624</v>
      </c>
      <c r="K17" s="574">
        <v>45719</v>
      </c>
      <c r="L17" s="651">
        <v>0.4</v>
      </c>
      <c r="M17" s="574">
        <v>45867</v>
      </c>
      <c r="N17" s="575">
        <v>302189.17</v>
      </c>
      <c r="O17" s="575">
        <v>300000</v>
      </c>
      <c r="P17" s="575">
        <v>240000</v>
      </c>
      <c r="Q17" s="575">
        <v>241751.34</v>
      </c>
      <c r="R17" s="574">
        <v>46027</v>
      </c>
      <c r="S17" s="575">
        <v>120000</v>
      </c>
      <c r="T17" s="650">
        <v>46031</v>
      </c>
      <c r="U17" s="650">
        <v>46036</v>
      </c>
      <c r="V17" s="575">
        <v>60000</v>
      </c>
      <c r="W17" s="576"/>
      <c r="X17" s="658"/>
      <c r="Y17" s="653"/>
    </row>
    <row r="18" ht="36" customHeight="1" spans="1:25">
      <c r="A18" s="467">
        <v>15</v>
      </c>
      <c r="B18" s="548">
        <v>2026</v>
      </c>
      <c r="C18" s="548" t="s">
        <v>79</v>
      </c>
      <c r="D18" s="663" t="s">
        <v>758</v>
      </c>
      <c r="E18" s="424" t="s">
        <v>1104</v>
      </c>
      <c r="F18" s="642" t="s">
        <v>1088</v>
      </c>
      <c r="G18" s="338" t="s">
        <v>1105</v>
      </c>
      <c r="H18" s="613">
        <v>0.8</v>
      </c>
      <c r="I18" s="426">
        <v>1350000</v>
      </c>
      <c r="J18" s="574">
        <v>45428</v>
      </c>
      <c r="K18" s="574">
        <v>45792</v>
      </c>
      <c r="L18" s="651">
        <v>0.4</v>
      </c>
      <c r="M18" s="574">
        <v>45880</v>
      </c>
      <c r="N18" s="575">
        <v>1350310.33</v>
      </c>
      <c r="O18" s="575">
        <v>1345810.33</v>
      </c>
      <c r="P18" s="575">
        <v>1076648.26</v>
      </c>
      <c r="Q18" s="575">
        <v>1080248.26</v>
      </c>
      <c r="R18" s="574">
        <v>46050</v>
      </c>
      <c r="S18" s="575">
        <v>538324.13</v>
      </c>
      <c r="T18" s="650">
        <v>46055</v>
      </c>
      <c r="U18" s="650">
        <v>46056</v>
      </c>
      <c r="V18" s="575">
        <v>269162.07</v>
      </c>
      <c r="W18" s="576"/>
      <c r="X18" s="658"/>
      <c r="Y18" s="653"/>
    </row>
    <row r="19" ht="36" customHeight="1" spans="1:25">
      <c r="A19" s="467">
        <v>16</v>
      </c>
      <c r="B19" s="548">
        <v>2026</v>
      </c>
      <c r="C19" s="548" t="s">
        <v>25</v>
      </c>
      <c r="D19" s="663" t="s">
        <v>821</v>
      </c>
      <c r="E19" s="424" t="s">
        <v>1106</v>
      </c>
      <c r="F19" s="642" t="s">
        <v>1107</v>
      </c>
      <c r="G19" s="338" t="s">
        <v>1103</v>
      </c>
      <c r="H19" s="613">
        <v>0.8</v>
      </c>
      <c r="I19" s="426">
        <v>300000</v>
      </c>
      <c r="J19" s="574">
        <v>44638</v>
      </c>
      <c r="K19" s="574">
        <v>45733</v>
      </c>
      <c r="L19" s="651">
        <v>0.4</v>
      </c>
      <c r="M19" s="574">
        <v>45884</v>
      </c>
      <c r="N19" s="575">
        <v>302666.68</v>
      </c>
      <c r="O19" s="575">
        <v>300000</v>
      </c>
      <c r="P19" s="575">
        <v>240000</v>
      </c>
      <c r="Q19" s="575">
        <v>242133.34</v>
      </c>
      <c r="R19" s="574">
        <v>46035</v>
      </c>
      <c r="S19" s="575">
        <v>120000</v>
      </c>
      <c r="T19" s="650">
        <v>46044</v>
      </c>
      <c r="U19" s="650">
        <v>46045</v>
      </c>
      <c r="V19" s="575">
        <v>60000</v>
      </c>
      <c r="W19" s="576"/>
      <c r="X19" s="658"/>
      <c r="Y19" s="653"/>
    </row>
    <row r="20" ht="36" customHeight="1" spans="1:25">
      <c r="A20" s="467">
        <v>17</v>
      </c>
      <c r="B20" s="548">
        <v>2026</v>
      </c>
      <c r="C20" s="548" t="s">
        <v>15</v>
      </c>
      <c r="D20" s="663" t="s">
        <v>822</v>
      </c>
      <c r="E20" s="424" t="s">
        <v>1108</v>
      </c>
      <c r="F20" s="642" t="s">
        <v>1109</v>
      </c>
      <c r="G20" s="338" t="s">
        <v>1105</v>
      </c>
      <c r="H20" s="613">
        <v>0.8</v>
      </c>
      <c r="I20" s="426">
        <v>920000</v>
      </c>
      <c r="J20" s="574">
        <v>45433</v>
      </c>
      <c r="K20" s="574">
        <v>45797</v>
      </c>
      <c r="L20" s="651">
        <v>0.4</v>
      </c>
      <c r="M20" s="574">
        <v>45887</v>
      </c>
      <c r="N20" s="575">
        <v>912264.73</v>
      </c>
      <c r="O20" s="575">
        <v>909896.68</v>
      </c>
      <c r="P20" s="575">
        <v>727917.34</v>
      </c>
      <c r="Q20" s="575">
        <v>729811.78</v>
      </c>
      <c r="R20" s="574">
        <v>46041</v>
      </c>
      <c r="S20" s="575">
        <v>363958.67</v>
      </c>
      <c r="T20" s="650">
        <v>46048</v>
      </c>
      <c r="U20" s="650">
        <v>46051</v>
      </c>
      <c r="V20" s="575">
        <v>181979.34</v>
      </c>
      <c r="W20" s="576"/>
      <c r="X20" s="658"/>
      <c r="Y20" s="653"/>
    </row>
    <row r="21" ht="36" customHeight="1" spans="1:25">
      <c r="A21" s="467">
        <v>18</v>
      </c>
      <c r="B21" s="548">
        <v>2026</v>
      </c>
      <c r="C21" s="548" t="s">
        <v>22</v>
      </c>
      <c r="D21" s="663" t="s">
        <v>814</v>
      </c>
      <c r="E21" s="424" t="s">
        <v>1110</v>
      </c>
      <c r="F21" s="642" t="s">
        <v>1111</v>
      </c>
      <c r="G21" s="338" t="s">
        <v>1112</v>
      </c>
      <c r="H21" s="613">
        <v>0.8</v>
      </c>
      <c r="I21" s="426">
        <v>7000000</v>
      </c>
      <c r="J21" s="574">
        <v>45433</v>
      </c>
      <c r="K21" s="574">
        <v>45798</v>
      </c>
      <c r="L21" s="651">
        <v>0.4</v>
      </c>
      <c r="M21" s="574">
        <v>45888</v>
      </c>
      <c r="N21" s="575">
        <v>7165511.11</v>
      </c>
      <c r="O21" s="575">
        <v>7000000</v>
      </c>
      <c r="P21" s="575">
        <v>5600000</v>
      </c>
      <c r="Q21" s="575">
        <v>5732408.89</v>
      </c>
      <c r="R21" s="574">
        <v>46050</v>
      </c>
      <c r="S21" s="575">
        <v>2800000</v>
      </c>
      <c r="T21" s="650">
        <v>46058</v>
      </c>
      <c r="U21" s="650">
        <v>46062</v>
      </c>
      <c r="V21" s="575">
        <v>1400000</v>
      </c>
      <c r="W21" s="576"/>
      <c r="X21" s="658"/>
      <c r="Y21" s="653"/>
    </row>
    <row r="22" ht="36" customHeight="1" spans="1:25">
      <c r="A22" s="467">
        <v>19</v>
      </c>
      <c r="B22" s="548">
        <v>2026</v>
      </c>
      <c r="C22" s="548" t="s">
        <v>79</v>
      </c>
      <c r="D22" s="663" t="s">
        <v>1113</v>
      </c>
      <c r="E22" s="424" t="s">
        <v>1114</v>
      </c>
      <c r="F22" s="642" t="s">
        <v>1095</v>
      </c>
      <c r="G22" s="338" t="s">
        <v>1105</v>
      </c>
      <c r="H22" s="613">
        <v>0.8</v>
      </c>
      <c r="I22" s="426">
        <v>250000</v>
      </c>
      <c r="J22" s="574">
        <v>45614</v>
      </c>
      <c r="K22" s="574">
        <v>46354</v>
      </c>
      <c r="L22" s="651">
        <v>0.4</v>
      </c>
      <c r="M22" s="574">
        <v>45869</v>
      </c>
      <c r="N22" s="575">
        <v>250000</v>
      </c>
      <c r="O22" s="575">
        <v>250000</v>
      </c>
      <c r="P22" s="575">
        <v>200000</v>
      </c>
      <c r="Q22" s="575">
        <v>200000</v>
      </c>
      <c r="R22" s="574">
        <v>46028</v>
      </c>
      <c r="S22" s="575">
        <v>100000</v>
      </c>
      <c r="T22" s="650">
        <v>46031</v>
      </c>
      <c r="U22" s="650">
        <v>46037</v>
      </c>
      <c r="V22" s="575">
        <v>50000</v>
      </c>
      <c r="W22" s="576"/>
      <c r="X22" s="658"/>
      <c r="Y22" s="653"/>
    </row>
    <row r="23" ht="36" customHeight="1" spans="1:25">
      <c r="A23" s="467">
        <v>20</v>
      </c>
      <c r="B23" s="548">
        <v>2026</v>
      </c>
      <c r="C23" s="548" t="s">
        <v>79</v>
      </c>
      <c r="D23" s="663" t="s">
        <v>1115</v>
      </c>
      <c r="E23" s="424" t="s">
        <v>1116</v>
      </c>
      <c r="F23" s="642" t="s">
        <v>1095</v>
      </c>
      <c r="G23" s="338" t="s">
        <v>1105</v>
      </c>
      <c r="H23" s="613">
        <v>0.8</v>
      </c>
      <c r="I23" s="426">
        <v>500000</v>
      </c>
      <c r="J23" s="574">
        <v>45513</v>
      </c>
      <c r="K23" s="574">
        <v>46252</v>
      </c>
      <c r="L23" s="651">
        <v>0.4</v>
      </c>
      <c r="M23" s="574">
        <v>45869</v>
      </c>
      <c r="N23" s="575">
        <v>404761.93</v>
      </c>
      <c r="O23" s="575">
        <v>404761.93</v>
      </c>
      <c r="P23" s="575">
        <v>323809.54</v>
      </c>
      <c r="Q23" s="575">
        <v>323809.54</v>
      </c>
      <c r="R23" s="574">
        <v>46028</v>
      </c>
      <c r="S23" s="575">
        <v>161904.77</v>
      </c>
      <c r="T23" s="650">
        <v>46031</v>
      </c>
      <c r="U23" s="650">
        <v>46037</v>
      </c>
      <c r="V23" s="575">
        <v>80952.39</v>
      </c>
      <c r="W23" s="576"/>
      <c r="X23" s="658"/>
      <c r="Y23" s="653"/>
    </row>
    <row r="24" ht="36" customHeight="1" spans="1:25">
      <c r="A24" s="467">
        <v>21</v>
      </c>
      <c r="B24" s="548">
        <v>2026</v>
      </c>
      <c r="C24" s="548" t="s">
        <v>79</v>
      </c>
      <c r="D24" s="663" t="s">
        <v>1117</v>
      </c>
      <c r="E24" s="424" t="s">
        <v>1118</v>
      </c>
      <c r="F24" s="642" t="s">
        <v>1095</v>
      </c>
      <c r="G24" s="338" t="s">
        <v>1105</v>
      </c>
      <c r="H24" s="613">
        <v>0.8</v>
      </c>
      <c r="I24" s="426">
        <v>150000</v>
      </c>
      <c r="J24" s="574">
        <v>45454</v>
      </c>
      <c r="K24" s="574">
        <v>46174</v>
      </c>
      <c r="L24" s="651">
        <v>0.4</v>
      </c>
      <c r="M24" s="574">
        <v>45869</v>
      </c>
      <c r="N24" s="575">
        <v>107142.84</v>
      </c>
      <c r="O24" s="575">
        <v>107142.84</v>
      </c>
      <c r="P24" s="575">
        <v>85714.27</v>
      </c>
      <c r="Q24" s="575">
        <v>85714.27</v>
      </c>
      <c r="R24" s="574">
        <v>46028</v>
      </c>
      <c r="S24" s="575">
        <v>42857.14</v>
      </c>
      <c r="T24" s="650">
        <v>46031</v>
      </c>
      <c r="U24" s="650">
        <v>46037</v>
      </c>
      <c r="V24" s="575">
        <v>21428.57</v>
      </c>
      <c r="W24" s="576"/>
      <c r="X24" s="658"/>
      <c r="Y24" s="653"/>
    </row>
    <row r="25" ht="36" customHeight="1" spans="1:25">
      <c r="A25" s="467">
        <v>22</v>
      </c>
      <c r="B25" s="548">
        <v>2026</v>
      </c>
      <c r="C25" s="548" t="s">
        <v>79</v>
      </c>
      <c r="D25" s="663" t="s">
        <v>1119</v>
      </c>
      <c r="E25" s="424" t="s">
        <v>1120</v>
      </c>
      <c r="F25" s="642" t="s">
        <v>1095</v>
      </c>
      <c r="G25" s="338" t="s">
        <v>1105</v>
      </c>
      <c r="H25" s="613">
        <v>0.8</v>
      </c>
      <c r="I25" s="426">
        <v>500000</v>
      </c>
      <c r="J25" s="574">
        <v>45432</v>
      </c>
      <c r="K25" s="574">
        <v>46148</v>
      </c>
      <c r="L25" s="651">
        <v>0.4</v>
      </c>
      <c r="M25" s="574">
        <v>45869</v>
      </c>
      <c r="N25" s="575">
        <v>200000.03</v>
      </c>
      <c r="O25" s="575">
        <v>200000.03</v>
      </c>
      <c r="P25" s="575">
        <v>160000.02</v>
      </c>
      <c r="Q25" s="575">
        <v>160000.02</v>
      </c>
      <c r="R25" s="574">
        <v>46028</v>
      </c>
      <c r="S25" s="575">
        <v>80000.01</v>
      </c>
      <c r="T25" s="650">
        <v>46031</v>
      </c>
      <c r="U25" s="650">
        <v>46037</v>
      </c>
      <c r="V25" s="575">
        <v>40000.01</v>
      </c>
      <c r="W25" s="576"/>
      <c r="X25" s="658"/>
      <c r="Y25" s="653"/>
    </row>
    <row r="26" ht="36" customHeight="1" spans="1:25">
      <c r="A26" s="467">
        <v>23</v>
      </c>
      <c r="B26" s="548">
        <v>2026</v>
      </c>
      <c r="C26" s="548" t="s">
        <v>79</v>
      </c>
      <c r="D26" s="663" t="s">
        <v>1121</v>
      </c>
      <c r="E26" s="424" t="s">
        <v>1122</v>
      </c>
      <c r="F26" s="642" t="s">
        <v>1095</v>
      </c>
      <c r="G26" s="338" t="s">
        <v>1105</v>
      </c>
      <c r="H26" s="613">
        <v>0.8</v>
      </c>
      <c r="I26" s="426">
        <v>400000</v>
      </c>
      <c r="J26" s="574">
        <v>45462</v>
      </c>
      <c r="K26" s="574">
        <v>46197</v>
      </c>
      <c r="L26" s="651">
        <v>0.4</v>
      </c>
      <c r="M26" s="574">
        <v>45869</v>
      </c>
      <c r="N26" s="575">
        <v>266666.64</v>
      </c>
      <c r="O26" s="575">
        <v>266666.64</v>
      </c>
      <c r="P26" s="575">
        <v>213333.31</v>
      </c>
      <c r="Q26" s="575">
        <v>213333.31</v>
      </c>
      <c r="R26" s="574">
        <v>46028</v>
      </c>
      <c r="S26" s="575">
        <v>106666.66</v>
      </c>
      <c r="T26" s="650">
        <v>46031</v>
      </c>
      <c r="U26" s="650">
        <v>46037</v>
      </c>
      <c r="V26" s="575">
        <v>53333.33</v>
      </c>
      <c r="W26" s="576"/>
      <c r="X26" s="658"/>
      <c r="Y26" s="653"/>
    </row>
    <row r="27" ht="36" customHeight="1" spans="1:25">
      <c r="A27" s="467">
        <v>24</v>
      </c>
      <c r="B27" s="548">
        <v>2026</v>
      </c>
      <c r="C27" s="548" t="s">
        <v>582</v>
      </c>
      <c r="D27" s="663" t="s">
        <v>728</v>
      </c>
      <c r="E27" s="424" t="s">
        <v>1123</v>
      </c>
      <c r="F27" s="642" t="s">
        <v>1124</v>
      </c>
      <c r="G27" s="338" t="s">
        <v>1125</v>
      </c>
      <c r="H27" s="613">
        <v>0.8</v>
      </c>
      <c r="I27" s="426">
        <v>200000</v>
      </c>
      <c r="J27" s="574" t="s">
        <v>1126</v>
      </c>
      <c r="K27" s="574" t="s">
        <v>1127</v>
      </c>
      <c r="L27" s="651">
        <v>0.4</v>
      </c>
      <c r="M27" s="574">
        <v>45834</v>
      </c>
      <c r="N27" s="575">
        <v>200000</v>
      </c>
      <c r="O27" s="575">
        <v>200000</v>
      </c>
      <c r="P27" s="575">
        <v>160000</v>
      </c>
      <c r="Q27" s="575">
        <v>160000</v>
      </c>
      <c r="R27" s="574">
        <v>46028</v>
      </c>
      <c r="S27" s="575">
        <v>80000</v>
      </c>
      <c r="T27" s="650">
        <v>46092</v>
      </c>
      <c r="U27" s="650"/>
      <c r="V27" s="616"/>
      <c r="W27" s="576"/>
      <c r="X27" s="658"/>
      <c r="Y27" s="655" t="s">
        <v>1077</v>
      </c>
    </row>
    <row r="28" customFormat="1" ht="36" customHeight="1" spans="1:25">
      <c r="A28" s="467">
        <v>25</v>
      </c>
      <c r="B28" s="548">
        <v>2026</v>
      </c>
      <c r="C28" s="548" t="s">
        <v>28</v>
      </c>
      <c r="D28" s="663" t="s">
        <v>800</v>
      </c>
      <c r="E28" s="424" t="s">
        <v>1128</v>
      </c>
      <c r="F28" s="642" t="s">
        <v>1129</v>
      </c>
      <c r="G28" s="338" t="s">
        <v>1103</v>
      </c>
      <c r="H28" s="613">
        <v>0.8</v>
      </c>
      <c r="I28" s="426">
        <v>68000</v>
      </c>
      <c r="J28" s="574">
        <v>44690</v>
      </c>
      <c r="K28" s="574">
        <v>45785</v>
      </c>
      <c r="L28" s="651">
        <v>0.4</v>
      </c>
      <c r="M28" s="574">
        <v>45890</v>
      </c>
      <c r="N28" s="575">
        <v>61490.7</v>
      </c>
      <c r="O28" s="575">
        <v>61200</v>
      </c>
      <c r="P28" s="575">
        <v>48960</v>
      </c>
      <c r="Q28" s="575">
        <v>49192.56</v>
      </c>
      <c r="R28" s="574">
        <v>46041</v>
      </c>
      <c r="S28" s="575">
        <v>24480</v>
      </c>
      <c r="T28" s="650">
        <v>46051</v>
      </c>
      <c r="U28" s="650">
        <v>46051</v>
      </c>
      <c r="V28" s="575">
        <v>12240</v>
      </c>
      <c r="W28" s="576"/>
      <c r="X28" s="658"/>
      <c r="Y28" s="655"/>
    </row>
    <row r="29" customFormat="1" ht="36" customHeight="1" spans="1:25">
      <c r="A29" s="467">
        <v>26</v>
      </c>
      <c r="B29" s="548">
        <v>2026</v>
      </c>
      <c r="C29" s="548" t="s">
        <v>15</v>
      </c>
      <c r="D29" s="663" t="s">
        <v>829</v>
      </c>
      <c r="E29" s="424" t="s">
        <v>1130</v>
      </c>
      <c r="F29" s="642" t="s">
        <v>1131</v>
      </c>
      <c r="G29" s="338" t="s">
        <v>1105</v>
      </c>
      <c r="H29" s="613">
        <v>0.8</v>
      </c>
      <c r="I29" s="426">
        <v>1350000</v>
      </c>
      <c r="J29" s="574">
        <v>45511</v>
      </c>
      <c r="K29" s="574">
        <v>45876</v>
      </c>
      <c r="L29" s="651">
        <v>0.4</v>
      </c>
      <c r="M29" s="574">
        <v>45891</v>
      </c>
      <c r="N29" s="575">
        <v>1360830</v>
      </c>
      <c r="O29" s="575">
        <v>1350000</v>
      </c>
      <c r="P29" s="575">
        <v>1080000</v>
      </c>
      <c r="Q29" s="575">
        <v>1088664</v>
      </c>
      <c r="R29" s="574">
        <v>46062</v>
      </c>
      <c r="S29" s="575">
        <v>540000</v>
      </c>
      <c r="T29" s="650">
        <v>46066</v>
      </c>
      <c r="U29" s="650">
        <v>46066</v>
      </c>
      <c r="V29" s="575">
        <v>270000</v>
      </c>
      <c r="W29" s="576"/>
      <c r="X29" s="658"/>
      <c r="Y29" s="655"/>
    </row>
    <row r="30" customFormat="1" ht="36" customHeight="1" spans="1:25">
      <c r="A30" s="467">
        <v>27</v>
      </c>
      <c r="B30" s="548">
        <v>2026</v>
      </c>
      <c r="C30" s="548" t="s">
        <v>15</v>
      </c>
      <c r="D30" s="663" t="s">
        <v>815</v>
      </c>
      <c r="E30" s="424" t="s">
        <v>1132</v>
      </c>
      <c r="F30" s="642" t="s">
        <v>1133</v>
      </c>
      <c r="G30" s="338" t="s">
        <v>1105</v>
      </c>
      <c r="H30" s="613">
        <v>0.8</v>
      </c>
      <c r="I30" s="426">
        <v>2090000</v>
      </c>
      <c r="J30" s="574">
        <v>45461</v>
      </c>
      <c r="K30" s="574">
        <v>45826</v>
      </c>
      <c r="L30" s="651">
        <v>0.4</v>
      </c>
      <c r="M30" s="574">
        <v>45896</v>
      </c>
      <c r="N30" s="575">
        <v>2102574.83</v>
      </c>
      <c r="O30" s="575">
        <v>2090000</v>
      </c>
      <c r="P30" s="575">
        <v>1672000</v>
      </c>
      <c r="Q30" s="575">
        <v>1682059.86</v>
      </c>
      <c r="R30" s="574">
        <v>46062</v>
      </c>
      <c r="S30" s="575">
        <v>836000</v>
      </c>
      <c r="T30" s="650">
        <v>46064</v>
      </c>
      <c r="U30" s="650">
        <v>46066</v>
      </c>
      <c r="V30" s="575">
        <v>418000</v>
      </c>
      <c r="W30" s="576"/>
      <c r="X30" s="658"/>
      <c r="Y30" s="655"/>
    </row>
    <row r="31" customFormat="1" ht="36" customHeight="1" spans="1:25">
      <c r="A31" s="467">
        <v>28</v>
      </c>
      <c r="B31" s="548">
        <v>2026</v>
      </c>
      <c r="C31" s="548" t="s">
        <v>15</v>
      </c>
      <c r="D31" s="663" t="s">
        <v>834</v>
      </c>
      <c r="E31" s="424" t="s">
        <v>1134</v>
      </c>
      <c r="F31" s="642" t="s">
        <v>1088</v>
      </c>
      <c r="G31" s="338" t="s">
        <v>1105</v>
      </c>
      <c r="H31" s="613">
        <v>0.8</v>
      </c>
      <c r="I31" s="426">
        <v>1500000</v>
      </c>
      <c r="J31" s="574">
        <v>45447</v>
      </c>
      <c r="K31" s="574">
        <v>45811</v>
      </c>
      <c r="L31" s="651">
        <v>0.4</v>
      </c>
      <c r="M31" s="574">
        <v>45898</v>
      </c>
      <c r="N31" s="575">
        <v>1502704.26</v>
      </c>
      <c r="O31" s="575">
        <v>1499995.96</v>
      </c>
      <c r="P31" s="575">
        <v>1199996.77</v>
      </c>
      <c r="Q31" s="575">
        <v>1202163.41</v>
      </c>
      <c r="R31" s="574">
        <v>46062</v>
      </c>
      <c r="S31" s="575">
        <v>599998.38</v>
      </c>
      <c r="T31" s="650">
        <v>46066</v>
      </c>
      <c r="U31" s="650">
        <v>46066</v>
      </c>
      <c r="V31" s="575">
        <v>299999.19</v>
      </c>
      <c r="W31" s="576"/>
      <c r="X31" s="658"/>
      <c r="Y31" s="655"/>
    </row>
    <row r="32" customFormat="1" ht="36" customHeight="1" spans="1:25">
      <c r="A32" s="467">
        <v>29</v>
      </c>
      <c r="B32" s="548">
        <v>2026</v>
      </c>
      <c r="C32" s="548" t="s">
        <v>75</v>
      </c>
      <c r="D32" s="663" t="s">
        <v>708</v>
      </c>
      <c r="E32" s="1253" t="s">
        <v>1135</v>
      </c>
      <c r="F32" s="642" t="s">
        <v>1136</v>
      </c>
      <c r="G32" s="338" t="s">
        <v>1137</v>
      </c>
      <c r="H32" s="613">
        <v>0.8</v>
      </c>
      <c r="I32" s="426">
        <v>100000</v>
      </c>
      <c r="J32" s="574">
        <v>44742</v>
      </c>
      <c r="K32" s="574">
        <v>45838</v>
      </c>
      <c r="L32" s="651">
        <v>0.4</v>
      </c>
      <c r="M32" s="574">
        <v>45869</v>
      </c>
      <c r="N32" s="575">
        <v>81275.91</v>
      </c>
      <c r="O32" s="575">
        <v>80000</v>
      </c>
      <c r="P32" s="575">
        <v>64000</v>
      </c>
      <c r="Q32" s="575">
        <v>65020.73</v>
      </c>
      <c r="R32" s="574">
        <v>46036</v>
      </c>
      <c r="S32" s="575">
        <v>32000</v>
      </c>
      <c r="T32" s="650">
        <v>46037</v>
      </c>
      <c r="U32" s="650">
        <v>46042</v>
      </c>
      <c r="V32" s="575">
        <v>16000</v>
      </c>
      <c r="W32" s="576"/>
      <c r="X32" s="658"/>
      <c r="Y32" s="655"/>
    </row>
    <row r="33" customFormat="1" ht="36" customHeight="1" spans="1:25">
      <c r="A33" s="467">
        <v>30</v>
      </c>
      <c r="B33" s="548">
        <v>2026</v>
      </c>
      <c r="C33" s="548" t="s">
        <v>89</v>
      </c>
      <c r="D33" s="663" t="s">
        <v>706</v>
      </c>
      <c r="E33" s="424" t="s">
        <v>1138</v>
      </c>
      <c r="F33" s="642" t="s">
        <v>1139</v>
      </c>
      <c r="G33" s="338" t="s">
        <v>1140</v>
      </c>
      <c r="H33" s="613">
        <v>0.8</v>
      </c>
      <c r="I33" s="426">
        <v>2000000</v>
      </c>
      <c r="J33" s="574">
        <v>45062</v>
      </c>
      <c r="K33" s="574">
        <v>45792</v>
      </c>
      <c r="L33" s="651">
        <v>0.4</v>
      </c>
      <c r="M33" s="574">
        <v>45883</v>
      </c>
      <c r="N33" s="575">
        <v>2018332.01</v>
      </c>
      <c r="O33" s="575">
        <v>1999998.68</v>
      </c>
      <c r="P33" s="575">
        <v>1599998.94</v>
      </c>
      <c r="Q33" s="575">
        <v>1599998.94</v>
      </c>
      <c r="R33" s="574">
        <v>46050</v>
      </c>
      <c r="S33" s="575">
        <v>799999.47</v>
      </c>
      <c r="T33" s="650">
        <v>46055</v>
      </c>
      <c r="U33" s="650">
        <v>46056</v>
      </c>
      <c r="V33" s="575">
        <v>399999.74</v>
      </c>
      <c r="W33" s="576"/>
      <c r="X33" s="658"/>
      <c r="Y33" s="653"/>
    </row>
    <row r="34" customFormat="1" ht="36" customHeight="1" spans="1:25">
      <c r="A34" s="467">
        <v>31</v>
      </c>
      <c r="B34" s="548">
        <v>2026</v>
      </c>
      <c r="C34" s="548" t="s">
        <v>37</v>
      </c>
      <c r="D34" s="663" t="s">
        <v>763</v>
      </c>
      <c r="E34" s="424" t="s">
        <v>1141</v>
      </c>
      <c r="F34" s="642" t="s">
        <v>1142</v>
      </c>
      <c r="G34" s="338" t="s">
        <v>1105</v>
      </c>
      <c r="H34" s="613">
        <v>0.8</v>
      </c>
      <c r="I34" s="426">
        <v>350000</v>
      </c>
      <c r="J34" s="574">
        <v>45450</v>
      </c>
      <c r="K34" s="574">
        <v>45815</v>
      </c>
      <c r="L34" s="651">
        <v>0.4</v>
      </c>
      <c r="M34" s="574">
        <v>45897</v>
      </c>
      <c r="N34" s="575">
        <v>351506.94</v>
      </c>
      <c r="O34" s="575">
        <v>350000</v>
      </c>
      <c r="P34" s="575">
        <v>280000</v>
      </c>
      <c r="Q34" s="575">
        <v>281205.55</v>
      </c>
      <c r="R34" s="574">
        <v>46052</v>
      </c>
      <c r="S34" s="575">
        <v>140000</v>
      </c>
      <c r="T34" s="650">
        <v>46058</v>
      </c>
      <c r="U34" s="650">
        <v>46064</v>
      </c>
      <c r="V34" s="575">
        <v>70000</v>
      </c>
      <c r="W34" s="576"/>
      <c r="X34" s="658"/>
      <c r="Y34" s="653"/>
    </row>
    <row r="35" customFormat="1" ht="36" customHeight="1" spans="1:25">
      <c r="A35" s="467">
        <v>32</v>
      </c>
      <c r="B35" s="548">
        <v>2026</v>
      </c>
      <c r="C35" s="548" t="s">
        <v>25</v>
      </c>
      <c r="D35" s="663" t="s">
        <v>791</v>
      </c>
      <c r="E35" s="424" t="s">
        <v>1143</v>
      </c>
      <c r="F35" s="642" t="s">
        <v>1107</v>
      </c>
      <c r="G35" s="338" t="s">
        <v>1103</v>
      </c>
      <c r="H35" s="613">
        <v>0.8</v>
      </c>
      <c r="I35" s="426">
        <v>210000</v>
      </c>
      <c r="J35" s="574">
        <v>44628</v>
      </c>
      <c r="K35" s="574">
        <v>45723</v>
      </c>
      <c r="L35" s="651">
        <v>0.4</v>
      </c>
      <c r="M35" s="574">
        <v>45902</v>
      </c>
      <c r="N35" s="575">
        <v>209607.86</v>
      </c>
      <c r="O35" s="575">
        <v>207907</v>
      </c>
      <c r="P35" s="575">
        <v>166325.6</v>
      </c>
      <c r="Q35" s="575">
        <v>167686.29</v>
      </c>
      <c r="R35" s="574">
        <v>46057</v>
      </c>
      <c r="S35" s="575">
        <v>83162.8</v>
      </c>
      <c r="T35" s="650">
        <v>46064</v>
      </c>
      <c r="U35" s="650">
        <v>46064</v>
      </c>
      <c r="V35" s="575">
        <v>41581.4</v>
      </c>
      <c r="W35" s="576"/>
      <c r="X35" s="658"/>
      <c r="Y35" s="653"/>
    </row>
    <row r="36" customFormat="1" ht="36" customHeight="1" spans="1:25">
      <c r="A36" s="467">
        <v>33</v>
      </c>
      <c r="B36" s="548">
        <v>2026</v>
      </c>
      <c r="C36" s="548" t="s">
        <v>25</v>
      </c>
      <c r="D36" s="663" t="s">
        <v>792</v>
      </c>
      <c r="E36" s="424" t="s">
        <v>1144</v>
      </c>
      <c r="F36" s="642" t="s">
        <v>1107</v>
      </c>
      <c r="G36" s="338" t="s">
        <v>1103</v>
      </c>
      <c r="H36" s="613">
        <v>0.8</v>
      </c>
      <c r="I36" s="426">
        <v>300000</v>
      </c>
      <c r="J36" s="574">
        <v>44630</v>
      </c>
      <c r="K36" s="574">
        <v>45725</v>
      </c>
      <c r="L36" s="651">
        <v>0.4</v>
      </c>
      <c r="M36" s="574">
        <v>45902</v>
      </c>
      <c r="N36" s="575">
        <v>65751.4</v>
      </c>
      <c r="O36" s="575">
        <v>65329.18</v>
      </c>
      <c r="P36" s="575">
        <v>52263.34</v>
      </c>
      <c r="Q36" s="575">
        <v>52601.12</v>
      </c>
      <c r="R36" s="574">
        <v>46056</v>
      </c>
      <c r="S36" s="575">
        <v>26131.67</v>
      </c>
      <c r="T36" s="650">
        <v>46058</v>
      </c>
      <c r="U36" s="650">
        <v>46064</v>
      </c>
      <c r="V36" s="575">
        <v>13065.84</v>
      </c>
      <c r="W36" s="576"/>
      <c r="X36" s="658"/>
      <c r="Y36" s="653"/>
    </row>
    <row r="37" customFormat="1" ht="36" customHeight="1" spans="1:25">
      <c r="A37" s="467">
        <v>34</v>
      </c>
      <c r="B37" s="548">
        <v>2026</v>
      </c>
      <c r="C37" s="548" t="s">
        <v>79</v>
      </c>
      <c r="D37" s="663" t="s">
        <v>775</v>
      </c>
      <c r="E37" s="424" t="s">
        <v>1145</v>
      </c>
      <c r="F37" s="642" t="s">
        <v>1146</v>
      </c>
      <c r="G37" s="338" t="s">
        <v>1105</v>
      </c>
      <c r="H37" s="613">
        <v>0.8</v>
      </c>
      <c r="I37" s="426">
        <v>1350000</v>
      </c>
      <c r="J37" s="574">
        <v>45449</v>
      </c>
      <c r="K37" s="574">
        <v>45813</v>
      </c>
      <c r="L37" s="651">
        <v>0.4</v>
      </c>
      <c r="M37" s="574">
        <v>45903</v>
      </c>
      <c r="N37" s="575">
        <v>1332525.06</v>
      </c>
      <c r="O37" s="575">
        <v>1332525.06</v>
      </c>
      <c r="P37" s="575">
        <v>1066020.04</v>
      </c>
      <c r="Q37" s="575">
        <v>1066020.04</v>
      </c>
      <c r="R37" s="574">
        <v>46062</v>
      </c>
      <c r="S37" s="575">
        <v>533010.02</v>
      </c>
      <c r="T37" s="650">
        <v>46065</v>
      </c>
      <c r="U37" s="650">
        <v>46065</v>
      </c>
      <c r="V37" s="575">
        <v>266505.01</v>
      </c>
      <c r="W37" s="576"/>
      <c r="X37" s="658"/>
      <c r="Y37" s="653"/>
    </row>
    <row r="38" customFormat="1" ht="36" customHeight="1" spans="1:25">
      <c r="A38" s="467">
        <v>35</v>
      </c>
      <c r="B38" s="548">
        <v>2026</v>
      </c>
      <c r="C38" s="548" t="s">
        <v>79</v>
      </c>
      <c r="D38" s="663" t="s">
        <v>771</v>
      </c>
      <c r="E38" s="424" t="s">
        <v>1147</v>
      </c>
      <c r="F38" s="642" t="s">
        <v>1148</v>
      </c>
      <c r="G38" s="338" t="s">
        <v>1105</v>
      </c>
      <c r="H38" s="613">
        <v>0.8</v>
      </c>
      <c r="I38" s="426">
        <v>2500000</v>
      </c>
      <c r="J38" s="574">
        <v>45450</v>
      </c>
      <c r="K38" s="574">
        <v>45814</v>
      </c>
      <c r="L38" s="651">
        <v>0.4</v>
      </c>
      <c r="M38" s="574">
        <v>45904</v>
      </c>
      <c r="N38" s="575">
        <v>2558853.1</v>
      </c>
      <c r="O38" s="575">
        <v>2500000</v>
      </c>
      <c r="P38" s="575">
        <v>2000000</v>
      </c>
      <c r="Q38" s="575">
        <v>2047082.48</v>
      </c>
      <c r="R38" s="574">
        <v>46062</v>
      </c>
      <c r="S38" s="575">
        <v>1000000</v>
      </c>
      <c r="T38" s="650">
        <v>46066</v>
      </c>
      <c r="U38" s="650">
        <v>46066</v>
      </c>
      <c r="V38" s="575">
        <v>500000</v>
      </c>
      <c r="W38" s="576"/>
      <c r="X38" s="658"/>
      <c r="Y38" s="655"/>
    </row>
    <row r="39" customFormat="1" ht="36" customHeight="1" spans="1:25">
      <c r="A39" s="467">
        <v>36</v>
      </c>
      <c r="B39" s="548">
        <v>2026</v>
      </c>
      <c r="C39" s="548" t="s">
        <v>75</v>
      </c>
      <c r="D39" s="663" t="s">
        <v>826</v>
      </c>
      <c r="E39" s="1253" t="s">
        <v>1149</v>
      </c>
      <c r="F39" s="642" t="s">
        <v>1150</v>
      </c>
      <c r="G39" s="338" t="s">
        <v>1105</v>
      </c>
      <c r="H39" s="613">
        <v>0.8</v>
      </c>
      <c r="I39" s="426">
        <v>315000</v>
      </c>
      <c r="J39" s="574">
        <v>45645</v>
      </c>
      <c r="K39" s="574">
        <v>46739</v>
      </c>
      <c r="L39" s="651">
        <v>0.4</v>
      </c>
      <c r="M39" s="574">
        <v>45890</v>
      </c>
      <c r="N39" s="575">
        <v>317897.68</v>
      </c>
      <c r="O39" s="575">
        <v>315000</v>
      </c>
      <c r="P39" s="575">
        <v>252000</v>
      </c>
      <c r="Q39" s="575">
        <v>254318.14</v>
      </c>
      <c r="R39" s="574">
        <v>46048</v>
      </c>
      <c r="S39" s="575">
        <v>126000</v>
      </c>
      <c r="T39" s="659">
        <v>46051</v>
      </c>
      <c r="U39" s="659">
        <v>46052</v>
      </c>
      <c r="V39" s="575">
        <v>63000</v>
      </c>
      <c r="W39" s="576"/>
      <c r="X39" s="658"/>
      <c r="Y39" s="655"/>
    </row>
    <row r="40" customFormat="1" ht="36" customHeight="1" spans="1:25">
      <c r="A40" s="467">
        <v>37</v>
      </c>
      <c r="B40" s="548">
        <v>2026</v>
      </c>
      <c r="C40" s="548" t="s">
        <v>133</v>
      </c>
      <c r="D40" s="663" t="s">
        <v>817</v>
      </c>
      <c r="E40" s="1253" t="s">
        <v>1151</v>
      </c>
      <c r="F40" s="642" t="s">
        <v>1152</v>
      </c>
      <c r="G40" s="338" t="s">
        <v>1153</v>
      </c>
      <c r="H40" s="613">
        <v>0.8</v>
      </c>
      <c r="I40" s="426">
        <v>100000</v>
      </c>
      <c r="J40" s="574">
        <v>45030</v>
      </c>
      <c r="K40" s="574">
        <v>45760</v>
      </c>
      <c r="L40" s="651">
        <v>0.2</v>
      </c>
      <c r="M40" s="574">
        <v>45876</v>
      </c>
      <c r="N40" s="575">
        <v>78547.63</v>
      </c>
      <c r="O40" s="575">
        <v>78374.16</v>
      </c>
      <c r="P40" s="575">
        <v>62699.33</v>
      </c>
      <c r="Q40" s="575">
        <v>62699.33</v>
      </c>
      <c r="R40" s="574">
        <v>45683</v>
      </c>
      <c r="S40" s="575">
        <v>15674.83</v>
      </c>
      <c r="T40" s="659">
        <v>46051</v>
      </c>
      <c r="U40" s="650"/>
      <c r="V40" s="575"/>
      <c r="W40" s="576"/>
      <c r="X40" s="658"/>
      <c r="Y40" s="655" t="s">
        <v>1077</v>
      </c>
    </row>
    <row r="41" customFormat="1" ht="36" customHeight="1" spans="1:25">
      <c r="A41" s="467">
        <v>38</v>
      </c>
      <c r="B41" s="548">
        <v>2026</v>
      </c>
      <c r="C41" s="548" t="s">
        <v>133</v>
      </c>
      <c r="D41" s="663" t="s">
        <v>818</v>
      </c>
      <c r="E41" s="1253" t="s">
        <v>1154</v>
      </c>
      <c r="F41" s="642" t="s">
        <v>1155</v>
      </c>
      <c r="G41" s="338" t="s">
        <v>1153</v>
      </c>
      <c r="H41" s="613">
        <v>0.8</v>
      </c>
      <c r="I41" s="426">
        <v>100000</v>
      </c>
      <c r="J41" s="574">
        <v>45056</v>
      </c>
      <c r="K41" s="574">
        <v>45786</v>
      </c>
      <c r="L41" s="651">
        <v>0.2</v>
      </c>
      <c r="M41" s="574">
        <v>45890</v>
      </c>
      <c r="N41" s="575">
        <v>99716.36</v>
      </c>
      <c r="O41" s="575">
        <v>99716.36</v>
      </c>
      <c r="P41" s="575">
        <v>79773.09</v>
      </c>
      <c r="Q41" s="575">
        <v>79773.09</v>
      </c>
      <c r="R41" s="574">
        <v>45683</v>
      </c>
      <c r="S41" s="575">
        <v>19943.27</v>
      </c>
      <c r="T41" s="659">
        <v>46051</v>
      </c>
      <c r="U41" s="650"/>
      <c r="V41" s="575"/>
      <c r="W41" s="576"/>
      <c r="X41" s="658"/>
      <c r="Y41" s="655" t="s">
        <v>1077</v>
      </c>
    </row>
    <row r="42" customFormat="1" ht="36" customHeight="1" spans="1:25">
      <c r="A42" s="467">
        <v>39</v>
      </c>
      <c r="B42" s="548">
        <v>2026</v>
      </c>
      <c r="C42" s="548" t="s">
        <v>25</v>
      </c>
      <c r="D42" s="663" t="s">
        <v>794</v>
      </c>
      <c r="E42" s="424" t="s">
        <v>1156</v>
      </c>
      <c r="F42" s="642" t="s">
        <v>1102</v>
      </c>
      <c r="G42" s="338" t="s">
        <v>1125</v>
      </c>
      <c r="H42" s="613">
        <v>0.8</v>
      </c>
      <c r="I42" s="426">
        <v>290000</v>
      </c>
      <c r="J42" s="574">
        <v>44665</v>
      </c>
      <c r="K42" s="574">
        <v>45760</v>
      </c>
      <c r="L42" s="651">
        <v>0.4</v>
      </c>
      <c r="M42" s="574">
        <v>45908</v>
      </c>
      <c r="N42" s="575">
        <v>290672.48</v>
      </c>
      <c r="O42" s="575">
        <v>290000</v>
      </c>
      <c r="P42" s="575">
        <v>232000</v>
      </c>
      <c r="Q42" s="575">
        <v>232537.98</v>
      </c>
      <c r="R42" s="574">
        <v>46062</v>
      </c>
      <c r="S42" s="575">
        <v>116000</v>
      </c>
      <c r="T42" s="650">
        <v>46066</v>
      </c>
      <c r="U42" s="650"/>
      <c r="V42" s="575"/>
      <c r="W42" s="576"/>
      <c r="X42" s="658"/>
      <c r="Y42" s="655" t="s">
        <v>1077</v>
      </c>
    </row>
    <row r="43" customFormat="1" ht="36" customHeight="1" spans="1:25">
      <c r="A43" s="467">
        <v>40</v>
      </c>
      <c r="B43" s="548">
        <v>2026</v>
      </c>
      <c r="C43" s="548" t="s">
        <v>25</v>
      </c>
      <c r="D43" s="663" t="s">
        <v>797</v>
      </c>
      <c r="E43" s="424" t="s">
        <v>1157</v>
      </c>
      <c r="F43" s="642" t="s">
        <v>1158</v>
      </c>
      <c r="G43" s="338" t="s">
        <v>1085</v>
      </c>
      <c r="H43" s="613">
        <v>0.8</v>
      </c>
      <c r="I43" s="426">
        <v>160000</v>
      </c>
      <c r="J43" s="574">
        <v>45043</v>
      </c>
      <c r="K43" s="574">
        <v>46138</v>
      </c>
      <c r="L43" s="651">
        <v>0.4</v>
      </c>
      <c r="M43" s="574">
        <v>45912</v>
      </c>
      <c r="N43" s="575">
        <v>163298.22</v>
      </c>
      <c r="O43" s="575">
        <v>160000</v>
      </c>
      <c r="P43" s="575">
        <v>128000</v>
      </c>
      <c r="Q43" s="575">
        <v>130638.57</v>
      </c>
      <c r="R43" s="574">
        <v>46062</v>
      </c>
      <c r="S43" s="575">
        <v>64000</v>
      </c>
      <c r="T43" s="650">
        <v>46066</v>
      </c>
      <c r="U43" s="650">
        <v>46077</v>
      </c>
      <c r="V43" s="575">
        <v>32000</v>
      </c>
      <c r="W43" s="576"/>
      <c r="X43" s="658"/>
      <c r="Y43" s="655"/>
    </row>
    <row r="44" customFormat="1" ht="36" customHeight="1" spans="1:25">
      <c r="A44" s="467">
        <v>41</v>
      </c>
      <c r="B44" s="548">
        <v>2026</v>
      </c>
      <c r="C44" s="548" t="s">
        <v>25</v>
      </c>
      <c r="D44" s="663" t="s">
        <v>798</v>
      </c>
      <c r="E44" s="424" t="s">
        <v>1159</v>
      </c>
      <c r="F44" s="642" t="s">
        <v>1158</v>
      </c>
      <c r="G44" s="338" t="s">
        <v>1085</v>
      </c>
      <c r="H44" s="613">
        <v>0.8</v>
      </c>
      <c r="I44" s="426">
        <v>200000</v>
      </c>
      <c r="J44" s="574">
        <v>45013</v>
      </c>
      <c r="K44" s="574">
        <v>46108</v>
      </c>
      <c r="L44" s="651">
        <v>0.4</v>
      </c>
      <c r="M44" s="574">
        <v>45912</v>
      </c>
      <c r="N44" s="575">
        <v>203946.58</v>
      </c>
      <c r="O44" s="575">
        <v>200000</v>
      </c>
      <c r="P44" s="575">
        <v>160000</v>
      </c>
      <c r="Q44" s="575">
        <v>163157.26</v>
      </c>
      <c r="R44" s="574">
        <v>46062</v>
      </c>
      <c r="S44" s="575">
        <v>80000</v>
      </c>
      <c r="T44" s="650">
        <v>46066</v>
      </c>
      <c r="U44" s="650">
        <v>46077</v>
      </c>
      <c r="V44" s="575">
        <v>40000</v>
      </c>
      <c r="W44" s="576"/>
      <c r="X44" s="658"/>
      <c r="Y44" s="655"/>
    </row>
    <row r="45" customFormat="1" ht="36" customHeight="1" spans="1:25">
      <c r="A45" s="467">
        <v>42</v>
      </c>
      <c r="B45" s="548">
        <v>2026</v>
      </c>
      <c r="C45" s="548" t="s">
        <v>31</v>
      </c>
      <c r="D45" s="663" t="s">
        <v>823</v>
      </c>
      <c r="E45" s="424" t="s">
        <v>1160</v>
      </c>
      <c r="F45" s="642" t="s">
        <v>1161</v>
      </c>
      <c r="G45" s="338" t="s">
        <v>1105</v>
      </c>
      <c r="H45" s="613">
        <v>0.8</v>
      </c>
      <c r="I45" s="426">
        <v>1500000</v>
      </c>
      <c r="J45" s="574">
        <v>45503</v>
      </c>
      <c r="K45" s="574">
        <v>45867</v>
      </c>
      <c r="L45" s="651">
        <v>0.4</v>
      </c>
      <c r="M45" s="574">
        <v>45909</v>
      </c>
      <c r="N45" s="575">
        <v>1502196.58</v>
      </c>
      <c r="O45" s="575">
        <v>1500000</v>
      </c>
      <c r="P45" s="575">
        <v>1200000</v>
      </c>
      <c r="Q45" s="575">
        <v>1201757.26</v>
      </c>
      <c r="R45" s="574">
        <v>46080</v>
      </c>
      <c r="S45" s="575">
        <v>600000</v>
      </c>
      <c r="T45" s="650">
        <v>46083</v>
      </c>
      <c r="U45" s="650">
        <v>46087</v>
      </c>
      <c r="V45" s="575">
        <v>300000</v>
      </c>
      <c r="W45" s="576"/>
      <c r="X45" s="658"/>
      <c r="Y45" s="655"/>
    </row>
    <row r="46" customFormat="1" ht="36" customHeight="1" spans="1:25">
      <c r="A46" s="467">
        <v>43</v>
      </c>
      <c r="B46" s="548">
        <v>2026</v>
      </c>
      <c r="C46" s="548" t="s">
        <v>41</v>
      </c>
      <c r="D46" s="663" t="s">
        <v>846</v>
      </c>
      <c r="E46" s="1253" t="s">
        <v>1162</v>
      </c>
      <c r="F46" s="642" t="s">
        <v>1163</v>
      </c>
      <c r="G46" s="338" t="s">
        <v>1164</v>
      </c>
      <c r="H46" s="613">
        <v>1</v>
      </c>
      <c r="I46" s="426">
        <v>900000</v>
      </c>
      <c r="J46" s="574">
        <v>45534</v>
      </c>
      <c r="K46" s="574">
        <v>45887</v>
      </c>
      <c r="L46" s="651">
        <v>0.4</v>
      </c>
      <c r="M46" s="574">
        <v>45903</v>
      </c>
      <c r="N46" s="575">
        <v>922151.67</v>
      </c>
      <c r="O46" s="575">
        <v>900000</v>
      </c>
      <c r="P46" s="575">
        <v>922151.67</v>
      </c>
      <c r="Q46" s="575">
        <v>900000</v>
      </c>
      <c r="R46" s="574">
        <v>46052</v>
      </c>
      <c r="S46" s="575">
        <v>360000</v>
      </c>
      <c r="T46" s="650">
        <v>46064</v>
      </c>
      <c r="U46" s="650">
        <v>46064</v>
      </c>
      <c r="V46" s="575">
        <v>180000</v>
      </c>
      <c r="W46" s="576"/>
      <c r="X46" s="658"/>
      <c r="Y46" s="655"/>
    </row>
    <row r="47" customFormat="1" ht="36" customHeight="1" spans="1:25">
      <c r="A47" s="467">
        <v>44</v>
      </c>
      <c r="B47" s="548">
        <v>2026</v>
      </c>
      <c r="C47" s="548" t="s">
        <v>79</v>
      </c>
      <c r="D47" s="663" t="s">
        <v>767</v>
      </c>
      <c r="E47" s="424" t="s">
        <v>1165</v>
      </c>
      <c r="F47" s="642" t="s">
        <v>1166</v>
      </c>
      <c r="G47" s="338" t="s">
        <v>1105</v>
      </c>
      <c r="H47" s="613">
        <v>0.8</v>
      </c>
      <c r="I47" s="426">
        <v>359000</v>
      </c>
      <c r="J47" s="574">
        <v>45484</v>
      </c>
      <c r="K47" s="574">
        <v>46578</v>
      </c>
      <c r="L47" s="651">
        <v>0.4</v>
      </c>
      <c r="M47" s="574">
        <v>45922</v>
      </c>
      <c r="N47" s="575">
        <v>365923.27</v>
      </c>
      <c r="O47" s="575">
        <v>359000</v>
      </c>
      <c r="P47" s="575">
        <v>287200</v>
      </c>
      <c r="Q47" s="575">
        <v>292738.62</v>
      </c>
      <c r="R47" s="574">
        <v>46065</v>
      </c>
      <c r="S47" s="575">
        <v>143600</v>
      </c>
      <c r="T47" s="650">
        <v>46079</v>
      </c>
      <c r="U47" s="650">
        <v>46084</v>
      </c>
      <c r="V47" s="575">
        <v>71800</v>
      </c>
      <c r="W47" s="576"/>
      <c r="X47" s="658"/>
      <c r="Y47" s="655"/>
    </row>
    <row r="48" customFormat="1" ht="36" customHeight="1" spans="1:25">
      <c r="A48" s="467">
        <v>45</v>
      </c>
      <c r="B48" s="548">
        <v>2026</v>
      </c>
      <c r="C48" s="548" t="s">
        <v>22</v>
      </c>
      <c r="D48" s="663" t="s">
        <v>844</v>
      </c>
      <c r="E48" s="424" t="s">
        <v>1167</v>
      </c>
      <c r="F48" s="642" t="s">
        <v>1168</v>
      </c>
      <c r="G48" s="338" t="s">
        <v>1169</v>
      </c>
      <c r="H48" s="613">
        <v>0.8</v>
      </c>
      <c r="I48" s="426">
        <v>5000000</v>
      </c>
      <c r="J48" s="574">
        <v>45266</v>
      </c>
      <c r="K48" s="574">
        <v>46360</v>
      </c>
      <c r="L48" s="651">
        <v>0.4</v>
      </c>
      <c r="M48" s="574">
        <v>45922</v>
      </c>
      <c r="N48" s="575">
        <v>5155291.65</v>
      </c>
      <c r="O48" s="575">
        <v>5000000</v>
      </c>
      <c r="P48" s="575">
        <v>4000000</v>
      </c>
      <c r="Q48" s="575">
        <v>4000000</v>
      </c>
      <c r="R48" s="574">
        <v>46080</v>
      </c>
      <c r="S48" s="575">
        <v>2000000</v>
      </c>
      <c r="T48" s="650">
        <v>46086</v>
      </c>
      <c r="U48" s="650">
        <v>46087</v>
      </c>
      <c r="V48" s="575">
        <v>1000000</v>
      </c>
      <c r="W48" s="576"/>
      <c r="X48" s="658"/>
      <c r="Y48" s="655"/>
    </row>
    <row r="49" customFormat="1" ht="36" customHeight="1" spans="1:25">
      <c r="A49" s="467">
        <v>48</v>
      </c>
      <c r="B49" s="548">
        <v>2026</v>
      </c>
      <c r="C49" s="548" t="s">
        <v>41</v>
      </c>
      <c r="D49" s="663" t="s">
        <v>845</v>
      </c>
      <c r="E49" s="1253" t="s">
        <v>1170</v>
      </c>
      <c r="F49" s="642" t="s">
        <v>1163</v>
      </c>
      <c r="G49" s="338" t="s">
        <v>1164</v>
      </c>
      <c r="H49" s="613">
        <v>1</v>
      </c>
      <c r="I49" s="426">
        <v>600000</v>
      </c>
      <c r="J49" s="574">
        <v>45565</v>
      </c>
      <c r="K49" s="574">
        <v>45897</v>
      </c>
      <c r="L49" s="651">
        <v>0.4</v>
      </c>
      <c r="M49" s="574">
        <v>45903</v>
      </c>
      <c r="N49" s="575">
        <v>611280.31</v>
      </c>
      <c r="O49" s="575">
        <v>600000</v>
      </c>
      <c r="P49" s="575">
        <v>600000</v>
      </c>
      <c r="Q49" s="575">
        <v>611280.31</v>
      </c>
      <c r="R49" s="574">
        <v>46056</v>
      </c>
      <c r="S49" s="575">
        <v>240000</v>
      </c>
      <c r="T49" s="650">
        <v>46064</v>
      </c>
      <c r="U49" s="650">
        <v>46064</v>
      </c>
      <c r="V49" s="575">
        <v>120000</v>
      </c>
      <c r="W49" s="576"/>
      <c r="X49" s="658"/>
      <c r="Y49" s="655"/>
    </row>
    <row r="50" customFormat="1" ht="36" customHeight="1" spans="1:25">
      <c r="A50" s="467">
        <v>49</v>
      </c>
      <c r="B50" s="548">
        <v>2026</v>
      </c>
      <c r="C50" s="548" t="s">
        <v>41</v>
      </c>
      <c r="D50" s="663" t="s">
        <v>793</v>
      </c>
      <c r="E50" s="1254" t="s">
        <v>1171</v>
      </c>
      <c r="F50" s="642" t="s">
        <v>1172</v>
      </c>
      <c r="G50" s="338" t="s">
        <v>1105</v>
      </c>
      <c r="H50" s="613">
        <v>0.8</v>
      </c>
      <c r="I50" s="426">
        <v>190000</v>
      </c>
      <c r="J50" s="574">
        <v>45470</v>
      </c>
      <c r="K50" s="574">
        <v>45826</v>
      </c>
      <c r="L50" s="651">
        <v>0.4</v>
      </c>
      <c r="M50" s="574">
        <v>45903</v>
      </c>
      <c r="N50" s="575">
        <v>195424.41</v>
      </c>
      <c r="O50" s="575">
        <v>190000</v>
      </c>
      <c r="P50" s="575">
        <v>152000</v>
      </c>
      <c r="Q50" s="575">
        <v>156339.53</v>
      </c>
      <c r="R50" s="574">
        <v>46057</v>
      </c>
      <c r="S50" s="575">
        <v>76000</v>
      </c>
      <c r="T50" s="650">
        <v>46064</v>
      </c>
      <c r="U50" s="650">
        <v>46064</v>
      </c>
      <c r="V50" s="575">
        <v>38000</v>
      </c>
      <c r="W50" s="576"/>
      <c r="X50" s="658"/>
      <c r="Y50" s="655"/>
    </row>
    <row r="51" customFormat="1" ht="36" customHeight="1" spans="1:25">
      <c r="A51" s="467">
        <v>50</v>
      </c>
      <c r="B51" s="548">
        <v>2026</v>
      </c>
      <c r="C51" s="548" t="s">
        <v>79</v>
      </c>
      <c r="D51" s="663" t="s">
        <v>769</v>
      </c>
      <c r="E51" s="424" t="s">
        <v>1173</v>
      </c>
      <c r="F51" s="642" t="s">
        <v>1174</v>
      </c>
      <c r="G51" s="338" t="s">
        <v>1105</v>
      </c>
      <c r="H51" s="613">
        <v>0.8</v>
      </c>
      <c r="I51" s="426">
        <v>1499520.8</v>
      </c>
      <c r="J51" s="574">
        <v>45442</v>
      </c>
      <c r="K51" s="574">
        <v>45806</v>
      </c>
      <c r="L51" s="651">
        <v>0.4</v>
      </c>
      <c r="M51" s="574">
        <v>45896</v>
      </c>
      <c r="N51" s="575">
        <v>1499520.8</v>
      </c>
      <c r="O51" s="575">
        <v>1499520.8</v>
      </c>
      <c r="P51" s="575">
        <v>1199616.64</v>
      </c>
      <c r="Q51" s="575">
        <v>1199616.64</v>
      </c>
      <c r="R51" s="574">
        <v>46059</v>
      </c>
      <c r="S51" s="575">
        <v>599808.32</v>
      </c>
      <c r="T51" s="650">
        <v>46065</v>
      </c>
      <c r="U51" s="650">
        <v>46065</v>
      </c>
      <c r="V51" s="575">
        <v>299904.16</v>
      </c>
      <c r="W51" s="576"/>
      <c r="X51" s="658"/>
      <c r="Y51" s="655"/>
    </row>
    <row r="52" customFormat="1" ht="36" customHeight="1" spans="1:25">
      <c r="A52" s="467">
        <v>51</v>
      </c>
      <c r="B52" s="548">
        <v>2026</v>
      </c>
      <c r="C52" s="548" t="s">
        <v>79</v>
      </c>
      <c r="D52" s="663" t="s">
        <v>812</v>
      </c>
      <c r="E52" s="1253" t="s">
        <v>1175</v>
      </c>
      <c r="F52" s="642" t="s">
        <v>1176</v>
      </c>
      <c r="G52" s="338" t="s">
        <v>1105</v>
      </c>
      <c r="H52" s="613">
        <v>0.5049</v>
      </c>
      <c r="I52" s="426">
        <v>3000000</v>
      </c>
      <c r="J52" s="574">
        <v>45456</v>
      </c>
      <c r="K52" s="574">
        <v>45821</v>
      </c>
      <c r="L52" s="651">
        <v>0.2525</v>
      </c>
      <c r="M52" s="574">
        <v>45891</v>
      </c>
      <c r="N52" s="575">
        <v>3023100</v>
      </c>
      <c r="O52" s="575">
        <v>3000000</v>
      </c>
      <c r="P52" s="575">
        <v>1514736.53</v>
      </c>
      <c r="Q52" s="575">
        <v>1526400</v>
      </c>
      <c r="R52" s="574">
        <v>46059</v>
      </c>
      <c r="S52" s="575">
        <v>757500</v>
      </c>
      <c r="T52" s="650">
        <v>46065</v>
      </c>
      <c r="U52" s="650">
        <v>46065</v>
      </c>
      <c r="V52" s="575">
        <v>378900</v>
      </c>
      <c r="W52" s="576"/>
      <c r="X52" s="658"/>
      <c r="Y52" s="656" t="s">
        <v>1177</v>
      </c>
    </row>
    <row r="53" customFormat="1" ht="36" customHeight="1" spans="1:25">
      <c r="A53" s="467">
        <v>52</v>
      </c>
      <c r="B53" s="548">
        <v>2026</v>
      </c>
      <c r="C53" s="548" t="s">
        <v>28</v>
      </c>
      <c r="D53" s="663" t="s">
        <v>833</v>
      </c>
      <c r="E53" s="424" t="s">
        <v>1178</v>
      </c>
      <c r="F53" s="642" t="s">
        <v>1179</v>
      </c>
      <c r="G53" s="338" t="s">
        <v>1105</v>
      </c>
      <c r="H53" s="613">
        <v>0.8</v>
      </c>
      <c r="I53" s="426">
        <v>240000</v>
      </c>
      <c r="J53" s="574">
        <v>45009</v>
      </c>
      <c r="K53" s="574">
        <v>45739</v>
      </c>
      <c r="L53" s="651">
        <v>0.4</v>
      </c>
      <c r="M53" s="574">
        <v>45903</v>
      </c>
      <c r="N53" s="575">
        <v>242822.54</v>
      </c>
      <c r="O53" s="575">
        <v>240000</v>
      </c>
      <c r="P53" s="575">
        <v>192000</v>
      </c>
      <c r="Q53" s="575">
        <v>194258.03</v>
      </c>
      <c r="R53" s="574">
        <v>46063</v>
      </c>
      <c r="S53" s="575">
        <v>96000</v>
      </c>
      <c r="T53" s="650">
        <v>46079</v>
      </c>
      <c r="U53" s="650">
        <v>46080</v>
      </c>
      <c r="V53" s="575">
        <v>48000</v>
      </c>
      <c r="W53" s="576"/>
      <c r="X53" s="658"/>
      <c r="Y53" s="655"/>
    </row>
    <row r="54" customFormat="1" ht="36" customHeight="1" spans="1:25">
      <c r="A54" s="467">
        <v>53</v>
      </c>
      <c r="B54" s="548">
        <v>2026</v>
      </c>
      <c r="C54" s="548" t="s">
        <v>28</v>
      </c>
      <c r="D54" s="663" t="s">
        <v>847</v>
      </c>
      <c r="E54" s="424" t="s">
        <v>1180</v>
      </c>
      <c r="F54" s="642" t="s">
        <v>1179</v>
      </c>
      <c r="G54" s="338" t="s">
        <v>1105</v>
      </c>
      <c r="H54" s="613">
        <v>0.8</v>
      </c>
      <c r="I54" s="426">
        <v>300000</v>
      </c>
      <c r="J54" s="574">
        <v>44994</v>
      </c>
      <c r="K54" s="574">
        <v>45724</v>
      </c>
      <c r="L54" s="651">
        <v>0.4</v>
      </c>
      <c r="M54" s="574">
        <v>45903</v>
      </c>
      <c r="N54" s="575">
        <v>302722.08</v>
      </c>
      <c r="O54" s="575">
        <v>299990</v>
      </c>
      <c r="P54" s="575">
        <v>239992</v>
      </c>
      <c r="Q54" s="575">
        <v>242177.66</v>
      </c>
      <c r="R54" s="574">
        <v>46065</v>
      </c>
      <c r="S54" s="575">
        <v>119996</v>
      </c>
      <c r="T54" s="650">
        <v>46079</v>
      </c>
      <c r="U54" s="650">
        <v>46080</v>
      </c>
      <c r="V54" s="575">
        <v>59998</v>
      </c>
      <c r="W54" s="576"/>
      <c r="X54" s="658"/>
      <c r="Y54" s="655"/>
    </row>
    <row r="55" customFormat="1" ht="36" customHeight="1" spans="1:25">
      <c r="A55" s="467">
        <v>54</v>
      </c>
      <c r="B55" s="548">
        <v>2026</v>
      </c>
      <c r="C55" s="548" t="s">
        <v>127</v>
      </c>
      <c r="D55" s="663" t="s">
        <v>725</v>
      </c>
      <c r="E55" s="1253" t="s">
        <v>1181</v>
      </c>
      <c r="F55" s="642" t="s">
        <v>1182</v>
      </c>
      <c r="G55" s="338" t="s">
        <v>1183</v>
      </c>
      <c r="H55" s="613">
        <v>0.8</v>
      </c>
      <c r="I55" s="426">
        <v>200000</v>
      </c>
      <c r="J55" s="574">
        <v>45107</v>
      </c>
      <c r="K55" s="574">
        <v>45837</v>
      </c>
      <c r="L55" s="651">
        <v>0.2</v>
      </c>
      <c r="M55" s="574">
        <v>45916</v>
      </c>
      <c r="N55" s="575">
        <v>202929.21</v>
      </c>
      <c r="O55" s="575">
        <v>199568.58</v>
      </c>
      <c r="P55" s="575">
        <v>159654.86</v>
      </c>
      <c r="Q55" s="575">
        <v>159654.86</v>
      </c>
      <c r="R55" s="574">
        <v>46077</v>
      </c>
      <c r="S55" s="575">
        <v>39913.72</v>
      </c>
      <c r="T55" s="650">
        <v>46079</v>
      </c>
      <c r="U55" s="650"/>
      <c r="V55" s="575"/>
      <c r="W55" s="576"/>
      <c r="X55" s="658"/>
      <c r="Y55" s="655" t="s">
        <v>1077</v>
      </c>
    </row>
    <row r="56" customFormat="1" ht="36" customHeight="1" spans="1:25">
      <c r="A56" s="467">
        <v>55</v>
      </c>
      <c r="B56" s="548">
        <v>2026</v>
      </c>
      <c r="C56" s="548" t="s">
        <v>75</v>
      </c>
      <c r="D56" s="663" t="s">
        <v>827</v>
      </c>
      <c r="E56" s="1253" t="s">
        <v>1184</v>
      </c>
      <c r="F56" s="642" t="s">
        <v>1185</v>
      </c>
      <c r="G56" s="338" t="s">
        <v>1105</v>
      </c>
      <c r="H56" s="613">
        <v>0.8</v>
      </c>
      <c r="I56" s="426">
        <v>500000</v>
      </c>
      <c r="J56" s="574">
        <v>45393</v>
      </c>
      <c r="K56" s="574">
        <v>46487</v>
      </c>
      <c r="L56" s="651">
        <v>0.1703</v>
      </c>
      <c r="M56" s="574">
        <v>45917</v>
      </c>
      <c r="N56" s="575">
        <v>500000</v>
      </c>
      <c r="O56" s="575">
        <v>508739.57</v>
      </c>
      <c r="P56" s="575">
        <v>170256.76</v>
      </c>
      <c r="Q56" s="575">
        <v>173241.86</v>
      </c>
      <c r="R56" s="574">
        <v>46078</v>
      </c>
      <c r="S56" s="575">
        <v>85132.88</v>
      </c>
      <c r="T56" s="650">
        <v>46083</v>
      </c>
      <c r="U56" s="650">
        <v>46084</v>
      </c>
      <c r="V56" s="575">
        <v>42550</v>
      </c>
      <c r="W56" s="576"/>
      <c r="X56" s="658"/>
      <c r="Y56" s="656" t="s">
        <v>1177</v>
      </c>
    </row>
    <row r="57" customFormat="1" ht="36" customHeight="1" spans="1:25">
      <c r="A57" s="467">
        <v>56</v>
      </c>
      <c r="B57" s="548">
        <v>2026</v>
      </c>
      <c r="C57" s="548" t="s">
        <v>233</v>
      </c>
      <c r="D57" s="663" t="s">
        <v>807</v>
      </c>
      <c r="E57" s="1253" t="s">
        <v>1186</v>
      </c>
      <c r="F57" s="642" t="s">
        <v>1187</v>
      </c>
      <c r="G57" s="338" t="s">
        <v>1188</v>
      </c>
      <c r="H57" s="613">
        <v>1</v>
      </c>
      <c r="I57" s="426">
        <v>4500000</v>
      </c>
      <c r="J57" s="574">
        <v>44827</v>
      </c>
      <c r="K57" s="574">
        <v>45915</v>
      </c>
      <c r="L57" s="651">
        <v>0.4</v>
      </c>
      <c r="M57" s="574">
        <v>45917</v>
      </c>
      <c r="N57" s="575">
        <v>4773048.97</v>
      </c>
      <c r="O57" s="575">
        <v>4500000</v>
      </c>
      <c r="P57" s="575">
        <v>4500000</v>
      </c>
      <c r="Q57" s="575">
        <v>4773048.97</v>
      </c>
      <c r="R57" s="574">
        <v>46080</v>
      </c>
      <c r="S57" s="575">
        <v>1800000</v>
      </c>
      <c r="T57" s="650">
        <v>46083</v>
      </c>
      <c r="U57" s="650">
        <v>46087</v>
      </c>
      <c r="V57" s="575">
        <v>900000</v>
      </c>
      <c r="W57" s="576"/>
      <c r="X57" s="658"/>
      <c r="Y57" s="656"/>
    </row>
    <row r="58" customFormat="1" ht="36" customHeight="1" spans="1:25">
      <c r="A58" s="467">
        <v>57</v>
      </c>
      <c r="B58" s="548">
        <v>2026</v>
      </c>
      <c r="C58" s="548" t="s">
        <v>79</v>
      </c>
      <c r="D58" s="663" t="s">
        <v>768</v>
      </c>
      <c r="E58" s="424" t="s">
        <v>1189</v>
      </c>
      <c r="F58" s="642" t="s">
        <v>1190</v>
      </c>
      <c r="G58" s="338" t="s">
        <v>1105</v>
      </c>
      <c r="H58" s="613">
        <v>0.8</v>
      </c>
      <c r="I58" s="426">
        <v>479000</v>
      </c>
      <c r="J58" s="574">
        <v>45544</v>
      </c>
      <c r="K58" s="574">
        <v>45544</v>
      </c>
      <c r="L58" s="651">
        <v>0.4</v>
      </c>
      <c r="M58" s="574">
        <v>45930</v>
      </c>
      <c r="N58" s="575">
        <v>483098.86</v>
      </c>
      <c r="O58" s="575">
        <v>479000</v>
      </c>
      <c r="P58" s="575">
        <v>383200</v>
      </c>
      <c r="Q58" s="575">
        <v>386479.09</v>
      </c>
      <c r="R58" s="574">
        <v>46079</v>
      </c>
      <c r="S58" s="575">
        <v>191600</v>
      </c>
      <c r="T58" s="650">
        <v>46083</v>
      </c>
      <c r="U58" s="650">
        <v>46084</v>
      </c>
      <c r="V58" s="575">
        <v>95800</v>
      </c>
      <c r="W58" s="576"/>
      <c r="X58" s="658"/>
      <c r="Y58" s="655"/>
    </row>
    <row r="59" customFormat="1" ht="36" customHeight="1" spans="1:25">
      <c r="A59" s="467">
        <v>58</v>
      </c>
      <c r="B59" s="548">
        <v>2026</v>
      </c>
      <c r="C59" s="548" t="s">
        <v>15</v>
      </c>
      <c r="D59" s="663" t="s">
        <v>914</v>
      </c>
      <c r="E59" s="424" t="s">
        <v>1191</v>
      </c>
      <c r="F59" s="642" t="s">
        <v>1192</v>
      </c>
      <c r="G59" s="338" t="s">
        <v>1105</v>
      </c>
      <c r="H59" s="613">
        <v>0.8</v>
      </c>
      <c r="I59" s="426">
        <v>1280000</v>
      </c>
      <c r="J59" s="574">
        <v>45483</v>
      </c>
      <c r="K59" s="574">
        <v>45847</v>
      </c>
      <c r="L59" s="651">
        <v>0.4</v>
      </c>
      <c r="M59" s="574">
        <v>45930</v>
      </c>
      <c r="N59" s="575">
        <v>1270515.21</v>
      </c>
      <c r="O59" s="575">
        <v>1267815.21</v>
      </c>
      <c r="P59" s="575">
        <v>1014252.17</v>
      </c>
      <c r="Q59" s="575">
        <v>1016412.17</v>
      </c>
      <c r="R59" s="574">
        <v>46080</v>
      </c>
      <c r="S59" s="575">
        <v>507126.08</v>
      </c>
      <c r="T59" s="650">
        <v>46086</v>
      </c>
      <c r="U59" s="659">
        <v>46087</v>
      </c>
      <c r="V59" s="575">
        <v>253563.04</v>
      </c>
      <c r="W59" s="576"/>
      <c r="X59" s="658"/>
      <c r="Y59" s="655"/>
    </row>
    <row r="60" customFormat="1" ht="36" customHeight="1" spans="1:25">
      <c r="A60" s="467">
        <v>59</v>
      </c>
      <c r="B60" s="548">
        <v>2026</v>
      </c>
      <c r="C60" s="548" t="s">
        <v>15</v>
      </c>
      <c r="D60" s="663" t="s">
        <v>780</v>
      </c>
      <c r="E60" s="424" t="s">
        <v>1193</v>
      </c>
      <c r="F60" s="642" t="s">
        <v>1194</v>
      </c>
      <c r="G60" s="338" t="s">
        <v>1105</v>
      </c>
      <c r="H60" s="613">
        <v>0.8</v>
      </c>
      <c r="I60" s="426">
        <v>800000</v>
      </c>
      <c r="J60" s="574">
        <v>45481</v>
      </c>
      <c r="K60" s="574">
        <v>45845</v>
      </c>
      <c r="L60" s="651">
        <v>0.4</v>
      </c>
      <c r="M60" s="574">
        <v>45929</v>
      </c>
      <c r="N60" s="575">
        <v>789663.89</v>
      </c>
      <c r="O60" s="575">
        <v>788830.56</v>
      </c>
      <c r="P60" s="575">
        <v>631064.45</v>
      </c>
      <c r="Q60" s="575">
        <v>631731.11</v>
      </c>
      <c r="R60" s="574">
        <v>46083</v>
      </c>
      <c r="S60" s="575">
        <v>315532.22</v>
      </c>
      <c r="T60" s="650">
        <v>46091</v>
      </c>
      <c r="U60" s="650">
        <v>46093</v>
      </c>
      <c r="V60" s="575">
        <v>157766.11</v>
      </c>
      <c r="W60" s="576"/>
      <c r="X60" s="658"/>
      <c r="Y60" s="655"/>
    </row>
    <row r="61" customFormat="1" ht="36" customHeight="1" spans="1:25">
      <c r="A61" s="467">
        <v>60</v>
      </c>
      <c r="B61" s="548">
        <v>2026</v>
      </c>
      <c r="C61" s="548" t="s">
        <v>15</v>
      </c>
      <c r="D61" s="663" t="s">
        <v>906</v>
      </c>
      <c r="E61" s="424" t="s">
        <v>1195</v>
      </c>
      <c r="F61" s="642" t="s">
        <v>1174</v>
      </c>
      <c r="G61" s="338" t="s">
        <v>1105</v>
      </c>
      <c r="H61" s="613">
        <v>0.8</v>
      </c>
      <c r="I61" s="426">
        <v>400000</v>
      </c>
      <c r="J61" s="574">
        <v>45476</v>
      </c>
      <c r="K61" s="574">
        <v>45840</v>
      </c>
      <c r="L61" s="651">
        <v>0.4</v>
      </c>
      <c r="M61" s="574">
        <v>45929</v>
      </c>
      <c r="N61" s="575">
        <v>411778.64</v>
      </c>
      <c r="O61" s="575">
        <v>400000</v>
      </c>
      <c r="P61" s="575">
        <v>320000</v>
      </c>
      <c r="Q61" s="575">
        <v>329422.91</v>
      </c>
      <c r="R61" s="574">
        <v>265228</v>
      </c>
      <c r="S61" s="575">
        <v>160000</v>
      </c>
      <c r="T61" s="650">
        <v>46091</v>
      </c>
      <c r="U61" s="650">
        <v>46093</v>
      </c>
      <c r="V61" s="575">
        <v>80000</v>
      </c>
      <c r="W61" s="576"/>
      <c r="X61" s="658"/>
      <c r="Y61" s="655"/>
    </row>
    <row r="62" customFormat="1" ht="36" customHeight="1" spans="1:25">
      <c r="A62" s="467">
        <v>61</v>
      </c>
      <c r="B62" s="548">
        <v>2026</v>
      </c>
      <c r="C62" s="548" t="s">
        <v>79</v>
      </c>
      <c r="D62" s="663" t="s">
        <v>776</v>
      </c>
      <c r="E62" s="1253" t="s">
        <v>1196</v>
      </c>
      <c r="F62" s="642" t="s">
        <v>1197</v>
      </c>
      <c r="G62" s="338" t="s">
        <v>1105</v>
      </c>
      <c r="H62" s="613">
        <v>0.8</v>
      </c>
      <c r="I62" s="426">
        <v>190000</v>
      </c>
      <c r="J62" s="574">
        <v>45467</v>
      </c>
      <c r="K62" s="574">
        <v>45831</v>
      </c>
      <c r="L62" s="651">
        <v>0.4</v>
      </c>
      <c r="M62" s="574">
        <v>45919</v>
      </c>
      <c r="N62" s="575">
        <v>189902.39</v>
      </c>
      <c r="O62" s="575">
        <v>189902.39</v>
      </c>
      <c r="P62" s="575">
        <v>151921.91</v>
      </c>
      <c r="Q62" s="575">
        <v>151921.91</v>
      </c>
      <c r="R62" s="574">
        <v>46083</v>
      </c>
      <c r="S62" s="575">
        <v>75960.96</v>
      </c>
      <c r="T62" s="650">
        <v>46087</v>
      </c>
      <c r="U62" s="650">
        <v>46093</v>
      </c>
      <c r="V62" s="575">
        <v>37980.48</v>
      </c>
      <c r="W62" s="576"/>
      <c r="X62" s="658"/>
      <c r="Y62" s="655"/>
    </row>
    <row r="63" customFormat="1" ht="36" customHeight="1" spans="1:25">
      <c r="A63" s="467">
        <v>62</v>
      </c>
      <c r="B63" s="548">
        <v>2026</v>
      </c>
      <c r="C63" s="548" t="s">
        <v>37</v>
      </c>
      <c r="D63" s="663" t="s">
        <v>892</v>
      </c>
      <c r="E63" s="1253" t="s">
        <v>1198</v>
      </c>
      <c r="F63" s="642" t="s">
        <v>1095</v>
      </c>
      <c r="G63" s="338" t="s">
        <v>1199</v>
      </c>
      <c r="H63" s="613">
        <v>0.8</v>
      </c>
      <c r="I63" s="426">
        <v>1000000</v>
      </c>
      <c r="J63" s="574">
        <v>45180</v>
      </c>
      <c r="K63" s="574">
        <v>45907</v>
      </c>
      <c r="L63" s="651">
        <v>0.2</v>
      </c>
      <c r="M63" s="574">
        <v>45919</v>
      </c>
      <c r="N63" s="575" t="s">
        <v>1200</v>
      </c>
      <c r="O63" s="575" t="s">
        <v>1200</v>
      </c>
      <c r="P63" s="575">
        <v>190476.16</v>
      </c>
      <c r="Q63" s="575">
        <v>190476.16</v>
      </c>
      <c r="R63" s="574">
        <v>46084</v>
      </c>
      <c r="S63" s="575">
        <v>47619.04</v>
      </c>
      <c r="T63" s="650">
        <v>46087</v>
      </c>
      <c r="U63" s="650"/>
      <c r="V63" s="575"/>
      <c r="W63" s="576"/>
      <c r="X63" s="658"/>
      <c r="Y63" s="655" t="s">
        <v>1077</v>
      </c>
    </row>
    <row r="64" customFormat="1" ht="36" customHeight="1" spans="1:25">
      <c r="A64" s="467">
        <v>63</v>
      </c>
      <c r="B64" s="548">
        <v>2026</v>
      </c>
      <c r="C64" s="548" t="s">
        <v>25</v>
      </c>
      <c r="D64" s="663" t="s">
        <v>917</v>
      </c>
      <c r="E64" s="424" t="s">
        <v>1201</v>
      </c>
      <c r="F64" s="642" t="s">
        <v>1202</v>
      </c>
      <c r="G64" s="338" t="s">
        <v>1085</v>
      </c>
      <c r="H64" s="613">
        <v>0.8</v>
      </c>
      <c r="I64" s="426">
        <v>200000</v>
      </c>
      <c r="J64" s="574">
        <v>45033</v>
      </c>
      <c r="K64" s="574">
        <v>46128</v>
      </c>
      <c r="L64" s="651">
        <v>0.4</v>
      </c>
      <c r="M64" s="574">
        <v>45930</v>
      </c>
      <c r="N64" s="575">
        <v>191854.12</v>
      </c>
      <c r="O64" s="575">
        <v>190000</v>
      </c>
      <c r="P64" s="575">
        <v>152000</v>
      </c>
      <c r="Q64" s="575">
        <v>153483.3</v>
      </c>
      <c r="R64" s="574">
        <v>46097</v>
      </c>
      <c r="S64" s="575">
        <v>76000</v>
      </c>
      <c r="T64" s="650">
        <v>46104</v>
      </c>
      <c r="U64" s="650">
        <v>46106</v>
      </c>
      <c r="V64" s="575">
        <v>38000</v>
      </c>
      <c r="W64" s="576"/>
      <c r="X64" s="658"/>
      <c r="Y64" s="655"/>
    </row>
    <row r="65" customFormat="1" ht="36" customHeight="1" spans="1:25">
      <c r="A65" s="467">
        <v>64</v>
      </c>
      <c r="B65" s="548">
        <v>2026</v>
      </c>
      <c r="C65" s="548" t="s">
        <v>25</v>
      </c>
      <c r="D65" s="663" t="s">
        <v>918</v>
      </c>
      <c r="E65" s="424" t="s">
        <v>1203</v>
      </c>
      <c r="F65" s="642" t="s">
        <v>1204</v>
      </c>
      <c r="G65" s="338" t="s">
        <v>1085</v>
      </c>
      <c r="H65" s="613">
        <v>0.8</v>
      </c>
      <c r="I65" s="426">
        <v>300000</v>
      </c>
      <c r="J65" s="574">
        <v>45071</v>
      </c>
      <c r="K65" s="574">
        <v>46166</v>
      </c>
      <c r="L65" s="651">
        <v>0.4</v>
      </c>
      <c r="M65" s="574">
        <v>45930</v>
      </c>
      <c r="N65" s="575">
        <v>306108.75</v>
      </c>
      <c r="O65" s="575">
        <v>300000</v>
      </c>
      <c r="P65" s="575">
        <v>240000</v>
      </c>
      <c r="Q65" s="575">
        <v>244887</v>
      </c>
      <c r="R65" s="574">
        <v>46097</v>
      </c>
      <c r="S65" s="575">
        <v>120000</v>
      </c>
      <c r="T65" s="650">
        <v>46104</v>
      </c>
      <c r="U65" s="650">
        <v>46106</v>
      </c>
      <c r="V65" s="575">
        <v>60000</v>
      </c>
      <c r="W65" s="576"/>
      <c r="X65" s="658"/>
      <c r="Y65" s="655"/>
    </row>
    <row r="66" customFormat="1" ht="36" customHeight="1" spans="1:25">
      <c r="A66" s="467">
        <v>65</v>
      </c>
      <c r="B66" s="548">
        <v>2026</v>
      </c>
      <c r="C66" s="548" t="s">
        <v>28</v>
      </c>
      <c r="D66" s="663" t="s">
        <v>1205</v>
      </c>
      <c r="E66" s="424" t="s">
        <v>1206</v>
      </c>
      <c r="F66" s="642" t="s">
        <v>1129</v>
      </c>
      <c r="G66" s="338" t="s">
        <v>1125</v>
      </c>
      <c r="H66" s="613">
        <v>0.8</v>
      </c>
      <c r="I66" s="426">
        <v>280000</v>
      </c>
      <c r="J66" s="574">
        <v>44677</v>
      </c>
      <c r="K66" s="574">
        <v>45772</v>
      </c>
      <c r="L66" s="651">
        <v>0.4</v>
      </c>
      <c r="M66" s="574">
        <v>45940</v>
      </c>
      <c r="N66" s="575">
        <v>280394.21</v>
      </c>
      <c r="O66" s="575">
        <v>280000</v>
      </c>
      <c r="P66" s="575">
        <v>224000</v>
      </c>
      <c r="Q66" s="575">
        <v>224315.36</v>
      </c>
      <c r="R66" s="574">
        <v>46091</v>
      </c>
      <c r="S66" s="575">
        <v>112000</v>
      </c>
      <c r="T66" s="650">
        <v>46098</v>
      </c>
      <c r="U66" s="650"/>
      <c r="V66" s="575"/>
      <c r="W66" s="576"/>
      <c r="X66" s="658"/>
      <c r="Y66" s="655" t="s">
        <v>1077</v>
      </c>
    </row>
    <row r="67" customFormat="1" ht="36" customHeight="1" spans="1:25">
      <c r="A67" s="467">
        <v>66</v>
      </c>
      <c r="B67" s="548">
        <v>2026</v>
      </c>
      <c r="C67" s="548" t="s">
        <v>15</v>
      </c>
      <c r="D67" s="663" t="s">
        <v>857</v>
      </c>
      <c r="E67" s="424" t="s">
        <v>1207</v>
      </c>
      <c r="F67" s="642" t="s">
        <v>1208</v>
      </c>
      <c r="G67" s="338" t="s">
        <v>1105</v>
      </c>
      <c r="H67" s="613">
        <v>0.8</v>
      </c>
      <c r="I67" s="426">
        <v>1914000</v>
      </c>
      <c r="J67" s="574">
        <v>45468</v>
      </c>
      <c r="K67" s="574">
        <v>45833</v>
      </c>
      <c r="L67" s="651">
        <v>0.4</v>
      </c>
      <c r="M67" s="574">
        <v>45922</v>
      </c>
      <c r="N67" s="575">
        <v>1920959.51</v>
      </c>
      <c r="O67" s="575">
        <v>1914000</v>
      </c>
      <c r="P67" s="575">
        <v>1531200</v>
      </c>
      <c r="Q67" s="575">
        <v>1536767.61</v>
      </c>
      <c r="R67" s="574">
        <v>46090</v>
      </c>
      <c r="S67" s="575">
        <v>765600</v>
      </c>
      <c r="T67" s="650">
        <v>46093</v>
      </c>
      <c r="U67" s="574">
        <v>46094</v>
      </c>
      <c r="V67" s="575">
        <v>382800</v>
      </c>
      <c r="W67" s="576"/>
      <c r="X67" s="658"/>
      <c r="Y67" s="655"/>
    </row>
    <row r="68" customFormat="1" ht="36" customHeight="1" spans="1:25">
      <c r="A68" s="467">
        <v>67</v>
      </c>
      <c r="B68" s="548">
        <v>2026</v>
      </c>
      <c r="C68" s="548" t="s">
        <v>31</v>
      </c>
      <c r="D68" s="663" t="s">
        <v>1209</v>
      </c>
      <c r="E68" s="424" t="s">
        <v>1210</v>
      </c>
      <c r="F68" s="642" t="s">
        <v>1211</v>
      </c>
      <c r="G68" s="338" t="s">
        <v>1212</v>
      </c>
      <c r="H68" s="613">
        <v>0.8</v>
      </c>
      <c r="I68" s="426">
        <v>300000</v>
      </c>
      <c r="J68" s="574">
        <v>45183</v>
      </c>
      <c r="K68" s="574">
        <v>45914</v>
      </c>
      <c r="L68" s="651">
        <v>0.2</v>
      </c>
      <c r="M68" s="574">
        <v>45945</v>
      </c>
      <c r="N68" s="575">
        <v>304550.92</v>
      </c>
      <c r="O68" s="575">
        <v>299500</v>
      </c>
      <c r="P68" s="575">
        <v>239600</v>
      </c>
      <c r="Q68" s="575">
        <v>243640.74</v>
      </c>
      <c r="R68" s="574">
        <v>46093</v>
      </c>
      <c r="S68" s="575">
        <v>60910.18</v>
      </c>
      <c r="T68" s="650">
        <v>46098</v>
      </c>
      <c r="U68" s="650"/>
      <c r="V68" s="575"/>
      <c r="W68" s="576"/>
      <c r="X68" s="658"/>
      <c r="Y68" s="655" t="s">
        <v>1077</v>
      </c>
    </row>
    <row r="69" customFormat="1" ht="36" customHeight="1" spans="1:25">
      <c r="A69" s="467">
        <v>69</v>
      </c>
      <c r="B69" s="548">
        <v>2026</v>
      </c>
      <c r="C69" s="548" t="s">
        <v>15</v>
      </c>
      <c r="D69" s="663" t="s">
        <v>858</v>
      </c>
      <c r="E69" s="424" t="s">
        <v>1213</v>
      </c>
      <c r="F69" s="642" t="s">
        <v>1214</v>
      </c>
      <c r="G69" s="338" t="s">
        <v>1105</v>
      </c>
      <c r="H69" s="613">
        <v>0.8</v>
      </c>
      <c r="I69" s="426">
        <v>1000000</v>
      </c>
      <c r="J69" s="881">
        <v>45470</v>
      </c>
      <c r="K69" s="881">
        <v>45835</v>
      </c>
      <c r="L69" s="651">
        <v>0.4</v>
      </c>
      <c r="M69" s="574">
        <v>45928</v>
      </c>
      <c r="N69" s="575">
        <v>1000748.61</v>
      </c>
      <c r="O69" s="575">
        <v>1000000</v>
      </c>
      <c r="P69" s="575">
        <v>800000</v>
      </c>
      <c r="Q69" s="575">
        <v>800598.89</v>
      </c>
      <c r="R69" s="574">
        <v>46090</v>
      </c>
      <c r="S69" s="575">
        <v>400000</v>
      </c>
      <c r="T69" s="574">
        <v>46092</v>
      </c>
      <c r="U69" s="574">
        <v>46094</v>
      </c>
      <c r="V69" s="575">
        <v>200000</v>
      </c>
      <c r="W69" s="576"/>
      <c r="X69" s="658"/>
      <c r="Y69" s="655"/>
    </row>
    <row r="70" customFormat="1" ht="36" customHeight="1" spans="1:25">
      <c r="A70" s="467">
        <v>70</v>
      </c>
      <c r="B70" s="548">
        <v>2026</v>
      </c>
      <c r="C70" s="548" t="s">
        <v>25</v>
      </c>
      <c r="D70" s="663" t="s">
        <v>869</v>
      </c>
      <c r="E70" s="424" t="s">
        <v>1215</v>
      </c>
      <c r="F70" s="642" t="s">
        <v>1216</v>
      </c>
      <c r="G70" s="338" t="s">
        <v>1085</v>
      </c>
      <c r="H70" s="613">
        <v>0.8</v>
      </c>
      <c r="I70" s="426">
        <v>300000</v>
      </c>
      <c r="J70" s="574">
        <v>44977</v>
      </c>
      <c r="K70" s="574">
        <v>46072</v>
      </c>
      <c r="L70" s="651">
        <v>0.2</v>
      </c>
      <c r="M70" s="574">
        <v>45838</v>
      </c>
      <c r="N70" s="575">
        <v>301747.88</v>
      </c>
      <c r="O70" s="575">
        <v>300000</v>
      </c>
      <c r="P70" s="575">
        <v>2400000</v>
      </c>
      <c r="Q70" s="575">
        <v>241398.3</v>
      </c>
      <c r="R70" s="574">
        <v>46105</v>
      </c>
      <c r="S70" s="575">
        <v>60000</v>
      </c>
      <c r="T70" s="650">
        <v>46112</v>
      </c>
      <c r="U70" s="650"/>
      <c r="V70" s="575"/>
      <c r="W70" s="576"/>
      <c r="X70" s="658"/>
      <c r="Y70" s="655" t="s">
        <v>1217</v>
      </c>
    </row>
    <row r="71" customFormat="1" ht="36" customHeight="1" spans="1:25">
      <c r="A71" s="467">
        <v>71</v>
      </c>
      <c r="B71" s="548">
        <v>2026</v>
      </c>
      <c r="C71" s="548" t="s">
        <v>79</v>
      </c>
      <c r="D71" s="663" t="s">
        <v>813</v>
      </c>
      <c r="E71" s="1253" t="s">
        <v>1218</v>
      </c>
      <c r="F71" s="642" t="s">
        <v>1219</v>
      </c>
      <c r="G71" s="338" t="s">
        <v>1105</v>
      </c>
      <c r="H71" s="613">
        <v>0.8</v>
      </c>
      <c r="I71" s="426">
        <v>3500000</v>
      </c>
      <c r="J71" s="881">
        <v>45471</v>
      </c>
      <c r="K71" s="881">
        <v>45836</v>
      </c>
      <c r="L71" s="651">
        <v>0.073</v>
      </c>
      <c r="M71" s="574">
        <v>45919</v>
      </c>
      <c r="N71" s="575">
        <v>3401138.97</v>
      </c>
      <c r="O71" s="575">
        <v>3401138.97</v>
      </c>
      <c r="P71" s="575">
        <v>496800</v>
      </c>
      <c r="Q71" s="575">
        <v>496800</v>
      </c>
      <c r="R71" s="574">
        <v>46090</v>
      </c>
      <c r="S71" s="575">
        <v>248283.14</v>
      </c>
      <c r="T71" s="650">
        <v>46093</v>
      </c>
      <c r="U71" s="650">
        <v>46097</v>
      </c>
      <c r="V71" s="575">
        <v>124141.57</v>
      </c>
      <c r="W71" s="576"/>
      <c r="X71" s="658"/>
      <c r="Y71" s="656" t="s">
        <v>1177</v>
      </c>
    </row>
    <row r="72" customFormat="1" ht="36" customHeight="1" spans="1:25">
      <c r="A72" s="467">
        <v>72</v>
      </c>
      <c r="B72" s="548">
        <v>2026</v>
      </c>
      <c r="C72" s="548" t="s">
        <v>79</v>
      </c>
      <c r="D72" s="663" t="s">
        <v>760</v>
      </c>
      <c r="E72" s="1253" t="s">
        <v>1220</v>
      </c>
      <c r="F72" s="642" t="s">
        <v>1095</v>
      </c>
      <c r="G72" s="338" t="s">
        <v>1105</v>
      </c>
      <c r="H72" s="613">
        <v>0.8</v>
      </c>
      <c r="I72" s="426">
        <v>1500000</v>
      </c>
      <c r="J72" s="881">
        <v>45616</v>
      </c>
      <c r="K72" s="881">
        <v>46346</v>
      </c>
      <c r="L72" s="651">
        <v>0.4</v>
      </c>
      <c r="M72" s="574">
        <v>45919</v>
      </c>
      <c r="N72" s="575">
        <v>1328571.41</v>
      </c>
      <c r="O72" s="575">
        <v>1328571.41</v>
      </c>
      <c r="P72" s="575">
        <v>1062857.13</v>
      </c>
      <c r="Q72" s="575">
        <v>1062857.13</v>
      </c>
      <c r="R72" s="574">
        <v>46090</v>
      </c>
      <c r="S72" s="575">
        <v>531428.56</v>
      </c>
      <c r="T72" s="650">
        <v>46092</v>
      </c>
      <c r="U72" s="650">
        <v>46097</v>
      </c>
      <c r="V72" s="575">
        <v>265714.28</v>
      </c>
      <c r="W72" s="576"/>
      <c r="X72" s="658"/>
      <c r="Y72" s="655"/>
    </row>
    <row r="73" customFormat="1" ht="36" customHeight="1" spans="1:25">
      <c r="A73" s="467">
        <v>73</v>
      </c>
      <c r="B73" s="548">
        <v>2026</v>
      </c>
      <c r="C73" s="548" t="s">
        <v>79</v>
      </c>
      <c r="D73" s="663" t="s">
        <v>1221</v>
      </c>
      <c r="E73" s="1253" t="s">
        <v>1222</v>
      </c>
      <c r="F73" s="642" t="s">
        <v>1095</v>
      </c>
      <c r="G73" s="338" t="s">
        <v>1105</v>
      </c>
      <c r="H73" s="613">
        <v>0.8</v>
      </c>
      <c r="I73" s="426">
        <v>120000</v>
      </c>
      <c r="J73" s="881">
        <v>45620</v>
      </c>
      <c r="K73" s="881">
        <v>46350</v>
      </c>
      <c r="L73" s="651">
        <v>0.4</v>
      </c>
      <c r="M73" s="574">
        <v>45919</v>
      </c>
      <c r="N73" s="575">
        <v>87000.02</v>
      </c>
      <c r="O73" s="575">
        <v>87000.02</v>
      </c>
      <c r="P73" s="575">
        <v>69600.02</v>
      </c>
      <c r="Q73" s="575">
        <v>69600.02</v>
      </c>
      <c r="R73" s="574">
        <v>46091</v>
      </c>
      <c r="S73" s="575">
        <v>34800.01</v>
      </c>
      <c r="T73" s="650">
        <v>46098</v>
      </c>
      <c r="U73" s="650">
        <v>46098</v>
      </c>
      <c r="V73" s="575">
        <v>17400</v>
      </c>
      <c r="W73" s="576"/>
      <c r="X73" s="658"/>
      <c r="Y73" s="655"/>
    </row>
    <row r="74" customFormat="1" ht="36" customHeight="1" spans="1:25">
      <c r="A74" s="467">
        <v>74</v>
      </c>
      <c r="B74" s="548">
        <v>2026</v>
      </c>
      <c r="C74" s="548" t="s">
        <v>79</v>
      </c>
      <c r="D74" s="663" t="s">
        <v>1223</v>
      </c>
      <c r="E74" s="1253" t="s">
        <v>1224</v>
      </c>
      <c r="F74" s="642" t="s">
        <v>1095</v>
      </c>
      <c r="G74" s="338" t="s">
        <v>1105</v>
      </c>
      <c r="H74" s="613">
        <v>0.8</v>
      </c>
      <c r="I74" s="426">
        <v>160000</v>
      </c>
      <c r="J74" s="881">
        <v>45653</v>
      </c>
      <c r="K74" s="881">
        <v>46391</v>
      </c>
      <c r="L74" s="651">
        <v>0.4</v>
      </c>
      <c r="M74" s="574">
        <v>45919</v>
      </c>
      <c r="N74" s="575">
        <v>152380.95</v>
      </c>
      <c r="O74" s="575">
        <v>152380.95</v>
      </c>
      <c r="P74" s="575">
        <v>121904.76</v>
      </c>
      <c r="Q74" s="575">
        <v>121904.76</v>
      </c>
      <c r="R74" s="574">
        <v>46091</v>
      </c>
      <c r="S74" s="575">
        <v>60952.38</v>
      </c>
      <c r="T74" s="650">
        <v>46098</v>
      </c>
      <c r="U74" s="650">
        <v>46098</v>
      </c>
      <c r="V74" s="575">
        <v>30476.19</v>
      </c>
      <c r="W74" s="576"/>
      <c r="X74" s="658"/>
      <c r="Y74" s="655"/>
    </row>
    <row r="75" customFormat="1" ht="36" customHeight="1" spans="1:25">
      <c r="A75" s="467">
        <v>75</v>
      </c>
      <c r="B75" s="548">
        <v>2026</v>
      </c>
      <c r="C75" s="548" t="s">
        <v>79</v>
      </c>
      <c r="D75" s="663" t="s">
        <v>1225</v>
      </c>
      <c r="E75" s="1253" t="s">
        <v>1226</v>
      </c>
      <c r="F75" s="642" t="s">
        <v>1095</v>
      </c>
      <c r="G75" s="338" t="s">
        <v>1105</v>
      </c>
      <c r="H75" s="613">
        <v>0.8</v>
      </c>
      <c r="I75" s="426">
        <v>450000</v>
      </c>
      <c r="J75" s="881">
        <v>45454</v>
      </c>
      <c r="K75" s="881">
        <v>46184</v>
      </c>
      <c r="L75" s="651">
        <v>0.4</v>
      </c>
      <c r="M75" s="574">
        <v>45919</v>
      </c>
      <c r="N75" s="575">
        <v>275476.24</v>
      </c>
      <c r="O75" s="575">
        <v>275476.24</v>
      </c>
      <c r="P75" s="575">
        <v>220381</v>
      </c>
      <c r="Q75" s="575">
        <v>220381</v>
      </c>
      <c r="R75" s="574">
        <v>46091</v>
      </c>
      <c r="S75" s="575">
        <v>110190.5</v>
      </c>
      <c r="T75" s="650">
        <v>46098</v>
      </c>
      <c r="U75" s="650">
        <v>46098</v>
      </c>
      <c r="V75" s="575">
        <v>55095.25</v>
      </c>
      <c r="W75" s="576"/>
      <c r="X75" s="658"/>
      <c r="Y75" s="655"/>
    </row>
    <row r="76" customFormat="1" ht="36" customHeight="1" spans="1:25">
      <c r="A76" s="467">
        <v>76</v>
      </c>
      <c r="B76" s="548">
        <v>2026</v>
      </c>
      <c r="C76" s="548" t="s">
        <v>79</v>
      </c>
      <c r="D76" s="663" t="s">
        <v>1225</v>
      </c>
      <c r="E76" s="1253" t="s">
        <v>1227</v>
      </c>
      <c r="F76" s="642" t="s">
        <v>1095</v>
      </c>
      <c r="G76" s="338" t="s">
        <v>1105</v>
      </c>
      <c r="H76" s="613">
        <v>0.8</v>
      </c>
      <c r="I76" s="426">
        <v>100000</v>
      </c>
      <c r="J76" s="881">
        <v>45433</v>
      </c>
      <c r="K76" s="881">
        <v>46153</v>
      </c>
      <c r="L76" s="651">
        <v>0.4</v>
      </c>
      <c r="M76" s="574">
        <v>45919</v>
      </c>
      <c r="N76" s="575">
        <v>91428.55</v>
      </c>
      <c r="O76" s="575">
        <v>91428.55</v>
      </c>
      <c r="P76" s="575">
        <v>73142.84</v>
      </c>
      <c r="Q76" s="575">
        <v>73142.84</v>
      </c>
      <c r="R76" s="574">
        <v>46091</v>
      </c>
      <c r="S76" s="575">
        <v>36571.42</v>
      </c>
      <c r="T76" s="650">
        <v>46098</v>
      </c>
      <c r="U76" s="650">
        <v>46098</v>
      </c>
      <c r="V76" s="575">
        <v>18285.71</v>
      </c>
      <c r="W76" s="576"/>
      <c r="X76" s="658"/>
      <c r="Y76" s="655"/>
    </row>
    <row r="77" customFormat="1" ht="36" customHeight="1" spans="1:25">
      <c r="A77" s="467">
        <v>77</v>
      </c>
      <c r="B77" s="548">
        <v>2026</v>
      </c>
      <c r="C77" s="548" t="s">
        <v>79</v>
      </c>
      <c r="D77" s="663" t="s">
        <v>1225</v>
      </c>
      <c r="E77" s="1253" t="s">
        <v>1228</v>
      </c>
      <c r="F77" s="642" t="s">
        <v>1095</v>
      </c>
      <c r="G77" s="338" t="s">
        <v>1105</v>
      </c>
      <c r="H77" s="613">
        <v>0.8</v>
      </c>
      <c r="I77" s="426">
        <v>200000</v>
      </c>
      <c r="J77" s="881">
        <v>45407</v>
      </c>
      <c r="K77" s="881">
        <v>46123</v>
      </c>
      <c r="L77" s="651">
        <v>0.4</v>
      </c>
      <c r="M77" s="574">
        <v>45919</v>
      </c>
      <c r="N77" s="575">
        <v>104761.9</v>
      </c>
      <c r="O77" s="575">
        <v>104761.9</v>
      </c>
      <c r="P77" s="575">
        <v>83809.52</v>
      </c>
      <c r="Q77" s="575">
        <v>83809.52</v>
      </c>
      <c r="R77" s="574">
        <v>46091</v>
      </c>
      <c r="S77" s="575">
        <v>41904.76</v>
      </c>
      <c r="T77" s="650">
        <v>46098</v>
      </c>
      <c r="U77" s="650">
        <v>46098</v>
      </c>
      <c r="V77" s="575">
        <v>20952.38</v>
      </c>
      <c r="W77" s="576"/>
      <c r="X77" s="658"/>
      <c r="Y77" s="655"/>
    </row>
    <row r="78" customFormat="1" ht="36" customHeight="1" spans="1:25">
      <c r="A78" s="467">
        <v>78</v>
      </c>
      <c r="B78" s="548">
        <v>2026</v>
      </c>
      <c r="C78" s="548" t="s">
        <v>79</v>
      </c>
      <c r="D78" s="663" t="s">
        <v>1229</v>
      </c>
      <c r="E78" s="1253" t="s">
        <v>1230</v>
      </c>
      <c r="F78" s="642" t="s">
        <v>1095</v>
      </c>
      <c r="G78" s="338" t="s">
        <v>1105</v>
      </c>
      <c r="H78" s="613">
        <v>0.8</v>
      </c>
      <c r="I78" s="426">
        <v>800000</v>
      </c>
      <c r="J78" s="881">
        <v>45621</v>
      </c>
      <c r="K78" s="881">
        <v>46347</v>
      </c>
      <c r="L78" s="651">
        <v>0.4</v>
      </c>
      <c r="M78" s="574">
        <v>45919</v>
      </c>
      <c r="N78" s="575">
        <v>761904.76</v>
      </c>
      <c r="O78" s="575">
        <v>761904.76</v>
      </c>
      <c r="P78" s="575">
        <v>609523.81</v>
      </c>
      <c r="Q78" s="575">
        <v>609523.81</v>
      </c>
      <c r="R78" s="574">
        <v>46091</v>
      </c>
      <c r="S78" s="575">
        <v>304761.9</v>
      </c>
      <c r="T78" s="650">
        <v>46098</v>
      </c>
      <c r="U78" s="650">
        <v>46098</v>
      </c>
      <c r="V78" s="575">
        <v>152380.95</v>
      </c>
      <c r="W78" s="576"/>
      <c r="X78" s="658"/>
      <c r="Y78" s="655"/>
    </row>
    <row r="79" customFormat="1" ht="36" customHeight="1" spans="1:25">
      <c r="A79" s="467">
        <v>79</v>
      </c>
      <c r="B79" s="548">
        <v>2026</v>
      </c>
      <c r="C79" s="548" t="s">
        <v>79</v>
      </c>
      <c r="D79" s="663" t="s">
        <v>1231</v>
      </c>
      <c r="E79" s="1253" t="s">
        <v>1232</v>
      </c>
      <c r="F79" s="642" t="s">
        <v>1095</v>
      </c>
      <c r="G79" s="338" t="s">
        <v>1105</v>
      </c>
      <c r="H79" s="613">
        <v>0.8</v>
      </c>
      <c r="I79" s="426">
        <v>830000</v>
      </c>
      <c r="J79" s="881">
        <v>45607</v>
      </c>
      <c r="K79" s="881">
        <v>46351</v>
      </c>
      <c r="L79" s="651">
        <v>0.4</v>
      </c>
      <c r="M79" s="574">
        <v>45919</v>
      </c>
      <c r="N79" s="575">
        <v>750952.38</v>
      </c>
      <c r="O79" s="575">
        <v>750952.38</v>
      </c>
      <c r="P79" s="575">
        <v>600761.9</v>
      </c>
      <c r="Q79" s="575">
        <v>600761.9</v>
      </c>
      <c r="R79" s="574">
        <v>46091</v>
      </c>
      <c r="S79" s="575">
        <v>300380.95</v>
      </c>
      <c r="T79" s="650">
        <v>46098</v>
      </c>
      <c r="U79" s="650">
        <v>46098</v>
      </c>
      <c r="V79" s="575">
        <v>150190.48</v>
      </c>
      <c r="W79" s="576"/>
      <c r="X79" s="658"/>
      <c r="Y79" s="655"/>
    </row>
    <row r="80" customFormat="1" ht="36" customHeight="1" spans="1:25">
      <c r="A80" s="467">
        <v>80</v>
      </c>
      <c r="B80" s="548">
        <v>2026</v>
      </c>
      <c r="C80" s="548" t="s">
        <v>79</v>
      </c>
      <c r="D80" s="663" t="s">
        <v>1233</v>
      </c>
      <c r="E80" s="1253" t="s">
        <v>1234</v>
      </c>
      <c r="F80" s="642" t="s">
        <v>1095</v>
      </c>
      <c r="G80" s="338" t="s">
        <v>1105</v>
      </c>
      <c r="H80" s="613">
        <v>0.8</v>
      </c>
      <c r="I80" s="426">
        <v>280000</v>
      </c>
      <c r="J80" s="881">
        <v>45479</v>
      </c>
      <c r="K80" s="881">
        <v>46209</v>
      </c>
      <c r="L80" s="651">
        <v>0.4</v>
      </c>
      <c r="M80" s="574">
        <v>45919</v>
      </c>
      <c r="N80" s="575">
        <v>151666.74</v>
      </c>
      <c r="O80" s="575">
        <v>151666.74</v>
      </c>
      <c r="P80" s="575">
        <v>121333.4</v>
      </c>
      <c r="Q80" s="575">
        <v>121333.4</v>
      </c>
      <c r="R80" s="574">
        <v>46091</v>
      </c>
      <c r="S80" s="575">
        <v>60666.7</v>
      </c>
      <c r="T80" s="650">
        <v>46098</v>
      </c>
      <c r="U80" s="650">
        <v>46098</v>
      </c>
      <c r="V80" s="575">
        <v>30333.35</v>
      </c>
      <c r="W80" s="576"/>
      <c r="X80" s="658"/>
      <c r="Y80" s="655"/>
    </row>
    <row r="81" customFormat="1" ht="36" customHeight="1" spans="1:25">
      <c r="A81" s="467">
        <v>81</v>
      </c>
      <c r="B81" s="548">
        <v>2026</v>
      </c>
      <c r="C81" s="548" t="s">
        <v>79</v>
      </c>
      <c r="D81" s="663" t="s">
        <v>1235</v>
      </c>
      <c r="E81" s="1253" t="s">
        <v>1236</v>
      </c>
      <c r="F81" s="642" t="s">
        <v>1095</v>
      </c>
      <c r="G81" s="338" t="s">
        <v>1105</v>
      </c>
      <c r="H81" s="613">
        <v>0.8</v>
      </c>
      <c r="I81" s="426">
        <v>100000</v>
      </c>
      <c r="J81" s="881">
        <v>45525</v>
      </c>
      <c r="K81" s="881">
        <v>46266</v>
      </c>
      <c r="L81" s="651">
        <v>0.4</v>
      </c>
      <c r="M81" s="574">
        <v>45919</v>
      </c>
      <c r="N81" s="575">
        <v>80952.4</v>
      </c>
      <c r="O81" s="575">
        <v>80952.4</v>
      </c>
      <c r="P81" s="575">
        <v>64761.92</v>
      </c>
      <c r="Q81" s="575">
        <v>64761.92</v>
      </c>
      <c r="R81" s="574">
        <v>46091</v>
      </c>
      <c r="S81" s="575">
        <v>32380.96</v>
      </c>
      <c r="T81" s="650">
        <v>46098</v>
      </c>
      <c r="U81" s="650">
        <v>46098</v>
      </c>
      <c r="V81" s="575">
        <v>16190.48</v>
      </c>
      <c r="W81" s="576"/>
      <c r="X81" s="658"/>
      <c r="Y81" s="655"/>
    </row>
    <row r="82" customFormat="1" ht="36" customHeight="1" spans="1:25">
      <c r="A82" s="467">
        <v>82</v>
      </c>
      <c r="B82" s="548">
        <v>2026</v>
      </c>
      <c r="C82" s="548" t="s">
        <v>15</v>
      </c>
      <c r="D82" s="663" t="s">
        <v>922</v>
      </c>
      <c r="E82" s="424" t="s">
        <v>1237</v>
      </c>
      <c r="F82" s="642" t="s">
        <v>1174</v>
      </c>
      <c r="G82" s="338" t="s">
        <v>1105</v>
      </c>
      <c r="H82" s="613">
        <v>0.8</v>
      </c>
      <c r="I82" s="426">
        <v>800000</v>
      </c>
      <c r="J82" s="574">
        <v>45495</v>
      </c>
      <c r="K82" s="574">
        <v>45859</v>
      </c>
      <c r="L82" s="651">
        <v>0.4</v>
      </c>
      <c r="M82" s="574">
        <v>45946</v>
      </c>
      <c r="N82" s="654" t="s">
        <v>1238</v>
      </c>
      <c r="O82" s="575">
        <v>800000</v>
      </c>
      <c r="P82" s="575">
        <v>640000</v>
      </c>
      <c r="Q82" s="575">
        <v>649296.19</v>
      </c>
      <c r="R82" s="574">
        <v>46101</v>
      </c>
      <c r="S82" s="575">
        <v>320000</v>
      </c>
      <c r="T82" s="650">
        <v>46107</v>
      </c>
      <c r="U82" s="650"/>
      <c r="V82" s="575"/>
      <c r="W82" s="576"/>
      <c r="X82" s="658"/>
      <c r="Y82" s="655"/>
    </row>
    <row r="83" customFormat="1" ht="36" customHeight="1" spans="1:25">
      <c r="A83" s="467">
        <v>83</v>
      </c>
      <c r="B83" s="548">
        <v>2026</v>
      </c>
      <c r="C83" s="322" t="s">
        <v>15</v>
      </c>
      <c r="D83" s="578" t="s">
        <v>928</v>
      </c>
      <c r="E83" s="424" t="s">
        <v>1239</v>
      </c>
      <c r="F83" s="338" t="s">
        <v>1240</v>
      </c>
      <c r="G83" s="338" t="s">
        <v>1105</v>
      </c>
      <c r="H83" s="613">
        <v>0.8</v>
      </c>
      <c r="I83" s="426">
        <v>1000000</v>
      </c>
      <c r="J83" s="574">
        <v>45506</v>
      </c>
      <c r="K83" s="574">
        <v>45867</v>
      </c>
      <c r="L83" s="651">
        <v>0.4</v>
      </c>
      <c r="M83" s="574">
        <v>45952</v>
      </c>
      <c r="N83" s="426">
        <v>1001244.21</v>
      </c>
      <c r="O83" s="426">
        <v>1000000</v>
      </c>
      <c r="P83" s="426">
        <v>800000</v>
      </c>
      <c r="Q83" s="426">
        <v>800995.37</v>
      </c>
      <c r="R83" s="574">
        <v>46101</v>
      </c>
      <c r="S83" s="426">
        <v>400000</v>
      </c>
      <c r="T83" s="650">
        <v>46107</v>
      </c>
      <c r="U83" s="650"/>
      <c r="V83" s="426"/>
      <c r="W83" s="576"/>
      <c r="X83" s="658"/>
      <c r="Y83" s="655"/>
    </row>
    <row r="84" customFormat="1" ht="36" customHeight="1" spans="1:25">
      <c r="A84" s="467">
        <v>84</v>
      </c>
      <c r="B84" s="548">
        <v>2026</v>
      </c>
      <c r="C84" s="322" t="s">
        <v>15</v>
      </c>
      <c r="D84" s="578" t="s">
        <v>930</v>
      </c>
      <c r="E84" s="424" t="s">
        <v>1241</v>
      </c>
      <c r="F84" s="338" t="s">
        <v>1240</v>
      </c>
      <c r="G84" s="338" t="s">
        <v>1105</v>
      </c>
      <c r="H84" s="613">
        <v>0.8</v>
      </c>
      <c r="I84" s="426">
        <v>600000</v>
      </c>
      <c r="J84" s="574">
        <v>45650</v>
      </c>
      <c r="K84" s="574">
        <v>46014</v>
      </c>
      <c r="L84" s="651">
        <v>0.4</v>
      </c>
      <c r="M84" s="574">
        <v>45952</v>
      </c>
      <c r="N84" s="426">
        <v>608758.68</v>
      </c>
      <c r="O84" s="426">
        <v>600000</v>
      </c>
      <c r="P84" s="426">
        <v>480000</v>
      </c>
      <c r="Q84" s="426">
        <v>487006.94</v>
      </c>
      <c r="R84" s="574">
        <v>46105</v>
      </c>
      <c r="S84" s="426">
        <v>240000</v>
      </c>
      <c r="T84" s="650">
        <v>46112</v>
      </c>
      <c r="U84" s="650"/>
      <c r="V84" s="426"/>
      <c r="W84" s="576"/>
      <c r="X84" s="658"/>
      <c r="Y84" s="655"/>
    </row>
    <row r="85" customFormat="1" ht="36" customHeight="1" spans="1:25">
      <c r="A85" s="467">
        <v>85</v>
      </c>
      <c r="B85" s="548">
        <v>2026</v>
      </c>
      <c r="C85" s="322" t="s">
        <v>15</v>
      </c>
      <c r="D85" s="578" t="s">
        <v>933</v>
      </c>
      <c r="E85" s="424" t="s">
        <v>1242</v>
      </c>
      <c r="F85" s="338" t="s">
        <v>1194</v>
      </c>
      <c r="G85" s="338" t="s">
        <v>1105</v>
      </c>
      <c r="H85" s="613">
        <v>0.8</v>
      </c>
      <c r="I85" s="426">
        <v>700000</v>
      </c>
      <c r="J85" s="574">
        <v>45502</v>
      </c>
      <c r="K85" s="574">
        <v>45866</v>
      </c>
      <c r="L85" s="651">
        <v>0.4</v>
      </c>
      <c r="M85" s="574">
        <v>45954</v>
      </c>
      <c r="N85" s="426">
        <v>1920959.51</v>
      </c>
      <c r="O85" s="426">
        <v>1914000</v>
      </c>
      <c r="P85" s="426">
        <v>1531200</v>
      </c>
      <c r="Q85" s="426">
        <v>1536767.61</v>
      </c>
      <c r="R85" s="574">
        <v>46105</v>
      </c>
      <c r="S85" s="426">
        <v>278285.13</v>
      </c>
      <c r="T85" s="650">
        <v>46112</v>
      </c>
      <c r="U85" s="650"/>
      <c r="V85" s="426"/>
      <c r="W85" s="576"/>
      <c r="X85" s="658"/>
      <c r="Y85" s="655"/>
    </row>
    <row r="86" customFormat="1" ht="36" customHeight="1" spans="1:25">
      <c r="A86" s="467">
        <v>86</v>
      </c>
      <c r="B86" s="548">
        <v>2026</v>
      </c>
      <c r="C86" s="322" t="s">
        <v>15</v>
      </c>
      <c r="D86" s="578" t="s">
        <v>934</v>
      </c>
      <c r="E86" s="424" t="s">
        <v>1243</v>
      </c>
      <c r="F86" s="338" t="s">
        <v>1192</v>
      </c>
      <c r="G86" s="338" t="s">
        <v>1105</v>
      </c>
      <c r="H86" s="613">
        <v>0.8</v>
      </c>
      <c r="I86" s="426">
        <v>480000</v>
      </c>
      <c r="J86" s="574">
        <v>45502</v>
      </c>
      <c r="K86" s="574">
        <v>45866</v>
      </c>
      <c r="L86" s="651">
        <v>0.4</v>
      </c>
      <c r="M86" s="574">
        <v>45954</v>
      </c>
      <c r="N86" s="426">
        <v>479819.74</v>
      </c>
      <c r="O86" s="426">
        <v>479353.11</v>
      </c>
      <c r="P86" s="426">
        <v>383482.49</v>
      </c>
      <c r="Q86" s="426">
        <v>383855.79</v>
      </c>
      <c r="R86" s="574">
        <v>46105</v>
      </c>
      <c r="S86" s="426">
        <v>191741.24</v>
      </c>
      <c r="T86" s="650">
        <v>46112</v>
      </c>
      <c r="U86" s="650"/>
      <c r="V86" s="426"/>
      <c r="W86" s="576"/>
      <c r="X86" s="658"/>
      <c r="Y86" s="655"/>
    </row>
    <row r="87" customFormat="1" ht="36" customHeight="1" spans="1:25">
      <c r="A87" s="882">
        <v>87</v>
      </c>
      <c r="B87" s="481">
        <v>2026</v>
      </c>
      <c r="C87" s="883" t="s">
        <v>79</v>
      </c>
      <c r="D87" s="578" t="s">
        <v>778</v>
      </c>
      <c r="E87" s="1253" t="s">
        <v>1244</v>
      </c>
      <c r="F87" s="642" t="s">
        <v>1109</v>
      </c>
      <c r="G87" s="338" t="s">
        <v>1105</v>
      </c>
      <c r="H87" s="613">
        <v>0.8</v>
      </c>
      <c r="I87" s="426">
        <v>800000</v>
      </c>
      <c r="J87" s="881">
        <v>45474</v>
      </c>
      <c r="K87" s="881">
        <v>45838</v>
      </c>
      <c r="L87" s="651">
        <v>0.4</v>
      </c>
      <c r="M87" s="574">
        <v>45742</v>
      </c>
      <c r="N87" s="575">
        <v>796080.13</v>
      </c>
      <c r="O87" s="575">
        <v>795330.82</v>
      </c>
      <c r="P87" s="575">
        <v>636264.66</v>
      </c>
      <c r="Q87" s="575">
        <v>636864.11</v>
      </c>
      <c r="R87" s="574">
        <v>46098</v>
      </c>
      <c r="S87" s="575">
        <v>318132.33</v>
      </c>
      <c r="T87" s="650">
        <v>46100</v>
      </c>
      <c r="U87" s="650">
        <v>46101</v>
      </c>
      <c r="V87" s="575">
        <v>159066.16</v>
      </c>
      <c r="W87" s="576"/>
      <c r="X87" s="658"/>
      <c r="Y87" s="655"/>
    </row>
    <row r="88" customFormat="1" ht="36" customHeight="1" spans="1:25">
      <c r="A88" s="884">
        <v>88</v>
      </c>
      <c r="B88" s="481">
        <v>2026</v>
      </c>
      <c r="C88" s="883" t="s">
        <v>79</v>
      </c>
      <c r="D88" s="578" t="s">
        <v>1245</v>
      </c>
      <c r="E88" s="1253" t="s">
        <v>1246</v>
      </c>
      <c r="F88" s="642" t="s">
        <v>1095</v>
      </c>
      <c r="G88" s="338" t="s">
        <v>1105</v>
      </c>
      <c r="H88" s="613">
        <v>0.8</v>
      </c>
      <c r="I88" s="426">
        <v>250000</v>
      </c>
      <c r="J88" s="881">
        <v>45664</v>
      </c>
      <c r="K88" s="881">
        <v>46394</v>
      </c>
      <c r="L88" s="651">
        <v>0.4</v>
      </c>
      <c r="M88" s="574">
        <v>45924</v>
      </c>
      <c r="N88" s="575">
        <v>250000</v>
      </c>
      <c r="O88" s="575">
        <v>250000</v>
      </c>
      <c r="P88" s="575">
        <v>200000</v>
      </c>
      <c r="Q88" s="575">
        <v>200000</v>
      </c>
      <c r="R88" s="574">
        <v>46098</v>
      </c>
      <c r="S88" s="575">
        <v>100000</v>
      </c>
      <c r="T88" s="650">
        <v>46100</v>
      </c>
      <c r="U88" s="650">
        <v>46101</v>
      </c>
      <c r="V88" s="575">
        <v>50000</v>
      </c>
      <c r="W88" s="576"/>
      <c r="X88" s="658"/>
      <c r="Y88" s="655"/>
    </row>
    <row r="89" customFormat="1" ht="36" customHeight="1" spans="1:25">
      <c r="A89" s="884">
        <v>89</v>
      </c>
      <c r="B89" s="481">
        <v>2026</v>
      </c>
      <c r="C89" s="883" t="s">
        <v>79</v>
      </c>
      <c r="D89" s="578" t="s">
        <v>1247</v>
      </c>
      <c r="E89" s="1253" t="s">
        <v>1248</v>
      </c>
      <c r="F89" s="642" t="s">
        <v>1095</v>
      </c>
      <c r="G89" s="338" t="s">
        <v>1105</v>
      </c>
      <c r="H89" s="613">
        <v>0.8</v>
      </c>
      <c r="I89" s="426">
        <v>500000</v>
      </c>
      <c r="J89" s="881">
        <v>45495</v>
      </c>
      <c r="K89" s="881">
        <v>46225</v>
      </c>
      <c r="L89" s="651">
        <v>0.4</v>
      </c>
      <c r="M89" s="574">
        <v>45924</v>
      </c>
      <c r="N89" s="575">
        <v>332397.69</v>
      </c>
      <c r="O89" s="575">
        <v>332397.69</v>
      </c>
      <c r="P89" s="575">
        <v>265918.15</v>
      </c>
      <c r="Q89" s="575">
        <v>265918.15</v>
      </c>
      <c r="R89" s="574">
        <v>46098</v>
      </c>
      <c r="S89" s="575">
        <v>132959.08</v>
      </c>
      <c r="T89" s="650">
        <v>46100</v>
      </c>
      <c r="U89" s="650">
        <v>46101</v>
      </c>
      <c r="V89" s="575">
        <v>66479.54</v>
      </c>
      <c r="W89" s="576"/>
      <c r="X89" s="658"/>
      <c r="Y89" s="655"/>
    </row>
    <row r="90" customFormat="1" ht="36" customHeight="1" spans="1:25">
      <c r="A90" s="884">
        <v>90</v>
      </c>
      <c r="B90" s="481">
        <v>2026</v>
      </c>
      <c r="C90" s="883" t="s">
        <v>79</v>
      </c>
      <c r="D90" s="578" t="s">
        <v>892</v>
      </c>
      <c r="E90" s="1253" t="s">
        <v>1249</v>
      </c>
      <c r="F90" s="642" t="s">
        <v>1095</v>
      </c>
      <c r="G90" s="338" t="s">
        <v>1105</v>
      </c>
      <c r="H90" s="613">
        <v>0.8</v>
      </c>
      <c r="I90" s="426">
        <v>100000</v>
      </c>
      <c r="J90" s="881">
        <v>45344</v>
      </c>
      <c r="K90" s="881">
        <v>46088</v>
      </c>
      <c r="L90" s="651">
        <v>0.4</v>
      </c>
      <c r="M90" s="574">
        <v>45924</v>
      </c>
      <c r="N90" s="575">
        <v>11490.13</v>
      </c>
      <c r="O90" s="575">
        <v>11490.13</v>
      </c>
      <c r="P90" s="575">
        <v>9192.1</v>
      </c>
      <c r="Q90" s="575">
        <v>9192.1</v>
      </c>
      <c r="R90" s="574">
        <v>46098</v>
      </c>
      <c r="S90" s="575">
        <v>4596.05</v>
      </c>
      <c r="T90" s="650">
        <v>46100</v>
      </c>
      <c r="U90" s="650">
        <v>46101</v>
      </c>
      <c r="V90" s="575">
        <v>2298.03</v>
      </c>
      <c r="W90" s="576"/>
      <c r="X90" s="658"/>
      <c r="Y90" s="655"/>
    </row>
    <row r="91" customFormat="1" ht="36" customHeight="1" spans="1:25">
      <c r="A91" s="885">
        <v>91</v>
      </c>
      <c r="B91" s="481">
        <v>2026</v>
      </c>
      <c r="C91" s="883" t="s">
        <v>79</v>
      </c>
      <c r="D91" s="578" t="s">
        <v>1250</v>
      </c>
      <c r="E91" s="1253" t="s">
        <v>1251</v>
      </c>
      <c r="F91" s="642" t="s">
        <v>1095</v>
      </c>
      <c r="G91" s="338" t="s">
        <v>1105</v>
      </c>
      <c r="H91" s="613">
        <v>0.8</v>
      </c>
      <c r="I91" s="426">
        <v>70000</v>
      </c>
      <c r="J91" s="881">
        <v>45407</v>
      </c>
      <c r="K91" s="881">
        <v>46137</v>
      </c>
      <c r="L91" s="651">
        <v>0.4</v>
      </c>
      <c r="M91" s="574">
        <v>45924</v>
      </c>
      <c r="N91" s="575">
        <v>40000.03</v>
      </c>
      <c r="O91" s="575">
        <v>40000.03</v>
      </c>
      <c r="P91" s="575">
        <v>32000.02</v>
      </c>
      <c r="Q91" s="575">
        <v>32000.02</v>
      </c>
      <c r="R91" s="574">
        <v>46098</v>
      </c>
      <c r="S91" s="575">
        <v>16000.01</v>
      </c>
      <c r="T91" s="650">
        <v>46100</v>
      </c>
      <c r="U91" s="650">
        <v>46101</v>
      </c>
      <c r="V91" s="575">
        <v>8000.01</v>
      </c>
      <c r="W91" s="576"/>
      <c r="X91" s="658"/>
      <c r="Y91" s="655"/>
    </row>
    <row r="92" customFormat="1" ht="36" customHeight="1" spans="1:25">
      <c r="A92" s="884">
        <v>92</v>
      </c>
      <c r="B92" s="481">
        <v>2026</v>
      </c>
      <c r="C92" s="883" t="s">
        <v>79</v>
      </c>
      <c r="D92" s="578" t="s">
        <v>1252</v>
      </c>
      <c r="E92" s="1253" t="s">
        <v>1253</v>
      </c>
      <c r="F92" s="642" t="s">
        <v>1095</v>
      </c>
      <c r="G92" s="338" t="s">
        <v>1105</v>
      </c>
      <c r="H92" s="613">
        <v>0.8</v>
      </c>
      <c r="I92" s="426">
        <v>1000000</v>
      </c>
      <c r="J92" s="881">
        <v>45649</v>
      </c>
      <c r="K92" s="881">
        <v>46382</v>
      </c>
      <c r="L92" s="651">
        <v>0.4</v>
      </c>
      <c r="M92" s="574">
        <v>45924</v>
      </c>
      <c r="N92" s="575">
        <v>904761.9</v>
      </c>
      <c r="O92" s="575">
        <v>904761.9</v>
      </c>
      <c r="P92" s="575">
        <v>723809.52</v>
      </c>
      <c r="Q92" s="575">
        <v>723809.52</v>
      </c>
      <c r="R92" s="574">
        <v>46098</v>
      </c>
      <c r="S92" s="575">
        <v>361904.76</v>
      </c>
      <c r="T92" s="650">
        <v>46100</v>
      </c>
      <c r="U92" s="650">
        <v>46101</v>
      </c>
      <c r="V92" s="575">
        <v>180952.38</v>
      </c>
      <c r="W92" s="576"/>
      <c r="X92" s="658"/>
      <c r="Y92" s="655"/>
    </row>
    <row r="93" customFormat="1" ht="36" customHeight="1" spans="1:25">
      <c r="A93" s="467">
        <v>93</v>
      </c>
      <c r="B93" s="481">
        <v>2026</v>
      </c>
      <c r="C93" s="883" t="s">
        <v>79</v>
      </c>
      <c r="D93" s="578" t="s">
        <v>1254</v>
      </c>
      <c r="E93" s="1253" t="s">
        <v>1255</v>
      </c>
      <c r="F93" s="642" t="s">
        <v>1095</v>
      </c>
      <c r="G93" s="338" t="s">
        <v>1105</v>
      </c>
      <c r="H93" s="613">
        <v>0.8</v>
      </c>
      <c r="I93" s="426">
        <v>100000</v>
      </c>
      <c r="J93" s="881">
        <v>45462</v>
      </c>
      <c r="K93" s="881">
        <v>46197</v>
      </c>
      <c r="L93" s="651">
        <v>0.4</v>
      </c>
      <c r="M93" s="574">
        <v>45924</v>
      </c>
      <c r="N93" s="575">
        <v>61904.8</v>
      </c>
      <c r="O93" s="575">
        <v>61904.8</v>
      </c>
      <c r="P93" s="575">
        <v>49523.84</v>
      </c>
      <c r="Q93" s="575">
        <v>49523.84</v>
      </c>
      <c r="R93" s="574">
        <v>46098</v>
      </c>
      <c r="S93" s="575">
        <v>24761.92</v>
      </c>
      <c r="T93" s="650">
        <v>46100</v>
      </c>
      <c r="U93" s="650">
        <v>46101</v>
      </c>
      <c r="V93" s="575">
        <v>12380.96</v>
      </c>
      <c r="W93" s="576"/>
      <c r="X93" s="658"/>
      <c r="Y93" s="655"/>
    </row>
    <row r="94" customFormat="1" ht="36" customHeight="1" spans="1:25">
      <c r="A94" s="467">
        <v>94</v>
      </c>
      <c r="B94" s="481">
        <v>2026</v>
      </c>
      <c r="C94" s="883" t="s">
        <v>79</v>
      </c>
      <c r="D94" s="578" t="s">
        <v>1254</v>
      </c>
      <c r="E94" s="1253" t="s">
        <v>1256</v>
      </c>
      <c r="F94" s="642" t="s">
        <v>1095</v>
      </c>
      <c r="G94" s="338" t="s">
        <v>1105</v>
      </c>
      <c r="H94" s="613">
        <v>0.8</v>
      </c>
      <c r="I94" s="426">
        <v>280000</v>
      </c>
      <c r="J94" s="881">
        <v>45485</v>
      </c>
      <c r="K94" s="881">
        <v>46227</v>
      </c>
      <c r="L94" s="651">
        <v>0.4</v>
      </c>
      <c r="M94" s="574">
        <v>45924</v>
      </c>
      <c r="N94" s="575">
        <v>186666.69</v>
      </c>
      <c r="O94" s="575">
        <v>186666.69</v>
      </c>
      <c r="P94" s="575">
        <v>149333.35</v>
      </c>
      <c r="Q94" s="575">
        <v>149333.35</v>
      </c>
      <c r="R94" s="574">
        <v>46098</v>
      </c>
      <c r="S94" s="575">
        <v>74666.68</v>
      </c>
      <c r="T94" s="650">
        <v>46100</v>
      </c>
      <c r="U94" s="650">
        <v>46101</v>
      </c>
      <c r="V94" s="575">
        <v>37333.34</v>
      </c>
      <c r="W94" s="576"/>
      <c r="X94" s="658"/>
      <c r="Y94" s="655"/>
    </row>
    <row r="95" customFormat="1" ht="36" customHeight="1" spans="1:25">
      <c r="A95" s="467">
        <v>95</v>
      </c>
      <c r="B95" s="481">
        <v>2026</v>
      </c>
      <c r="C95" s="883" t="s">
        <v>79</v>
      </c>
      <c r="D95" s="578" t="s">
        <v>1257</v>
      </c>
      <c r="E95" s="1253" t="s">
        <v>1258</v>
      </c>
      <c r="F95" s="642" t="s">
        <v>1095</v>
      </c>
      <c r="G95" s="338" t="s">
        <v>1105</v>
      </c>
      <c r="H95" s="613">
        <v>0.8</v>
      </c>
      <c r="I95" s="426">
        <v>100000</v>
      </c>
      <c r="J95" s="881">
        <v>45528</v>
      </c>
      <c r="K95" s="881">
        <v>46260</v>
      </c>
      <c r="L95" s="651">
        <v>0.4</v>
      </c>
      <c r="M95" s="574">
        <v>45924</v>
      </c>
      <c r="N95" s="575">
        <v>71428.6</v>
      </c>
      <c r="O95" s="575">
        <v>71428.6</v>
      </c>
      <c r="P95" s="575">
        <v>57142.88</v>
      </c>
      <c r="Q95" s="575">
        <v>57142.88</v>
      </c>
      <c r="R95" s="574">
        <v>46098</v>
      </c>
      <c r="S95" s="575">
        <v>28571.44</v>
      </c>
      <c r="T95" s="650">
        <v>46100</v>
      </c>
      <c r="U95" s="650">
        <v>46101</v>
      </c>
      <c r="V95" s="575">
        <v>14285.72</v>
      </c>
      <c r="W95" s="576"/>
      <c r="X95" s="658"/>
      <c r="Y95" s="655"/>
    </row>
    <row r="96" customFormat="1" ht="36" customHeight="1" spans="1:25">
      <c r="A96" s="467">
        <v>96</v>
      </c>
      <c r="B96" s="481">
        <v>2026</v>
      </c>
      <c r="C96" s="883" t="s">
        <v>15</v>
      </c>
      <c r="D96" s="578" t="s">
        <v>916</v>
      </c>
      <c r="E96" s="1253" t="s">
        <v>1259</v>
      </c>
      <c r="F96" s="642" t="s">
        <v>1109</v>
      </c>
      <c r="G96" s="338" t="s">
        <v>1105</v>
      </c>
      <c r="H96" s="613">
        <v>0.8</v>
      </c>
      <c r="I96" s="426">
        <v>800000</v>
      </c>
      <c r="J96" s="881">
        <v>45476</v>
      </c>
      <c r="K96" s="881">
        <v>45840</v>
      </c>
      <c r="L96" s="651">
        <v>0.4</v>
      </c>
      <c r="M96" s="574">
        <v>45930</v>
      </c>
      <c r="N96" s="575">
        <v>793574.87</v>
      </c>
      <c r="O96" s="575">
        <v>790658.2</v>
      </c>
      <c r="P96" s="575">
        <v>632526.56</v>
      </c>
      <c r="Q96" s="575">
        <v>634859.9</v>
      </c>
      <c r="R96" s="574">
        <v>46101</v>
      </c>
      <c r="S96" s="575">
        <v>316263.28</v>
      </c>
      <c r="T96" s="650">
        <v>46107</v>
      </c>
      <c r="U96" s="650">
        <v>46108</v>
      </c>
      <c r="V96" s="575">
        <v>158131.64</v>
      </c>
      <c r="W96" s="576"/>
      <c r="X96" s="658"/>
      <c r="Y96" s="655"/>
    </row>
    <row r="97" customFormat="1" ht="36" customHeight="1" spans="1:25 16292:16292">
      <c r="A97" s="467">
        <v>97</v>
      </c>
      <c r="B97" s="481">
        <v>2026</v>
      </c>
      <c r="C97" s="883" t="s">
        <v>25</v>
      </c>
      <c r="D97" s="578" t="s">
        <v>913</v>
      </c>
      <c r="E97" s="1253" t="s">
        <v>1260</v>
      </c>
      <c r="F97" s="642" t="s">
        <v>1107</v>
      </c>
      <c r="G97" s="338" t="s">
        <v>1103</v>
      </c>
      <c r="H97" s="613">
        <v>0.8</v>
      </c>
      <c r="I97" s="426">
        <v>300000</v>
      </c>
      <c r="J97" s="881">
        <v>44741</v>
      </c>
      <c r="K97" s="881">
        <v>45836</v>
      </c>
      <c r="L97" s="651">
        <v>0.4</v>
      </c>
      <c r="M97" s="574">
        <v>45930</v>
      </c>
      <c r="N97" s="575">
        <v>300263.74</v>
      </c>
      <c r="O97" s="575">
        <v>298663.74</v>
      </c>
      <c r="P97" s="575">
        <v>238930.99</v>
      </c>
      <c r="Q97" s="575">
        <v>240210.99</v>
      </c>
      <c r="R97" s="574">
        <v>46101</v>
      </c>
      <c r="S97" s="575">
        <v>119465.5</v>
      </c>
      <c r="T97" s="650">
        <v>46107</v>
      </c>
      <c r="U97" s="650">
        <v>46108</v>
      </c>
      <c r="V97" s="575">
        <v>59732.75</v>
      </c>
      <c r="W97" s="576"/>
      <c r="X97" s="658"/>
      <c r="Y97" s="655"/>
    </row>
    <row r="98" customFormat="1" ht="36" customHeight="1" spans="1:25 16292:16292">
      <c r="A98" s="467">
        <v>98</v>
      </c>
      <c r="B98" s="481">
        <v>2026</v>
      </c>
      <c r="C98" s="883" t="s">
        <v>25</v>
      </c>
      <c r="D98" s="578" t="s">
        <v>907</v>
      </c>
      <c r="E98" s="1253" t="s">
        <v>1261</v>
      </c>
      <c r="F98" s="642" t="s">
        <v>1107</v>
      </c>
      <c r="G98" s="338" t="s">
        <v>1103</v>
      </c>
      <c r="H98" s="613">
        <v>0.8</v>
      </c>
      <c r="I98" s="426">
        <v>300000</v>
      </c>
      <c r="J98" s="881">
        <v>44712</v>
      </c>
      <c r="K98" s="881">
        <v>45807</v>
      </c>
      <c r="L98" s="651">
        <v>0.4</v>
      </c>
      <c r="M98" s="574">
        <v>45930</v>
      </c>
      <c r="N98" s="575">
        <v>290885.06</v>
      </c>
      <c r="O98" s="575">
        <v>289400.78</v>
      </c>
      <c r="P98" s="575">
        <v>231520.63</v>
      </c>
      <c r="Q98" s="575">
        <v>232708.05</v>
      </c>
      <c r="R98" s="574">
        <v>46101</v>
      </c>
      <c r="S98" s="575">
        <v>115760.31</v>
      </c>
      <c r="T98" s="650">
        <v>46107</v>
      </c>
      <c r="U98" s="650">
        <v>46108</v>
      </c>
      <c r="V98" s="575">
        <v>57880.16</v>
      </c>
      <c r="W98" s="576"/>
      <c r="X98" s="658"/>
      <c r="Y98" s="655"/>
    </row>
    <row r="99" customFormat="1" ht="36" customHeight="1" spans="1:25 16292:16292">
      <c r="A99" s="467">
        <v>99</v>
      </c>
      <c r="B99" s="481">
        <v>2026</v>
      </c>
      <c r="C99" s="883" t="s">
        <v>25</v>
      </c>
      <c r="D99" s="578" t="s">
        <v>910</v>
      </c>
      <c r="E99" s="1253" t="s">
        <v>1262</v>
      </c>
      <c r="F99" s="642" t="s">
        <v>1263</v>
      </c>
      <c r="G99" s="338" t="s">
        <v>1103</v>
      </c>
      <c r="H99" s="613">
        <v>0.8</v>
      </c>
      <c r="I99" s="426">
        <v>150000</v>
      </c>
      <c r="J99" s="881">
        <v>45070</v>
      </c>
      <c r="K99" s="881">
        <v>45800</v>
      </c>
      <c r="L99" s="651">
        <v>0.4</v>
      </c>
      <c r="M99" s="574">
        <v>45930</v>
      </c>
      <c r="N99" s="575">
        <v>145559.51</v>
      </c>
      <c r="O99" s="575">
        <v>145559.51</v>
      </c>
      <c r="P99" s="575">
        <v>116447.61</v>
      </c>
      <c r="Q99" s="575">
        <v>116447.61</v>
      </c>
      <c r="R99" s="574">
        <v>46101</v>
      </c>
      <c r="S99" s="575">
        <v>58223.8</v>
      </c>
      <c r="T99" s="650">
        <v>46107</v>
      </c>
      <c r="U99" s="650">
        <v>46108</v>
      </c>
      <c r="V99" s="575">
        <v>29111.9</v>
      </c>
      <c r="W99" s="576"/>
      <c r="X99" s="658"/>
      <c r="Y99" s="655"/>
    </row>
    <row r="100" customFormat="1" ht="36" customHeight="1" spans="1:25 16292:16292">
      <c r="A100" s="467">
        <v>100</v>
      </c>
      <c r="B100" s="481">
        <v>2026</v>
      </c>
      <c r="C100" s="883" t="s">
        <v>25</v>
      </c>
      <c r="D100" s="578" t="s">
        <v>911</v>
      </c>
      <c r="E100" s="1253" t="s">
        <v>1264</v>
      </c>
      <c r="F100" s="642" t="s">
        <v>1265</v>
      </c>
      <c r="G100" s="338" t="s">
        <v>1103</v>
      </c>
      <c r="H100" s="613">
        <v>0.8</v>
      </c>
      <c r="I100" s="426">
        <v>100000</v>
      </c>
      <c r="J100" s="881">
        <v>44718</v>
      </c>
      <c r="K100" s="881">
        <v>45813</v>
      </c>
      <c r="L100" s="651">
        <v>0.4</v>
      </c>
      <c r="M100" s="574">
        <v>45930</v>
      </c>
      <c r="N100" s="426">
        <v>100180.37</v>
      </c>
      <c r="O100" s="575">
        <v>99925</v>
      </c>
      <c r="P100" s="575">
        <v>79940</v>
      </c>
      <c r="Q100" s="575">
        <v>80144.3</v>
      </c>
      <c r="R100" s="574">
        <v>46101</v>
      </c>
      <c r="S100" s="575">
        <v>39970</v>
      </c>
      <c r="T100" s="650">
        <v>46107</v>
      </c>
      <c r="U100" s="650">
        <v>46108</v>
      </c>
      <c r="V100" s="575">
        <v>19985</v>
      </c>
      <c r="W100" s="576"/>
      <c r="X100" s="658"/>
      <c r="Y100" s="655"/>
    </row>
    <row r="101" customFormat="1" ht="36" customHeight="1" spans="1:25 16292:16292">
      <c r="A101" s="300"/>
      <c r="B101" s="548"/>
      <c r="C101" s="322"/>
      <c r="D101" s="578"/>
      <c r="E101" s="424"/>
      <c r="F101" s="338"/>
      <c r="G101" s="338"/>
      <c r="H101" s="613"/>
      <c r="I101" s="426"/>
      <c r="J101" s="574"/>
      <c r="K101" s="574"/>
      <c r="L101" s="651"/>
      <c r="M101" s="574"/>
      <c r="N101" s="426"/>
      <c r="O101" s="426"/>
      <c r="P101" s="426"/>
      <c r="Q101" s="426"/>
      <c r="R101" s="574"/>
      <c r="S101" s="426"/>
      <c r="T101" s="650"/>
      <c r="U101" s="650"/>
      <c r="V101" s="426"/>
      <c r="W101" s="576"/>
      <c r="X101" s="658"/>
      <c r="Y101" s="655"/>
    </row>
    <row r="102" s="100" customFormat="1" ht="37.5" customHeight="1" spans="1:25 16292:16292">
      <c r="A102" s="156"/>
      <c r="B102" s="155"/>
      <c r="C102" s="686" t="s">
        <v>1266</v>
      </c>
      <c r="D102" s="886"/>
      <c r="E102" s="320"/>
      <c r="F102" s="159"/>
      <c r="G102" s="160"/>
      <c r="H102" s="161"/>
      <c r="I102" s="162">
        <f>SUM(I4:I100)</f>
        <v>85334520.8</v>
      </c>
      <c r="J102" s="162"/>
      <c r="K102" s="162"/>
      <c r="L102" s="162"/>
      <c r="M102" s="162"/>
      <c r="N102" s="162">
        <f>SUM(N4:N100)</f>
        <v>82530692.15</v>
      </c>
      <c r="O102" s="162">
        <f>SUM(O4:O100)</f>
        <v>82390849.78</v>
      </c>
      <c r="P102" s="162">
        <f>SUM(P4:P100)</f>
        <v>66114461.01</v>
      </c>
      <c r="Q102" s="162">
        <f>SUM(Q4:Q100)</f>
        <v>64577565.5</v>
      </c>
      <c r="R102" s="162"/>
      <c r="S102" s="162">
        <f>SUM(S4:S100)</f>
        <v>28757432.72</v>
      </c>
      <c r="T102" s="162"/>
      <c r="U102" s="162"/>
      <c r="V102" s="162">
        <f>SUM(V4:V100)</f>
        <v>12437806.26</v>
      </c>
      <c r="W102" s="162"/>
      <c r="X102" s="162"/>
      <c r="Y102" s="669"/>
    </row>
    <row r="103" s="103" customFormat="1" ht="37.5" customHeight="1" spans="1:25 16292:16292">
      <c r="A103" s="156"/>
      <c r="B103" s="156"/>
      <c r="C103" s="318" t="s">
        <v>1267</v>
      </c>
      <c r="D103" s="886"/>
      <c r="E103" s="320"/>
      <c r="F103" s="159"/>
      <c r="G103" s="160"/>
      <c r="H103" s="161"/>
      <c r="I103" s="162"/>
      <c r="J103" s="667"/>
      <c r="K103" s="667"/>
      <c r="L103" s="667"/>
      <c r="M103" s="667"/>
      <c r="N103" s="162"/>
      <c r="O103" s="162"/>
      <c r="P103" s="162"/>
      <c r="Q103" s="162"/>
      <c r="R103" s="667"/>
      <c r="S103" s="162"/>
      <c r="T103" s="162"/>
      <c r="U103" s="162"/>
      <c r="V103" s="162"/>
      <c r="W103" s="162"/>
      <c r="X103" s="162"/>
      <c r="Y103" s="669"/>
      <c r="XBP103"/>
    </row>
  </sheetData>
  <sheetProtection formatCells="0" formatColumns="0" formatRows="0" insertRows="0" insertColumns="0" insertHyperlinks="0" deleteColumns="0" deleteRows="0" sort="0" autoFilter="0" pivotTables="0"/>
  <mergeCells count="22">
    <mergeCell ref="U2:X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Y2:Y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59"/>
  <sheetViews>
    <sheetView zoomScale="55" zoomScaleNormal="55" topLeftCell="A276" workbookViewId="0">
      <selection activeCell="I312" sqref="I312"/>
    </sheetView>
  </sheetViews>
  <sheetFormatPr defaultColWidth="9" defaultRowHeight="14.1"/>
  <cols>
    <col min="1" max="1" width="8.62162162162162" style="704" customWidth="1"/>
    <col min="2" max="2" width="13.6216216216216" style="705" customWidth="1"/>
    <col min="3" max="3" width="34.4684684684685" style="706" customWidth="1"/>
    <col min="4" max="4" width="29.8738738738739" style="706" customWidth="1"/>
    <col min="5" max="5" width="24.2252252252252" style="707" customWidth="1"/>
    <col min="6" max="7" width="15.6216216216216" style="708" customWidth="1"/>
    <col min="8" max="8" width="25.5045045045045" style="704" customWidth="1"/>
    <col min="9" max="9" width="15.6216216216216" style="705" customWidth="1"/>
    <col min="10" max="10" width="32.6216216216216" style="704" customWidth="1"/>
    <col min="11" max="11" width="9" style="704"/>
    <col min="12" max="12" width="11.2702702702703" style="704" customWidth="1"/>
    <col min="13" max="16384" width="9" style="704"/>
  </cols>
  <sheetData>
    <row r="1" ht="39.95" customHeight="1" spans="1:10">
      <c r="A1" s="709" t="s">
        <v>1268</v>
      </c>
      <c r="B1" s="710"/>
      <c r="C1" s="711"/>
      <c r="D1" s="711"/>
      <c r="E1" s="712"/>
      <c r="F1" s="713"/>
      <c r="G1" s="713"/>
      <c r="H1" s="710"/>
      <c r="I1" s="710"/>
      <c r="J1" s="710"/>
    </row>
    <row r="2" ht="20.1" customHeight="1" spans="1:10">
      <c r="A2" s="714" t="s">
        <v>1</v>
      </c>
      <c r="B2" s="714" t="s">
        <v>2</v>
      </c>
      <c r="C2" s="715" t="s">
        <v>3</v>
      </c>
      <c r="D2" s="716" t="s">
        <v>4</v>
      </c>
      <c r="E2" s="717" t="s">
        <v>1269</v>
      </c>
      <c r="F2" s="718" t="s">
        <v>6</v>
      </c>
      <c r="G2" s="718" t="s">
        <v>1067</v>
      </c>
      <c r="H2" s="714" t="s">
        <v>1270</v>
      </c>
      <c r="I2" s="714" t="s">
        <v>10</v>
      </c>
      <c r="J2" s="714" t="s">
        <v>12</v>
      </c>
    </row>
    <row r="3" s="697" customFormat="1" ht="20.1" customHeight="1" spans="1:10">
      <c r="A3" s="719">
        <v>1</v>
      </c>
      <c r="B3" s="720" t="s">
        <v>102</v>
      </c>
      <c r="C3" s="721" t="s">
        <v>1271</v>
      </c>
      <c r="D3" s="722"/>
      <c r="E3" s="723">
        <v>4039111.11</v>
      </c>
      <c r="F3" s="724">
        <v>44791</v>
      </c>
      <c r="G3" s="724">
        <v>45549</v>
      </c>
      <c r="H3" s="725"/>
      <c r="I3" s="720" t="s">
        <v>1272</v>
      </c>
      <c r="J3" s="719"/>
    </row>
    <row r="4" ht="20.1" customHeight="1" spans="1:10">
      <c r="A4" s="719">
        <v>2</v>
      </c>
      <c r="B4" s="719" t="s">
        <v>75</v>
      </c>
      <c r="C4" s="726" t="s">
        <v>1273</v>
      </c>
      <c r="D4" s="722" t="s">
        <v>1274</v>
      </c>
      <c r="E4" s="727">
        <v>745140.95</v>
      </c>
      <c r="F4" s="728">
        <v>44809</v>
      </c>
      <c r="G4" s="728"/>
      <c r="H4" s="725" t="s">
        <v>1275</v>
      </c>
      <c r="I4" s="719" t="s">
        <v>21</v>
      </c>
      <c r="J4" s="714"/>
    </row>
    <row r="5" ht="20.1" customHeight="1" spans="1:10">
      <c r="A5" s="719">
        <v>3</v>
      </c>
      <c r="B5" s="719" t="s">
        <v>233</v>
      </c>
      <c r="C5" s="726" t="s">
        <v>1276</v>
      </c>
      <c r="D5" s="729" t="s">
        <v>1277</v>
      </c>
      <c r="E5" s="727">
        <v>1206174</v>
      </c>
      <c r="F5" s="728">
        <v>44832</v>
      </c>
      <c r="G5" s="728"/>
      <c r="H5" s="725" t="s">
        <v>1275</v>
      </c>
      <c r="I5" s="719" t="s">
        <v>21</v>
      </c>
      <c r="J5" s="714"/>
    </row>
    <row r="6" ht="20.1" customHeight="1" spans="1:10">
      <c r="A6" s="719">
        <v>4</v>
      </c>
      <c r="B6" s="719" t="s">
        <v>147</v>
      </c>
      <c r="C6" s="726" t="s">
        <v>1278</v>
      </c>
      <c r="D6" s="730"/>
      <c r="E6" s="727">
        <v>2312658.42</v>
      </c>
      <c r="F6" s="728">
        <v>44859</v>
      </c>
      <c r="G6" s="728"/>
      <c r="H6" s="725" t="s">
        <v>1275</v>
      </c>
      <c r="I6" s="719" t="s">
        <v>21</v>
      </c>
      <c r="J6" s="714"/>
    </row>
    <row r="7" ht="20.1" customHeight="1" spans="1:10">
      <c r="A7" s="719">
        <v>5</v>
      </c>
      <c r="B7" s="719" t="s">
        <v>228</v>
      </c>
      <c r="C7" s="726" t="s">
        <v>1279</v>
      </c>
      <c r="D7" s="729" t="s">
        <v>1277</v>
      </c>
      <c r="E7" s="727">
        <v>1010753.57</v>
      </c>
      <c r="F7" s="728">
        <v>44859</v>
      </c>
      <c r="G7" s="728"/>
      <c r="H7" s="725" t="s">
        <v>1275</v>
      </c>
      <c r="I7" s="719" t="s">
        <v>21</v>
      </c>
      <c r="J7" s="714"/>
    </row>
    <row r="8" ht="20.1" customHeight="1" spans="1:10">
      <c r="A8" s="719">
        <v>6</v>
      </c>
      <c r="B8" s="719" t="s">
        <v>31</v>
      </c>
      <c r="C8" s="726" t="s">
        <v>1280</v>
      </c>
      <c r="D8" s="730"/>
      <c r="E8" s="727">
        <v>322400</v>
      </c>
      <c r="F8" s="728">
        <v>44865</v>
      </c>
      <c r="G8" s="728"/>
      <c r="H8" s="725" t="s">
        <v>1275</v>
      </c>
      <c r="I8" s="719" t="s">
        <v>21</v>
      </c>
      <c r="J8" s="714"/>
    </row>
    <row r="9" ht="20.1" customHeight="1" spans="1:10">
      <c r="A9" s="719">
        <v>7</v>
      </c>
      <c r="B9" s="719" t="s">
        <v>31</v>
      </c>
      <c r="C9" s="726" t="s">
        <v>1281</v>
      </c>
      <c r="D9" s="730"/>
      <c r="E9" s="727">
        <v>883740</v>
      </c>
      <c r="F9" s="728">
        <v>44866</v>
      </c>
      <c r="G9" s="728"/>
      <c r="H9" s="725" t="s">
        <v>1275</v>
      </c>
      <c r="I9" s="719" t="s">
        <v>21</v>
      </c>
      <c r="J9" s="714"/>
    </row>
    <row r="10" ht="20.1" customHeight="1" spans="1:10">
      <c r="A10" s="719">
        <v>8</v>
      </c>
      <c r="B10" s="719" t="s">
        <v>75</v>
      </c>
      <c r="C10" s="726" t="s">
        <v>1282</v>
      </c>
      <c r="D10" s="722" t="s">
        <v>1274</v>
      </c>
      <c r="E10" s="727">
        <v>118509.92</v>
      </c>
      <c r="F10" s="728">
        <v>44881</v>
      </c>
      <c r="G10" s="728"/>
      <c r="H10" s="725" t="s">
        <v>1275</v>
      </c>
      <c r="I10" s="719" t="s">
        <v>21</v>
      </c>
      <c r="J10" s="714"/>
    </row>
    <row r="11" ht="20.1" customHeight="1" spans="1:10">
      <c r="A11" s="719">
        <v>9</v>
      </c>
      <c r="B11" s="719" t="s">
        <v>233</v>
      </c>
      <c r="C11" s="726" t="s">
        <v>1283</v>
      </c>
      <c r="D11" s="729" t="s">
        <v>1277</v>
      </c>
      <c r="E11" s="727">
        <v>195775.25</v>
      </c>
      <c r="F11" s="728">
        <v>44900</v>
      </c>
      <c r="G11" s="728"/>
      <c r="H11" s="725" t="s">
        <v>1275</v>
      </c>
      <c r="I11" s="719" t="s">
        <v>21</v>
      </c>
      <c r="J11" s="714"/>
    </row>
    <row r="12" ht="20.1" customHeight="1" spans="1:10">
      <c r="A12" s="719">
        <v>10</v>
      </c>
      <c r="B12" s="719" t="s">
        <v>75</v>
      </c>
      <c r="C12" s="726" t="s">
        <v>1284</v>
      </c>
      <c r="D12" s="722" t="s">
        <v>1274</v>
      </c>
      <c r="E12" s="727">
        <v>346962.75</v>
      </c>
      <c r="F12" s="728">
        <v>44914</v>
      </c>
      <c r="G12" s="728"/>
      <c r="H12" s="725" t="s">
        <v>1275</v>
      </c>
      <c r="I12" s="719" t="s">
        <v>21</v>
      </c>
      <c r="J12" s="714"/>
    </row>
    <row r="13" ht="20.1" customHeight="1" spans="1:10">
      <c r="A13" s="719">
        <v>11</v>
      </c>
      <c r="B13" s="719" t="s">
        <v>75</v>
      </c>
      <c r="C13" s="726" t="s">
        <v>1285</v>
      </c>
      <c r="D13" s="722" t="s">
        <v>1274</v>
      </c>
      <c r="E13" s="727">
        <v>64157.33</v>
      </c>
      <c r="F13" s="728">
        <v>44914</v>
      </c>
      <c r="G13" s="728"/>
      <c r="H13" s="725" t="s">
        <v>1275</v>
      </c>
      <c r="I13" s="719" t="s">
        <v>21</v>
      </c>
      <c r="J13" s="714"/>
    </row>
    <row r="14" ht="20.1" customHeight="1" spans="1:10">
      <c r="A14" s="719">
        <v>12</v>
      </c>
      <c r="B14" s="719" t="s">
        <v>75</v>
      </c>
      <c r="C14" s="726" t="s">
        <v>1286</v>
      </c>
      <c r="D14" s="722" t="s">
        <v>1274</v>
      </c>
      <c r="E14" s="727">
        <v>239995.85</v>
      </c>
      <c r="F14" s="728">
        <v>44914</v>
      </c>
      <c r="G14" s="728"/>
      <c r="H14" s="725" t="s">
        <v>1275</v>
      </c>
      <c r="I14" s="719" t="s">
        <v>21</v>
      </c>
      <c r="J14" s="714"/>
    </row>
    <row r="15" ht="20.1" customHeight="1" spans="1:10">
      <c r="A15" s="719">
        <v>13</v>
      </c>
      <c r="B15" s="719" t="s">
        <v>75</v>
      </c>
      <c r="C15" s="726" t="s">
        <v>1287</v>
      </c>
      <c r="D15" s="722" t="s">
        <v>1274</v>
      </c>
      <c r="E15" s="727">
        <v>265907.31</v>
      </c>
      <c r="F15" s="728">
        <v>44965</v>
      </c>
      <c r="G15" s="728"/>
      <c r="H15" s="725" t="s">
        <v>1275</v>
      </c>
      <c r="I15" s="719" t="s">
        <v>21</v>
      </c>
      <c r="J15" s="714"/>
    </row>
    <row r="16" ht="20.1" customHeight="1" spans="1:10">
      <c r="A16" s="719">
        <v>14</v>
      </c>
      <c r="B16" s="720" t="s">
        <v>233</v>
      </c>
      <c r="C16" s="721" t="s">
        <v>1288</v>
      </c>
      <c r="D16" s="730"/>
      <c r="E16" s="727">
        <v>437942.27</v>
      </c>
      <c r="F16" s="728">
        <v>44965</v>
      </c>
      <c r="G16" s="728"/>
      <c r="H16" s="725"/>
      <c r="I16" s="720" t="s">
        <v>1289</v>
      </c>
      <c r="J16" s="714"/>
    </row>
    <row r="17" ht="20.1" customHeight="1" spans="1:10">
      <c r="A17" s="719">
        <v>15</v>
      </c>
      <c r="B17" s="719" t="s">
        <v>147</v>
      </c>
      <c r="C17" s="726" t="s">
        <v>1290</v>
      </c>
      <c r="D17" s="730"/>
      <c r="E17" s="727">
        <v>816218.59</v>
      </c>
      <c r="F17" s="728">
        <v>44973</v>
      </c>
      <c r="G17" s="728"/>
      <c r="H17" s="725" t="s">
        <v>1275</v>
      </c>
      <c r="I17" s="719" t="s">
        <v>21</v>
      </c>
      <c r="J17" s="714"/>
    </row>
    <row r="18" ht="20.1" customHeight="1" spans="1:10">
      <c r="A18" s="719">
        <v>16</v>
      </c>
      <c r="B18" s="719" t="s">
        <v>147</v>
      </c>
      <c r="C18" s="726" t="s">
        <v>1291</v>
      </c>
      <c r="D18" s="730"/>
      <c r="E18" s="727">
        <v>1631112.64</v>
      </c>
      <c r="F18" s="728">
        <v>44973</v>
      </c>
      <c r="G18" s="728"/>
      <c r="H18" s="725" t="s">
        <v>1275</v>
      </c>
      <c r="I18" s="719" t="s">
        <v>21</v>
      </c>
      <c r="J18" s="731" t="s">
        <v>1292</v>
      </c>
    </row>
    <row r="19" ht="20.1" customHeight="1" spans="1:10">
      <c r="A19" s="719">
        <v>17</v>
      </c>
      <c r="B19" s="719" t="s">
        <v>22</v>
      </c>
      <c r="C19" s="726" t="s">
        <v>1293</v>
      </c>
      <c r="D19" s="730"/>
      <c r="E19" s="727">
        <v>1603080</v>
      </c>
      <c r="F19" s="728">
        <v>44973</v>
      </c>
      <c r="G19" s="728">
        <v>45191</v>
      </c>
      <c r="H19" s="725"/>
      <c r="I19" s="720" t="s">
        <v>1289</v>
      </c>
      <c r="J19" s="719"/>
    </row>
    <row r="20" ht="20.1" customHeight="1" spans="1:10">
      <c r="A20" s="719">
        <v>18</v>
      </c>
      <c r="B20" s="719" t="s">
        <v>75</v>
      </c>
      <c r="C20" s="726" t="s">
        <v>1294</v>
      </c>
      <c r="D20" s="722" t="s">
        <v>1274</v>
      </c>
      <c r="E20" s="727">
        <v>249732.35</v>
      </c>
      <c r="F20" s="728">
        <v>44974</v>
      </c>
      <c r="G20" s="728"/>
      <c r="H20" s="725" t="s">
        <v>1275</v>
      </c>
      <c r="I20" s="719" t="s">
        <v>21</v>
      </c>
      <c r="J20" s="714"/>
    </row>
    <row r="21" ht="20.1" customHeight="1" spans="1:10">
      <c r="A21" s="719">
        <v>19</v>
      </c>
      <c r="B21" s="719" t="s">
        <v>22</v>
      </c>
      <c r="C21" s="726" t="s">
        <v>1295</v>
      </c>
      <c r="D21" s="730"/>
      <c r="E21" s="727">
        <v>1595525.3</v>
      </c>
      <c r="F21" s="728">
        <v>44974</v>
      </c>
      <c r="G21" s="728">
        <v>45191</v>
      </c>
      <c r="H21" s="725"/>
      <c r="I21" s="720" t="s">
        <v>1289</v>
      </c>
      <c r="J21" s="719"/>
    </row>
    <row r="22" ht="20.1" customHeight="1" spans="1:10">
      <c r="A22" s="719">
        <v>20</v>
      </c>
      <c r="B22" s="719" t="s">
        <v>75</v>
      </c>
      <c r="C22" s="726" t="s">
        <v>1296</v>
      </c>
      <c r="D22" s="722" t="s">
        <v>1274</v>
      </c>
      <c r="E22" s="727">
        <v>179055.2</v>
      </c>
      <c r="F22" s="728">
        <v>44980</v>
      </c>
      <c r="G22" s="728"/>
      <c r="H22" s="725" t="s">
        <v>1275</v>
      </c>
      <c r="I22" s="719" t="s">
        <v>21</v>
      </c>
      <c r="J22" s="714"/>
    </row>
    <row r="23" ht="20.1" customHeight="1" spans="1:10">
      <c r="A23" s="719">
        <v>21</v>
      </c>
      <c r="B23" s="719" t="s">
        <v>75</v>
      </c>
      <c r="C23" s="726" t="s">
        <v>1297</v>
      </c>
      <c r="D23" s="722" t="s">
        <v>1274</v>
      </c>
      <c r="E23" s="727">
        <v>199521.42</v>
      </c>
      <c r="F23" s="728">
        <v>44980</v>
      </c>
      <c r="G23" s="728"/>
      <c r="H23" s="725" t="s">
        <v>1275</v>
      </c>
      <c r="I23" s="719" t="s">
        <v>21</v>
      </c>
      <c r="J23" s="714"/>
    </row>
    <row r="24" ht="20.1" customHeight="1" spans="1:10">
      <c r="A24" s="719">
        <v>22</v>
      </c>
      <c r="B24" s="719" t="s">
        <v>75</v>
      </c>
      <c r="C24" s="726" t="s">
        <v>1298</v>
      </c>
      <c r="D24" s="722" t="s">
        <v>1274</v>
      </c>
      <c r="E24" s="727">
        <v>248325.34</v>
      </c>
      <c r="F24" s="728">
        <v>44984</v>
      </c>
      <c r="G24" s="728"/>
      <c r="H24" s="725" t="s">
        <v>1275</v>
      </c>
      <c r="I24" s="719" t="s">
        <v>21</v>
      </c>
      <c r="J24" s="714"/>
    </row>
    <row r="25" ht="20.1" customHeight="1" spans="1:10">
      <c r="A25" s="719">
        <v>23</v>
      </c>
      <c r="B25" s="719" t="s">
        <v>22</v>
      </c>
      <c r="C25" s="726" t="s">
        <v>1299</v>
      </c>
      <c r="D25" s="730"/>
      <c r="E25" s="727">
        <v>396060.34</v>
      </c>
      <c r="F25" s="728">
        <v>44992</v>
      </c>
      <c r="G25" s="728">
        <v>45191</v>
      </c>
      <c r="H25" s="725"/>
      <c r="I25" s="720" t="s">
        <v>1289</v>
      </c>
      <c r="J25" s="719"/>
    </row>
    <row r="26" ht="20.1" customHeight="1" spans="1:10">
      <c r="A26" s="719">
        <v>24</v>
      </c>
      <c r="B26" s="719" t="s">
        <v>75</v>
      </c>
      <c r="C26" s="726" t="s">
        <v>1300</v>
      </c>
      <c r="D26" s="722" t="s">
        <v>1274</v>
      </c>
      <c r="E26" s="727">
        <v>96996.39</v>
      </c>
      <c r="F26" s="728">
        <v>44992</v>
      </c>
      <c r="G26" s="728">
        <v>45282</v>
      </c>
      <c r="H26" s="725" t="s">
        <v>1275</v>
      </c>
      <c r="I26" s="719" t="s">
        <v>21</v>
      </c>
      <c r="J26" s="719"/>
    </row>
    <row r="27" ht="20.1" customHeight="1" spans="1:10">
      <c r="A27" s="719">
        <v>25</v>
      </c>
      <c r="B27" s="719" t="s">
        <v>75</v>
      </c>
      <c r="C27" s="726" t="s">
        <v>1301</v>
      </c>
      <c r="D27" s="722" t="s">
        <v>1274</v>
      </c>
      <c r="E27" s="727">
        <v>194085.6</v>
      </c>
      <c r="F27" s="728">
        <v>44992</v>
      </c>
      <c r="G27" s="728">
        <v>45282</v>
      </c>
      <c r="H27" s="725" t="s">
        <v>1275</v>
      </c>
      <c r="I27" s="719" t="s">
        <v>21</v>
      </c>
      <c r="J27" s="719"/>
    </row>
    <row r="28" ht="20.1" customHeight="1" spans="1:10">
      <c r="A28" s="719">
        <v>26</v>
      </c>
      <c r="B28" s="719" t="s">
        <v>75</v>
      </c>
      <c r="C28" s="726" t="s">
        <v>1302</v>
      </c>
      <c r="D28" s="722" t="s">
        <v>1274</v>
      </c>
      <c r="E28" s="727">
        <v>219438.33</v>
      </c>
      <c r="F28" s="728">
        <v>44992</v>
      </c>
      <c r="G28" s="728">
        <v>45282</v>
      </c>
      <c r="H28" s="725" t="s">
        <v>1275</v>
      </c>
      <c r="I28" s="719" t="s">
        <v>21</v>
      </c>
      <c r="J28" s="719"/>
    </row>
    <row r="29" ht="20.1" customHeight="1" spans="1:10">
      <c r="A29" s="719">
        <v>27</v>
      </c>
      <c r="B29" s="719" t="s">
        <v>22</v>
      </c>
      <c r="C29" s="726" t="s">
        <v>1303</v>
      </c>
      <c r="D29" s="730"/>
      <c r="E29" s="727">
        <v>719270.93</v>
      </c>
      <c r="F29" s="728">
        <v>44993</v>
      </c>
      <c r="G29" s="728">
        <v>45191</v>
      </c>
      <c r="H29" s="725"/>
      <c r="I29" s="720" t="s">
        <v>1289</v>
      </c>
      <c r="J29" s="719"/>
    </row>
    <row r="30" ht="20.1" customHeight="1" spans="1:10">
      <c r="A30" s="719">
        <v>28</v>
      </c>
      <c r="B30" s="719" t="s">
        <v>75</v>
      </c>
      <c r="C30" s="726" t="s">
        <v>1304</v>
      </c>
      <c r="D30" s="722" t="s">
        <v>1274</v>
      </c>
      <c r="E30" s="727">
        <v>216539.73</v>
      </c>
      <c r="F30" s="728">
        <v>44993</v>
      </c>
      <c r="G30" s="728">
        <v>45281</v>
      </c>
      <c r="H30" s="725" t="s">
        <v>1275</v>
      </c>
      <c r="I30" s="719" t="s">
        <v>21</v>
      </c>
      <c r="J30" s="719"/>
    </row>
    <row r="31" ht="20.1" customHeight="1" spans="1:10">
      <c r="A31" s="719">
        <v>29</v>
      </c>
      <c r="B31" s="719" t="s">
        <v>233</v>
      </c>
      <c r="C31" s="721" t="s">
        <v>1305</v>
      </c>
      <c r="D31" s="732"/>
      <c r="E31" s="727">
        <v>802886.96</v>
      </c>
      <c r="F31" s="728">
        <v>44994</v>
      </c>
      <c r="G31" s="728">
        <v>45478</v>
      </c>
      <c r="H31" s="725"/>
      <c r="I31" s="719" t="s">
        <v>21</v>
      </c>
      <c r="J31" s="733"/>
    </row>
    <row r="32" ht="20.1" customHeight="1" spans="1:10">
      <c r="A32" s="719">
        <v>30</v>
      </c>
      <c r="B32" s="719" t="s">
        <v>75</v>
      </c>
      <c r="C32" s="726" t="s">
        <v>1306</v>
      </c>
      <c r="D32" s="722" t="s">
        <v>1274</v>
      </c>
      <c r="E32" s="727">
        <v>244056.08</v>
      </c>
      <c r="F32" s="728">
        <v>45014</v>
      </c>
      <c r="G32" s="728"/>
      <c r="H32" s="725" t="s">
        <v>1275</v>
      </c>
      <c r="I32" s="719" t="s">
        <v>21</v>
      </c>
      <c r="J32" s="714"/>
    </row>
    <row r="33" ht="20.1" customHeight="1" spans="1:10">
      <c r="A33" s="719">
        <v>31</v>
      </c>
      <c r="B33" s="719" t="s">
        <v>75</v>
      </c>
      <c r="C33" s="726" t="s">
        <v>1307</v>
      </c>
      <c r="D33" s="722" t="s">
        <v>1274</v>
      </c>
      <c r="E33" s="727">
        <v>128288.88</v>
      </c>
      <c r="F33" s="728">
        <v>45014</v>
      </c>
      <c r="G33" s="728"/>
      <c r="H33" s="725" t="s">
        <v>1275</v>
      </c>
      <c r="I33" s="719" t="s">
        <v>21</v>
      </c>
      <c r="J33" s="714"/>
    </row>
    <row r="34" ht="20.1" customHeight="1" spans="1:10">
      <c r="A34" s="719">
        <v>32</v>
      </c>
      <c r="B34" s="719" t="s">
        <v>25</v>
      </c>
      <c r="C34" s="726" t="s">
        <v>720</v>
      </c>
      <c r="D34" s="730"/>
      <c r="E34" s="727">
        <v>301270.43</v>
      </c>
      <c r="F34" s="728">
        <v>45023</v>
      </c>
      <c r="G34" s="728">
        <v>45485</v>
      </c>
      <c r="H34" s="725" t="s">
        <v>1275</v>
      </c>
      <c r="I34" s="719" t="s">
        <v>21</v>
      </c>
      <c r="J34" s="733"/>
    </row>
    <row r="35" ht="20.1" customHeight="1" spans="1:10">
      <c r="A35" s="719">
        <v>33</v>
      </c>
      <c r="B35" s="719" t="s">
        <v>75</v>
      </c>
      <c r="C35" s="726" t="s">
        <v>1308</v>
      </c>
      <c r="D35" s="722" t="s">
        <v>1274</v>
      </c>
      <c r="E35" s="727">
        <v>123295.01</v>
      </c>
      <c r="F35" s="728">
        <v>45037</v>
      </c>
      <c r="G35" s="728">
        <v>45282</v>
      </c>
      <c r="H35" s="725" t="s">
        <v>1275</v>
      </c>
      <c r="I35" s="719" t="s">
        <v>21</v>
      </c>
      <c r="J35" s="719"/>
    </row>
    <row r="36" ht="20.1" customHeight="1" spans="1:10">
      <c r="A36" s="719">
        <v>34</v>
      </c>
      <c r="B36" s="719" t="s">
        <v>15</v>
      </c>
      <c r="C36" s="726" t="s">
        <v>1309</v>
      </c>
      <c r="D36" s="722" t="s">
        <v>1310</v>
      </c>
      <c r="E36" s="727">
        <v>467079.49</v>
      </c>
      <c r="F36" s="728">
        <v>45040</v>
      </c>
      <c r="G36" s="728"/>
      <c r="H36" s="725" t="s">
        <v>1275</v>
      </c>
      <c r="I36" s="719" t="s">
        <v>21</v>
      </c>
      <c r="J36" s="714"/>
    </row>
    <row r="37" ht="20.1" customHeight="1" spans="1:10">
      <c r="A37" s="719">
        <v>35</v>
      </c>
      <c r="B37" s="719" t="s">
        <v>15</v>
      </c>
      <c r="C37" s="726" t="s">
        <v>1311</v>
      </c>
      <c r="D37" s="722" t="s">
        <v>1310</v>
      </c>
      <c r="E37" s="727">
        <v>467698.19</v>
      </c>
      <c r="F37" s="728">
        <v>45040</v>
      </c>
      <c r="G37" s="728"/>
      <c r="H37" s="725" t="s">
        <v>1275</v>
      </c>
      <c r="I37" s="719" t="s">
        <v>21</v>
      </c>
      <c r="J37" s="714"/>
    </row>
    <row r="38" ht="20.1" customHeight="1" spans="1:10">
      <c r="A38" s="719">
        <v>36</v>
      </c>
      <c r="B38" s="719" t="s">
        <v>25</v>
      </c>
      <c r="C38" s="726" t="s">
        <v>1312</v>
      </c>
      <c r="D38" s="730"/>
      <c r="E38" s="727">
        <v>344858.34</v>
      </c>
      <c r="F38" s="728">
        <v>45040</v>
      </c>
      <c r="G38" s="728">
        <v>45104</v>
      </c>
      <c r="H38" s="725" t="s">
        <v>1275</v>
      </c>
      <c r="I38" s="719" t="s">
        <v>21</v>
      </c>
      <c r="J38" s="719"/>
    </row>
    <row r="39" ht="20.1" customHeight="1" spans="1:10">
      <c r="A39" s="719">
        <v>37</v>
      </c>
      <c r="B39" s="719" t="s">
        <v>75</v>
      </c>
      <c r="C39" s="726" t="s">
        <v>1313</v>
      </c>
      <c r="D39" s="722" t="s">
        <v>1274</v>
      </c>
      <c r="E39" s="727">
        <v>249661.47</v>
      </c>
      <c r="F39" s="728">
        <v>45040</v>
      </c>
      <c r="G39" s="728">
        <v>45281</v>
      </c>
      <c r="H39" s="725" t="s">
        <v>1275</v>
      </c>
      <c r="I39" s="719" t="s">
        <v>21</v>
      </c>
      <c r="J39" s="719"/>
    </row>
    <row r="40" ht="20.1" customHeight="1" spans="1:10">
      <c r="A40" s="719">
        <v>38</v>
      </c>
      <c r="B40" s="719" t="s">
        <v>22</v>
      </c>
      <c r="C40" s="726" t="s">
        <v>1314</v>
      </c>
      <c r="D40" s="730"/>
      <c r="E40" s="727">
        <v>402194.37</v>
      </c>
      <c r="F40" s="728">
        <v>45044</v>
      </c>
      <c r="G40" s="728">
        <v>45194</v>
      </c>
      <c r="H40" s="725"/>
      <c r="I40" s="720" t="s">
        <v>1289</v>
      </c>
      <c r="J40" s="719"/>
    </row>
    <row r="41" ht="20.1" customHeight="1" spans="1:10">
      <c r="A41" s="719">
        <v>39</v>
      </c>
      <c r="B41" s="719" t="s">
        <v>22</v>
      </c>
      <c r="C41" s="726" t="s">
        <v>1315</v>
      </c>
      <c r="D41" s="730"/>
      <c r="E41" s="727">
        <v>160410.13</v>
      </c>
      <c r="F41" s="728">
        <v>45045</v>
      </c>
      <c r="G41" s="728">
        <v>45170</v>
      </c>
      <c r="H41" s="725"/>
      <c r="I41" s="720" t="s">
        <v>1289</v>
      </c>
      <c r="J41" s="719"/>
    </row>
    <row r="42" ht="20.1" customHeight="1" spans="1:10">
      <c r="A42" s="719">
        <v>40</v>
      </c>
      <c r="B42" s="719" t="s">
        <v>75</v>
      </c>
      <c r="C42" s="726" t="s">
        <v>1316</v>
      </c>
      <c r="D42" s="722" t="s">
        <v>1274</v>
      </c>
      <c r="E42" s="727">
        <v>161475.56</v>
      </c>
      <c r="F42" s="728">
        <v>45054</v>
      </c>
      <c r="G42" s="728"/>
      <c r="H42" s="725" t="s">
        <v>1275</v>
      </c>
      <c r="I42" s="719" t="s">
        <v>21</v>
      </c>
      <c r="J42" s="714"/>
    </row>
    <row r="43" ht="20.1" customHeight="1" spans="1:10">
      <c r="A43" s="719">
        <v>41</v>
      </c>
      <c r="B43" s="719" t="s">
        <v>25</v>
      </c>
      <c r="C43" s="726" t="s">
        <v>1317</v>
      </c>
      <c r="D43" s="734"/>
      <c r="E43" s="727">
        <v>1248000</v>
      </c>
      <c r="F43" s="728">
        <v>45058</v>
      </c>
      <c r="G43" s="728">
        <v>45133</v>
      </c>
      <c r="H43" s="725" t="s">
        <v>1275</v>
      </c>
      <c r="I43" s="719" t="s">
        <v>21</v>
      </c>
      <c r="J43" s="719"/>
    </row>
    <row r="44" ht="20.1" customHeight="1" spans="1:10">
      <c r="A44" s="719">
        <v>42</v>
      </c>
      <c r="B44" s="719" t="s">
        <v>233</v>
      </c>
      <c r="C44" s="726" t="s">
        <v>1318</v>
      </c>
      <c r="D44" s="732" t="s">
        <v>1277</v>
      </c>
      <c r="E44" s="727">
        <v>874700.38</v>
      </c>
      <c r="F44" s="728">
        <v>45062</v>
      </c>
      <c r="G44" s="728">
        <v>45411</v>
      </c>
      <c r="H44" s="725"/>
      <c r="I44" s="719" t="s">
        <v>21</v>
      </c>
      <c r="J44" s="719"/>
    </row>
    <row r="45" ht="20.1" customHeight="1" spans="1:10">
      <c r="A45" s="719">
        <v>43</v>
      </c>
      <c r="B45" s="719" t="s">
        <v>15</v>
      </c>
      <c r="C45" s="726" t="s">
        <v>1319</v>
      </c>
      <c r="D45" s="722" t="s">
        <v>1310</v>
      </c>
      <c r="E45" s="727">
        <v>772523.14</v>
      </c>
      <c r="F45" s="728">
        <v>45064</v>
      </c>
      <c r="G45" s="728">
        <v>45181</v>
      </c>
      <c r="H45" s="725" t="s">
        <v>1275</v>
      </c>
      <c r="I45" s="719" t="s">
        <v>21</v>
      </c>
      <c r="J45" s="719"/>
    </row>
    <row r="46" ht="20.1" customHeight="1" spans="1:10">
      <c r="A46" s="719">
        <v>44</v>
      </c>
      <c r="B46" s="720" t="s">
        <v>28</v>
      </c>
      <c r="C46" s="721" t="s">
        <v>1320</v>
      </c>
      <c r="D46" s="729"/>
      <c r="E46" s="727">
        <v>4029750</v>
      </c>
      <c r="F46" s="728">
        <v>45064</v>
      </c>
      <c r="G46" s="728">
        <v>45561</v>
      </c>
      <c r="H46" s="725"/>
      <c r="I46" s="720" t="s">
        <v>1289</v>
      </c>
      <c r="J46" s="714"/>
    </row>
    <row r="47" ht="20.1" customHeight="1" spans="1:10">
      <c r="A47" s="719">
        <v>45</v>
      </c>
      <c r="B47" s="719" t="s">
        <v>228</v>
      </c>
      <c r="C47" s="726" t="s">
        <v>1279</v>
      </c>
      <c r="D47" s="732" t="s">
        <v>1277</v>
      </c>
      <c r="E47" s="727">
        <v>150838.35</v>
      </c>
      <c r="F47" s="728">
        <v>45065</v>
      </c>
      <c r="G47" s="728"/>
      <c r="H47" s="725" t="s">
        <v>1275</v>
      </c>
      <c r="I47" s="719" t="s">
        <v>21</v>
      </c>
      <c r="J47" s="714"/>
    </row>
    <row r="48" ht="20.1" customHeight="1" spans="1:10">
      <c r="A48" s="719">
        <v>46</v>
      </c>
      <c r="B48" s="719" t="s">
        <v>22</v>
      </c>
      <c r="C48" s="726" t="s">
        <v>1321</v>
      </c>
      <c r="D48" s="730"/>
      <c r="E48" s="727">
        <v>159359.07</v>
      </c>
      <c r="F48" s="728">
        <v>45068</v>
      </c>
      <c r="G48" s="728">
        <v>45170</v>
      </c>
      <c r="H48" s="725"/>
      <c r="I48" s="720" t="s">
        <v>1289</v>
      </c>
      <c r="J48" s="719"/>
    </row>
    <row r="49" ht="20.1" customHeight="1" spans="1:10">
      <c r="A49" s="719">
        <v>47</v>
      </c>
      <c r="B49" s="719" t="s">
        <v>15</v>
      </c>
      <c r="C49" s="726" t="s">
        <v>1322</v>
      </c>
      <c r="D49" s="722" t="s">
        <v>1310</v>
      </c>
      <c r="E49" s="727">
        <v>403798.96</v>
      </c>
      <c r="F49" s="728">
        <v>45068</v>
      </c>
      <c r="G49" s="728">
        <v>45197</v>
      </c>
      <c r="H49" s="725" t="s">
        <v>1275</v>
      </c>
      <c r="I49" s="719" t="s">
        <v>21</v>
      </c>
      <c r="J49" s="719"/>
    </row>
    <row r="50" ht="20.1" customHeight="1" spans="1:10">
      <c r="A50" s="719">
        <v>48</v>
      </c>
      <c r="B50" s="719" t="s">
        <v>102</v>
      </c>
      <c r="C50" s="726" t="s">
        <v>1323</v>
      </c>
      <c r="D50" s="722"/>
      <c r="E50" s="727">
        <v>175567.65</v>
      </c>
      <c r="F50" s="728">
        <v>45072</v>
      </c>
      <c r="G50" s="728">
        <v>45549</v>
      </c>
      <c r="H50" s="725"/>
      <c r="I50" s="720" t="s">
        <v>1272</v>
      </c>
      <c r="J50" s="719"/>
    </row>
    <row r="51" ht="20.1" customHeight="1" spans="1:10">
      <c r="A51" s="719">
        <v>49</v>
      </c>
      <c r="B51" s="719" t="s">
        <v>15</v>
      </c>
      <c r="C51" s="726" t="s">
        <v>1324</v>
      </c>
      <c r="D51" s="722" t="s">
        <v>1310</v>
      </c>
      <c r="E51" s="727">
        <v>401253.89</v>
      </c>
      <c r="F51" s="728">
        <v>45076</v>
      </c>
      <c r="G51" s="728">
        <v>45197</v>
      </c>
      <c r="H51" s="725" t="s">
        <v>1275</v>
      </c>
      <c r="I51" s="719" t="s">
        <v>21</v>
      </c>
      <c r="J51" s="719"/>
    </row>
    <row r="52" ht="20.1" customHeight="1" spans="1:10">
      <c r="A52" s="719">
        <v>50</v>
      </c>
      <c r="B52" s="719" t="s">
        <v>15</v>
      </c>
      <c r="C52" s="726" t="s">
        <v>1325</v>
      </c>
      <c r="D52" s="722" t="s">
        <v>1310</v>
      </c>
      <c r="E52" s="727">
        <v>2107654.88</v>
      </c>
      <c r="F52" s="728">
        <v>45089</v>
      </c>
      <c r="G52" s="728">
        <v>45197</v>
      </c>
      <c r="H52" s="725" t="s">
        <v>1275</v>
      </c>
      <c r="I52" s="719" t="s">
        <v>21</v>
      </c>
      <c r="J52" s="719"/>
    </row>
    <row r="53" ht="20.1" customHeight="1" spans="1:10">
      <c r="A53" s="719">
        <v>51</v>
      </c>
      <c r="B53" s="719" t="s">
        <v>75</v>
      </c>
      <c r="C53" s="726" t="s">
        <v>1326</v>
      </c>
      <c r="D53" s="722" t="s">
        <v>1274</v>
      </c>
      <c r="E53" s="727">
        <v>118919.88</v>
      </c>
      <c r="F53" s="728">
        <v>45091</v>
      </c>
      <c r="G53" s="728">
        <v>45282</v>
      </c>
      <c r="H53" s="725" t="s">
        <v>1275</v>
      </c>
      <c r="I53" s="719" t="s">
        <v>21</v>
      </c>
      <c r="J53" s="719"/>
    </row>
    <row r="54" ht="20.1" customHeight="1" spans="1:10">
      <c r="A54" s="719">
        <v>52</v>
      </c>
      <c r="B54" s="719" t="s">
        <v>15</v>
      </c>
      <c r="C54" s="726" t="s">
        <v>1327</v>
      </c>
      <c r="D54" s="722" t="s">
        <v>1310</v>
      </c>
      <c r="E54" s="727">
        <v>559999.67</v>
      </c>
      <c r="F54" s="728">
        <v>45092</v>
      </c>
      <c r="G54" s="728">
        <v>45197</v>
      </c>
      <c r="H54" s="725" t="s">
        <v>1275</v>
      </c>
      <c r="I54" s="719" t="s">
        <v>21</v>
      </c>
      <c r="J54" s="719"/>
    </row>
    <row r="55" ht="20.1" customHeight="1" spans="1:10">
      <c r="A55" s="719">
        <v>53</v>
      </c>
      <c r="B55" s="719" t="s">
        <v>75</v>
      </c>
      <c r="C55" s="726" t="s">
        <v>1328</v>
      </c>
      <c r="D55" s="722" t="s">
        <v>1274</v>
      </c>
      <c r="E55" s="727">
        <v>86819.72</v>
      </c>
      <c r="F55" s="728">
        <v>45096</v>
      </c>
      <c r="G55" s="728">
        <v>45105</v>
      </c>
      <c r="H55" s="725" t="s">
        <v>1275</v>
      </c>
      <c r="I55" s="719" t="s">
        <v>21</v>
      </c>
      <c r="J55" s="719"/>
    </row>
    <row r="56" ht="20.1" customHeight="1" spans="1:10">
      <c r="A56" s="719">
        <v>54</v>
      </c>
      <c r="B56" s="719" t="s">
        <v>22</v>
      </c>
      <c r="C56" s="726" t="s">
        <v>1329</v>
      </c>
      <c r="D56" s="730"/>
      <c r="E56" s="727">
        <v>911215.09</v>
      </c>
      <c r="F56" s="728">
        <v>45098</v>
      </c>
      <c r="G56" s="728">
        <v>45191</v>
      </c>
      <c r="H56" s="725"/>
      <c r="I56" s="720" t="s">
        <v>1289</v>
      </c>
      <c r="J56" s="719"/>
    </row>
    <row r="57" ht="20.1" customHeight="1" spans="1:10">
      <c r="A57" s="719">
        <v>55</v>
      </c>
      <c r="B57" s="719" t="s">
        <v>15</v>
      </c>
      <c r="C57" s="726" t="s">
        <v>1330</v>
      </c>
      <c r="D57" s="722" t="s">
        <v>1310</v>
      </c>
      <c r="E57" s="727">
        <v>401410.83</v>
      </c>
      <c r="F57" s="728">
        <v>45102</v>
      </c>
      <c r="G57" s="728">
        <v>45197</v>
      </c>
      <c r="H57" s="725" t="s">
        <v>1275</v>
      </c>
      <c r="I57" s="719" t="s">
        <v>21</v>
      </c>
      <c r="J57" s="719"/>
    </row>
    <row r="58" ht="20.1" customHeight="1" spans="1:10">
      <c r="A58" s="719">
        <v>56</v>
      </c>
      <c r="B58" s="720" t="s">
        <v>102</v>
      </c>
      <c r="C58" s="735" t="s">
        <v>1331</v>
      </c>
      <c r="D58" s="722"/>
      <c r="E58" s="736">
        <v>2109785.68</v>
      </c>
      <c r="F58" s="728">
        <v>45103</v>
      </c>
      <c r="G58" s="728">
        <v>45549</v>
      </c>
      <c r="H58" s="737"/>
      <c r="I58" s="720" t="s">
        <v>1272</v>
      </c>
      <c r="J58" s="738"/>
    </row>
    <row r="59" ht="20.1" customHeight="1" spans="1:10">
      <c r="A59" s="719">
        <v>57</v>
      </c>
      <c r="B59" s="739" t="s">
        <v>75</v>
      </c>
      <c r="C59" s="735" t="s">
        <v>1332</v>
      </c>
      <c r="D59" s="722" t="s">
        <v>1274</v>
      </c>
      <c r="E59" s="736">
        <v>474044.29</v>
      </c>
      <c r="F59" s="728">
        <v>45104</v>
      </c>
      <c r="G59" s="728">
        <v>45273</v>
      </c>
      <c r="H59" s="737"/>
      <c r="I59" s="720" t="s">
        <v>1333</v>
      </c>
      <c r="J59" s="738" t="s">
        <v>1334</v>
      </c>
    </row>
    <row r="60" ht="20.1" customHeight="1" spans="1:10">
      <c r="A60" s="719">
        <v>58</v>
      </c>
      <c r="B60" s="739" t="s">
        <v>75</v>
      </c>
      <c r="C60" s="735" t="s">
        <v>1335</v>
      </c>
      <c r="D60" s="722" t="s">
        <v>1274</v>
      </c>
      <c r="E60" s="736">
        <v>2803823.43</v>
      </c>
      <c r="F60" s="728">
        <v>45104</v>
      </c>
      <c r="G60" s="728">
        <v>45273</v>
      </c>
      <c r="H60" s="737"/>
      <c r="I60" s="720" t="s">
        <v>1333</v>
      </c>
      <c r="J60" s="738" t="s">
        <v>1334</v>
      </c>
    </row>
    <row r="61" ht="20.1" customHeight="1" spans="1:10">
      <c r="A61" s="719">
        <v>59</v>
      </c>
      <c r="B61" s="720" t="s">
        <v>102</v>
      </c>
      <c r="C61" s="721" t="s">
        <v>1336</v>
      </c>
      <c r="D61" s="730"/>
      <c r="E61" s="727">
        <v>1183879.86</v>
      </c>
      <c r="F61" s="728">
        <v>45104</v>
      </c>
      <c r="G61" s="728">
        <v>45189</v>
      </c>
      <c r="H61" s="725"/>
      <c r="I61" s="720" t="s">
        <v>1272</v>
      </c>
      <c r="J61" s="714"/>
    </row>
    <row r="62" ht="20.1" customHeight="1" spans="1:10">
      <c r="A62" s="719">
        <v>60</v>
      </c>
      <c r="B62" s="719" t="s">
        <v>57</v>
      </c>
      <c r="C62" s="726" t="s">
        <v>1337</v>
      </c>
      <c r="D62" s="730"/>
      <c r="E62" s="727">
        <v>592428.29</v>
      </c>
      <c r="F62" s="728">
        <v>45105</v>
      </c>
      <c r="G62" s="728"/>
      <c r="H62" s="725" t="s">
        <v>1275</v>
      </c>
      <c r="I62" s="719" t="s">
        <v>21</v>
      </c>
      <c r="J62" s="714"/>
    </row>
    <row r="63" ht="20.1" customHeight="1" spans="1:10">
      <c r="A63" s="719">
        <v>61</v>
      </c>
      <c r="B63" s="719" t="s">
        <v>75</v>
      </c>
      <c r="C63" s="726" t="s">
        <v>1338</v>
      </c>
      <c r="D63" s="740" t="s">
        <v>1274</v>
      </c>
      <c r="E63" s="727">
        <v>668597.79</v>
      </c>
      <c r="F63" s="728">
        <v>45105</v>
      </c>
      <c r="G63" s="728">
        <v>45281</v>
      </c>
      <c r="H63" s="725" t="s">
        <v>1275</v>
      </c>
      <c r="I63" s="719" t="s">
        <v>21</v>
      </c>
      <c r="J63" s="719"/>
    </row>
    <row r="64" s="698" customFormat="1" ht="20.1" customHeight="1" spans="1:10">
      <c r="A64" s="719">
        <v>62</v>
      </c>
      <c r="B64" s="719" t="s">
        <v>1339</v>
      </c>
      <c r="C64" s="726" t="s">
        <v>1340</v>
      </c>
      <c r="D64" s="729" t="s">
        <v>1277</v>
      </c>
      <c r="E64" s="727">
        <v>1316298.57</v>
      </c>
      <c r="F64" s="728">
        <v>45107</v>
      </c>
      <c r="G64" s="728">
        <v>45184</v>
      </c>
      <c r="H64" s="725"/>
      <c r="I64" s="720" t="s">
        <v>1272</v>
      </c>
      <c r="J64" s="719"/>
    </row>
    <row r="65" s="698" customFormat="1" ht="20.1" customHeight="1" spans="1:10">
      <c r="A65" s="719">
        <v>63</v>
      </c>
      <c r="B65" s="719" t="s">
        <v>228</v>
      </c>
      <c r="C65" s="726" t="s">
        <v>1341</v>
      </c>
      <c r="D65" s="732" t="s">
        <v>1277</v>
      </c>
      <c r="E65" s="727">
        <v>2019017.28</v>
      </c>
      <c r="F65" s="728">
        <v>45119</v>
      </c>
      <c r="G65" s="728">
        <v>45405</v>
      </c>
      <c r="H65" s="725" t="s">
        <v>1275</v>
      </c>
      <c r="I65" s="719" t="s">
        <v>21</v>
      </c>
      <c r="J65" s="719"/>
    </row>
    <row r="66" s="698" customFormat="1" ht="20.1" customHeight="1" spans="1:10">
      <c r="A66" s="719">
        <v>64</v>
      </c>
      <c r="B66" s="719" t="s">
        <v>22</v>
      </c>
      <c r="C66" s="726" t="s">
        <v>1342</v>
      </c>
      <c r="D66" s="730"/>
      <c r="E66" s="727">
        <v>636148.38</v>
      </c>
      <c r="F66" s="728">
        <v>45125</v>
      </c>
      <c r="G66" s="728">
        <v>45139</v>
      </c>
      <c r="H66" s="725"/>
      <c r="I66" s="720" t="s">
        <v>1289</v>
      </c>
      <c r="J66" s="719"/>
    </row>
    <row r="67" ht="20.1" customHeight="1" spans="1:10">
      <c r="A67" s="719">
        <v>65</v>
      </c>
      <c r="B67" s="719" t="s">
        <v>582</v>
      </c>
      <c r="C67" s="726" t="s">
        <v>1343</v>
      </c>
      <c r="D67" s="730"/>
      <c r="E67" s="727">
        <v>191739.2</v>
      </c>
      <c r="F67" s="728">
        <v>45126</v>
      </c>
      <c r="G67" s="728">
        <v>45303</v>
      </c>
      <c r="H67" s="725" t="s">
        <v>1275</v>
      </c>
      <c r="I67" s="719" t="s">
        <v>55</v>
      </c>
      <c r="J67" s="719" t="s">
        <v>1344</v>
      </c>
    </row>
    <row r="68" ht="20.1" customHeight="1" spans="1:10">
      <c r="A68" s="719">
        <v>66</v>
      </c>
      <c r="B68" s="719" t="s">
        <v>57</v>
      </c>
      <c r="C68" s="726" t="s">
        <v>1345</v>
      </c>
      <c r="D68" s="730"/>
      <c r="E68" s="727">
        <v>622369.5</v>
      </c>
      <c r="F68" s="728">
        <v>45126</v>
      </c>
      <c r="G68" s="728">
        <v>45303</v>
      </c>
      <c r="H68" s="725"/>
      <c r="I68" s="741" t="s">
        <v>1272</v>
      </c>
      <c r="J68" s="719"/>
    </row>
    <row r="69" s="699" customFormat="1" ht="20.1" customHeight="1" spans="1:10">
      <c r="A69" s="719">
        <v>67</v>
      </c>
      <c r="B69" s="719" t="s">
        <v>57</v>
      </c>
      <c r="C69" s="742" t="s">
        <v>1346</v>
      </c>
      <c r="D69" s="730"/>
      <c r="E69" s="743">
        <v>362494.8</v>
      </c>
      <c r="F69" s="728">
        <v>45129</v>
      </c>
      <c r="G69" s="728">
        <v>45306</v>
      </c>
      <c r="H69" s="725"/>
      <c r="I69" s="741" t="s">
        <v>1272</v>
      </c>
      <c r="J69" s="719"/>
    </row>
    <row r="70" s="698" customFormat="1" ht="20.1" customHeight="1" spans="1:10">
      <c r="A70" s="719">
        <v>68</v>
      </c>
      <c r="B70" s="720" t="s">
        <v>233</v>
      </c>
      <c r="C70" s="744" t="s">
        <v>1347</v>
      </c>
      <c r="D70" s="722"/>
      <c r="E70" s="745">
        <v>403800</v>
      </c>
      <c r="F70" s="746">
        <v>45130</v>
      </c>
      <c r="G70" s="746">
        <v>45450</v>
      </c>
      <c r="H70" s="747" t="s">
        <v>1348</v>
      </c>
      <c r="I70" s="720" t="s">
        <v>1289</v>
      </c>
      <c r="J70" s="719"/>
    </row>
    <row r="71" s="698" customFormat="1" ht="20.1" customHeight="1" spans="1:10">
      <c r="A71" s="719">
        <v>69</v>
      </c>
      <c r="B71" s="719" t="s">
        <v>28</v>
      </c>
      <c r="C71" s="726" t="s">
        <v>1349</v>
      </c>
      <c r="D71" s="722" t="s">
        <v>1274</v>
      </c>
      <c r="E71" s="727">
        <v>933104.07</v>
      </c>
      <c r="F71" s="728">
        <v>45132</v>
      </c>
      <c r="G71" s="728">
        <v>45280</v>
      </c>
      <c r="H71" s="725" t="s">
        <v>1275</v>
      </c>
      <c r="I71" s="719" t="s">
        <v>55</v>
      </c>
      <c r="J71" s="719" t="s">
        <v>1350</v>
      </c>
    </row>
    <row r="72" ht="20.1" customHeight="1" spans="1:10">
      <c r="A72" s="719">
        <v>70</v>
      </c>
      <c r="B72" s="719" t="s">
        <v>28</v>
      </c>
      <c r="C72" s="726" t="s">
        <v>1351</v>
      </c>
      <c r="D72" s="722" t="s">
        <v>1274</v>
      </c>
      <c r="E72" s="727">
        <v>2000140.68</v>
      </c>
      <c r="F72" s="728">
        <v>45134</v>
      </c>
      <c r="G72" s="728">
        <v>45280</v>
      </c>
      <c r="H72" s="725" t="s">
        <v>1275</v>
      </c>
      <c r="I72" s="720" t="s">
        <v>1289</v>
      </c>
      <c r="J72" s="748" t="s">
        <v>1352</v>
      </c>
    </row>
    <row r="73" ht="20.1" customHeight="1" spans="1:10">
      <c r="A73" s="719">
        <v>71</v>
      </c>
      <c r="B73" s="739" t="s">
        <v>75</v>
      </c>
      <c r="C73" s="735" t="s">
        <v>1353</v>
      </c>
      <c r="D73" s="722" t="s">
        <v>1274</v>
      </c>
      <c r="E73" s="736">
        <v>4013851.58</v>
      </c>
      <c r="F73" s="728">
        <v>45139</v>
      </c>
      <c r="G73" s="728">
        <v>45273</v>
      </c>
      <c r="H73" s="737"/>
      <c r="I73" s="720" t="s">
        <v>1333</v>
      </c>
      <c r="J73" s="738" t="s">
        <v>1334</v>
      </c>
    </row>
    <row r="74" ht="20.1" customHeight="1" spans="1:10">
      <c r="A74" s="719">
        <v>72</v>
      </c>
      <c r="B74" s="719" t="s">
        <v>75</v>
      </c>
      <c r="C74" s="726" t="s">
        <v>365</v>
      </c>
      <c r="D74" s="722" t="s">
        <v>1274</v>
      </c>
      <c r="E74" s="727">
        <v>48329.2</v>
      </c>
      <c r="F74" s="728">
        <v>45147</v>
      </c>
      <c r="G74" s="728">
        <v>45173</v>
      </c>
      <c r="H74" s="725" t="s">
        <v>1275</v>
      </c>
      <c r="I74" s="719" t="s">
        <v>21</v>
      </c>
      <c r="J74" s="719"/>
    </row>
    <row r="75" ht="20.1" customHeight="1" spans="1:10">
      <c r="A75" s="719">
        <v>73</v>
      </c>
      <c r="B75" s="719" t="s">
        <v>57</v>
      </c>
      <c r="C75" s="726" t="s">
        <v>1354</v>
      </c>
      <c r="D75" s="730"/>
      <c r="E75" s="727">
        <v>3823821.06</v>
      </c>
      <c r="F75" s="728">
        <v>45147</v>
      </c>
      <c r="G75" s="728">
        <v>45323</v>
      </c>
      <c r="H75" s="725"/>
      <c r="I75" s="741" t="s">
        <v>1272</v>
      </c>
      <c r="J75" s="719"/>
    </row>
    <row r="76" ht="20.1" customHeight="1" spans="1:10">
      <c r="A76" s="719">
        <v>74</v>
      </c>
      <c r="B76" s="719" t="s">
        <v>57</v>
      </c>
      <c r="C76" s="726" t="s">
        <v>1355</v>
      </c>
      <c r="D76" s="730"/>
      <c r="E76" s="727">
        <v>3191244.28</v>
      </c>
      <c r="F76" s="728">
        <v>45147</v>
      </c>
      <c r="G76" s="728">
        <v>45326</v>
      </c>
      <c r="H76" s="725"/>
      <c r="I76" s="741" t="s">
        <v>1272</v>
      </c>
      <c r="J76" s="719"/>
    </row>
    <row r="77" ht="20.1" customHeight="1" spans="1:10">
      <c r="A77" s="719">
        <v>75</v>
      </c>
      <c r="B77" s="719" t="s">
        <v>28</v>
      </c>
      <c r="C77" s="726" t="s">
        <v>1356</v>
      </c>
      <c r="D77" s="722" t="s">
        <v>1274</v>
      </c>
      <c r="E77" s="727">
        <v>1701116.26</v>
      </c>
      <c r="F77" s="728">
        <v>45156</v>
      </c>
      <c r="G77" s="728">
        <v>45280</v>
      </c>
      <c r="H77" s="725" t="s">
        <v>1275</v>
      </c>
      <c r="I77" s="720" t="s">
        <v>1289</v>
      </c>
      <c r="J77" s="720" t="s">
        <v>1352</v>
      </c>
    </row>
    <row r="78" ht="20.1" customHeight="1" spans="1:10">
      <c r="A78" s="719">
        <v>76</v>
      </c>
      <c r="B78" s="720" t="s">
        <v>28</v>
      </c>
      <c r="C78" s="721" t="s">
        <v>1357</v>
      </c>
      <c r="D78" s="730"/>
      <c r="E78" s="727">
        <v>1176068.93</v>
      </c>
      <c r="F78" s="728">
        <v>45156</v>
      </c>
      <c r="G78" s="728">
        <v>45582</v>
      </c>
      <c r="H78" s="725"/>
      <c r="I78" s="720" t="s">
        <v>120</v>
      </c>
      <c r="J78" s="719"/>
    </row>
    <row r="79" ht="20.1" customHeight="1" spans="1:10">
      <c r="A79" s="719">
        <v>77</v>
      </c>
      <c r="B79" s="719" t="s">
        <v>57</v>
      </c>
      <c r="C79" s="726" t="s">
        <v>50</v>
      </c>
      <c r="D79" s="730"/>
      <c r="E79" s="727">
        <v>2662714.31</v>
      </c>
      <c r="F79" s="728">
        <v>45156</v>
      </c>
      <c r="G79" s="728">
        <v>45328</v>
      </c>
      <c r="H79" s="725"/>
      <c r="I79" s="741" t="s">
        <v>1272</v>
      </c>
      <c r="J79" s="719"/>
    </row>
    <row r="80" ht="20.1" customHeight="1" spans="1:10">
      <c r="A80" s="719">
        <v>78</v>
      </c>
      <c r="B80" s="719" t="s">
        <v>25</v>
      </c>
      <c r="C80" s="726" t="s">
        <v>1358</v>
      </c>
      <c r="D80" s="730"/>
      <c r="E80" s="727">
        <v>2928213.71</v>
      </c>
      <c r="F80" s="728">
        <v>45159</v>
      </c>
      <c r="G80" s="728">
        <v>45226</v>
      </c>
      <c r="H80" s="725" t="s">
        <v>1275</v>
      </c>
      <c r="I80" s="719" t="s">
        <v>21</v>
      </c>
      <c r="J80" s="719"/>
    </row>
    <row r="81" ht="20.1" customHeight="1" spans="1:10">
      <c r="A81" s="719">
        <v>79</v>
      </c>
      <c r="B81" s="719" t="s">
        <v>25</v>
      </c>
      <c r="C81" s="726" t="s">
        <v>1359</v>
      </c>
      <c r="D81" s="730"/>
      <c r="E81" s="727">
        <v>1654488.12</v>
      </c>
      <c r="F81" s="728">
        <v>45159</v>
      </c>
      <c r="G81" s="728">
        <v>45226</v>
      </c>
      <c r="H81" s="725" t="s">
        <v>1275</v>
      </c>
      <c r="I81" s="719" t="s">
        <v>21</v>
      </c>
      <c r="J81" s="719"/>
    </row>
    <row r="82" ht="20.1" customHeight="1" spans="1:10">
      <c r="A82" s="719">
        <v>80</v>
      </c>
      <c r="B82" s="719" t="s">
        <v>57</v>
      </c>
      <c r="C82" s="726" t="s">
        <v>1360</v>
      </c>
      <c r="D82" s="730"/>
      <c r="E82" s="727">
        <v>769026.03</v>
      </c>
      <c r="F82" s="728">
        <v>45160</v>
      </c>
      <c r="G82" s="728">
        <v>45328</v>
      </c>
      <c r="H82" s="725"/>
      <c r="I82" s="741" t="s">
        <v>1272</v>
      </c>
      <c r="J82" s="719"/>
    </row>
    <row r="83" ht="20.1" customHeight="1" spans="1:10">
      <c r="A83" s="719">
        <v>81</v>
      </c>
      <c r="B83" s="720" t="s">
        <v>102</v>
      </c>
      <c r="C83" s="721" t="s">
        <v>1361</v>
      </c>
      <c r="D83" s="730"/>
      <c r="E83" s="727">
        <v>2907303.28</v>
      </c>
      <c r="F83" s="728">
        <v>45162</v>
      </c>
      <c r="G83" s="728">
        <v>45549</v>
      </c>
      <c r="H83" s="725"/>
      <c r="I83" s="720" t="s">
        <v>1272</v>
      </c>
      <c r="J83" s="719"/>
    </row>
    <row r="84" ht="20.1" customHeight="1" spans="1:10">
      <c r="A84" s="719">
        <v>82</v>
      </c>
      <c r="B84" s="720" t="s">
        <v>102</v>
      </c>
      <c r="C84" s="721" t="s">
        <v>1362</v>
      </c>
      <c r="D84" s="730"/>
      <c r="E84" s="727">
        <v>310914.12</v>
      </c>
      <c r="F84" s="728">
        <v>45162</v>
      </c>
      <c r="G84" s="728">
        <v>45549</v>
      </c>
      <c r="H84" s="725"/>
      <c r="I84" s="720" t="s">
        <v>1272</v>
      </c>
      <c r="J84" s="719"/>
    </row>
    <row r="85" ht="20.1" customHeight="1" spans="1:10">
      <c r="A85" s="719">
        <v>83</v>
      </c>
      <c r="B85" s="719" t="s">
        <v>22</v>
      </c>
      <c r="C85" s="726" t="s">
        <v>1293</v>
      </c>
      <c r="D85" s="730"/>
      <c r="E85" s="727">
        <v>1768302</v>
      </c>
      <c r="F85" s="728">
        <v>45168</v>
      </c>
      <c r="G85" s="728">
        <v>45191</v>
      </c>
      <c r="H85" s="725"/>
      <c r="I85" s="720" t="s">
        <v>1289</v>
      </c>
      <c r="J85" s="719"/>
    </row>
    <row r="86" ht="20.1" customHeight="1" spans="1:10">
      <c r="A86" s="719">
        <v>84</v>
      </c>
      <c r="B86" s="719" t="s">
        <v>57</v>
      </c>
      <c r="C86" s="726" t="s">
        <v>1363</v>
      </c>
      <c r="D86" s="730"/>
      <c r="E86" s="727">
        <v>361496.16</v>
      </c>
      <c r="F86" s="728">
        <v>45168</v>
      </c>
      <c r="G86" s="728">
        <v>45328</v>
      </c>
      <c r="H86" s="725"/>
      <c r="I86" s="720" t="s">
        <v>1272</v>
      </c>
      <c r="J86" s="719"/>
    </row>
    <row r="87" ht="20.1" customHeight="1" spans="1:10">
      <c r="A87" s="719">
        <v>85</v>
      </c>
      <c r="B87" s="719" t="s">
        <v>22</v>
      </c>
      <c r="C87" s="726" t="s">
        <v>1364</v>
      </c>
      <c r="D87" s="730"/>
      <c r="E87" s="727">
        <v>480000</v>
      </c>
      <c r="F87" s="728">
        <v>45169</v>
      </c>
      <c r="G87" s="728">
        <v>45191</v>
      </c>
      <c r="H87" s="725"/>
      <c r="I87" s="720" t="s">
        <v>1289</v>
      </c>
      <c r="J87" s="719"/>
    </row>
    <row r="88" ht="20.1" customHeight="1" spans="1:10">
      <c r="A88" s="719">
        <v>86</v>
      </c>
      <c r="B88" s="739" t="s">
        <v>75</v>
      </c>
      <c r="C88" s="735" t="s">
        <v>1365</v>
      </c>
      <c r="D88" s="740" t="s">
        <v>1274</v>
      </c>
      <c r="E88" s="736">
        <v>1381761.58</v>
      </c>
      <c r="F88" s="728">
        <v>45184</v>
      </c>
      <c r="G88" s="728">
        <v>45273</v>
      </c>
      <c r="H88" s="725" t="s">
        <v>1275</v>
      </c>
      <c r="I88" s="719" t="s">
        <v>21</v>
      </c>
      <c r="J88" s="738"/>
    </row>
    <row r="89" ht="20.1" customHeight="1" spans="1:10">
      <c r="A89" s="719">
        <v>87</v>
      </c>
      <c r="B89" s="719" t="s">
        <v>228</v>
      </c>
      <c r="C89" s="726" t="s">
        <v>1366</v>
      </c>
      <c r="D89" s="732" t="s">
        <v>1277</v>
      </c>
      <c r="E89" s="727">
        <v>1701908.02</v>
      </c>
      <c r="F89" s="728">
        <v>45188</v>
      </c>
      <c r="G89" s="728">
        <v>45405</v>
      </c>
      <c r="H89" s="725" t="s">
        <v>1275</v>
      </c>
      <c r="I89" s="719" t="s">
        <v>21</v>
      </c>
      <c r="J89" s="719"/>
    </row>
    <row r="90" ht="20.1" customHeight="1" spans="1:10">
      <c r="A90" s="719">
        <v>88</v>
      </c>
      <c r="B90" s="719" t="s">
        <v>15</v>
      </c>
      <c r="C90" s="726" t="s">
        <v>1367</v>
      </c>
      <c r="D90" s="722" t="s">
        <v>1310</v>
      </c>
      <c r="E90" s="727">
        <v>805016.64</v>
      </c>
      <c r="F90" s="728">
        <v>45190</v>
      </c>
      <c r="G90" s="728">
        <v>45260</v>
      </c>
      <c r="H90" s="725" t="s">
        <v>1275</v>
      </c>
      <c r="I90" s="719" t="s">
        <v>21</v>
      </c>
      <c r="J90" s="719"/>
    </row>
    <row r="91" ht="20.1" customHeight="1" spans="1:10">
      <c r="A91" s="719">
        <v>89</v>
      </c>
      <c r="B91" s="719" t="s">
        <v>15</v>
      </c>
      <c r="C91" s="726" t="s">
        <v>1368</v>
      </c>
      <c r="D91" s="722" t="s">
        <v>1310</v>
      </c>
      <c r="E91" s="727">
        <v>261709.06</v>
      </c>
      <c r="F91" s="728">
        <v>45190</v>
      </c>
      <c r="G91" s="728">
        <v>45260</v>
      </c>
      <c r="H91" s="725" t="s">
        <v>1275</v>
      </c>
      <c r="I91" s="719" t="s">
        <v>21</v>
      </c>
      <c r="J91" s="719"/>
    </row>
    <row r="92" ht="20.1" customHeight="1" spans="1:10">
      <c r="A92" s="719">
        <v>90</v>
      </c>
      <c r="B92" s="719" t="s">
        <v>15</v>
      </c>
      <c r="C92" s="726" t="s">
        <v>1369</v>
      </c>
      <c r="D92" s="722" t="s">
        <v>1310</v>
      </c>
      <c r="E92" s="727">
        <v>807515.55</v>
      </c>
      <c r="F92" s="728">
        <v>45190</v>
      </c>
      <c r="G92" s="728">
        <v>45260</v>
      </c>
      <c r="H92" s="725" t="s">
        <v>1275</v>
      </c>
      <c r="I92" s="719" t="s">
        <v>21</v>
      </c>
      <c r="J92" s="719"/>
    </row>
    <row r="93" ht="20.1" customHeight="1" spans="1:10">
      <c r="A93" s="719">
        <v>91</v>
      </c>
      <c r="B93" s="719" t="s">
        <v>15</v>
      </c>
      <c r="C93" s="726" t="s">
        <v>1370</v>
      </c>
      <c r="D93" s="722" t="s">
        <v>1310</v>
      </c>
      <c r="E93" s="727">
        <v>323006.22</v>
      </c>
      <c r="F93" s="728">
        <v>45190</v>
      </c>
      <c r="G93" s="728">
        <v>45260</v>
      </c>
      <c r="H93" s="725" t="s">
        <v>1275</v>
      </c>
      <c r="I93" s="719" t="s">
        <v>21</v>
      </c>
      <c r="J93" s="719"/>
    </row>
    <row r="94" ht="20.1" customHeight="1" spans="1:10">
      <c r="A94" s="719">
        <v>92</v>
      </c>
      <c r="B94" s="719" t="s">
        <v>75</v>
      </c>
      <c r="C94" s="726" t="s">
        <v>1371</v>
      </c>
      <c r="D94" s="722" t="s">
        <v>1274</v>
      </c>
      <c r="E94" s="727">
        <v>119698.03</v>
      </c>
      <c r="F94" s="728">
        <v>45191</v>
      </c>
      <c r="G94" s="728">
        <v>45260</v>
      </c>
      <c r="H94" s="725" t="s">
        <v>1275</v>
      </c>
      <c r="I94" s="719" t="s">
        <v>21</v>
      </c>
      <c r="J94" s="719"/>
    </row>
    <row r="95" ht="20.1" customHeight="1" spans="1:10">
      <c r="A95" s="719">
        <v>93</v>
      </c>
      <c r="B95" s="719" t="s">
        <v>22</v>
      </c>
      <c r="C95" s="726" t="s">
        <v>1372</v>
      </c>
      <c r="D95" s="730"/>
      <c r="E95" s="727">
        <v>241274.66</v>
      </c>
      <c r="F95" s="728">
        <v>45191</v>
      </c>
      <c r="G95" s="728">
        <v>45296</v>
      </c>
      <c r="H95" s="725"/>
      <c r="I95" s="720" t="s">
        <v>1289</v>
      </c>
      <c r="J95" s="719"/>
    </row>
    <row r="96" ht="20.1" customHeight="1" spans="1:10">
      <c r="A96" s="719">
        <v>94</v>
      </c>
      <c r="B96" s="719" t="s">
        <v>31</v>
      </c>
      <c r="C96" s="726" t="s">
        <v>1373</v>
      </c>
      <c r="D96" s="734"/>
      <c r="E96" s="727">
        <v>799200.33</v>
      </c>
      <c r="F96" s="728">
        <v>45191</v>
      </c>
      <c r="G96" s="728">
        <v>45398</v>
      </c>
      <c r="H96" s="725" t="s">
        <v>1275</v>
      </c>
      <c r="I96" s="720" t="s">
        <v>1272</v>
      </c>
      <c r="J96" s="719" t="s">
        <v>1374</v>
      </c>
    </row>
    <row r="97" ht="20.1" customHeight="1" spans="1:10">
      <c r="A97" s="719">
        <v>95</v>
      </c>
      <c r="B97" s="719" t="s">
        <v>228</v>
      </c>
      <c r="C97" s="726" t="s">
        <v>1375</v>
      </c>
      <c r="D97" s="732" t="s">
        <v>1277</v>
      </c>
      <c r="E97" s="727">
        <v>2176000</v>
      </c>
      <c r="F97" s="728">
        <v>45191</v>
      </c>
      <c r="G97" s="728">
        <v>45405</v>
      </c>
      <c r="H97" s="725" t="s">
        <v>1275</v>
      </c>
      <c r="I97" s="719" t="s">
        <v>21</v>
      </c>
      <c r="J97" s="719"/>
    </row>
    <row r="98" ht="20.1" customHeight="1" spans="1:10">
      <c r="A98" s="719">
        <v>96</v>
      </c>
      <c r="B98" s="720" t="s">
        <v>102</v>
      </c>
      <c r="C98" s="721" t="s">
        <v>1376</v>
      </c>
      <c r="D98" s="730"/>
      <c r="E98" s="727">
        <v>1800888.54</v>
      </c>
      <c r="F98" s="728">
        <v>45195</v>
      </c>
      <c r="G98" s="728">
        <v>45549</v>
      </c>
      <c r="H98" s="725"/>
      <c r="I98" s="720" t="s">
        <v>1272</v>
      </c>
      <c r="J98" s="749"/>
    </row>
    <row r="99" ht="48" customHeight="1" spans="1:10">
      <c r="A99" s="719">
        <v>97</v>
      </c>
      <c r="B99" s="719" t="s">
        <v>1377</v>
      </c>
      <c r="C99" s="726" t="s">
        <v>1378</v>
      </c>
      <c r="D99" s="730"/>
      <c r="E99" s="727">
        <v>1588640</v>
      </c>
      <c r="F99" s="728">
        <v>45195</v>
      </c>
      <c r="G99" s="728">
        <v>45245</v>
      </c>
      <c r="H99" s="725" t="s">
        <v>1275</v>
      </c>
      <c r="I99" s="719" t="s">
        <v>55</v>
      </c>
      <c r="J99" s="749" t="s">
        <v>1379</v>
      </c>
    </row>
    <row r="100" ht="20.1" customHeight="1" spans="1:10">
      <c r="A100" s="719">
        <v>98</v>
      </c>
      <c r="B100" s="739" t="s">
        <v>75</v>
      </c>
      <c r="C100" s="735" t="s">
        <v>1380</v>
      </c>
      <c r="D100" s="722" t="s">
        <v>1274</v>
      </c>
      <c r="E100" s="736">
        <v>1600000</v>
      </c>
      <c r="F100" s="728">
        <v>45195</v>
      </c>
      <c r="G100" s="728">
        <v>45278</v>
      </c>
      <c r="H100" s="750"/>
      <c r="I100" s="720" t="s">
        <v>1333</v>
      </c>
      <c r="J100" s="738" t="s">
        <v>1334</v>
      </c>
    </row>
    <row r="101" ht="20.1" customHeight="1" spans="1:10">
      <c r="A101" s="719">
        <v>99</v>
      </c>
      <c r="B101" s="739" t="s">
        <v>75</v>
      </c>
      <c r="C101" s="735" t="s">
        <v>1380</v>
      </c>
      <c r="D101" s="740" t="s">
        <v>1274</v>
      </c>
      <c r="E101" s="736">
        <v>2396708.86</v>
      </c>
      <c r="F101" s="728">
        <v>45195</v>
      </c>
      <c r="G101" s="728">
        <v>45279</v>
      </c>
      <c r="H101" s="751"/>
      <c r="I101" s="720" t="s">
        <v>1333</v>
      </c>
      <c r="J101" s="738" t="s">
        <v>1334</v>
      </c>
    </row>
    <row r="102" ht="20.1" customHeight="1" spans="1:10">
      <c r="A102" s="719">
        <v>100</v>
      </c>
      <c r="B102" s="719" t="s">
        <v>233</v>
      </c>
      <c r="C102" s="726" t="s">
        <v>1381</v>
      </c>
      <c r="D102" s="732" t="s">
        <v>1277</v>
      </c>
      <c r="E102" s="727">
        <v>1635396.01</v>
      </c>
      <c r="F102" s="728">
        <v>45197</v>
      </c>
      <c r="G102" s="728">
        <v>45412</v>
      </c>
      <c r="H102" s="725"/>
      <c r="I102" s="719" t="s">
        <v>21</v>
      </c>
      <c r="J102" s="719"/>
    </row>
    <row r="103" ht="20.1" customHeight="1" spans="1:10">
      <c r="A103" s="719">
        <v>101</v>
      </c>
      <c r="B103" s="719" t="s">
        <v>15</v>
      </c>
      <c r="C103" s="726" t="s">
        <v>1382</v>
      </c>
      <c r="D103" s="722" t="s">
        <v>1310</v>
      </c>
      <c r="E103" s="727">
        <v>709292.77</v>
      </c>
      <c r="F103" s="728">
        <v>45211</v>
      </c>
      <c r="G103" s="728">
        <v>45301</v>
      </c>
      <c r="H103" s="725" t="s">
        <v>1275</v>
      </c>
      <c r="I103" s="719" t="s">
        <v>21</v>
      </c>
      <c r="J103" s="719"/>
    </row>
    <row r="104" ht="20.1" customHeight="1" spans="1:10">
      <c r="A104" s="719">
        <v>102</v>
      </c>
      <c r="B104" s="719" t="s">
        <v>15</v>
      </c>
      <c r="C104" s="726" t="s">
        <v>1383</v>
      </c>
      <c r="D104" s="722" t="s">
        <v>1310</v>
      </c>
      <c r="E104" s="727">
        <v>807515.55</v>
      </c>
      <c r="F104" s="728">
        <v>45221</v>
      </c>
      <c r="G104" s="728">
        <v>45301</v>
      </c>
      <c r="H104" s="725" t="s">
        <v>1275</v>
      </c>
      <c r="I104" s="719" t="s">
        <v>21</v>
      </c>
      <c r="J104" s="719"/>
    </row>
    <row r="105" ht="20.1" customHeight="1" spans="1:10">
      <c r="A105" s="719">
        <v>103</v>
      </c>
      <c r="B105" s="719" t="s">
        <v>15</v>
      </c>
      <c r="C105" s="726" t="s">
        <v>1384</v>
      </c>
      <c r="D105" s="722" t="s">
        <v>1310</v>
      </c>
      <c r="E105" s="727">
        <v>805575.33</v>
      </c>
      <c r="F105" s="728">
        <v>45221</v>
      </c>
      <c r="G105" s="728">
        <v>45301</v>
      </c>
      <c r="H105" s="725" t="s">
        <v>1275</v>
      </c>
      <c r="I105" s="719" t="s">
        <v>21</v>
      </c>
      <c r="J105" s="719"/>
    </row>
    <row r="106" ht="20.1" customHeight="1" spans="1:10">
      <c r="A106" s="719">
        <v>104</v>
      </c>
      <c r="B106" s="719" t="s">
        <v>15</v>
      </c>
      <c r="C106" s="726" t="s">
        <v>1385</v>
      </c>
      <c r="D106" s="722" t="s">
        <v>1310</v>
      </c>
      <c r="E106" s="727">
        <v>726184.26</v>
      </c>
      <c r="F106" s="728">
        <v>45222</v>
      </c>
      <c r="G106" s="728">
        <v>45301</v>
      </c>
      <c r="H106" s="725" t="s">
        <v>1275</v>
      </c>
      <c r="I106" s="719" t="s">
        <v>21</v>
      </c>
      <c r="J106" s="719"/>
    </row>
    <row r="107" ht="20.1" customHeight="1" spans="1:10">
      <c r="A107" s="719">
        <v>105</v>
      </c>
      <c r="B107" s="720" t="s">
        <v>102</v>
      </c>
      <c r="C107" s="721" t="s">
        <v>1386</v>
      </c>
      <c r="D107" s="722"/>
      <c r="E107" s="727">
        <v>1119200</v>
      </c>
      <c r="F107" s="728">
        <v>45224</v>
      </c>
      <c r="G107" s="728">
        <v>45549</v>
      </c>
      <c r="H107" s="725"/>
      <c r="I107" s="720" t="s">
        <v>1272</v>
      </c>
      <c r="J107" s="719"/>
    </row>
    <row r="108" ht="20.1" customHeight="1" spans="1:10">
      <c r="A108" s="719">
        <v>106</v>
      </c>
      <c r="B108" s="719" t="s">
        <v>75</v>
      </c>
      <c r="C108" s="726" t="s">
        <v>1387</v>
      </c>
      <c r="D108" s="722" t="s">
        <v>1274</v>
      </c>
      <c r="E108" s="727">
        <v>47661.76</v>
      </c>
      <c r="F108" s="728">
        <v>45226</v>
      </c>
      <c r="G108" s="728">
        <v>45286</v>
      </c>
      <c r="H108" s="725" t="s">
        <v>1275</v>
      </c>
      <c r="I108" s="719" t="s">
        <v>21</v>
      </c>
      <c r="J108" s="719"/>
    </row>
    <row r="109" ht="20.1" customHeight="1" spans="1:10">
      <c r="A109" s="719">
        <v>107</v>
      </c>
      <c r="B109" s="720" t="s">
        <v>102</v>
      </c>
      <c r="C109" s="721" t="s">
        <v>1388</v>
      </c>
      <c r="D109" s="722"/>
      <c r="E109" s="727">
        <v>200000</v>
      </c>
      <c r="F109" s="728">
        <v>45226</v>
      </c>
      <c r="G109" s="728">
        <v>45555</v>
      </c>
      <c r="H109" s="725"/>
      <c r="I109" s="720" t="s">
        <v>1272</v>
      </c>
      <c r="J109" s="719"/>
    </row>
    <row r="110" ht="20.1" customHeight="1" spans="1:10">
      <c r="A110" s="719">
        <v>108</v>
      </c>
      <c r="B110" s="719" t="s">
        <v>75</v>
      </c>
      <c r="C110" s="726" t="s">
        <v>1389</v>
      </c>
      <c r="D110" s="722" t="s">
        <v>1274</v>
      </c>
      <c r="E110" s="727">
        <v>55909.64</v>
      </c>
      <c r="F110" s="728">
        <v>45229</v>
      </c>
      <c r="G110" s="728">
        <v>45286</v>
      </c>
      <c r="H110" s="725" t="s">
        <v>1275</v>
      </c>
      <c r="I110" s="719" t="s">
        <v>21</v>
      </c>
      <c r="J110" s="719"/>
    </row>
    <row r="111" ht="20.1" customHeight="1" spans="1:10">
      <c r="A111" s="719">
        <v>109</v>
      </c>
      <c r="B111" s="719" t="s">
        <v>57</v>
      </c>
      <c r="C111" s="726" t="s">
        <v>1390</v>
      </c>
      <c r="D111" s="730"/>
      <c r="E111" s="727">
        <v>2414000</v>
      </c>
      <c r="F111" s="728">
        <v>45230</v>
      </c>
      <c r="G111" s="728">
        <v>45412</v>
      </c>
      <c r="H111" s="725"/>
      <c r="I111" s="720" t="s">
        <v>1272</v>
      </c>
      <c r="J111" s="719"/>
    </row>
    <row r="112" ht="20.1" customHeight="1" spans="1:10">
      <c r="A112" s="719">
        <v>110</v>
      </c>
      <c r="B112" s="719" t="s">
        <v>22</v>
      </c>
      <c r="C112" s="726" t="s">
        <v>1391</v>
      </c>
      <c r="D112" s="730"/>
      <c r="E112" s="727">
        <v>139695.31</v>
      </c>
      <c r="F112" s="728">
        <v>45240</v>
      </c>
      <c r="G112" s="728">
        <v>45296</v>
      </c>
      <c r="H112" s="725"/>
      <c r="I112" s="720" t="s">
        <v>1289</v>
      </c>
      <c r="J112" s="719"/>
    </row>
    <row r="113" ht="20.1" customHeight="1" spans="1:10">
      <c r="A113" s="719">
        <v>111</v>
      </c>
      <c r="B113" s="719" t="s">
        <v>15</v>
      </c>
      <c r="C113" s="726" t="s">
        <v>1392</v>
      </c>
      <c r="D113" s="722" t="s">
        <v>1310</v>
      </c>
      <c r="E113" s="727">
        <v>386027.52</v>
      </c>
      <c r="F113" s="728">
        <v>45240</v>
      </c>
      <c r="G113" s="728">
        <v>45358</v>
      </c>
      <c r="H113" s="725" t="s">
        <v>1275</v>
      </c>
      <c r="I113" s="719" t="s">
        <v>21</v>
      </c>
      <c r="J113" s="719"/>
    </row>
    <row r="114" ht="20.1" customHeight="1" spans="1:10">
      <c r="A114" s="719">
        <v>112</v>
      </c>
      <c r="B114" s="726" t="s">
        <v>15</v>
      </c>
      <c r="C114" s="726" t="s">
        <v>1393</v>
      </c>
      <c r="D114" s="722" t="s">
        <v>1310</v>
      </c>
      <c r="E114" s="727">
        <v>469388.88</v>
      </c>
      <c r="F114" s="728">
        <v>45245</v>
      </c>
      <c r="G114" s="728">
        <v>45481</v>
      </c>
      <c r="H114" s="725" t="s">
        <v>1275</v>
      </c>
      <c r="I114" s="719" t="s">
        <v>21</v>
      </c>
      <c r="J114" s="733"/>
    </row>
    <row r="115" ht="20.1" customHeight="1" spans="1:10">
      <c r="A115" s="719">
        <v>113</v>
      </c>
      <c r="B115" s="719" t="s">
        <v>147</v>
      </c>
      <c r="C115" s="726" t="s">
        <v>1394</v>
      </c>
      <c r="D115" s="730"/>
      <c r="E115" s="727">
        <v>1064117.58</v>
      </c>
      <c r="F115" s="728">
        <v>45247</v>
      </c>
      <c r="G115" s="728">
        <v>45275</v>
      </c>
      <c r="H115" s="725"/>
      <c r="I115" s="720" t="s">
        <v>1272</v>
      </c>
      <c r="J115" s="719"/>
    </row>
    <row r="116" ht="20.1" customHeight="1" spans="1:10">
      <c r="A116" s="719">
        <v>114</v>
      </c>
      <c r="B116" s="719" t="s">
        <v>15</v>
      </c>
      <c r="C116" s="726" t="s">
        <v>1395</v>
      </c>
      <c r="D116" s="722" t="s">
        <v>1310</v>
      </c>
      <c r="E116" s="727">
        <v>807572.4</v>
      </c>
      <c r="F116" s="728">
        <v>45252</v>
      </c>
      <c r="G116" s="728">
        <v>45372</v>
      </c>
      <c r="H116" s="725" t="s">
        <v>1275</v>
      </c>
      <c r="I116" s="719" t="s">
        <v>21</v>
      </c>
      <c r="J116" s="719"/>
    </row>
    <row r="117" ht="20.1" customHeight="1" spans="1:10">
      <c r="A117" s="719">
        <v>115</v>
      </c>
      <c r="B117" s="719" t="s">
        <v>15</v>
      </c>
      <c r="C117" s="726" t="s">
        <v>1396</v>
      </c>
      <c r="D117" s="722" t="s">
        <v>1310</v>
      </c>
      <c r="E117" s="727">
        <v>157441.81</v>
      </c>
      <c r="F117" s="728">
        <v>45252</v>
      </c>
      <c r="G117" s="728">
        <v>45372</v>
      </c>
      <c r="H117" s="725" t="s">
        <v>1275</v>
      </c>
      <c r="I117" s="719" t="s">
        <v>21</v>
      </c>
      <c r="J117" s="719"/>
    </row>
    <row r="118" ht="20.1" customHeight="1" spans="1:10">
      <c r="A118" s="719">
        <v>116</v>
      </c>
      <c r="B118" s="719" t="s">
        <v>15</v>
      </c>
      <c r="C118" s="726" t="s">
        <v>1397</v>
      </c>
      <c r="D118" s="722" t="s">
        <v>1310</v>
      </c>
      <c r="E118" s="727">
        <v>483546.61</v>
      </c>
      <c r="F118" s="728">
        <v>45252</v>
      </c>
      <c r="G118" s="728">
        <v>45372</v>
      </c>
      <c r="H118" s="725" t="s">
        <v>1275</v>
      </c>
      <c r="I118" s="719" t="s">
        <v>21</v>
      </c>
      <c r="J118" s="719"/>
    </row>
    <row r="119" ht="20.1" customHeight="1" spans="1:10">
      <c r="A119" s="719">
        <v>117</v>
      </c>
      <c r="B119" s="719" t="s">
        <v>102</v>
      </c>
      <c r="C119" s="726" t="s">
        <v>1398</v>
      </c>
      <c r="D119" s="730"/>
      <c r="E119" s="727">
        <v>398444.98</v>
      </c>
      <c r="F119" s="728">
        <v>45254</v>
      </c>
      <c r="G119" s="728">
        <v>45300</v>
      </c>
      <c r="H119" s="752"/>
      <c r="I119" s="720" t="s">
        <v>1272</v>
      </c>
      <c r="J119" s="719"/>
    </row>
    <row r="120" ht="20.1" customHeight="1" spans="1:10">
      <c r="A120" s="719">
        <v>118</v>
      </c>
      <c r="B120" s="719" t="s">
        <v>75</v>
      </c>
      <c r="C120" s="726" t="s">
        <v>1399</v>
      </c>
      <c r="D120" s="722" t="s">
        <v>1274</v>
      </c>
      <c r="E120" s="727">
        <v>765645.84</v>
      </c>
      <c r="F120" s="728">
        <v>45257</v>
      </c>
      <c r="G120" s="728">
        <v>45301</v>
      </c>
      <c r="H120" s="753"/>
      <c r="I120" s="720" t="s">
        <v>1333</v>
      </c>
      <c r="J120" s="719"/>
    </row>
    <row r="121" ht="20.1" customHeight="1" spans="1:10">
      <c r="A121" s="719">
        <v>119</v>
      </c>
      <c r="B121" s="720" t="s">
        <v>102</v>
      </c>
      <c r="C121" s="721" t="s">
        <v>1400</v>
      </c>
      <c r="D121" s="722"/>
      <c r="E121" s="727">
        <v>340643.08</v>
      </c>
      <c r="F121" s="728">
        <v>45257</v>
      </c>
      <c r="G121" s="728">
        <v>45549</v>
      </c>
      <c r="H121" s="725"/>
      <c r="I121" s="720" t="s">
        <v>1272</v>
      </c>
      <c r="J121" s="719"/>
    </row>
    <row r="122" ht="20.1" customHeight="1" spans="1:10">
      <c r="A122" s="719">
        <v>120</v>
      </c>
      <c r="B122" s="719" t="s">
        <v>75</v>
      </c>
      <c r="C122" s="726" t="s">
        <v>1401</v>
      </c>
      <c r="D122" s="722" t="s">
        <v>1274</v>
      </c>
      <c r="E122" s="727">
        <v>24129.06</v>
      </c>
      <c r="F122" s="728">
        <v>45259</v>
      </c>
      <c r="G122" s="728">
        <v>45300</v>
      </c>
      <c r="H122" s="725" t="s">
        <v>1275</v>
      </c>
      <c r="I122" s="719" t="s">
        <v>21</v>
      </c>
      <c r="J122" s="719"/>
    </row>
    <row r="123" ht="20.1" customHeight="1" spans="1:10">
      <c r="A123" s="719">
        <v>121</v>
      </c>
      <c r="B123" s="719" t="s">
        <v>25</v>
      </c>
      <c r="C123" s="726" t="s">
        <v>1402</v>
      </c>
      <c r="D123" s="730"/>
      <c r="E123" s="727">
        <v>3164178.62</v>
      </c>
      <c r="F123" s="728">
        <v>45259</v>
      </c>
      <c r="G123" s="728">
        <v>45302</v>
      </c>
      <c r="H123" s="754" t="s">
        <v>1403</v>
      </c>
      <c r="I123" s="719" t="s">
        <v>21</v>
      </c>
      <c r="J123" s="719"/>
    </row>
    <row r="124" ht="20.1" customHeight="1" spans="1:10">
      <c r="A124" s="719">
        <v>122</v>
      </c>
      <c r="B124" s="719" t="s">
        <v>15</v>
      </c>
      <c r="C124" s="726" t="s">
        <v>1404</v>
      </c>
      <c r="D124" s="722" t="s">
        <v>1310</v>
      </c>
      <c r="E124" s="727">
        <v>2011118.83</v>
      </c>
      <c r="F124" s="728">
        <v>45259</v>
      </c>
      <c r="G124" s="728">
        <v>45340</v>
      </c>
      <c r="H124" s="725" t="s">
        <v>1275</v>
      </c>
      <c r="I124" s="719" t="s">
        <v>21</v>
      </c>
      <c r="J124" s="719"/>
    </row>
    <row r="125" ht="20.1" customHeight="1" spans="1:10">
      <c r="A125" s="719">
        <v>123</v>
      </c>
      <c r="B125" s="719" t="s">
        <v>75</v>
      </c>
      <c r="C125" s="742" t="s">
        <v>1405</v>
      </c>
      <c r="D125" s="722" t="s">
        <v>1274</v>
      </c>
      <c r="E125" s="727">
        <v>66757.55</v>
      </c>
      <c r="F125" s="728">
        <v>45260</v>
      </c>
      <c r="G125" s="728">
        <v>45300</v>
      </c>
      <c r="H125" s="725" t="s">
        <v>1275</v>
      </c>
      <c r="I125" s="719" t="s">
        <v>21</v>
      </c>
      <c r="J125" s="719"/>
    </row>
    <row r="126" ht="20.1" customHeight="1" spans="1:10">
      <c r="A126" s="719">
        <v>124</v>
      </c>
      <c r="B126" s="720" t="s">
        <v>233</v>
      </c>
      <c r="C126" s="744" t="s">
        <v>1406</v>
      </c>
      <c r="D126" s="722"/>
      <c r="E126" s="727">
        <v>360075.22</v>
      </c>
      <c r="F126" s="728">
        <v>45264</v>
      </c>
      <c r="G126" s="728">
        <v>45450</v>
      </c>
      <c r="H126" s="725"/>
      <c r="I126" s="719" t="s">
        <v>21</v>
      </c>
      <c r="J126" s="755"/>
    </row>
    <row r="127" ht="20.1" customHeight="1" spans="1:10">
      <c r="A127" s="719">
        <v>125</v>
      </c>
      <c r="B127" s="719" t="s">
        <v>75</v>
      </c>
      <c r="C127" s="726" t="s">
        <v>1407</v>
      </c>
      <c r="D127" s="722" t="s">
        <v>1274</v>
      </c>
      <c r="E127" s="727">
        <v>1047272.98</v>
      </c>
      <c r="F127" s="728">
        <v>45267</v>
      </c>
      <c r="G127" s="728">
        <v>45308</v>
      </c>
      <c r="H127" s="725"/>
      <c r="I127" s="720" t="s">
        <v>1333</v>
      </c>
      <c r="J127" s="755" t="s">
        <v>1334</v>
      </c>
    </row>
    <row r="128" ht="20.1" customHeight="1" spans="1:10">
      <c r="A128" s="719">
        <v>126</v>
      </c>
      <c r="B128" s="719" t="s">
        <v>582</v>
      </c>
      <c r="C128" s="726" t="s">
        <v>1408</v>
      </c>
      <c r="D128" s="730"/>
      <c r="E128" s="743">
        <v>2397822.65</v>
      </c>
      <c r="F128" s="728">
        <v>45278</v>
      </c>
      <c r="G128" s="728">
        <v>45389</v>
      </c>
      <c r="H128" s="725" t="s">
        <v>1275</v>
      </c>
      <c r="I128" s="719" t="s">
        <v>55</v>
      </c>
      <c r="J128" s="719" t="s">
        <v>1344</v>
      </c>
    </row>
    <row r="129" ht="20.1" customHeight="1" spans="1:10">
      <c r="A129" s="719">
        <v>127</v>
      </c>
      <c r="B129" s="720" t="s">
        <v>233</v>
      </c>
      <c r="C129" s="721" t="s">
        <v>1409</v>
      </c>
      <c r="D129" s="722"/>
      <c r="E129" s="756">
        <v>68265.58</v>
      </c>
      <c r="F129" s="728">
        <v>45287</v>
      </c>
      <c r="G129" s="728">
        <v>45450</v>
      </c>
      <c r="H129" s="725"/>
      <c r="I129" s="720" t="s">
        <v>21</v>
      </c>
      <c r="J129" s="719"/>
    </row>
    <row r="130" ht="20.1" customHeight="1" spans="1:10">
      <c r="A130" s="719">
        <v>128</v>
      </c>
      <c r="B130" s="719" t="s">
        <v>15</v>
      </c>
      <c r="C130" s="726" t="s">
        <v>1410</v>
      </c>
      <c r="D130" s="722" t="s">
        <v>1310</v>
      </c>
      <c r="E130" s="727">
        <v>2257887.07</v>
      </c>
      <c r="F130" s="728">
        <v>45294</v>
      </c>
      <c r="G130" s="728">
        <v>45363</v>
      </c>
      <c r="H130" s="725" t="s">
        <v>1275</v>
      </c>
      <c r="I130" s="719" t="s">
        <v>21</v>
      </c>
      <c r="J130" s="719"/>
    </row>
    <row r="131" ht="20.1" customHeight="1" spans="1:10">
      <c r="A131" s="719">
        <v>129</v>
      </c>
      <c r="B131" s="719" t="s">
        <v>25</v>
      </c>
      <c r="C131" s="726" t="s">
        <v>1359</v>
      </c>
      <c r="D131" s="730"/>
      <c r="E131" s="727">
        <v>800231.11</v>
      </c>
      <c r="F131" s="728">
        <v>45296</v>
      </c>
      <c r="G131" s="728">
        <v>45366</v>
      </c>
      <c r="H131" s="725" t="s">
        <v>1275</v>
      </c>
      <c r="I131" s="719" t="s">
        <v>21</v>
      </c>
      <c r="J131" s="719"/>
    </row>
    <row r="132" ht="20.1" customHeight="1" spans="1:10">
      <c r="A132" s="719">
        <v>130</v>
      </c>
      <c r="B132" s="719" t="s">
        <v>147</v>
      </c>
      <c r="C132" s="726" t="s">
        <v>1411</v>
      </c>
      <c r="D132" s="730"/>
      <c r="E132" s="727">
        <v>563095.66</v>
      </c>
      <c r="F132" s="728">
        <v>45301</v>
      </c>
      <c r="G132" s="728">
        <v>45369</v>
      </c>
      <c r="H132" s="725"/>
      <c r="I132" s="720" t="s">
        <v>1272</v>
      </c>
      <c r="J132" s="719"/>
    </row>
    <row r="133" ht="20.1" customHeight="1" spans="1:10">
      <c r="A133" s="719">
        <v>131</v>
      </c>
      <c r="B133" s="720" t="s">
        <v>233</v>
      </c>
      <c r="C133" s="721" t="s">
        <v>1412</v>
      </c>
      <c r="D133" s="722"/>
      <c r="E133" s="727">
        <v>394151.64</v>
      </c>
      <c r="F133" s="728">
        <v>45301</v>
      </c>
      <c r="G133" s="728">
        <v>45450</v>
      </c>
      <c r="H133" s="725"/>
      <c r="I133" s="720" t="s">
        <v>21</v>
      </c>
      <c r="J133" s="733"/>
    </row>
    <row r="134" ht="20.1" customHeight="1" spans="1:10">
      <c r="A134" s="719">
        <v>132</v>
      </c>
      <c r="B134" s="720" t="s">
        <v>233</v>
      </c>
      <c r="C134" s="721" t="s">
        <v>1413</v>
      </c>
      <c r="D134" s="722"/>
      <c r="E134" s="727">
        <v>804475.55</v>
      </c>
      <c r="F134" s="728">
        <v>45301</v>
      </c>
      <c r="G134" s="728">
        <v>45450</v>
      </c>
      <c r="H134" s="725"/>
      <c r="I134" s="720" t="s">
        <v>21</v>
      </c>
      <c r="J134" s="733"/>
    </row>
    <row r="135" ht="20.1" customHeight="1" spans="1:10">
      <c r="A135" s="719">
        <v>133</v>
      </c>
      <c r="B135" s="719" t="s">
        <v>15</v>
      </c>
      <c r="C135" s="726" t="s">
        <v>1414</v>
      </c>
      <c r="D135" s="722" t="s">
        <v>1310</v>
      </c>
      <c r="E135" s="727">
        <v>296695.68</v>
      </c>
      <c r="F135" s="728">
        <v>45308</v>
      </c>
      <c r="G135" s="728">
        <v>45426</v>
      </c>
      <c r="H135" s="725" t="s">
        <v>1275</v>
      </c>
      <c r="I135" s="719" t="s">
        <v>21</v>
      </c>
      <c r="J135" s="733"/>
    </row>
    <row r="136" ht="20.1" customHeight="1" spans="1:10">
      <c r="A136" s="719">
        <v>134</v>
      </c>
      <c r="B136" s="719" t="s">
        <v>15</v>
      </c>
      <c r="C136" s="726" t="s">
        <v>1415</v>
      </c>
      <c r="D136" s="740" t="s">
        <v>1310</v>
      </c>
      <c r="E136" s="727">
        <v>1289416.05</v>
      </c>
      <c r="F136" s="728">
        <v>45316</v>
      </c>
      <c r="G136" s="728">
        <v>45373</v>
      </c>
      <c r="H136" s="725" t="s">
        <v>1275</v>
      </c>
      <c r="I136" s="719" t="s">
        <v>21</v>
      </c>
      <c r="J136" s="719"/>
    </row>
    <row r="137" ht="20.1" customHeight="1" spans="1:10">
      <c r="A137" s="719">
        <v>135</v>
      </c>
      <c r="B137" s="719" t="s">
        <v>228</v>
      </c>
      <c r="C137" s="726" t="s">
        <v>1416</v>
      </c>
      <c r="D137" s="732" t="s">
        <v>1277</v>
      </c>
      <c r="E137" s="727">
        <v>616000</v>
      </c>
      <c r="F137" s="728">
        <v>45317</v>
      </c>
      <c r="G137" s="728">
        <v>45405</v>
      </c>
      <c r="H137" s="725" t="s">
        <v>1275</v>
      </c>
      <c r="I137" s="719" t="s">
        <v>21</v>
      </c>
      <c r="J137" s="719"/>
    </row>
    <row r="138" ht="20.1" customHeight="1" spans="1:10">
      <c r="A138" s="719">
        <v>136</v>
      </c>
      <c r="B138" s="719" t="s">
        <v>22</v>
      </c>
      <c r="C138" s="726" t="s">
        <v>1303</v>
      </c>
      <c r="D138" s="730"/>
      <c r="E138" s="727">
        <v>1558822</v>
      </c>
      <c r="F138" s="728">
        <v>45321</v>
      </c>
      <c r="G138" s="728">
        <v>45369</v>
      </c>
      <c r="H138" s="725"/>
      <c r="I138" s="720" t="s">
        <v>1289</v>
      </c>
      <c r="J138" s="719"/>
    </row>
    <row r="139" ht="20.1" customHeight="1" spans="1:10">
      <c r="A139" s="719">
        <v>137</v>
      </c>
      <c r="B139" s="719" t="s">
        <v>22</v>
      </c>
      <c r="C139" s="726" t="s">
        <v>677</v>
      </c>
      <c r="D139" s="730"/>
      <c r="E139" s="727">
        <v>602417</v>
      </c>
      <c r="F139" s="728">
        <v>45321</v>
      </c>
      <c r="G139" s="728">
        <v>45369</v>
      </c>
      <c r="H139" s="725"/>
      <c r="I139" s="720" t="s">
        <v>1289</v>
      </c>
      <c r="J139" s="719"/>
    </row>
    <row r="140" ht="20.1" customHeight="1" spans="1:10">
      <c r="A140" s="719">
        <v>138</v>
      </c>
      <c r="B140" s="719" t="s">
        <v>15</v>
      </c>
      <c r="C140" s="726" t="s">
        <v>1417</v>
      </c>
      <c r="D140" s="722" t="s">
        <v>1310</v>
      </c>
      <c r="E140" s="727">
        <v>622744.62</v>
      </c>
      <c r="F140" s="728">
        <v>45329</v>
      </c>
      <c r="G140" s="728">
        <v>45421</v>
      </c>
      <c r="H140" s="725" t="s">
        <v>1418</v>
      </c>
      <c r="I140" s="719" t="s">
        <v>21</v>
      </c>
      <c r="J140" s="755"/>
    </row>
    <row r="141" ht="20.1" customHeight="1" spans="1:10">
      <c r="A141" s="719">
        <v>139</v>
      </c>
      <c r="B141" s="719" t="s">
        <v>15</v>
      </c>
      <c r="C141" s="726" t="s">
        <v>1419</v>
      </c>
      <c r="D141" s="722" t="s">
        <v>1310</v>
      </c>
      <c r="E141" s="727">
        <v>992941.49</v>
      </c>
      <c r="F141" s="728">
        <v>45329</v>
      </c>
      <c r="G141" s="728">
        <v>45426</v>
      </c>
      <c r="H141" s="725" t="s">
        <v>1418</v>
      </c>
      <c r="I141" s="719" t="s">
        <v>21</v>
      </c>
      <c r="J141" s="733"/>
    </row>
    <row r="142" ht="20.1" customHeight="1" spans="1:10">
      <c r="A142" s="719">
        <v>140</v>
      </c>
      <c r="B142" s="719" t="s">
        <v>15</v>
      </c>
      <c r="C142" s="726" t="s">
        <v>1420</v>
      </c>
      <c r="D142" s="722" t="s">
        <v>1310</v>
      </c>
      <c r="E142" s="727">
        <v>801273.33</v>
      </c>
      <c r="F142" s="728">
        <v>45330</v>
      </c>
      <c r="G142" s="728">
        <v>45426</v>
      </c>
      <c r="H142" s="725" t="s">
        <v>1418</v>
      </c>
      <c r="I142" s="719" t="s">
        <v>21</v>
      </c>
      <c r="J142" s="733"/>
    </row>
    <row r="143" ht="20.1" customHeight="1" spans="1:10">
      <c r="A143" s="719">
        <v>141</v>
      </c>
      <c r="B143" s="719" t="s">
        <v>15</v>
      </c>
      <c r="C143" s="726" t="s">
        <v>1421</v>
      </c>
      <c r="D143" s="722" t="s">
        <v>1310</v>
      </c>
      <c r="E143" s="727">
        <v>804728.89</v>
      </c>
      <c r="F143" s="728">
        <v>45330</v>
      </c>
      <c r="G143" s="728">
        <v>45426</v>
      </c>
      <c r="H143" s="725" t="s">
        <v>1418</v>
      </c>
      <c r="I143" s="719" t="s">
        <v>21</v>
      </c>
      <c r="J143" s="733"/>
    </row>
    <row r="144" ht="20.1" customHeight="1" spans="1:10">
      <c r="A144" s="719">
        <v>142</v>
      </c>
      <c r="B144" s="719" t="s">
        <v>15</v>
      </c>
      <c r="C144" s="726" t="s">
        <v>1422</v>
      </c>
      <c r="D144" s="722" t="s">
        <v>1310</v>
      </c>
      <c r="E144" s="727">
        <v>474651.83</v>
      </c>
      <c r="F144" s="728">
        <v>45330</v>
      </c>
      <c r="G144" s="728">
        <v>45426</v>
      </c>
      <c r="H144" s="725" t="s">
        <v>1418</v>
      </c>
      <c r="I144" s="719" t="s">
        <v>21</v>
      </c>
      <c r="J144" s="733"/>
    </row>
    <row r="145" ht="20.1" customHeight="1" spans="1:10">
      <c r="A145" s="719">
        <v>143</v>
      </c>
      <c r="B145" s="719" t="s">
        <v>15</v>
      </c>
      <c r="C145" s="726" t="s">
        <v>1423</v>
      </c>
      <c r="D145" s="722" t="s">
        <v>1310</v>
      </c>
      <c r="E145" s="727">
        <v>800000</v>
      </c>
      <c r="F145" s="728">
        <v>45343</v>
      </c>
      <c r="G145" s="728">
        <v>45406</v>
      </c>
      <c r="H145" s="725" t="s">
        <v>1418</v>
      </c>
      <c r="I145" s="719" t="s">
        <v>21</v>
      </c>
      <c r="J145" s="719" t="s">
        <v>1424</v>
      </c>
    </row>
    <row r="146" ht="20.1" customHeight="1" spans="1:10">
      <c r="A146" s="719">
        <v>144</v>
      </c>
      <c r="B146" s="719" t="s">
        <v>31</v>
      </c>
      <c r="C146" s="726" t="s">
        <v>1425</v>
      </c>
      <c r="D146" s="730"/>
      <c r="E146" s="727">
        <v>4050073.58</v>
      </c>
      <c r="F146" s="728">
        <v>45344</v>
      </c>
      <c r="G146" s="728">
        <v>45398</v>
      </c>
      <c r="H146" s="725" t="s">
        <v>1275</v>
      </c>
      <c r="I146" s="719" t="s">
        <v>21</v>
      </c>
      <c r="J146" s="719"/>
    </row>
    <row r="147" ht="20.1" customHeight="1" spans="1:10">
      <c r="A147" s="719">
        <v>145</v>
      </c>
      <c r="B147" s="719" t="s">
        <v>31</v>
      </c>
      <c r="C147" s="726" t="s">
        <v>114</v>
      </c>
      <c r="D147" s="730"/>
      <c r="E147" s="727">
        <v>4033755.55</v>
      </c>
      <c r="F147" s="728">
        <v>45344</v>
      </c>
      <c r="G147" s="728">
        <v>45398</v>
      </c>
      <c r="H147" s="725" t="s">
        <v>1275</v>
      </c>
      <c r="I147" s="719" t="s">
        <v>21</v>
      </c>
      <c r="J147" s="719"/>
    </row>
    <row r="148" ht="20.1" customHeight="1" spans="1:10">
      <c r="A148" s="719">
        <v>146</v>
      </c>
      <c r="B148" s="719" t="s">
        <v>15</v>
      </c>
      <c r="C148" s="726" t="s">
        <v>1426</v>
      </c>
      <c r="D148" s="722" t="s">
        <v>1310</v>
      </c>
      <c r="E148" s="727">
        <v>396295.54</v>
      </c>
      <c r="F148" s="728">
        <v>45349</v>
      </c>
      <c r="G148" s="728">
        <v>45406</v>
      </c>
      <c r="H148" s="725" t="s">
        <v>1418</v>
      </c>
      <c r="I148" s="719" t="s">
        <v>21</v>
      </c>
      <c r="J148" s="719" t="s">
        <v>1424</v>
      </c>
    </row>
    <row r="149" ht="20.1" customHeight="1" spans="1:10">
      <c r="A149" s="719">
        <v>147</v>
      </c>
      <c r="B149" s="719" t="s">
        <v>15</v>
      </c>
      <c r="C149" s="726" t="s">
        <v>1427</v>
      </c>
      <c r="D149" s="722" t="s">
        <v>1310</v>
      </c>
      <c r="E149" s="727">
        <v>799192.85</v>
      </c>
      <c r="F149" s="728">
        <v>45349</v>
      </c>
      <c r="G149" s="728">
        <v>45406</v>
      </c>
      <c r="H149" s="725" t="s">
        <v>1418</v>
      </c>
      <c r="I149" s="719" t="s">
        <v>21</v>
      </c>
      <c r="J149" s="719" t="s">
        <v>1424</v>
      </c>
    </row>
    <row r="150" ht="20.1" customHeight="1" spans="1:10">
      <c r="A150" s="719">
        <v>148</v>
      </c>
      <c r="B150" s="719" t="s">
        <v>15</v>
      </c>
      <c r="C150" s="726" t="s">
        <v>1428</v>
      </c>
      <c r="D150" s="722" t="s">
        <v>1310</v>
      </c>
      <c r="E150" s="727">
        <v>981930.43</v>
      </c>
      <c r="F150" s="728">
        <v>45349</v>
      </c>
      <c r="G150" s="728">
        <v>45421</v>
      </c>
      <c r="H150" s="725" t="s">
        <v>1418</v>
      </c>
      <c r="I150" s="719" t="s">
        <v>21</v>
      </c>
      <c r="J150" s="755"/>
    </row>
    <row r="151" ht="20.1" customHeight="1" spans="1:10">
      <c r="A151" s="719">
        <v>149</v>
      </c>
      <c r="B151" s="719" t="s">
        <v>15</v>
      </c>
      <c r="C151" s="726" t="s">
        <v>1429</v>
      </c>
      <c r="D151" s="722" t="s">
        <v>1310</v>
      </c>
      <c r="E151" s="727">
        <v>803800</v>
      </c>
      <c r="F151" s="728">
        <v>45350</v>
      </c>
      <c r="G151" s="728">
        <v>45406</v>
      </c>
      <c r="H151" s="725" t="s">
        <v>1418</v>
      </c>
      <c r="I151" s="719" t="s">
        <v>21</v>
      </c>
      <c r="J151" s="719" t="s">
        <v>1424</v>
      </c>
    </row>
    <row r="152" ht="20.1" customHeight="1" spans="1:10">
      <c r="A152" s="719">
        <v>150</v>
      </c>
      <c r="B152" s="719" t="s">
        <v>15</v>
      </c>
      <c r="C152" s="726" t="s">
        <v>1430</v>
      </c>
      <c r="D152" s="722" t="s">
        <v>1310</v>
      </c>
      <c r="E152" s="727">
        <v>2384197.83</v>
      </c>
      <c r="F152" s="728">
        <v>45350</v>
      </c>
      <c r="G152" s="728">
        <v>45425</v>
      </c>
      <c r="H152" s="725" t="s">
        <v>1418</v>
      </c>
      <c r="I152" s="719" t="s">
        <v>21</v>
      </c>
      <c r="J152" s="733"/>
    </row>
    <row r="153" ht="20.1" customHeight="1" spans="1:10">
      <c r="A153" s="719">
        <v>151</v>
      </c>
      <c r="B153" s="720" t="s">
        <v>75</v>
      </c>
      <c r="C153" s="721" t="s">
        <v>1431</v>
      </c>
      <c r="D153" s="730"/>
      <c r="E153" s="727">
        <v>169796.66</v>
      </c>
      <c r="F153" s="728">
        <v>45351</v>
      </c>
      <c r="G153" s="757">
        <v>45450</v>
      </c>
      <c r="H153" s="758" t="s">
        <v>1275</v>
      </c>
      <c r="I153" s="719" t="s">
        <v>21</v>
      </c>
      <c r="J153" s="719"/>
    </row>
    <row r="154" ht="20.1" customHeight="1" spans="1:10">
      <c r="A154" s="719">
        <v>152</v>
      </c>
      <c r="B154" s="719" t="s">
        <v>22</v>
      </c>
      <c r="C154" s="726" t="s">
        <v>1432</v>
      </c>
      <c r="D154" s="730"/>
      <c r="E154" s="727">
        <v>150713</v>
      </c>
      <c r="F154" s="728">
        <v>45351</v>
      </c>
      <c r="G154" s="728">
        <v>45392</v>
      </c>
      <c r="H154" s="758"/>
      <c r="I154" s="720" t="s">
        <v>1289</v>
      </c>
      <c r="J154" s="719"/>
    </row>
    <row r="155" ht="20.1" customHeight="1" spans="1:10">
      <c r="A155" s="719">
        <v>153</v>
      </c>
      <c r="B155" s="719" t="s">
        <v>102</v>
      </c>
      <c r="C155" s="726" t="s">
        <v>1433</v>
      </c>
      <c r="D155" s="734"/>
      <c r="E155" s="727">
        <v>575867.68</v>
      </c>
      <c r="F155" s="728">
        <v>45351</v>
      </c>
      <c r="G155" s="728">
        <v>45433</v>
      </c>
      <c r="H155" s="758" t="s">
        <v>1418</v>
      </c>
      <c r="I155" s="720" t="s">
        <v>1434</v>
      </c>
      <c r="J155" s="759" t="s">
        <v>1435</v>
      </c>
    </row>
    <row r="156" ht="20.1" customHeight="1" spans="1:10">
      <c r="A156" s="719">
        <v>154</v>
      </c>
      <c r="B156" s="719" t="s">
        <v>233</v>
      </c>
      <c r="C156" s="726" t="s">
        <v>280</v>
      </c>
      <c r="D156" s="732" t="s">
        <v>1277</v>
      </c>
      <c r="E156" s="727">
        <v>1968259.68</v>
      </c>
      <c r="F156" s="728">
        <v>45355</v>
      </c>
      <c r="G156" s="728">
        <v>45411</v>
      </c>
      <c r="H156" s="725"/>
      <c r="I156" s="719" t="s">
        <v>21</v>
      </c>
      <c r="J156" s="719"/>
    </row>
    <row r="157" ht="20.1" customHeight="1" spans="1:10">
      <c r="A157" s="719">
        <v>155</v>
      </c>
      <c r="B157" s="719" t="s">
        <v>147</v>
      </c>
      <c r="C157" s="726" t="s">
        <v>1436</v>
      </c>
      <c r="D157" s="730"/>
      <c r="E157" s="727">
        <v>792299.18</v>
      </c>
      <c r="F157" s="728">
        <v>45358</v>
      </c>
      <c r="G157" s="728">
        <v>45478</v>
      </c>
      <c r="H157" s="758" t="s">
        <v>1418</v>
      </c>
      <c r="I157" s="720" t="s">
        <v>21</v>
      </c>
      <c r="J157" s="733"/>
    </row>
    <row r="158" ht="20.1" customHeight="1" spans="1:10">
      <c r="A158" s="719">
        <v>156</v>
      </c>
      <c r="B158" s="719" t="s">
        <v>22</v>
      </c>
      <c r="C158" s="726" t="s">
        <v>1437</v>
      </c>
      <c r="D158" s="734"/>
      <c r="E158" s="727">
        <v>2453214.11</v>
      </c>
      <c r="F158" s="728">
        <v>45362</v>
      </c>
      <c r="G158" s="728">
        <v>45392</v>
      </c>
      <c r="H158" s="758"/>
      <c r="I158" s="720" t="s">
        <v>1289</v>
      </c>
      <c r="J158" s="719"/>
    </row>
    <row r="159" ht="20.1" customHeight="1" spans="1:10">
      <c r="A159" s="719">
        <v>157</v>
      </c>
      <c r="B159" s="719" t="s">
        <v>233</v>
      </c>
      <c r="C159" s="726" t="s">
        <v>1438</v>
      </c>
      <c r="D159" s="729" t="s">
        <v>1277</v>
      </c>
      <c r="E159" s="727">
        <v>965300</v>
      </c>
      <c r="F159" s="728">
        <v>45366</v>
      </c>
      <c r="G159" s="728">
        <v>45420</v>
      </c>
      <c r="H159" s="758"/>
      <c r="I159" s="719" t="s">
        <v>21</v>
      </c>
      <c r="J159" s="755"/>
    </row>
    <row r="160" ht="20.1" customHeight="1" spans="1:10">
      <c r="A160" s="719">
        <v>158</v>
      </c>
      <c r="B160" s="719" t="s">
        <v>228</v>
      </c>
      <c r="C160" s="726" t="s">
        <v>1439</v>
      </c>
      <c r="D160" s="732" t="s">
        <v>1277</v>
      </c>
      <c r="E160" s="727">
        <v>1030522.44</v>
      </c>
      <c r="F160" s="728">
        <v>45370</v>
      </c>
      <c r="G160" s="728">
        <v>45405</v>
      </c>
      <c r="H160" s="725" t="s">
        <v>1275</v>
      </c>
      <c r="I160" s="719" t="s">
        <v>21</v>
      </c>
      <c r="J160" s="719"/>
    </row>
    <row r="161" ht="20.1" customHeight="1" spans="1:10">
      <c r="A161" s="719">
        <v>159</v>
      </c>
      <c r="B161" s="719" t="s">
        <v>75</v>
      </c>
      <c r="C161" s="726" t="s">
        <v>1440</v>
      </c>
      <c r="D161" s="722" t="s">
        <v>1274</v>
      </c>
      <c r="E161" s="727">
        <v>142541.88</v>
      </c>
      <c r="F161" s="728">
        <v>45372</v>
      </c>
      <c r="G161" s="728">
        <v>45411</v>
      </c>
      <c r="H161" s="758" t="s">
        <v>1275</v>
      </c>
      <c r="I161" s="719" t="s">
        <v>21</v>
      </c>
      <c r="J161" s="719"/>
    </row>
    <row r="162" ht="20.1" customHeight="1" spans="1:10">
      <c r="A162" s="719">
        <v>160</v>
      </c>
      <c r="B162" s="719" t="s">
        <v>22</v>
      </c>
      <c r="C162" s="726" t="s">
        <v>1441</v>
      </c>
      <c r="D162" s="730"/>
      <c r="E162" s="727">
        <v>752000</v>
      </c>
      <c r="F162" s="728">
        <v>45373</v>
      </c>
      <c r="G162" s="728">
        <v>45481</v>
      </c>
      <c r="H162" s="758" t="s">
        <v>1418</v>
      </c>
      <c r="I162" s="720" t="s">
        <v>21</v>
      </c>
      <c r="J162" s="733"/>
    </row>
    <row r="163" ht="20.1" customHeight="1" spans="1:10">
      <c r="A163" s="719">
        <v>161</v>
      </c>
      <c r="B163" s="719" t="s">
        <v>102</v>
      </c>
      <c r="C163" s="726" t="s">
        <v>1442</v>
      </c>
      <c r="D163" s="730"/>
      <c r="E163" s="727">
        <v>456701.88</v>
      </c>
      <c r="F163" s="728">
        <v>45379</v>
      </c>
      <c r="G163" s="728">
        <v>45433</v>
      </c>
      <c r="H163" s="758" t="s">
        <v>1418</v>
      </c>
      <c r="I163" s="720" t="s">
        <v>1434</v>
      </c>
      <c r="J163" s="759" t="s">
        <v>1435</v>
      </c>
    </row>
    <row r="164" ht="20.1" customHeight="1" spans="1:10">
      <c r="A164" s="719">
        <v>162</v>
      </c>
      <c r="B164" s="719" t="s">
        <v>102</v>
      </c>
      <c r="C164" s="726" t="s">
        <v>1443</v>
      </c>
      <c r="D164" s="730"/>
      <c r="E164" s="727">
        <v>1042620.67</v>
      </c>
      <c r="F164" s="728">
        <v>45379</v>
      </c>
      <c r="G164" s="728">
        <v>45433</v>
      </c>
      <c r="H164" s="758" t="s">
        <v>1418</v>
      </c>
      <c r="I164" s="720" t="s">
        <v>1434</v>
      </c>
      <c r="J164" s="759" t="s">
        <v>1435</v>
      </c>
    </row>
    <row r="165" ht="20.1" customHeight="1" spans="1:10">
      <c r="A165" s="719">
        <v>163</v>
      </c>
      <c r="B165" s="719" t="s">
        <v>102</v>
      </c>
      <c r="C165" s="726" t="s">
        <v>1444</v>
      </c>
      <c r="D165" s="730"/>
      <c r="E165" s="727">
        <v>1583187.65</v>
      </c>
      <c r="F165" s="728">
        <v>45379</v>
      </c>
      <c r="G165" s="728">
        <v>45433</v>
      </c>
      <c r="H165" s="758" t="s">
        <v>1418</v>
      </c>
      <c r="I165" s="720" t="s">
        <v>1434</v>
      </c>
      <c r="J165" s="759" t="s">
        <v>1435</v>
      </c>
    </row>
    <row r="166" ht="20.1" customHeight="1" spans="1:10">
      <c r="A166" s="719">
        <v>164</v>
      </c>
      <c r="B166" s="719" t="s">
        <v>102</v>
      </c>
      <c r="C166" s="726" t="s">
        <v>1445</v>
      </c>
      <c r="D166" s="730"/>
      <c r="E166" s="727">
        <v>760556.81</v>
      </c>
      <c r="F166" s="728">
        <v>45379</v>
      </c>
      <c r="G166" s="728">
        <v>45433</v>
      </c>
      <c r="H166" s="758" t="s">
        <v>1418</v>
      </c>
      <c r="I166" s="720" t="s">
        <v>1434</v>
      </c>
      <c r="J166" s="759" t="s">
        <v>1435</v>
      </c>
    </row>
    <row r="167" ht="20.1" customHeight="1" spans="1:10">
      <c r="A167" s="719">
        <v>165</v>
      </c>
      <c r="B167" s="719" t="s">
        <v>102</v>
      </c>
      <c r="C167" s="726" t="s">
        <v>1446</v>
      </c>
      <c r="D167" s="730"/>
      <c r="E167" s="727">
        <v>800214.8</v>
      </c>
      <c r="F167" s="728">
        <v>45379</v>
      </c>
      <c r="G167" s="728">
        <v>45433</v>
      </c>
      <c r="H167" s="758" t="s">
        <v>1418</v>
      </c>
      <c r="I167" s="720" t="s">
        <v>1434</v>
      </c>
      <c r="J167" s="759" t="s">
        <v>1435</v>
      </c>
    </row>
    <row r="168" ht="20.1" customHeight="1" spans="1:10">
      <c r="A168" s="719">
        <v>166</v>
      </c>
      <c r="B168" s="719" t="s">
        <v>102</v>
      </c>
      <c r="C168" s="726" t="s">
        <v>1447</v>
      </c>
      <c r="D168" s="730"/>
      <c r="E168" s="727">
        <v>1201586.39</v>
      </c>
      <c r="F168" s="728">
        <v>45379</v>
      </c>
      <c r="G168" s="728">
        <v>45433</v>
      </c>
      <c r="H168" s="758" t="s">
        <v>1418</v>
      </c>
      <c r="I168" s="720" t="s">
        <v>1434</v>
      </c>
      <c r="J168" s="759" t="s">
        <v>1435</v>
      </c>
    </row>
    <row r="169" ht="20.1" customHeight="1" spans="1:10">
      <c r="A169" s="719">
        <v>167</v>
      </c>
      <c r="B169" s="719" t="s">
        <v>102</v>
      </c>
      <c r="C169" s="726" t="s">
        <v>1448</v>
      </c>
      <c r="D169" s="730"/>
      <c r="E169" s="727">
        <v>1425528.66</v>
      </c>
      <c r="F169" s="728">
        <v>45380</v>
      </c>
      <c r="G169" s="728">
        <v>45433</v>
      </c>
      <c r="H169" s="758" t="s">
        <v>1418</v>
      </c>
      <c r="I169" s="720" t="s">
        <v>1434</v>
      </c>
      <c r="J169" s="759" t="s">
        <v>1435</v>
      </c>
    </row>
    <row r="170" ht="20.1" customHeight="1" spans="1:10">
      <c r="A170" s="719">
        <v>168</v>
      </c>
      <c r="B170" s="726" t="s">
        <v>37</v>
      </c>
      <c r="C170" s="721" t="s">
        <v>1449</v>
      </c>
      <c r="D170" s="730"/>
      <c r="E170" s="727">
        <v>320000</v>
      </c>
      <c r="F170" s="728">
        <v>45380</v>
      </c>
      <c r="G170" s="728">
        <v>45483</v>
      </c>
      <c r="H170" s="758" t="s">
        <v>1418</v>
      </c>
      <c r="I170" s="719" t="s">
        <v>21</v>
      </c>
      <c r="J170" s="733"/>
    </row>
    <row r="171" ht="20.1" customHeight="1" spans="1:10">
      <c r="A171" s="719">
        <v>169</v>
      </c>
      <c r="B171" s="726" t="s">
        <v>37</v>
      </c>
      <c r="C171" s="721" t="s">
        <v>1450</v>
      </c>
      <c r="D171" s="730"/>
      <c r="E171" s="727">
        <v>384436.14</v>
      </c>
      <c r="F171" s="728">
        <v>45380</v>
      </c>
      <c r="G171" s="728">
        <v>45483</v>
      </c>
      <c r="H171" s="758" t="s">
        <v>1418</v>
      </c>
      <c r="I171" s="719" t="s">
        <v>21</v>
      </c>
      <c r="J171" s="733"/>
    </row>
    <row r="172" ht="20.1" customHeight="1" spans="1:10">
      <c r="A172" s="719">
        <v>170</v>
      </c>
      <c r="B172" s="726" t="s">
        <v>37</v>
      </c>
      <c r="C172" s="721" t="s">
        <v>1451</v>
      </c>
      <c r="D172" s="730"/>
      <c r="E172" s="727">
        <v>1097780.86</v>
      </c>
      <c r="F172" s="728">
        <v>45380</v>
      </c>
      <c r="G172" s="728">
        <v>45483</v>
      </c>
      <c r="H172" s="758" t="s">
        <v>1418</v>
      </c>
      <c r="I172" s="719" t="s">
        <v>21</v>
      </c>
      <c r="J172" s="733"/>
    </row>
    <row r="173" ht="20.1" customHeight="1" spans="1:10">
      <c r="A173" s="719">
        <v>171</v>
      </c>
      <c r="B173" s="726" t="s">
        <v>37</v>
      </c>
      <c r="C173" s="721" t="s">
        <v>1449</v>
      </c>
      <c r="D173" s="730"/>
      <c r="E173" s="727">
        <v>230420</v>
      </c>
      <c r="F173" s="728">
        <v>45380</v>
      </c>
      <c r="G173" s="728">
        <v>45483</v>
      </c>
      <c r="H173" s="758" t="s">
        <v>1418</v>
      </c>
      <c r="I173" s="719" t="s">
        <v>21</v>
      </c>
      <c r="J173" s="733"/>
    </row>
    <row r="174" ht="20.1" customHeight="1" spans="1:10">
      <c r="A174" s="719">
        <v>172</v>
      </c>
      <c r="B174" s="726" t="s">
        <v>37</v>
      </c>
      <c r="C174" s="721" t="s">
        <v>1449</v>
      </c>
      <c r="D174" s="730"/>
      <c r="E174" s="727">
        <v>316004</v>
      </c>
      <c r="F174" s="728">
        <v>45380</v>
      </c>
      <c r="G174" s="728">
        <v>45483</v>
      </c>
      <c r="H174" s="758" t="s">
        <v>1418</v>
      </c>
      <c r="I174" s="719" t="s">
        <v>21</v>
      </c>
      <c r="J174" s="733"/>
    </row>
    <row r="175" ht="20.1" customHeight="1" spans="1:10">
      <c r="A175" s="719">
        <v>173</v>
      </c>
      <c r="B175" s="726" t="s">
        <v>37</v>
      </c>
      <c r="C175" s="721" t="s">
        <v>1449</v>
      </c>
      <c r="D175" s="730"/>
      <c r="E175" s="727">
        <v>80000</v>
      </c>
      <c r="F175" s="728">
        <v>45380</v>
      </c>
      <c r="G175" s="728">
        <v>45483</v>
      </c>
      <c r="H175" s="758" t="s">
        <v>1418</v>
      </c>
      <c r="I175" s="719" t="s">
        <v>21</v>
      </c>
      <c r="J175" s="733"/>
    </row>
    <row r="176" ht="20.1" customHeight="1" spans="1:10">
      <c r="A176" s="719">
        <v>174</v>
      </c>
      <c r="B176" s="726" t="s">
        <v>37</v>
      </c>
      <c r="C176" s="721" t="s">
        <v>1452</v>
      </c>
      <c r="D176" s="730"/>
      <c r="E176" s="727">
        <v>800000</v>
      </c>
      <c r="F176" s="728">
        <v>45380</v>
      </c>
      <c r="G176" s="728">
        <v>45483</v>
      </c>
      <c r="H176" s="758" t="s">
        <v>1418</v>
      </c>
      <c r="I176" s="719" t="s">
        <v>21</v>
      </c>
      <c r="J176" s="733"/>
    </row>
    <row r="177" ht="20.1" customHeight="1" spans="1:10">
      <c r="A177" s="719">
        <v>175</v>
      </c>
      <c r="B177" s="726" t="s">
        <v>37</v>
      </c>
      <c r="C177" s="721" t="s">
        <v>1452</v>
      </c>
      <c r="D177" s="730"/>
      <c r="E177" s="727">
        <v>400000</v>
      </c>
      <c r="F177" s="728">
        <v>45380</v>
      </c>
      <c r="G177" s="728">
        <v>45483</v>
      </c>
      <c r="H177" s="758" t="s">
        <v>1418</v>
      </c>
      <c r="I177" s="719" t="s">
        <v>21</v>
      </c>
      <c r="J177" s="733"/>
    </row>
    <row r="178" ht="20.1" customHeight="1" spans="1:10">
      <c r="A178" s="719">
        <v>176</v>
      </c>
      <c r="B178" s="726" t="s">
        <v>37</v>
      </c>
      <c r="C178" s="721" t="s">
        <v>1452</v>
      </c>
      <c r="D178" s="730"/>
      <c r="E178" s="727">
        <v>640000</v>
      </c>
      <c r="F178" s="728">
        <v>45380</v>
      </c>
      <c r="G178" s="728">
        <v>45483</v>
      </c>
      <c r="H178" s="758" t="s">
        <v>1418</v>
      </c>
      <c r="I178" s="719" t="s">
        <v>21</v>
      </c>
      <c r="J178" s="733"/>
    </row>
    <row r="179" ht="20.1" customHeight="1" spans="1:10">
      <c r="A179" s="719">
        <v>177</v>
      </c>
      <c r="B179" s="726" t="s">
        <v>37</v>
      </c>
      <c r="C179" s="721" t="s">
        <v>1452</v>
      </c>
      <c r="D179" s="730"/>
      <c r="E179" s="727">
        <v>760000</v>
      </c>
      <c r="F179" s="728">
        <v>45380</v>
      </c>
      <c r="G179" s="728">
        <v>45483</v>
      </c>
      <c r="H179" s="758" t="s">
        <v>1418</v>
      </c>
      <c r="I179" s="719" t="s">
        <v>21</v>
      </c>
      <c r="J179" s="733"/>
    </row>
    <row r="180" ht="20.1" customHeight="1" spans="1:10">
      <c r="A180" s="719">
        <v>178</v>
      </c>
      <c r="B180" s="726" t="s">
        <v>37</v>
      </c>
      <c r="C180" s="721" t="s">
        <v>1452</v>
      </c>
      <c r="D180" s="730"/>
      <c r="E180" s="727">
        <v>640000</v>
      </c>
      <c r="F180" s="728">
        <v>45380</v>
      </c>
      <c r="G180" s="728">
        <v>45483</v>
      </c>
      <c r="H180" s="758" t="s">
        <v>1418</v>
      </c>
      <c r="I180" s="719" t="s">
        <v>21</v>
      </c>
      <c r="J180" s="733"/>
    </row>
    <row r="181" ht="20.1" customHeight="1" spans="1:10">
      <c r="A181" s="719">
        <v>179</v>
      </c>
      <c r="B181" s="726" t="s">
        <v>37</v>
      </c>
      <c r="C181" s="721" t="s">
        <v>1452</v>
      </c>
      <c r="D181" s="730"/>
      <c r="E181" s="727">
        <v>560000</v>
      </c>
      <c r="F181" s="728">
        <v>45380</v>
      </c>
      <c r="G181" s="728">
        <v>45483</v>
      </c>
      <c r="H181" s="758" t="s">
        <v>1418</v>
      </c>
      <c r="I181" s="719" t="s">
        <v>21</v>
      </c>
      <c r="J181" s="733"/>
    </row>
    <row r="182" ht="20.1" customHeight="1" spans="1:10">
      <c r="A182" s="719">
        <v>180</v>
      </c>
      <c r="B182" s="726" t="s">
        <v>37</v>
      </c>
      <c r="C182" s="721" t="s">
        <v>1450</v>
      </c>
      <c r="D182" s="730"/>
      <c r="E182" s="727">
        <v>400000</v>
      </c>
      <c r="F182" s="728">
        <v>45380</v>
      </c>
      <c r="G182" s="728">
        <v>45483</v>
      </c>
      <c r="H182" s="758" t="s">
        <v>1418</v>
      </c>
      <c r="I182" s="719" t="s">
        <v>21</v>
      </c>
      <c r="J182" s="733"/>
    </row>
    <row r="183" ht="20.1" customHeight="1" spans="1:10">
      <c r="A183" s="719">
        <v>181</v>
      </c>
      <c r="B183" s="726" t="s">
        <v>37</v>
      </c>
      <c r="C183" s="721" t="s">
        <v>1453</v>
      </c>
      <c r="D183" s="730"/>
      <c r="E183" s="727">
        <v>2384000</v>
      </c>
      <c r="F183" s="728">
        <v>45380</v>
      </c>
      <c r="G183" s="728">
        <v>45483</v>
      </c>
      <c r="H183" s="725" t="s">
        <v>1418</v>
      </c>
      <c r="I183" s="719" t="s">
        <v>21</v>
      </c>
      <c r="J183" s="733"/>
    </row>
    <row r="184" ht="20.1" customHeight="1" spans="1:10">
      <c r="A184" s="719">
        <v>182</v>
      </c>
      <c r="B184" s="719" t="s">
        <v>75</v>
      </c>
      <c r="C184" s="726" t="s">
        <v>1454</v>
      </c>
      <c r="D184" s="722" t="s">
        <v>1274</v>
      </c>
      <c r="E184" s="727">
        <v>466624.69</v>
      </c>
      <c r="F184" s="728">
        <v>45381</v>
      </c>
      <c r="G184" s="728">
        <v>45408</v>
      </c>
      <c r="H184" s="725"/>
      <c r="I184" s="720" t="s">
        <v>1333</v>
      </c>
      <c r="J184" s="719"/>
    </row>
    <row r="185" ht="20.1" customHeight="1" spans="1:10">
      <c r="A185" s="719">
        <v>183</v>
      </c>
      <c r="B185" s="719" t="s">
        <v>37</v>
      </c>
      <c r="C185" s="726" t="s">
        <v>290</v>
      </c>
      <c r="D185" s="734"/>
      <c r="E185" s="727">
        <v>707970.7</v>
      </c>
      <c r="F185" s="728">
        <v>45385</v>
      </c>
      <c r="G185" s="728">
        <v>45397</v>
      </c>
      <c r="H185" s="725" t="s">
        <v>1418</v>
      </c>
      <c r="I185" s="719" t="s">
        <v>21</v>
      </c>
      <c r="J185" s="719"/>
    </row>
    <row r="186" ht="20.1" customHeight="1" spans="1:10">
      <c r="A186" s="719">
        <v>184</v>
      </c>
      <c r="B186" s="719" t="s">
        <v>1339</v>
      </c>
      <c r="C186" s="726" t="s">
        <v>1455</v>
      </c>
      <c r="D186" s="729" t="s">
        <v>1277</v>
      </c>
      <c r="E186" s="727">
        <v>663848.81</v>
      </c>
      <c r="F186" s="728">
        <v>45393</v>
      </c>
      <c r="G186" s="728">
        <v>45411</v>
      </c>
      <c r="H186" s="725" t="s">
        <v>1418</v>
      </c>
      <c r="I186" s="720" t="s">
        <v>1289</v>
      </c>
      <c r="J186" s="720" t="s">
        <v>1456</v>
      </c>
    </row>
    <row r="187" ht="20.1" customHeight="1" spans="1:10">
      <c r="A187" s="719">
        <v>185</v>
      </c>
      <c r="B187" s="719" t="s">
        <v>1339</v>
      </c>
      <c r="C187" s="726" t="s">
        <v>1457</v>
      </c>
      <c r="D187" s="732" t="s">
        <v>1277</v>
      </c>
      <c r="E187" s="727">
        <v>323848.78</v>
      </c>
      <c r="F187" s="728">
        <v>45393</v>
      </c>
      <c r="G187" s="728">
        <v>45411</v>
      </c>
      <c r="H187" s="725" t="s">
        <v>1418</v>
      </c>
      <c r="I187" s="720" t="s">
        <v>1289</v>
      </c>
      <c r="J187" s="720" t="s">
        <v>1456</v>
      </c>
    </row>
    <row r="188" ht="20.1" customHeight="1" spans="1:10">
      <c r="A188" s="719">
        <v>186</v>
      </c>
      <c r="B188" s="720" t="s">
        <v>75</v>
      </c>
      <c r="C188" s="721" t="s">
        <v>1458</v>
      </c>
      <c r="D188" s="760"/>
      <c r="E188" s="727">
        <v>195053.07</v>
      </c>
      <c r="F188" s="761">
        <v>45393</v>
      </c>
      <c r="G188" s="728">
        <v>45478</v>
      </c>
      <c r="H188" s="725" t="s">
        <v>1275</v>
      </c>
      <c r="I188" s="719" t="s">
        <v>21</v>
      </c>
      <c r="J188" s="762"/>
    </row>
    <row r="189" ht="20.1" customHeight="1" spans="1:10">
      <c r="A189" s="719">
        <v>187</v>
      </c>
      <c r="B189" s="720" t="s">
        <v>37</v>
      </c>
      <c r="C189" s="763" t="s">
        <v>1459</v>
      </c>
      <c r="D189" s="764"/>
      <c r="E189" s="765">
        <v>97887.04</v>
      </c>
      <c r="F189" s="728">
        <v>45397</v>
      </c>
      <c r="G189" s="728">
        <v>45510</v>
      </c>
      <c r="H189" s="758" t="s">
        <v>1418</v>
      </c>
      <c r="I189" s="766" t="s">
        <v>1289</v>
      </c>
      <c r="J189" s="763"/>
    </row>
    <row r="190" ht="20.1" customHeight="1" spans="1:10">
      <c r="A190" s="719">
        <v>188</v>
      </c>
      <c r="B190" s="720" t="s">
        <v>37</v>
      </c>
      <c r="C190" s="767" t="s">
        <v>1460</v>
      </c>
      <c r="D190" s="768"/>
      <c r="E190" s="765">
        <v>1755719.15</v>
      </c>
      <c r="F190" s="728">
        <v>45397</v>
      </c>
      <c r="G190" s="728">
        <v>45510</v>
      </c>
      <c r="H190" s="758" t="s">
        <v>1418</v>
      </c>
      <c r="I190" s="766" t="s">
        <v>1289</v>
      </c>
      <c r="J190" s="769"/>
    </row>
    <row r="191" ht="20.1" customHeight="1" spans="1:10">
      <c r="A191" s="719">
        <v>189</v>
      </c>
      <c r="B191" s="720" t="s">
        <v>37</v>
      </c>
      <c r="C191" s="767" t="s">
        <v>1461</v>
      </c>
      <c r="D191" s="768"/>
      <c r="E191" s="765">
        <v>308154.5</v>
      </c>
      <c r="F191" s="728">
        <v>45398</v>
      </c>
      <c r="G191" s="728">
        <v>45510</v>
      </c>
      <c r="H191" s="758" t="s">
        <v>1418</v>
      </c>
      <c r="I191" s="766" t="s">
        <v>1289</v>
      </c>
      <c r="J191" s="767"/>
    </row>
    <row r="192" ht="20.1" customHeight="1" spans="1:10">
      <c r="A192" s="719">
        <v>190</v>
      </c>
      <c r="B192" s="720" t="s">
        <v>37</v>
      </c>
      <c r="C192" s="763" t="s">
        <v>1462</v>
      </c>
      <c r="D192" s="764"/>
      <c r="E192" s="765">
        <v>781339.71</v>
      </c>
      <c r="F192" s="728">
        <v>45398</v>
      </c>
      <c r="G192" s="728">
        <v>45510</v>
      </c>
      <c r="H192" s="758" t="s">
        <v>1418</v>
      </c>
      <c r="I192" s="766" t="s">
        <v>1289</v>
      </c>
      <c r="J192" s="763"/>
    </row>
    <row r="193" s="700" customFormat="1" ht="20.1" customHeight="1" spans="1:10">
      <c r="A193" s="719">
        <v>191</v>
      </c>
      <c r="B193" s="720" t="s">
        <v>37</v>
      </c>
      <c r="C193" s="770" t="s">
        <v>1463</v>
      </c>
      <c r="D193" s="768"/>
      <c r="E193" s="771">
        <v>715367.44</v>
      </c>
      <c r="F193" s="728">
        <v>45398</v>
      </c>
      <c r="G193" s="728">
        <v>45510</v>
      </c>
      <c r="H193" s="758" t="s">
        <v>1418</v>
      </c>
      <c r="I193" s="766" t="s">
        <v>1289</v>
      </c>
      <c r="J193" s="767"/>
    </row>
    <row r="194" ht="20.1" customHeight="1" spans="1:10">
      <c r="A194" s="719">
        <v>192</v>
      </c>
      <c r="B194" s="726" t="s">
        <v>15</v>
      </c>
      <c r="C194" s="726" t="s">
        <v>1464</v>
      </c>
      <c r="D194" s="722" t="s">
        <v>1310</v>
      </c>
      <c r="E194" s="727">
        <v>387155.83</v>
      </c>
      <c r="F194" s="728">
        <v>45399</v>
      </c>
      <c r="G194" s="728">
        <v>45485</v>
      </c>
      <c r="H194" s="725" t="s">
        <v>1418</v>
      </c>
      <c r="I194" s="719" t="s">
        <v>21</v>
      </c>
      <c r="J194" s="733"/>
    </row>
    <row r="195" ht="20.1" customHeight="1" spans="1:10">
      <c r="A195" s="719">
        <v>193</v>
      </c>
      <c r="B195" s="772" t="s">
        <v>233</v>
      </c>
      <c r="C195" s="773" t="s">
        <v>1465</v>
      </c>
      <c r="D195" s="740"/>
      <c r="E195" s="774">
        <v>1882677.5</v>
      </c>
      <c r="F195" s="775">
        <v>45406</v>
      </c>
      <c r="G195" s="775">
        <v>45439</v>
      </c>
      <c r="H195" s="725"/>
      <c r="I195" s="719" t="s">
        <v>21</v>
      </c>
      <c r="J195" s="733"/>
    </row>
    <row r="196" ht="20.1" customHeight="1" spans="1:10">
      <c r="A196" s="719">
        <v>194</v>
      </c>
      <c r="B196" s="776" t="s">
        <v>15</v>
      </c>
      <c r="C196" s="776" t="s">
        <v>1466</v>
      </c>
      <c r="D196" s="722" t="s">
        <v>1310</v>
      </c>
      <c r="E196" s="727">
        <v>1849509</v>
      </c>
      <c r="F196" s="728">
        <v>45408</v>
      </c>
      <c r="G196" s="728">
        <v>45439</v>
      </c>
      <c r="H196" s="725" t="s">
        <v>1418</v>
      </c>
      <c r="I196" s="719" t="s">
        <v>21</v>
      </c>
      <c r="J196" s="733"/>
    </row>
    <row r="197" ht="20.1" customHeight="1" spans="1:10">
      <c r="A197" s="719">
        <v>195</v>
      </c>
      <c r="B197" s="719" t="s">
        <v>228</v>
      </c>
      <c r="C197" s="726" t="s">
        <v>1467</v>
      </c>
      <c r="D197" s="732" t="s">
        <v>1277</v>
      </c>
      <c r="E197" s="727">
        <v>813279.91</v>
      </c>
      <c r="F197" s="728">
        <v>45408</v>
      </c>
      <c r="G197" s="728">
        <v>45476</v>
      </c>
      <c r="H197" s="725" t="s">
        <v>1275</v>
      </c>
      <c r="I197" s="719" t="s">
        <v>21</v>
      </c>
      <c r="J197" s="733"/>
    </row>
    <row r="198" ht="20.1" customHeight="1" spans="1:10">
      <c r="A198" s="719">
        <v>196</v>
      </c>
      <c r="B198" s="726" t="s">
        <v>15</v>
      </c>
      <c r="C198" s="726" t="s">
        <v>1468</v>
      </c>
      <c r="D198" s="722" t="s">
        <v>1310</v>
      </c>
      <c r="E198" s="727">
        <v>1599766.24</v>
      </c>
      <c r="F198" s="728">
        <v>45408</v>
      </c>
      <c r="G198" s="728">
        <v>45485</v>
      </c>
      <c r="H198" s="725" t="s">
        <v>1275</v>
      </c>
      <c r="I198" s="719" t="s">
        <v>21</v>
      </c>
      <c r="J198" s="733"/>
    </row>
    <row r="199" ht="20.1" customHeight="1" spans="1:10">
      <c r="A199" s="719">
        <v>197</v>
      </c>
      <c r="B199" s="720" t="s">
        <v>37</v>
      </c>
      <c r="C199" s="763" t="s">
        <v>1469</v>
      </c>
      <c r="D199" s="764"/>
      <c r="E199" s="765">
        <v>781652.01</v>
      </c>
      <c r="F199" s="728">
        <v>45411</v>
      </c>
      <c r="G199" s="728">
        <v>45510</v>
      </c>
      <c r="H199" s="758" t="s">
        <v>1418</v>
      </c>
      <c r="I199" s="766" t="s">
        <v>1289</v>
      </c>
      <c r="J199" s="763"/>
    </row>
    <row r="200" ht="20.1" customHeight="1" spans="1:10">
      <c r="A200" s="719">
        <v>198</v>
      </c>
      <c r="B200" s="720" t="s">
        <v>37</v>
      </c>
      <c r="C200" s="767" t="s">
        <v>1470</v>
      </c>
      <c r="D200" s="768"/>
      <c r="E200" s="765">
        <v>237478.5</v>
      </c>
      <c r="F200" s="728">
        <v>45411</v>
      </c>
      <c r="G200" s="728">
        <v>45510</v>
      </c>
      <c r="H200" s="758" t="s">
        <v>1418</v>
      </c>
      <c r="I200" s="766" t="s">
        <v>1289</v>
      </c>
      <c r="J200" s="767"/>
    </row>
    <row r="201" ht="20.1" customHeight="1" spans="1:10">
      <c r="A201" s="719">
        <v>199</v>
      </c>
      <c r="B201" s="720" t="s">
        <v>37</v>
      </c>
      <c r="C201" s="763" t="s">
        <v>1471</v>
      </c>
      <c r="D201" s="764"/>
      <c r="E201" s="765">
        <v>803124.44</v>
      </c>
      <c r="F201" s="728">
        <v>45411</v>
      </c>
      <c r="G201" s="728">
        <v>45510</v>
      </c>
      <c r="H201" s="758" t="s">
        <v>1418</v>
      </c>
      <c r="I201" s="766" t="s">
        <v>1289</v>
      </c>
      <c r="J201" s="763"/>
    </row>
    <row r="202" ht="20.1" customHeight="1" spans="1:10">
      <c r="A202" s="719">
        <v>200</v>
      </c>
      <c r="B202" s="719" t="s">
        <v>75</v>
      </c>
      <c r="C202" s="726" t="s">
        <v>1472</v>
      </c>
      <c r="D202" s="722" t="s">
        <v>1274</v>
      </c>
      <c r="E202" s="727">
        <v>242631</v>
      </c>
      <c r="F202" s="728">
        <v>45412</v>
      </c>
      <c r="G202" s="728">
        <v>45478</v>
      </c>
      <c r="H202" s="725" t="s">
        <v>1275</v>
      </c>
      <c r="I202" s="719" t="s">
        <v>21</v>
      </c>
      <c r="J202" s="733"/>
    </row>
    <row r="203" ht="20.1" customHeight="1" spans="1:10">
      <c r="A203" s="719">
        <v>201</v>
      </c>
      <c r="B203" s="719" t="s">
        <v>75</v>
      </c>
      <c r="C203" s="726" t="s">
        <v>1473</v>
      </c>
      <c r="D203" s="722" t="s">
        <v>1274</v>
      </c>
      <c r="E203" s="727">
        <v>166357.68</v>
      </c>
      <c r="F203" s="728">
        <v>45412</v>
      </c>
      <c r="G203" s="728">
        <v>45478</v>
      </c>
      <c r="H203" s="725" t="s">
        <v>1275</v>
      </c>
      <c r="I203" s="719" t="s">
        <v>21</v>
      </c>
      <c r="J203" s="733"/>
    </row>
    <row r="204" ht="20.1" customHeight="1" spans="1:10">
      <c r="A204" s="719">
        <v>202</v>
      </c>
      <c r="B204" s="726" t="s">
        <v>15</v>
      </c>
      <c r="C204" s="726" t="s">
        <v>1474</v>
      </c>
      <c r="D204" s="722" t="s">
        <v>1310</v>
      </c>
      <c r="E204" s="727">
        <v>1919441.64</v>
      </c>
      <c r="F204" s="728">
        <v>45420</v>
      </c>
      <c r="G204" s="728">
        <v>45485</v>
      </c>
      <c r="H204" s="725" t="s">
        <v>1275</v>
      </c>
      <c r="I204" s="719" t="s">
        <v>21</v>
      </c>
      <c r="J204" s="733"/>
    </row>
    <row r="205" ht="20.1" customHeight="1" spans="1:10">
      <c r="A205" s="719">
        <v>203</v>
      </c>
      <c r="B205" s="777" t="s">
        <v>15</v>
      </c>
      <c r="C205" s="777" t="s">
        <v>1475</v>
      </c>
      <c r="D205" s="722" t="s">
        <v>1310</v>
      </c>
      <c r="E205" s="778">
        <v>1164684.73</v>
      </c>
      <c r="F205" s="728">
        <v>45421</v>
      </c>
      <c r="G205" s="728">
        <v>45485</v>
      </c>
      <c r="H205" s="725" t="s">
        <v>1275</v>
      </c>
      <c r="I205" s="719" t="s">
        <v>21</v>
      </c>
      <c r="J205" s="779"/>
    </row>
    <row r="206" ht="20.1" customHeight="1" spans="1:10">
      <c r="A206" s="719">
        <v>204</v>
      </c>
      <c r="B206" s="777" t="s">
        <v>15</v>
      </c>
      <c r="C206" s="777" t="s">
        <v>1476</v>
      </c>
      <c r="D206" s="722" t="s">
        <v>1310</v>
      </c>
      <c r="E206" s="778">
        <v>772019.5</v>
      </c>
      <c r="F206" s="728">
        <v>45421</v>
      </c>
      <c r="G206" s="728">
        <v>45485</v>
      </c>
      <c r="H206" s="758" t="s">
        <v>1418</v>
      </c>
      <c r="I206" s="719" t="s">
        <v>21</v>
      </c>
      <c r="J206" s="779"/>
    </row>
    <row r="207" ht="20.1" customHeight="1" spans="1:10">
      <c r="A207" s="719">
        <v>205</v>
      </c>
      <c r="B207" s="780" t="s">
        <v>15</v>
      </c>
      <c r="C207" s="734" t="s">
        <v>1477</v>
      </c>
      <c r="D207" s="781" t="s">
        <v>1310</v>
      </c>
      <c r="E207" s="778">
        <v>933149.85</v>
      </c>
      <c r="F207" s="728">
        <v>45422</v>
      </c>
      <c r="G207" s="728">
        <v>45485</v>
      </c>
      <c r="H207" s="758" t="s">
        <v>1418</v>
      </c>
      <c r="I207" s="719" t="s">
        <v>21</v>
      </c>
      <c r="J207" s="779"/>
    </row>
    <row r="208" ht="20.25" customHeight="1" spans="1:10">
      <c r="A208" s="719">
        <v>206</v>
      </c>
      <c r="B208" s="782" t="s">
        <v>233</v>
      </c>
      <c r="C208" s="740" t="s">
        <v>1478</v>
      </c>
      <c r="D208" s="781"/>
      <c r="E208" s="778">
        <v>1924167.85</v>
      </c>
      <c r="F208" s="728">
        <v>45422</v>
      </c>
      <c r="G208" s="728">
        <v>45449</v>
      </c>
      <c r="H208" s="758"/>
      <c r="I208" s="719" t="s">
        <v>21</v>
      </c>
      <c r="J208" s="779"/>
    </row>
    <row r="209" ht="20.25" customHeight="1" spans="1:26">
      <c r="A209" s="719">
        <v>207</v>
      </c>
      <c r="B209" s="782" t="s">
        <v>233</v>
      </c>
      <c r="C209" s="740" t="s">
        <v>449</v>
      </c>
      <c r="D209" s="781"/>
      <c r="E209" s="778">
        <v>645286.38</v>
      </c>
      <c r="F209" s="728">
        <v>45422</v>
      </c>
      <c r="G209" s="728">
        <v>45449</v>
      </c>
      <c r="H209" s="758"/>
      <c r="I209" s="719" t="s">
        <v>21</v>
      </c>
      <c r="J209" s="779"/>
    </row>
    <row r="210" ht="20.25" customHeight="1" spans="1:26">
      <c r="A210" s="719">
        <v>208</v>
      </c>
      <c r="B210" s="741" t="s">
        <v>37</v>
      </c>
      <c r="C210" s="783" t="s">
        <v>1479</v>
      </c>
      <c r="D210" s="722"/>
      <c r="E210" s="784">
        <v>78642.73</v>
      </c>
      <c r="F210" s="728">
        <v>45422</v>
      </c>
      <c r="G210" s="728">
        <v>45559</v>
      </c>
      <c r="H210" s="758" t="s">
        <v>1418</v>
      </c>
      <c r="I210" s="766" t="s">
        <v>1289</v>
      </c>
      <c r="J210" s="785"/>
    </row>
    <row r="211" ht="20.1" customHeight="1" spans="1:26">
      <c r="A211" s="719">
        <v>209</v>
      </c>
      <c r="B211" s="741" t="s">
        <v>37</v>
      </c>
      <c r="C211" s="740" t="s">
        <v>1479</v>
      </c>
      <c r="D211" s="786"/>
      <c r="E211" s="784">
        <v>404608.9</v>
      </c>
      <c r="F211" s="728">
        <v>45422</v>
      </c>
      <c r="G211" s="728">
        <v>45559</v>
      </c>
      <c r="H211" s="758" t="s">
        <v>1418</v>
      </c>
      <c r="I211" s="766" t="s">
        <v>1289</v>
      </c>
      <c r="J211" s="785"/>
      <c r="K211" s="787"/>
      <c r="L211" s="787"/>
      <c r="M211" s="787"/>
      <c r="N211" s="787"/>
      <c r="O211" s="788"/>
      <c r="P211" s="788"/>
      <c r="Q211" s="789"/>
      <c r="R211" s="789"/>
      <c r="S211" s="789"/>
      <c r="T211" s="789"/>
      <c r="U211" s="790"/>
      <c r="V211" s="791"/>
      <c r="W211" s="792"/>
      <c r="X211" s="792"/>
      <c r="Y211" s="792"/>
      <c r="Z211" s="792"/>
    </row>
    <row r="212" ht="20.1" customHeight="1" spans="1:26">
      <c r="A212" s="719">
        <v>210</v>
      </c>
      <c r="B212" s="793" t="s">
        <v>75</v>
      </c>
      <c r="C212" s="734" t="s">
        <v>1480</v>
      </c>
      <c r="D212" s="786" t="s">
        <v>1274</v>
      </c>
      <c r="E212" s="784">
        <v>242689.13</v>
      </c>
      <c r="F212" s="728">
        <v>45425</v>
      </c>
      <c r="G212" s="728">
        <v>45481</v>
      </c>
      <c r="H212" s="794" t="s">
        <v>1275</v>
      </c>
      <c r="I212" s="793" t="s">
        <v>21</v>
      </c>
      <c r="J212" s="785"/>
      <c r="K212" s="795"/>
      <c r="L212" s="795"/>
      <c r="M212" s="795"/>
      <c r="N212" s="795"/>
      <c r="O212" s="796"/>
      <c r="P212" s="796"/>
      <c r="Q212" s="796"/>
      <c r="R212" s="796"/>
      <c r="S212" s="797"/>
      <c r="T212" s="797"/>
      <c r="U212" s="795"/>
      <c r="V212" s="795"/>
      <c r="W212" s="795"/>
      <c r="X212" s="795"/>
      <c r="Y212" s="798"/>
      <c r="Z212" s="799"/>
    </row>
    <row r="213" s="700" customFormat="1" ht="20.1" customHeight="1" spans="1:26">
      <c r="A213" s="719">
        <v>211</v>
      </c>
      <c r="B213" s="741" t="s">
        <v>37</v>
      </c>
      <c r="C213" s="800" t="s">
        <v>1481</v>
      </c>
      <c r="D213" s="801"/>
      <c r="E213" s="771">
        <v>152428.18</v>
      </c>
      <c r="F213" s="728">
        <v>45425</v>
      </c>
      <c r="G213" s="728">
        <v>45510</v>
      </c>
      <c r="H213" s="758" t="s">
        <v>1418</v>
      </c>
      <c r="I213" s="766" t="s">
        <v>1289</v>
      </c>
      <c r="J213" s="801"/>
      <c r="K213" s="802"/>
      <c r="L213" s="802"/>
      <c r="M213" s="802"/>
      <c r="N213" s="802"/>
      <c r="O213" s="803"/>
      <c r="P213" s="803"/>
      <c r="Q213" s="803"/>
      <c r="R213" s="803"/>
      <c r="S213" s="804"/>
      <c r="T213" s="805"/>
      <c r="U213" s="802"/>
      <c r="V213" s="802"/>
      <c r="W213" s="802"/>
      <c r="X213" s="802"/>
      <c r="Y213" s="806"/>
      <c r="Z213" s="807"/>
    </row>
    <row r="214" ht="20.1" customHeight="1" spans="1:26">
      <c r="A214" s="719">
        <v>212</v>
      </c>
      <c r="B214" s="741" t="s">
        <v>37</v>
      </c>
      <c r="C214" s="808" t="s">
        <v>1482</v>
      </c>
      <c r="D214" s="809"/>
      <c r="E214" s="810">
        <v>164977</v>
      </c>
      <c r="F214" s="728">
        <v>45425</v>
      </c>
      <c r="G214" s="728">
        <v>45510</v>
      </c>
      <c r="H214" s="758" t="s">
        <v>1418</v>
      </c>
      <c r="I214" s="766" t="s">
        <v>1289</v>
      </c>
      <c r="J214" s="808"/>
      <c r="K214" s="811"/>
      <c r="L214" s="811"/>
      <c r="M214" s="811"/>
      <c r="N214" s="811"/>
      <c r="O214" s="812"/>
      <c r="P214" s="812"/>
      <c r="Q214" s="812"/>
      <c r="R214" s="812"/>
      <c r="S214" s="813"/>
      <c r="T214" s="814"/>
      <c r="U214" s="811"/>
      <c r="V214" s="811"/>
      <c r="W214" s="811"/>
      <c r="X214" s="811"/>
      <c r="Y214" s="815"/>
      <c r="Z214" s="816"/>
    </row>
    <row r="215" ht="20.1" customHeight="1" spans="1:26">
      <c r="A215" s="719">
        <v>213</v>
      </c>
      <c r="B215" s="741" t="s">
        <v>22</v>
      </c>
      <c r="C215" s="729" t="s">
        <v>1483</v>
      </c>
      <c r="D215" s="809"/>
      <c r="E215" s="817">
        <v>126896.02</v>
      </c>
      <c r="F215" s="775">
        <v>45426</v>
      </c>
      <c r="G215" s="775">
        <v>45450</v>
      </c>
      <c r="H215" s="818"/>
      <c r="I215" s="720" t="s">
        <v>1289</v>
      </c>
      <c r="J215" s="808"/>
      <c r="K215" s="795"/>
      <c r="L215" s="795"/>
      <c r="M215" s="795"/>
      <c r="N215" s="795"/>
      <c r="O215" s="796"/>
      <c r="P215" s="796"/>
      <c r="Q215" s="796"/>
      <c r="R215" s="796"/>
      <c r="S215" s="797"/>
      <c r="T215" s="797"/>
      <c r="U215" s="797"/>
      <c r="V215" s="795"/>
      <c r="W215" s="795"/>
      <c r="X215" s="795"/>
      <c r="Y215" s="798"/>
      <c r="Z215" s="799"/>
    </row>
    <row r="216" ht="20.1" customHeight="1" spans="1:26">
      <c r="A216" s="719">
        <v>214</v>
      </c>
      <c r="B216" s="741" t="s">
        <v>233</v>
      </c>
      <c r="C216" s="819" t="s">
        <v>1484</v>
      </c>
      <c r="D216" s="809"/>
      <c r="E216" s="817">
        <v>953929.45</v>
      </c>
      <c r="F216" s="775">
        <v>45426</v>
      </c>
      <c r="G216" s="775">
        <v>45449</v>
      </c>
      <c r="H216" s="818"/>
      <c r="I216" s="793" t="s">
        <v>21</v>
      </c>
      <c r="J216" s="808"/>
      <c r="K216" s="795"/>
      <c r="L216" s="795"/>
      <c r="M216" s="795"/>
      <c r="N216" s="795"/>
      <c r="O216" s="796"/>
      <c r="P216" s="796"/>
      <c r="Q216" s="796"/>
      <c r="R216" s="796"/>
      <c r="S216" s="797"/>
      <c r="T216" s="797"/>
      <c r="U216" s="797"/>
      <c r="V216" s="795"/>
      <c r="W216" s="795"/>
      <c r="X216" s="795"/>
      <c r="Y216" s="798"/>
      <c r="Z216" s="799"/>
    </row>
    <row r="217" ht="20.1" customHeight="1" spans="1:26">
      <c r="A217" s="719">
        <v>215</v>
      </c>
      <c r="B217" s="741" t="s">
        <v>22</v>
      </c>
      <c r="C217" s="820" t="s">
        <v>1485</v>
      </c>
      <c r="D217" s="809"/>
      <c r="E217" s="821">
        <v>199927.95</v>
      </c>
      <c r="F217" s="775">
        <v>45426</v>
      </c>
      <c r="G217" s="775">
        <v>45450</v>
      </c>
      <c r="H217" s="818"/>
      <c r="I217" s="720" t="s">
        <v>1289</v>
      </c>
      <c r="J217" s="808"/>
      <c r="K217" s="811"/>
      <c r="L217" s="811"/>
      <c r="M217" s="811"/>
      <c r="N217" s="811"/>
      <c r="O217" s="812"/>
      <c r="P217" s="812"/>
      <c r="Q217" s="812"/>
      <c r="R217" s="812"/>
      <c r="S217" s="813"/>
      <c r="T217" s="813"/>
      <c r="U217" s="814"/>
      <c r="V217" s="811"/>
      <c r="W217" s="811"/>
      <c r="X217" s="811"/>
      <c r="Y217" s="815"/>
      <c r="Z217" s="816"/>
    </row>
    <row r="218" ht="20.1" customHeight="1" spans="1:26">
      <c r="A218" s="719">
        <v>216</v>
      </c>
      <c r="B218" s="741" t="s">
        <v>37</v>
      </c>
      <c r="C218" s="808" t="s">
        <v>1486</v>
      </c>
      <c r="D218" s="809"/>
      <c r="E218" s="810">
        <v>61808.06</v>
      </c>
      <c r="F218" s="728">
        <v>45429</v>
      </c>
      <c r="G218" s="728">
        <v>45510</v>
      </c>
      <c r="H218" s="758" t="s">
        <v>1418</v>
      </c>
      <c r="I218" s="766" t="s">
        <v>1289</v>
      </c>
      <c r="J218" s="808"/>
      <c r="K218" s="811"/>
      <c r="L218" s="811"/>
      <c r="M218" s="811"/>
      <c r="N218" s="811"/>
      <c r="O218" s="812"/>
      <c r="P218" s="812"/>
      <c r="Q218" s="812"/>
      <c r="R218" s="812"/>
      <c r="S218" s="813"/>
      <c r="T218" s="813"/>
      <c r="U218" s="814"/>
      <c r="V218" s="811"/>
      <c r="W218" s="811"/>
      <c r="X218" s="811"/>
      <c r="Y218" s="815"/>
      <c r="Z218" s="816"/>
    </row>
    <row r="219" s="701" customFormat="1" ht="20.1" customHeight="1" spans="1:26">
      <c r="A219" s="719">
        <v>217</v>
      </c>
      <c r="B219" s="741" t="s">
        <v>37</v>
      </c>
      <c r="C219" s="801" t="s">
        <v>1487</v>
      </c>
      <c r="D219" s="822"/>
      <c r="E219" s="810">
        <v>1055448.27</v>
      </c>
      <c r="F219" s="728">
        <v>45429</v>
      </c>
      <c r="G219" s="728">
        <v>45510</v>
      </c>
      <c r="H219" s="758" t="s">
        <v>1418</v>
      </c>
      <c r="I219" s="766" t="s">
        <v>1289</v>
      </c>
      <c r="J219" s="801"/>
      <c r="K219" s="811"/>
      <c r="L219" s="811"/>
      <c r="M219" s="811"/>
      <c r="N219" s="811"/>
      <c r="O219" s="812"/>
      <c r="P219" s="812"/>
      <c r="Q219" s="812"/>
      <c r="R219" s="812"/>
      <c r="S219" s="813"/>
      <c r="T219" s="813"/>
      <c r="U219" s="811"/>
      <c r="V219" s="811"/>
      <c r="W219" s="811"/>
      <c r="X219" s="811"/>
      <c r="Y219" s="815"/>
      <c r="Z219" s="816"/>
    </row>
    <row r="220" s="701" customFormat="1" ht="20.1" customHeight="1" spans="1:26">
      <c r="A220" s="719">
        <v>218</v>
      </c>
      <c r="B220" s="741" t="s">
        <v>37</v>
      </c>
      <c r="C220" s="808" t="s">
        <v>1488</v>
      </c>
      <c r="D220" s="809"/>
      <c r="E220" s="810">
        <v>241769.58</v>
      </c>
      <c r="F220" s="728">
        <v>45429</v>
      </c>
      <c r="G220" s="728">
        <v>45510</v>
      </c>
      <c r="H220" s="758" t="s">
        <v>1418</v>
      </c>
      <c r="I220" s="766" t="s">
        <v>1289</v>
      </c>
      <c r="J220" s="808"/>
      <c r="K220" s="811"/>
      <c r="L220" s="811"/>
      <c r="M220" s="811"/>
      <c r="N220" s="811"/>
      <c r="O220" s="812"/>
      <c r="P220" s="812"/>
      <c r="Q220" s="812"/>
      <c r="R220" s="812"/>
      <c r="S220" s="813"/>
      <c r="T220" s="813"/>
      <c r="U220" s="811"/>
      <c r="V220" s="811"/>
      <c r="W220" s="811"/>
      <c r="X220" s="811"/>
      <c r="Y220" s="815"/>
      <c r="Z220" s="816"/>
    </row>
    <row r="221" s="701" customFormat="1" ht="20.1" customHeight="1" spans="1:26">
      <c r="A221" s="719">
        <v>219</v>
      </c>
      <c r="B221" s="741" t="s">
        <v>102</v>
      </c>
      <c r="C221" s="820" t="s">
        <v>1489</v>
      </c>
      <c r="D221" s="809"/>
      <c r="E221" s="821">
        <v>258502.66</v>
      </c>
      <c r="F221" s="728">
        <v>45429</v>
      </c>
      <c r="G221" s="728">
        <v>45549</v>
      </c>
      <c r="H221" s="758" t="s">
        <v>1418</v>
      </c>
      <c r="I221" s="720" t="s">
        <v>1289</v>
      </c>
      <c r="J221" s="808"/>
      <c r="K221" s="811"/>
      <c r="L221" s="811"/>
      <c r="M221" s="811"/>
      <c r="N221" s="811"/>
      <c r="O221" s="812"/>
      <c r="P221" s="812"/>
      <c r="Q221" s="812"/>
      <c r="R221" s="812"/>
      <c r="S221" s="813"/>
      <c r="T221" s="813"/>
      <c r="U221" s="811"/>
      <c r="V221" s="811"/>
      <c r="W221" s="811"/>
      <c r="X221" s="811"/>
      <c r="Y221" s="815"/>
      <c r="Z221" s="816"/>
    </row>
    <row r="222" s="701" customFormat="1" ht="20.1" customHeight="1" spans="1:26">
      <c r="A222" s="719">
        <v>220</v>
      </c>
      <c r="B222" s="741" t="s">
        <v>228</v>
      </c>
      <c r="C222" s="820" t="s">
        <v>229</v>
      </c>
      <c r="D222" s="809"/>
      <c r="E222" s="821">
        <v>3995551.93</v>
      </c>
      <c r="F222" s="728">
        <v>45434</v>
      </c>
      <c r="G222" s="728">
        <v>45553</v>
      </c>
      <c r="H222" s="823" t="s">
        <v>1490</v>
      </c>
      <c r="I222" s="719" t="s">
        <v>21</v>
      </c>
      <c r="J222" s="808"/>
      <c r="K222" s="811"/>
      <c r="L222" s="811"/>
      <c r="M222" s="811"/>
      <c r="N222" s="811"/>
      <c r="O222" s="812"/>
      <c r="P222" s="812"/>
      <c r="Q222" s="812"/>
      <c r="R222" s="812"/>
      <c r="S222" s="813"/>
      <c r="T222" s="813"/>
      <c r="U222" s="811"/>
      <c r="V222" s="811"/>
      <c r="W222" s="811"/>
      <c r="X222" s="811"/>
      <c r="Y222" s="815"/>
      <c r="Z222" s="816"/>
    </row>
    <row r="223" s="701" customFormat="1" ht="20.1" customHeight="1" spans="1:26">
      <c r="A223" s="719">
        <v>221</v>
      </c>
      <c r="B223" s="741" t="s">
        <v>37</v>
      </c>
      <c r="C223" s="820" t="s">
        <v>1491</v>
      </c>
      <c r="D223" s="809"/>
      <c r="E223" s="821">
        <v>918479.25</v>
      </c>
      <c r="F223" s="728">
        <v>45436</v>
      </c>
      <c r="G223" s="728">
        <v>45559</v>
      </c>
      <c r="H223" s="758" t="s">
        <v>1418</v>
      </c>
      <c r="I223" s="766" t="s">
        <v>1289</v>
      </c>
      <c r="J223" s="808"/>
      <c r="K223" s="811"/>
      <c r="L223" s="811"/>
      <c r="M223" s="811"/>
      <c r="N223" s="811"/>
      <c r="O223" s="812"/>
      <c r="P223" s="812"/>
      <c r="Q223" s="812"/>
      <c r="R223" s="812"/>
      <c r="S223" s="813"/>
      <c r="T223" s="813"/>
      <c r="U223" s="811"/>
      <c r="V223" s="811"/>
      <c r="W223" s="811"/>
      <c r="X223" s="811"/>
      <c r="Y223" s="815"/>
      <c r="Z223" s="816"/>
    </row>
    <row r="224" ht="20.1" customHeight="1" spans="1:26">
      <c r="A224" s="719">
        <v>222</v>
      </c>
      <c r="B224" s="741" t="s">
        <v>102</v>
      </c>
      <c r="C224" s="820" t="s">
        <v>1323</v>
      </c>
      <c r="D224" s="809"/>
      <c r="E224" s="821">
        <v>175567.65</v>
      </c>
      <c r="F224" s="728">
        <v>45438</v>
      </c>
      <c r="G224" s="728">
        <v>45549</v>
      </c>
      <c r="H224" s="818"/>
      <c r="I224" s="720" t="s">
        <v>1272</v>
      </c>
      <c r="J224" s="808"/>
      <c r="K224" s="811"/>
      <c r="L224" s="811"/>
      <c r="M224" s="811"/>
      <c r="N224" s="811"/>
      <c r="O224" s="812"/>
      <c r="P224" s="812"/>
      <c r="Q224" s="812"/>
      <c r="R224" s="812"/>
      <c r="S224" s="813"/>
      <c r="T224" s="813"/>
      <c r="U224" s="811"/>
      <c r="V224" s="811"/>
      <c r="W224" s="811"/>
      <c r="X224" s="811"/>
      <c r="Y224" s="815"/>
      <c r="Z224" s="816"/>
    </row>
    <row r="225" ht="20.1" customHeight="1" spans="1:26">
      <c r="A225" s="719">
        <v>223</v>
      </c>
      <c r="B225" s="741" t="s">
        <v>37</v>
      </c>
      <c r="C225" s="808" t="s">
        <v>1492</v>
      </c>
      <c r="D225" s="809"/>
      <c r="E225" s="810">
        <v>302825.94</v>
      </c>
      <c r="F225" s="728">
        <v>45440</v>
      </c>
      <c r="G225" s="728">
        <v>45510</v>
      </c>
      <c r="H225" s="758" t="s">
        <v>1418</v>
      </c>
      <c r="I225" s="766" t="s">
        <v>1289</v>
      </c>
      <c r="J225" s="808"/>
      <c r="K225" s="795"/>
      <c r="L225" s="795"/>
      <c r="M225" s="795"/>
      <c r="N225" s="795"/>
      <c r="O225" s="796"/>
      <c r="P225" s="796"/>
      <c r="Q225" s="796"/>
      <c r="R225" s="796"/>
      <c r="S225" s="797"/>
      <c r="T225" s="824"/>
      <c r="U225" s="797"/>
      <c r="V225" s="795"/>
      <c r="W225" s="795"/>
      <c r="X225" s="795"/>
      <c r="Y225" s="798"/>
      <c r="Z225" s="799"/>
    </row>
    <row r="226" ht="20.1" customHeight="1" spans="1:26">
      <c r="A226" s="719">
        <v>224</v>
      </c>
      <c r="B226" s="741" t="s">
        <v>37</v>
      </c>
      <c r="C226" s="801" t="s">
        <v>1493</v>
      </c>
      <c r="D226" s="822"/>
      <c r="E226" s="810">
        <v>413726.8</v>
      </c>
      <c r="F226" s="728">
        <v>45440</v>
      </c>
      <c r="G226" s="728">
        <v>45510</v>
      </c>
      <c r="H226" s="758" t="s">
        <v>1418</v>
      </c>
      <c r="I226" s="766" t="s">
        <v>1289</v>
      </c>
      <c r="J226" s="801"/>
      <c r="K226" s="811"/>
      <c r="L226" s="811"/>
      <c r="M226" s="811"/>
      <c r="N226" s="811"/>
      <c r="O226" s="812"/>
      <c r="P226" s="812"/>
      <c r="Q226" s="812"/>
      <c r="R226" s="812"/>
      <c r="S226" s="813"/>
      <c r="T226" s="814"/>
      <c r="U226" s="813"/>
      <c r="V226" s="811"/>
      <c r="W226" s="811"/>
      <c r="X226" s="811"/>
      <c r="Y226" s="815"/>
      <c r="Z226" s="816"/>
    </row>
    <row r="227" ht="20.1" customHeight="1" spans="1:26">
      <c r="A227" s="719">
        <v>225</v>
      </c>
      <c r="B227" s="825" t="s">
        <v>37</v>
      </c>
      <c r="C227" s="801" t="s">
        <v>1494</v>
      </c>
      <c r="D227" s="822"/>
      <c r="E227" s="810">
        <v>1276201.22</v>
      </c>
      <c r="F227" s="728">
        <v>45440</v>
      </c>
      <c r="G227" s="728">
        <v>45510</v>
      </c>
      <c r="H227" s="758" t="s">
        <v>1418</v>
      </c>
      <c r="I227" s="766" t="s">
        <v>1289</v>
      </c>
      <c r="J227" s="801"/>
      <c r="K227" s="795"/>
      <c r="L227" s="795"/>
      <c r="M227" s="795"/>
      <c r="N227" s="795"/>
      <c r="O227" s="796"/>
      <c r="P227" s="796"/>
      <c r="Q227" s="796"/>
      <c r="R227" s="796"/>
      <c r="S227" s="797"/>
      <c r="T227" s="824"/>
      <c r="U227" s="797"/>
      <c r="V227" s="795"/>
      <c r="W227" s="795"/>
      <c r="X227" s="795"/>
      <c r="Y227" s="798"/>
      <c r="Z227" s="799"/>
    </row>
    <row r="228" ht="20.1" customHeight="1" spans="1:26">
      <c r="A228" s="719">
        <v>226</v>
      </c>
      <c r="B228" s="741" t="s">
        <v>37</v>
      </c>
      <c r="C228" s="801" t="s">
        <v>1495</v>
      </c>
      <c r="D228" s="822"/>
      <c r="E228" s="810">
        <v>324462.88</v>
      </c>
      <c r="F228" s="728">
        <v>45440</v>
      </c>
      <c r="G228" s="728">
        <v>45510</v>
      </c>
      <c r="H228" s="758" t="s">
        <v>1418</v>
      </c>
      <c r="I228" s="766" t="s">
        <v>1289</v>
      </c>
      <c r="J228" s="801"/>
      <c r="K228" s="811"/>
      <c r="L228" s="811"/>
      <c r="M228" s="811"/>
      <c r="N228" s="811"/>
      <c r="O228" s="812"/>
      <c r="P228" s="812"/>
      <c r="Q228" s="812"/>
      <c r="R228" s="812"/>
      <c r="S228" s="813"/>
      <c r="T228" s="814"/>
      <c r="U228" s="811"/>
      <c r="V228" s="811"/>
      <c r="W228" s="811"/>
      <c r="X228" s="811"/>
      <c r="Y228" s="815"/>
      <c r="Z228" s="816"/>
    </row>
    <row r="229" ht="20.1" customHeight="1" spans="1:26">
      <c r="A229" s="719">
        <v>227</v>
      </c>
      <c r="B229" s="741" t="s">
        <v>37</v>
      </c>
      <c r="C229" s="808" t="s">
        <v>1496</v>
      </c>
      <c r="D229" s="809"/>
      <c r="E229" s="810">
        <v>689192.67</v>
      </c>
      <c r="F229" s="728">
        <v>45440</v>
      </c>
      <c r="G229" s="728">
        <v>45510</v>
      </c>
      <c r="H229" s="758" t="s">
        <v>1418</v>
      </c>
      <c r="I229" s="766" t="s">
        <v>1289</v>
      </c>
      <c r="J229" s="808"/>
      <c r="K229" s="795"/>
      <c r="L229" s="795"/>
      <c r="M229" s="795"/>
      <c r="N229" s="795"/>
      <c r="O229" s="796"/>
      <c r="P229" s="796"/>
      <c r="Q229" s="796"/>
      <c r="R229" s="796"/>
      <c r="S229" s="797"/>
      <c r="T229" s="824"/>
      <c r="U229" s="795"/>
      <c r="V229" s="795"/>
      <c r="W229" s="795"/>
      <c r="X229" s="795"/>
      <c r="Y229" s="798"/>
      <c r="Z229" s="799"/>
    </row>
    <row r="230" ht="20.1" customHeight="1" spans="1:26">
      <c r="A230" s="719">
        <v>228</v>
      </c>
      <c r="B230" s="741" t="s">
        <v>37</v>
      </c>
      <c r="C230" s="801" t="s">
        <v>1497</v>
      </c>
      <c r="D230" s="822"/>
      <c r="E230" s="810">
        <v>406831.21</v>
      </c>
      <c r="F230" s="728">
        <v>45440</v>
      </c>
      <c r="G230" s="728">
        <v>45510</v>
      </c>
      <c r="H230" s="758" t="s">
        <v>1418</v>
      </c>
      <c r="I230" s="766" t="s">
        <v>1289</v>
      </c>
      <c r="J230" s="801"/>
      <c r="K230" s="811"/>
      <c r="L230" s="811"/>
      <c r="M230" s="811"/>
      <c r="N230" s="811"/>
      <c r="O230" s="812"/>
      <c r="P230" s="812"/>
      <c r="Q230" s="812"/>
      <c r="R230" s="812"/>
      <c r="S230" s="813"/>
      <c r="T230" s="814"/>
      <c r="U230" s="813"/>
      <c r="V230" s="811"/>
      <c r="W230" s="811"/>
      <c r="X230" s="811"/>
      <c r="Y230" s="815"/>
      <c r="Z230" s="816"/>
    </row>
    <row r="231" ht="20.1" customHeight="1" spans="1:26">
      <c r="A231" s="719">
        <v>229</v>
      </c>
      <c r="B231" s="741" t="s">
        <v>37</v>
      </c>
      <c r="C231" s="808" t="s">
        <v>1498</v>
      </c>
      <c r="D231" s="768"/>
      <c r="E231" s="810">
        <v>702501.8</v>
      </c>
      <c r="F231" s="728">
        <v>45440</v>
      </c>
      <c r="G231" s="728">
        <v>45510</v>
      </c>
      <c r="H231" s="758" t="s">
        <v>1418</v>
      </c>
      <c r="I231" s="766" t="s">
        <v>1289</v>
      </c>
      <c r="J231" s="808"/>
      <c r="K231" s="795"/>
      <c r="L231" s="795"/>
      <c r="M231" s="795"/>
      <c r="N231" s="795"/>
      <c r="O231" s="796"/>
      <c r="P231" s="796"/>
      <c r="Q231" s="796"/>
      <c r="R231" s="796"/>
      <c r="S231" s="797"/>
      <c r="T231" s="824"/>
      <c r="U231" s="797"/>
      <c r="V231" s="795"/>
      <c r="W231" s="795"/>
      <c r="X231" s="795"/>
      <c r="Y231" s="798"/>
      <c r="Z231" s="799"/>
    </row>
    <row r="232" ht="20.1" customHeight="1" spans="1:26">
      <c r="A232" s="719">
        <v>230</v>
      </c>
      <c r="B232" s="741" t="s">
        <v>37</v>
      </c>
      <c r="C232" s="801" t="s">
        <v>1499</v>
      </c>
      <c r="D232" s="801"/>
      <c r="E232" s="810">
        <v>80261.78</v>
      </c>
      <c r="F232" s="728">
        <v>45440</v>
      </c>
      <c r="G232" s="728">
        <v>45510</v>
      </c>
      <c r="H232" s="758" t="s">
        <v>1418</v>
      </c>
      <c r="I232" s="766" t="s">
        <v>1289</v>
      </c>
      <c r="J232" s="801"/>
      <c r="K232" s="811"/>
      <c r="L232" s="811"/>
      <c r="M232" s="811"/>
      <c r="N232" s="811"/>
      <c r="O232" s="812"/>
      <c r="P232" s="812"/>
      <c r="Q232" s="812"/>
      <c r="R232" s="812"/>
      <c r="S232" s="813"/>
      <c r="T232" s="813"/>
      <c r="U232" s="811"/>
      <c r="V232" s="811"/>
      <c r="W232" s="811"/>
      <c r="X232" s="811"/>
      <c r="Y232" s="815"/>
      <c r="Z232" s="816"/>
    </row>
    <row r="233" ht="20.1" customHeight="1" spans="1:26">
      <c r="A233" s="719">
        <v>231</v>
      </c>
      <c r="B233" s="793" t="s">
        <v>75</v>
      </c>
      <c r="C233" s="734" t="s">
        <v>1500</v>
      </c>
      <c r="D233" s="740" t="s">
        <v>1274</v>
      </c>
      <c r="E233" s="784">
        <v>208914.3</v>
      </c>
      <c r="F233" s="728">
        <v>45441</v>
      </c>
      <c r="G233" s="728">
        <v>45506</v>
      </c>
      <c r="H233" s="794" t="s">
        <v>1275</v>
      </c>
      <c r="I233" s="719" t="s">
        <v>21</v>
      </c>
      <c r="J233" s="785"/>
      <c r="K233" s="795"/>
      <c r="L233" s="795"/>
      <c r="M233" s="795"/>
      <c r="N233" s="795"/>
      <c r="O233" s="796"/>
      <c r="P233" s="796"/>
      <c r="Q233" s="796"/>
      <c r="R233" s="796"/>
      <c r="S233" s="797"/>
      <c r="T233" s="797"/>
      <c r="U233" s="795"/>
      <c r="V233" s="795"/>
      <c r="W233" s="795"/>
      <c r="X233" s="795"/>
      <c r="Y233" s="798"/>
      <c r="Z233" s="799"/>
    </row>
    <row r="234" ht="20.1" customHeight="1" spans="1:26">
      <c r="A234" s="719">
        <v>232</v>
      </c>
      <c r="B234" s="734" t="s">
        <v>1339</v>
      </c>
      <c r="C234" s="734" t="s">
        <v>1415</v>
      </c>
      <c r="D234" s="729" t="s">
        <v>1277</v>
      </c>
      <c r="E234" s="784">
        <v>403103.14</v>
      </c>
      <c r="F234" s="728">
        <v>45448</v>
      </c>
      <c r="G234" s="728">
        <v>45484</v>
      </c>
      <c r="H234"/>
      <c r="I234" s="720" t="s">
        <v>1272</v>
      </c>
      <c r="J234" s="785"/>
      <c r="K234" s="811"/>
      <c r="L234" s="811"/>
      <c r="M234" s="811"/>
      <c r="N234" s="811"/>
      <c r="O234" s="812"/>
      <c r="P234" s="812"/>
      <c r="Q234" s="812"/>
      <c r="R234" s="812"/>
      <c r="S234" s="813"/>
      <c r="T234" s="813"/>
      <c r="U234" s="811"/>
      <c r="V234" s="811"/>
      <c r="W234" s="811"/>
      <c r="X234" s="811"/>
      <c r="Y234" s="815"/>
      <c r="Z234" s="816"/>
    </row>
    <row r="235" ht="20.1" customHeight="1" spans="1:26">
      <c r="A235" s="719">
        <v>233</v>
      </c>
      <c r="B235" s="734" t="s">
        <v>1339</v>
      </c>
      <c r="C235" s="734" t="s">
        <v>1415</v>
      </c>
      <c r="D235" s="729" t="s">
        <v>1277</v>
      </c>
      <c r="E235" s="784">
        <v>403103.14</v>
      </c>
      <c r="F235" s="728">
        <v>45448</v>
      </c>
      <c r="G235" s="728">
        <v>45484</v>
      </c>
      <c r="H235"/>
      <c r="I235" s="741" t="s">
        <v>1272</v>
      </c>
      <c r="J235" s="785"/>
      <c r="K235" s="795"/>
      <c r="L235" s="795"/>
      <c r="M235" s="795"/>
      <c r="N235" s="795"/>
      <c r="O235" s="796"/>
      <c r="P235" s="796"/>
      <c r="Q235" s="796"/>
      <c r="R235" s="796"/>
      <c r="S235" s="797"/>
      <c r="T235" s="797"/>
      <c r="U235" s="795"/>
      <c r="V235" s="795"/>
      <c r="W235" s="795"/>
      <c r="X235" s="795"/>
      <c r="Y235" s="798"/>
      <c r="Z235" s="799"/>
    </row>
    <row r="236" ht="20.1" customHeight="1" spans="1:26">
      <c r="A236" s="719">
        <v>234</v>
      </c>
      <c r="B236" s="734" t="s">
        <v>1339</v>
      </c>
      <c r="C236" s="734" t="s">
        <v>1415</v>
      </c>
      <c r="D236" s="729" t="s">
        <v>1277</v>
      </c>
      <c r="E236" s="784">
        <v>403103.14</v>
      </c>
      <c r="F236" s="728">
        <v>45448</v>
      </c>
      <c r="G236" s="728">
        <v>45484</v>
      </c>
      <c r="H236"/>
      <c r="I236" s="741" t="s">
        <v>1272</v>
      </c>
      <c r="J236" s="785"/>
      <c r="K236" s="795"/>
      <c r="L236" s="795"/>
      <c r="M236" s="795"/>
      <c r="N236" s="795"/>
      <c r="O236" s="796"/>
      <c r="P236" s="796"/>
      <c r="Q236" s="796"/>
      <c r="R236" s="796"/>
      <c r="S236" s="797"/>
      <c r="T236" s="797"/>
      <c r="U236" s="795"/>
      <c r="V236" s="795"/>
      <c r="W236" s="795"/>
      <c r="X236" s="795"/>
      <c r="Y236" s="798"/>
      <c r="Z236" s="799"/>
    </row>
    <row r="237" ht="20.1" customHeight="1" spans="1:26">
      <c r="A237" s="719">
        <v>235</v>
      </c>
      <c r="B237" s="741" t="s">
        <v>102</v>
      </c>
      <c r="C237" s="740" t="s">
        <v>1501</v>
      </c>
      <c r="D237" s="729"/>
      <c r="E237" s="784">
        <v>592313.87</v>
      </c>
      <c r="F237" s="728">
        <v>45450</v>
      </c>
      <c r="G237" s="728">
        <v>45549</v>
      </c>
      <c r="H237"/>
      <c r="I237" s="720" t="s">
        <v>1272</v>
      </c>
      <c r="J237" s="785"/>
      <c r="K237" s="795"/>
      <c r="L237" s="795"/>
      <c r="M237" s="795"/>
      <c r="N237" s="795"/>
      <c r="O237" s="796"/>
      <c r="P237" s="796"/>
      <c r="Q237" s="796"/>
      <c r="R237" s="796"/>
      <c r="S237" s="797"/>
      <c r="T237" s="797"/>
      <c r="U237" s="795"/>
      <c r="V237" s="795"/>
      <c r="W237" s="795"/>
      <c r="X237" s="795"/>
      <c r="Y237" s="798"/>
      <c r="Z237" s="799"/>
    </row>
    <row r="238" ht="20.1" customHeight="1" spans="1:26">
      <c r="A238" s="719">
        <v>236</v>
      </c>
      <c r="B238" s="741" t="s">
        <v>102</v>
      </c>
      <c r="C238" s="740" t="s">
        <v>1502</v>
      </c>
      <c r="D238" s="729"/>
      <c r="E238" s="784">
        <v>981986.13</v>
      </c>
      <c r="F238" s="728">
        <v>45450</v>
      </c>
      <c r="G238" s="728">
        <v>45549</v>
      </c>
      <c r="H238" s="794"/>
      <c r="I238" s="720" t="s">
        <v>1272</v>
      </c>
      <c r="J238" s="785"/>
      <c r="K238" s="795"/>
      <c r="L238" s="795"/>
      <c r="M238" s="795"/>
      <c r="N238" s="795"/>
      <c r="O238" s="796"/>
      <c r="P238" s="796"/>
      <c r="Q238" s="796"/>
      <c r="R238" s="796"/>
      <c r="S238" s="797"/>
      <c r="T238" s="797"/>
      <c r="U238" s="795"/>
      <c r="V238" s="795"/>
      <c r="W238" s="795"/>
      <c r="X238" s="795"/>
      <c r="Y238" s="798"/>
      <c r="Z238" s="799"/>
    </row>
    <row r="239" ht="20.1" customHeight="1" spans="1:26">
      <c r="A239" s="719">
        <v>237</v>
      </c>
      <c r="B239" s="741" t="s">
        <v>102</v>
      </c>
      <c r="C239" s="740" t="s">
        <v>1503</v>
      </c>
      <c r="D239" s="732"/>
      <c r="E239" s="784">
        <v>909629.61</v>
      </c>
      <c r="F239" s="728">
        <v>45450</v>
      </c>
      <c r="G239" s="728">
        <v>45549</v>
      </c>
      <c r="H239" s="747" t="s">
        <v>1418</v>
      </c>
      <c r="I239" s="720" t="s">
        <v>1289</v>
      </c>
      <c r="J239" s="785"/>
      <c r="K239" s="811"/>
      <c r="L239" s="811"/>
      <c r="M239" s="811"/>
      <c r="N239" s="811"/>
      <c r="O239" s="812"/>
      <c r="P239" s="812"/>
      <c r="Q239" s="812"/>
      <c r="R239" s="812"/>
      <c r="S239" s="813"/>
      <c r="T239" s="814"/>
      <c r="U239" s="813"/>
      <c r="V239" s="811"/>
      <c r="W239" s="811"/>
      <c r="X239" s="811"/>
      <c r="Y239" s="815"/>
      <c r="Z239" s="816"/>
    </row>
    <row r="240" ht="20.1" customHeight="1" spans="1:26">
      <c r="A240" s="719">
        <v>238</v>
      </c>
      <c r="B240" s="793" t="s">
        <v>233</v>
      </c>
      <c r="C240" s="734" t="s">
        <v>1504</v>
      </c>
      <c r="D240" s="732" t="s">
        <v>1277</v>
      </c>
      <c r="E240" s="784">
        <v>1478899.23</v>
      </c>
      <c r="F240" s="728">
        <v>45450</v>
      </c>
      <c r="G240" s="728">
        <v>45485</v>
      </c>
      <c r="H240" s="725"/>
      <c r="I240" s="720" t="s">
        <v>1333</v>
      </c>
      <c r="J240" s="785"/>
      <c r="K240" s="795"/>
      <c r="L240" s="795"/>
      <c r="M240" s="795"/>
      <c r="N240" s="795"/>
      <c r="O240" s="796"/>
      <c r="P240" s="796"/>
      <c r="Q240" s="796"/>
      <c r="R240" s="796"/>
      <c r="S240" s="797"/>
      <c r="T240" s="797"/>
      <c r="U240" s="795"/>
      <c r="V240" s="795"/>
      <c r="W240" s="795"/>
      <c r="X240" s="795"/>
      <c r="Y240" s="798"/>
      <c r="Z240" s="799"/>
    </row>
    <row r="241" s="702" customFormat="1" ht="20.1" customHeight="1" spans="1:26">
      <c r="A241" s="719">
        <v>239</v>
      </c>
      <c r="B241" s="734" t="s">
        <v>15</v>
      </c>
      <c r="C241" s="734" t="s">
        <v>1505</v>
      </c>
      <c r="D241" s="722" t="s">
        <v>1310</v>
      </c>
      <c r="E241" s="784">
        <v>45968.42</v>
      </c>
      <c r="F241" s="728">
        <v>45450</v>
      </c>
      <c r="G241" s="728">
        <v>45485</v>
      </c>
      <c r="H241" s="794" t="s">
        <v>1418</v>
      </c>
      <c r="I241" s="793" t="s">
        <v>21</v>
      </c>
      <c r="J241" s="785"/>
      <c r="K241" s="802"/>
      <c r="L241" s="802"/>
      <c r="M241" s="802"/>
      <c r="N241" s="802"/>
      <c r="O241" s="803"/>
      <c r="P241" s="803"/>
      <c r="Q241" s="803"/>
      <c r="R241" s="803"/>
      <c r="S241" s="804"/>
      <c r="T241" s="804"/>
      <c r="U241" s="802"/>
      <c r="V241" s="802"/>
      <c r="W241" s="802"/>
      <c r="X241" s="802"/>
      <c r="Y241" s="826"/>
      <c r="Z241" s="802"/>
    </row>
    <row r="242" s="702" customFormat="1" ht="20.1" customHeight="1" spans="1:26">
      <c r="A242" s="719">
        <v>240</v>
      </c>
      <c r="B242" s="734" t="s">
        <v>15</v>
      </c>
      <c r="C242" s="734" t="s">
        <v>1506</v>
      </c>
      <c r="D242" s="740" t="s">
        <v>1310</v>
      </c>
      <c r="E242" s="827">
        <v>672089.64</v>
      </c>
      <c r="F242" s="728">
        <v>45450</v>
      </c>
      <c r="G242" s="728">
        <v>45485</v>
      </c>
      <c r="H242" s="794" t="s">
        <v>1418</v>
      </c>
      <c r="I242" s="793" t="s">
        <v>21</v>
      </c>
      <c r="J242" s="785"/>
      <c r="K242" s="802"/>
      <c r="L242" s="802"/>
      <c r="M242" s="802"/>
      <c r="N242" s="802"/>
      <c r="O242" s="803"/>
      <c r="P242" s="803"/>
      <c r="Q242" s="803"/>
      <c r="R242" s="803"/>
      <c r="S242" s="804"/>
      <c r="T242" s="804"/>
      <c r="U242" s="802"/>
      <c r="V242" s="802"/>
      <c r="W242" s="802"/>
      <c r="X242" s="802"/>
      <c r="Y242" s="826"/>
      <c r="Z242" s="802"/>
    </row>
    <row r="243" s="703" customFormat="1" ht="20.1" customHeight="1" spans="1:26">
      <c r="A243" s="719">
        <v>241</v>
      </c>
      <c r="B243" s="741" t="s">
        <v>57</v>
      </c>
      <c r="C243" s="828" t="s">
        <v>1507</v>
      </c>
      <c r="D243" s="822"/>
      <c r="E243" s="829">
        <v>1620920.56</v>
      </c>
      <c r="F243" s="728">
        <v>45450</v>
      </c>
      <c r="G243" s="775">
        <v>45555</v>
      </c>
      <c r="H243" s="830"/>
      <c r="I243" s="720" t="s">
        <v>1272</v>
      </c>
      <c r="J243" s="801"/>
      <c r="K243" s="802"/>
      <c r="L243" s="802"/>
      <c r="M243" s="802"/>
      <c r="N243" s="802"/>
      <c r="O243" s="803"/>
      <c r="P243" s="803"/>
      <c r="Q243" s="803"/>
      <c r="R243" s="803"/>
      <c r="S243" s="804"/>
      <c r="T243" s="804"/>
      <c r="U243" s="802"/>
      <c r="V243" s="802"/>
      <c r="W243" s="802"/>
      <c r="X243" s="802"/>
      <c r="Y243" s="806"/>
      <c r="Z243" s="807"/>
    </row>
    <row r="244" ht="20.1" customHeight="1" spans="1:26">
      <c r="A244" s="719">
        <v>242</v>
      </c>
      <c r="B244" s="741" t="s">
        <v>1508</v>
      </c>
      <c r="C244" s="819" t="s">
        <v>796</v>
      </c>
      <c r="D244" s="822"/>
      <c r="E244" s="831">
        <v>1599113.18</v>
      </c>
      <c r="F244" s="775">
        <v>45450</v>
      </c>
      <c r="G244" s="775">
        <v>45541</v>
      </c>
      <c r="H244" s="830"/>
      <c r="I244" s="720" t="s">
        <v>1272</v>
      </c>
      <c r="J244" s="801"/>
      <c r="K244" s="811"/>
      <c r="L244" s="811"/>
      <c r="M244" s="811"/>
      <c r="N244" s="811"/>
      <c r="O244" s="812"/>
      <c r="P244" s="812"/>
      <c r="Q244" s="812"/>
      <c r="R244" s="812"/>
      <c r="S244" s="813"/>
      <c r="T244" s="813"/>
      <c r="U244" s="811"/>
      <c r="V244" s="811"/>
      <c r="W244" s="811"/>
      <c r="X244" s="811"/>
      <c r="Y244" s="815"/>
      <c r="Z244" s="816"/>
    </row>
    <row r="245" ht="20.1" customHeight="1" spans="1:26">
      <c r="A245" s="719">
        <v>243</v>
      </c>
      <c r="B245" s="741" t="s">
        <v>15</v>
      </c>
      <c r="C245" s="832" t="s">
        <v>1509</v>
      </c>
      <c r="D245" s="822"/>
      <c r="E245" s="817">
        <v>603051.46</v>
      </c>
      <c r="F245" s="775">
        <v>45450</v>
      </c>
      <c r="G245" s="775">
        <v>45549</v>
      </c>
      <c r="H245" s="830"/>
      <c r="I245" s="741" t="s">
        <v>1289</v>
      </c>
      <c r="J245" s="801"/>
      <c r="K245" s="795"/>
      <c r="L245" s="795"/>
      <c r="M245" s="795"/>
      <c r="N245" s="795"/>
      <c r="O245" s="796"/>
      <c r="P245" s="796"/>
      <c r="Q245" s="796"/>
      <c r="R245" s="796"/>
      <c r="S245" s="797"/>
      <c r="T245" s="797"/>
      <c r="U245" s="795"/>
      <c r="V245" s="795"/>
      <c r="W245" s="795"/>
      <c r="X245" s="795"/>
      <c r="Y245" s="798"/>
      <c r="Z245" s="799"/>
    </row>
    <row r="246" ht="20.1" customHeight="1" spans="1:26">
      <c r="A246" s="719">
        <v>244</v>
      </c>
      <c r="B246" s="741" t="s">
        <v>37</v>
      </c>
      <c r="C246" s="801" t="s">
        <v>1510</v>
      </c>
      <c r="D246" s="822"/>
      <c r="E246" s="817">
        <v>67140.74</v>
      </c>
      <c r="F246" s="728">
        <v>45455</v>
      </c>
      <c r="G246" s="728">
        <v>45510</v>
      </c>
      <c r="H246" s="830"/>
      <c r="I246" s="832" t="s">
        <v>1289</v>
      </c>
      <c r="J246" s="801"/>
      <c r="K246" s="811"/>
      <c r="L246" s="811"/>
      <c r="M246" s="811"/>
      <c r="N246" s="811"/>
      <c r="O246" s="812"/>
      <c r="P246" s="812"/>
      <c r="Q246" s="812"/>
      <c r="R246" s="812"/>
      <c r="S246" s="813"/>
      <c r="T246" s="813"/>
      <c r="U246" s="811"/>
      <c r="V246" s="811"/>
      <c r="W246" s="811"/>
      <c r="X246" s="811"/>
      <c r="Y246" s="815"/>
      <c r="Z246" s="816"/>
    </row>
    <row r="247" ht="20.1" customHeight="1" spans="1:26">
      <c r="A247" s="719">
        <v>245</v>
      </c>
      <c r="B247" s="741" t="s">
        <v>37</v>
      </c>
      <c r="C247" s="808" t="s">
        <v>1511</v>
      </c>
      <c r="D247" s="809"/>
      <c r="E247" s="833">
        <v>298535.86</v>
      </c>
      <c r="F247" s="834">
        <v>45455</v>
      </c>
      <c r="G247" s="834">
        <v>45510</v>
      </c>
      <c r="H247" s="818"/>
      <c r="I247" s="820" t="s">
        <v>1289</v>
      </c>
      <c r="J247" s="808"/>
      <c r="K247" s="835"/>
      <c r="L247" s="835"/>
      <c r="M247" s="835"/>
      <c r="N247" s="835"/>
      <c r="O247" s="835"/>
      <c r="P247" s="835"/>
      <c r="Q247" s="835"/>
      <c r="R247" s="835"/>
      <c r="S247" s="835"/>
      <c r="T247" s="835"/>
      <c r="U247" s="835"/>
      <c r="V247" s="835"/>
      <c r="W247" s="835"/>
      <c r="X247" s="835"/>
      <c r="Y247" s="835"/>
      <c r="Z247" s="835"/>
    </row>
    <row r="248" ht="20.1" customHeight="1" spans="1:26">
      <c r="A248" s="719">
        <v>246</v>
      </c>
      <c r="B248" s="836" t="s">
        <v>37</v>
      </c>
      <c r="C248" s="801" t="s">
        <v>1512</v>
      </c>
      <c r="D248" s="822"/>
      <c r="E248" s="833">
        <v>79286.84</v>
      </c>
      <c r="F248" s="834">
        <v>45455</v>
      </c>
      <c r="G248" s="834">
        <v>45510</v>
      </c>
      <c r="H248" s="830"/>
      <c r="I248" s="832" t="s">
        <v>1289</v>
      </c>
      <c r="J248" s="801"/>
      <c r="K248" s="835"/>
      <c r="L248" s="835"/>
      <c r="M248" s="835"/>
      <c r="N248" s="835"/>
      <c r="O248" s="835"/>
      <c r="P248" s="835"/>
      <c r="Q248" s="835"/>
      <c r="R248" s="835"/>
      <c r="S248" s="835"/>
      <c r="T248" s="835"/>
      <c r="U248" s="835"/>
      <c r="V248" s="835"/>
      <c r="W248" s="835"/>
      <c r="X248" s="835"/>
      <c r="Y248" s="835"/>
      <c r="Z248" s="835"/>
    </row>
    <row r="249" ht="20.1" customHeight="1" spans="1:26">
      <c r="A249" s="719">
        <v>247</v>
      </c>
      <c r="B249" s="836" t="s">
        <v>37</v>
      </c>
      <c r="C249" s="837" t="s">
        <v>286</v>
      </c>
      <c r="D249" s="838"/>
      <c r="E249" s="839">
        <v>3000000</v>
      </c>
      <c r="F249" s="834">
        <v>45457</v>
      </c>
      <c r="G249" s="834">
        <v>45538</v>
      </c>
      <c r="H249" s="794"/>
      <c r="I249" s="832" t="s">
        <v>1289</v>
      </c>
      <c r="J249" s="785"/>
      <c r="K249" s="835"/>
      <c r="L249" s="835"/>
      <c r="M249" s="835"/>
      <c r="N249" s="835"/>
      <c r="O249" s="835"/>
      <c r="P249" s="835"/>
      <c r="Q249" s="835"/>
      <c r="R249" s="835"/>
      <c r="S249" s="835"/>
      <c r="T249" s="835"/>
      <c r="U249" s="835"/>
      <c r="V249" s="835"/>
      <c r="W249" s="835"/>
      <c r="X249" s="835"/>
      <c r="Y249" s="835"/>
      <c r="Z249" s="835"/>
    </row>
    <row r="250" ht="20.1" customHeight="1" spans="1:26">
      <c r="A250" s="719">
        <v>248</v>
      </c>
      <c r="B250" s="836" t="s">
        <v>147</v>
      </c>
      <c r="C250" s="840" t="s">
        <v>1513</v>
      </c>
      <c r="D250" s="838"/>
      <c r="E250" s="839">
        <v>753228.48</v>
      </c>
      <c r="F250" s="834">
        <v>45462</v>
      </c>
      <c r="G250" s="834">
        <v>45544</v>
      </c>
      <c r="H250" s="794"/>
      <c r="I250" s="741" t="s">
        <v>1272</v>
      </c>
      <c r="J250" s="785"/>
      <c r="K250" s="835"/>
      <c r="L250" s="835"/>
      <c r="M250" s="835"/>
      <c r="N250" s="835"/>
      <c r="O250" s="835"/>
      <c r="P250" s="835"/>
      <c r="Q250" s="835"/>
      <c r="R250" s="835"/>
      <c r="S250" s="835"/>
      <c r="T250" s="835"/>
      <c r="U250" s="835"/>
      <c r="V250" s="835"/>
      <c r="W250" s="835"/>
      <c r="X250" s="835"/>
      <c r="Y250" s="835"/>
      <c r="Z250" s="835"/>
    </row>
    <row r="251" ht="20.1" customHeight="1" spans="1:26">
      <c r="A251" s="719">
        <v>249</v>
      </c>
      <c r="B251" s="836" t="s">
        <v>102</v>
      </c>
      <c r="C251" s="840" t="s">
        <v>1514</v>
      </c>
      <c r="D251" s="838"/>
      <c r="E251" s="839">
        <v>1448375.82</v>
      </c>
      <c r="F251" s="834">
        <v>45464</v>
      </c>
      <c r="G251" s="834">
        <v>45549</v>
      </c>
      <c r="H251" s="741" t="s">
        <v>1348</v>
      </c>
      <c r="I251" s="720" t="s">
        <v>1289</v>
      </c>
      <c r="J251" s="759"/>
      <c r="K251" s="835"/>
      <c r="L251" s="835"/>
      <c r="M251" s="835"/>
      <c r="N251" s="835"/>
      <c r="O251" s="835"/>
      <c r="P251" s="835"/>
      <c r="Q251" s="835"/>
      <c r="R251" s="835"/>
      <c r="S251" s="835"/>
      <c r="T251" s="835"/>
      <c r="U251" s="835"/>
      <c r="V251" s="835"/>
      <c r="W251" s="835"/>
      <c r="X251" s="835"/>
      <c r="Y251" s="835"/>
      <c r="Z251" s="835"/>
    </row>
    <row r="252" ht="20.1" customHeight="1" spans="1:26">
      <c r="A252" s="719">
        <v>250</v>
      </c>
      <c r="B252" s="836" t="s">
        <v>1508</v>
      </c>
      <c r="C252" s="841" t="s">
        <v>1515</v>
      </c>
      <c r="D252" s="838"/>
      <c r="E252" s="839">
        <v>791709.23</v>
      </c>
      <c r="F252" s="834">
        <v>45464</v>
      </c>
      <c r="G252" s="834">
        <v>45541</v>
      </c>
      <c r="H252" s="794"/>
      <c r="I252" s="720" t="s">
        <v>1272</v>
      </c>
      <c r="J252" s="785"/>
      <c r="K252" s="835"/>
      <c r="L252" s="835"/>
      <c r="M252" s="835"/>
      <c r="N252" s="835"/>
      <c r="O252" s="835"/>
      <c r="P252" s="835"/>
      <c r="Q252" s="835"/>
      <c r="R252" s="835"/>
      <c r="S252" s="835"/>
      <c r="T252" s="835"/>
      <c r="U252" s="835"/>
      <c r="V252" s="835"/>
      <c r="W252" s="835"/>
      <c r="X252" s="835"/>
      <c r="Y252" s="835"/>
      <c r="Z252" s="835"/>
    </row>
    <row r="253" ht="20.1" customHeight="1" spans="1:26">
      <c r="A253" s="719">
        <v>251</v>
      </c>
      <c r="B253" s="836" t="s">
        <v>1508</v>
      </c>
      <c r="C253" s="841" t="s">
        <v>1515</v>
      </c>
      <c r="D253" s="729"/>
      <c r="E253" s="839">
        <v>408510.31</v>
      </c>
      <c r="F253" s="834">
        <v>45464</v>
      </c>
      <c r="G253" s="834">
        <v>45541</v>
      </c>
      <c r="H253" s="725"/>
      <c r="I253" s="720" t="s">
        <v>1272</v>
      </c>
      <c r="J253" s="785"/>
      <c r="K253" s="835"/>
      <c r="L253" s="835"/>
      <c r="M253" s="835"/>
      <c r="N253" s="835"/>
      <c r="O253" s="835"/>
      <c r="P253" s="835"/>
      <c r="Q253" s="835"/>
      <c r="R253" s="835"/>
      <c r="S253" s="835"/>
      <c r="T253" s="835"/>
      <c r="U253" s="835"/>
      <c r="V253" s="835"/>
      <c r="W253" s="835"/>
      <c r="X253" s="835"/>
      <c r="Y253" s="835"/>
      <c r="Z253" s="835"/>
    </row>
    <row r="254" ht="20.1" customHeight="1" spans="1:26">
      <c r="A254" s="719">
        <v>252</v>
      </c>
      <c r="B254" s="836" t="s">
        <v>25</v>
      </c>
      <c r="C254" s="842" t="s">
        <v>1516</v>
      </c>
      <c r="D254" s="729"/>
      <c r="E254" s="839">
        <v>2401045.51</v>
      </c>
      <c r="F254" s="834">
        <v>45464</v>
      </c>
      <c r="G254" s="834">
        <v>45549</v>
      </c>
      <c r="H254" s="794"/>
      <c r="I254" s="741" t="s">
        <v>1289</v>
      </c>
      <c r="J254" s="785"/>
    </row>
    <row r="255" ht="20.1" customHeight="1" spans="1:26">
      <c r="A255" s="719">
        <v>253</v>
      </c>
      <c r="B255" s="793" t="s">
        <v>233</v>
      </c>
      <c r="C255" s="734" t="s">
        <v>1517</v>
      </c>
      <c r="D255" s="729" t="s">
        <v>1277</v>
      </c>
      <c r="E255" s="827">
        <v>96469.03</v>
      </c>
      <c r="F255" s="728">
        <v>45467</v>
      </c>
      <c r="G255" s="728">
        <v>45485</v>
      </c>
      <c r="H255" s="794" t="s">
        <v>1275</v>
      </c>
      <c r="I255" s="793" t="s">
        <v>21</v>
      </c>
      <c r="J255" s="785"/>
    </row>
    <row r="256" ht="20.1" customHeight="1" spans="1:26">
      <c r="A256" s="719">
        <v>254</v>
      </c>
      <c r="B256" s="741" t="s">
        <v>102</v>
      </c>
      <c r="C256" s="740" t="s">
        <v>1331</v>
      </c>
      <c r="D256" s="734"/>
      <c r="E256" s="827">
        <v>2109785.68</v>
      </c>
      <c r="F256" s="728">
        <v>45469</v>
      </c>
      <c r="G256" s="728">
        <v>45549</v>
      </c>
      <c r="H256" s="794"/>
      <c r="I256" s="720" t="s">
        <v>1272</v>
      </c>
      <c r="J256" s="843"/>
    </row>
    <row r="257" ht="20.1" customHeight="1" spans="1:26">
      <c r="A257" s="719">
        <v>255</v>
      </c>
      <c r="B257" s="844" t="s">
        <v>430</v>
      </c>
      <c r="C257" s="845" t="s">
        <v>1518</v>
      </c>
      <c r="D257" s="845"/>
      <c r="E257" s="846">
        <v>432986.31</v>
      </c>
      <c r="F257" s="847">
        <v>45470</v>
      </c>
      <c r="G257" s="834">
        <v>45478</v>
      </c>
      <c r="H257" s="848" t="s">
        <v>1275</v>
      </c>
      <c r="I257" s="849" t="s">
        <v>55</v>
      </c>
      <c r="J257" s="850" t="s">
        <v>1519</v>
      </c>
    </row>
    <row r="258" ht="20.1" customHeight="1" spans="1:26">
      <c r="A258" s="719">
        <v>256</v>
      </c>
      <c r="B258" s="793" t="s">
        <v>22</v>
      </c>
      <c r="C258" s="734" t="s">
        <v>1520</v>
      </c>
      <c r="D258" s="734"/>
      <c r="E258" s="827">
        <v>3178496</v>
      </c>
      <c r="F258" s="728">
        <v>45471</v>
      </c>
      <c r="G258" s="728">
        <v>45489</v>
      </c>
      <c r="H258" s="793"/>
      <c r="I258" s="720" t="s">
        <v>1289</v>
      </c>
      <c r="J258" s="785"/>
    </row>
    <row r="259" ht="20.1" customHeight="1" spans="1:26">
      <c r="A259" s="719">
        <v>257</v>
      </c>
      <c r="B259" s="741" t="s">
        <v>75</v>
      </c>
      <c r="C259" s="740" t="s">
        <v>1521</v>
      </c>
      <c r="D259" s="734"/>
      <c r="E259" s="827">
        <v>27904.35</v>
      </c>
      <c r="F259" s="851">
        <v>45488</v>
      </c>
      <c r="G259" s="852">
        <v>45553</v>
      </c>
      <c r="H259" s="793"/>
      <c r="I259" s="741" t="s">
        <v>1289</v>
      </c>
      <c r="J259" s="785"/>
    </row>
    <row r="260" ht="20.1" customHeight="1" spans="1:26">
      <c r="A260" s="719">
        <v>258</v>
      </c>
      <c r="B260" s="741" t="s">
        <v>75</v>
      </c>
      <c r="C260" s="740" t="s">
        <v>1522</v>
      </c>
      <c r="D260" s="734"/>
      <c r="E260" s="827">
        <v>242549.33</v>
      </c>
      <c r="F260" s="851">
        <v>45504</v>
      </c>
      <c r="G260" s="852">
        <v>45553</v>
      </c>
      <c r="H260" s="793"/>
      <c r="I260" s="741" t="s">
        <v>1289</v>
      </c>
      <c r="J260" s="785"/>
    </row>
    <row r="261" ht="20.1" customHeight="1" spans="1:26">
      <c r="A261" s="719">
        <v>259</v>
      </c>
      <c r="B261" s="741" t="s">
        <v>102</v>
      </c>
      <c r="C261" s="740" t="s">
        <v>1523</v>
      </c>
      <c r="D261" s="734"/>
      <c r="E261" s="827">
        <v>800236.85</v>
      </c>
      <c r="F261" s="851">
        <v>45519</v>
      </c>
      <c r="G261" s="852">
        <v>45549</v>
      </c>
      <c r="H261" s="741" t="s">
        <v>1348</v>
      </c>
      <c r="I261" s="720" t="s">
        <v>1289</v>
      </c>
      <c r="J261" s="759"/>
    </row>
    <row r="262" ht="20.1" customHeight="1" spans="1:26">
      <c r="A262" s="719">
        <v>260</v>
      </c>
      <c r="B262" s="741" t="s">
        <v>228</v>
      </c>
      <c r="C262" s="740" t="s">
        <v>1524</v>
      </c>
      <c r="D262" s="734"/>
      <c r="E262" s="827">
        <v>690707.61</v>
      </c>
      <c r="F262" s="851">
        <v>45519</v>
      </c>
      <c r="G262" s="852">
        <v>45564</v>
      </c>
      <c r="H262" s="725" t="s">
        <v>1275</v>
      </c>
      <c r="I262" s="741" t="s">
        <v>21</v>
      </c>
      <c r="J262" s="785"/>
      <c r="K262" s="835"/>
      <c r="L262" s="835"/>
      <c r="M262" s="835"/>
      <c r="N262" s="835"/>
      <c r="O262" s="835"/>
      <c r="P262" s="835"/>
      <c r="Q262" s="835"/>
      <c r="R262" s="835"/>
      <c r="S262" s="835"/>
      <c r="T262" s="835"/>
      <c r="U262" s="835"/>
      <c r="V262" s="835"/>
      <c r="W262" s="835"/>
      <c r="X262" s="835"/>
      <c r="Y262" s="835"/>
      <c r="Z262" s="835"/>
    </row>
    <row r="263" spans="1:26">
      <c r="A263" s="719">
        <v>261</v>
      </c>
      <c r="B263" s="741" t="s">
        <v>25</v>
      </c>
      <c r="C263" s="740" t="s">
        <v>1525</v>
      </c>
      <c r="D263" s="734"/>
      <c r="E263" s="827">
        <v>1460587.33</v>
      </c>
      <c r="F263" s="851">
        <v>45530</v>
      </c>
      <c r="G263" s="852">
        <v>45549</v>
      </c>
      <c r="H263" s="793"/>
      <c r="I263" s="741" t="s">
        <v>1289</v>
      </c>
      <c r="J263" s="785"/>
    </row>
    <row r="264" s="700" customFormat="1" ht="20.1" customHeight="1" spans="1:26">
      <c r="A264" s="719">
        <v>262</v>
      </c>
      <c r="B264" s="853" t="s">
        <v>75</v>
      </c>
      <c r="C264" s="854" t="s">
        <v>1526</v>
      </c>
      <c r="D264" s="855"/>
      <c r="E264" s="856">
        <v>102867.66</v>
      </c>
      <c r="F264" s="857">
        <v>45533</v>
      </c>
      <c r="G264" s="858">
        <v>45596</v>
      </c>
      <c r="H264" s="859"/>
      <c r="I264" s="853" t="s">
        <v>1289</v>
      </c>
      <c r="J264" s="860"/>
    </row>
    <row r="265" s="700" customFormat="1" ht="20.1" customHeight="1" spans="1:26">
      <c r="A265" s="719">
        <v>263</v>
      </c>
      <c r="B265" s="853" t="s">
        <v>233</v>
      </c>
      <c r="C265" s="854" t="s">
        <v>1527</v>
      </c>
      <c r="D265" s="855"/>
      <c r="E265" s="856">
        <v>1220957.93</v>
      </c>
      <c r="F265" s="857">
        <v>45564</v>
      </c>
      <c r="G265" s="858">
        <v>45619</v>
      </c>
      <c r="H265" s="853" t="s">
        <v>1528</v>
      </c>
      <c r="I265" s="853" t="s">
        <v>1289</v>
      </c>
      <c r="J265" s="853"/>
    </row>
    <row r="266" s="700" customFormat="1" ht="20.1" customHeight="1" spans="1:26">
      <c r="A266" s="719">
        <v>264</v>
      </c>
      <c r="B266" s="853" t="s">
        <v>75</v>
      </c>
      <c r="C266" s="854" t="s">
        <v>1529</v>
      </c>
      <c r="D266" s="855"/>
      <c r="E266" s="856">
        <v>76471.38</v>
      </c>
      <c r="F266" s="757">
        <v>45574</v>
      </c>
      <c r="G266" s="858">
        <v>45596</v>
      </c>
      <c r="H266" s="859"/>
      <c r="I266" s="853" t="s">
        <v>1289</v>
      </c>
      <c r="J266" s="859"/>
    </row>
    <row r="267" s="700" customFormat="1" ht="20.1" customHeight="1" spans="1:26">
      <c r="A267" s="719">
        <v>265</v>
      </c>
      <c r="B267" s="853" t="s">
        <v>75</v>
      </c>
      <c r="C267" s="854" t="s">
        <v>1530</v>
      </c>
      <c r="D267" s="855"/>
      <c r="E267" s="861">
        <v>232776.84</v>
      </c>
      <c r="F267" s="857">
        <v>45574</v>
      </c>
      <c r="G267" s="858">
        <v>45596</v>
      </c>
      <c r="H267" s="859"/>
      <c r="I267" s="741" t="s">
        <v>1289</v>
      </c>
      <c r="J267" s="859"/>
    </row>
    <row r="268" ht="20.1" customHeight="1" spans="1:26">
      <c r="A268" s="719">
        <v>266</v>
      </c>
      <c r="B268" s="853" t="s">
        <v>15</v>
      </c>
      <c r="C268" s="854" t="s">
        <v>1531</v>
      </c>
      <c r="D268" s="855"/>
      <c r="E268" s="856">
        <v>2104242.48</v>
      </c>
      <c r="F268" s="857">
        <v>45590</v>
      </c>
      <c r="G268" s="858">
        <v>45629</v>
      </c>
      <c r="H268" s="853" t="s">
        <v>1528</v>
      </c>
      <c r="I268" s="741" t="s">
        <v>1289</v>
      </c>
      <c r="J268" s="853"/>
    </row>
    <row r="269" ht="20.1" customHeight="1" spans="1:26">
      <c r="A269" s="719">
        <v>267</v>
      </c>
      <c r="B269" s="853" t="s">
        <v>15</v>
      </c>
      <c r="C269" s="854" t="s">
        <v>1532</v>
      </c>
      <c r="D269" s="855"/>
      <c r="E269" s="856">
        <v>1199525.25</v>
      </c>
      <c r="F269" s="857">
        <v>45590</v>
      </c>
      <c r="G269" s="858">
        <v>45629</v>
      </c>
      <c r="H269" s="853" t="s">
        <v>1528</v>
      </c>
      <c r="I269" s="741" t="s">
        <v>1289</v>
      </c>
      <c r="J269" s="853"/>
    </row>
    <row r="270" ht="20.1" customHeight="1" spans="1:26">
      <c r="A270" s="719">
        <v>268</v>
      </c>
      <c r="B270" s="853" t="s">
        <v>15</v>
      </c>
      <c r="C270" s="854" t="s">
        <v>1533</v>
      </c>
      <c r="D270" s="855"/>
      <c r="E270" s="856">
        <v>1213199.15</v>
      </c>
      <c r="F270" s="857">
        <v>45590</v>
      </c>
      <c r="G270" s="858">
        <v>45629</v>
      </c>
      <c r="H270" s="853" t="s">
        <v>1528</v>
      </c>
      <c r="I270" s="741" t="s">
        <v>1289</v>
      </c>
      <c r="J270" s="853"/>
    </row>
    <row r="271" ht="20.1" customHeight="1" spans="1:26">
      <c r="A271" s="719">
        <v>269</v>
      </c>
      <c r="B271" s="853" t="s">
        <v>25</v>
      </c>
      <c r="C271" s="854" t="s">
        <v>1534</v>
      </c>
      <c r="D271" s="855"/>
      <c r="E271" s="856">
        <v>334947.49</v>
      </c>
      <c r="F271" s="857">
        <v>45023</v>
      </c>
      <c r="G271" s="858">
        <v>45649</v>
      </c>
      <c r="H271" s="860"/>
      <c r="I271" s="853" t="s">
        <v>1289</v>
      </c>
      <c r="J271" s="860"/>
    </row>
    <row r="272" ht="20.1" customHeight="1" spans="1:26">
      <c r="A272" s="719">
        <v>270</v>
      </c>
      <c r="B272" s="853" t="s">
        <v>75</v>
      </c>
      <c r="C272" s="854" t="s">
        <v>1535</v>
      </c>
      <c r="D272" s="855"/>
      <c r="E272" s="829">
        <v>563199.05</v>
      </c>
      <c r="F272" s="857">
        <v>45678</v>
      </c>
      <c r="G272" s="858">
        <v>45639</v>
      </c>
      <c r="H272" s="862" t="s">
        <v>1528</v>
      </c>
      <c r="I272" s="853" t="s">
        <v>1289</v>
      </c>
      <c r="J272" s="862"/>
    </row>
    <row r="273" ht="20.1" customHeight="1" spans="1:10">
      <c r="A273" s="719">
        <v>271</v>
      </c>
      <c r="B273" s="853" t="s">
        <v>147</v>
      </c>
      <c r="C273" s="854" t="s">
        <v>1536</v>
      </c>
      <c r="D273" s="855"/>
      <c r="E273" s="863">
        <v>1300000</v>
      </c>
      <c r="F273" s="857">
        <v>44859</v>
      </c>
      <c r="G273" s="857">
        <v>45223</v>
      </c>
      <c r="H273" s="862" t="s">
        <v>1348</v>
      </c>
      <c r="I273" s="853" t="s">
        <v>1289</v>
      </c>
      <c r="J273" s="862"/>
    </row>
    <row r="274" ht="20.1" customHeight="1" spans="1:10">
      <c r="A274" s="719">
        <v>272</v>
      </c>
      <c r="B274" s="853" t="s">
        <v>22</v>
      </c>
      <c r="C274" s="854" t="s">
        <v>1537</v>
      </c>
      <c r="D274" s="855"/>
      <c r="E274" s="856">
        <v>2400000</v>
      </c>
      <c r="F274" s="857">
        <v>45653</v>
      </c>
      <c r="G274" s="858">
        <v>45681</v>
      </c>
      <c r="H274" s="862" t="s">
        <v>1528</v>
      </c>
      <c r="I274" s="853" t="s">
        <v>1289</v>
      </c>
      <c r="J274" s="862"/>
    </row>
    <row r="275" ht="20.1" customHeight="1" spans="1:10">
      <c r="A275" s="719">
        <v>273</v>
      </c>
      <c r="B275" s="853" t="s">
        <v>15</v>
      </c>
      <c r="C275" s="854" t="s">
        <v>744</v>
      </c>
      <c r="D275" s="855"/>
      <c r="E275" s="856">
        <v>1209664.83</v>
      </c>
      <c r="F275" s="857">
        <v>45644</v>
      </c>
      <c r="G275" s="858">
        <v>45681</v>
      </c>
      <c r="H275" s="862" t="s">
        <v>1528</v>
      </c>
      <c r="I275" s="741" t="s">
        <v>1289</v>
      </c>
      <c r="J275" s="862"/>
    </row>
    <row r="276" ht="20.1" customHeight="1" spans="1:10">
      <c r="A276" s="719">
        <v>274</v>
      </c>
      <c r="B276" s="853" t="s">
        <v>15</v>
      </c>
      <c r="C276" s="854" t="s">
        <v>1538</v>
      </c>
      <c r="D276" s="855"/>
      <c r="E276" s="856">
        <v>2115218.23</v>
      </c>
      <c r="F276" s="857">
        <v>45625</v>
      </c>
      <c r="G276" s="858">
        <v>45681</v>
      </c>
      <c r="H276" s="862" t="s">
        <v>1528</v>
      </c>
      <c r="I276" s="741" t="s">
        <v>1289</v>
      </c>
      <c r="J276" s="862"/>
    </row>
    <row r="277" ht="20.1" customHeight="1" spans="1:10">
      <c r="A277" s="719">
        <v>275</v>
      </c>
      <c r="B277" s="853" t="s">
        <v>15</v>
      </c>
      <c r="C277" s="854" t="s">
        <v>647</v>
      </c>
      <c r="D277" s="855"/>
      <c r="E277" s="856">
        <v>864554.6</v>
      </c>
      <c r="F277" s="857">
        <v>45644</v>
      </c>
      <c r="G277" s="858">
        <v>45681</v>
      </c>
      <c r="H277" s="862" t="s">
        <v>1528</v>
      </c>
      <c r="I277" s="741" t="s">
        <v>1289</v>
      </c>
      <c r="J277" s="862"/>
    </row>
    <row r="278" ht="20.1" customHeight="1" spans="1:10">
      <c r="A278" s="719">
        <v>276</v>
      </c>
      <c r="B278" s="853" t="s">
        <v>15</v>
      </c>
      <c r="C278" s="854" t="s">
        <v>1539</v>
      </c>
      <c r="D278" s="855"/>
      <c r="E278" s="856">
        <v>2161562.58</v>
      </c>
      <c r="F278" s="857">
        <v>45625</v>
      </c>
      <c r="G278" s="858">
        <v>45681</v>
      </c>
      <c r="H278" s="862" t="s">
        <v>1528</v>
      </c>
      <c r="I278" s="741" t="s">
        <v>1289</v>
      </c>
      <c r="J278" s="862"/>
    </row>
    <row r="279" ht="20.1" customHeight="1" spans="1:10">
      <c r="A279" s="719">
        <v>277</v>
      </c>
      <c r="B279" s="853" t="s">
        <v>15</v>
      </c>
      <c r="C279" s="854" t="s">
        <v>1540</v>
      </c>
      <c r="D279" s="855"/>
      <c r="E279" s="856">
        <v>1173201.32</v>
      </c>
      <c r="F279" s="857">
        <v>45625</v>
      </c>
      <c r="G279" s="858">
        <v>45681</v>
      </c>
      <c r="H279" s="862" t="s">
        <v>1528</v>
      </c>
      <c r="I279" s="741" t="s">
        <v>1289</v>
      </c>
      <c r="J279" s="862"/>
    </row>
    <row r="280" ht="20.1" customHeight="1" spans="1:10">
      <c r="A280" s="719">
        <v>278</v>
      </c>
      <c r="B280" s="853" t="s">
        <v>15</v>
      </c>
      <c r="C280" s="854" t="s">
        <v>1541</v>
      </c>
      <c r="D280" s="855"/>
      <c r="E280" s="856">
        <v>956901.95</v>
      </c>
      <c r="F280" s="857">
        <v>45624</v>
      </c>
      <c r="G280" s="858">
        <v>45681</v>
      </c>
      <c r="H280" s="862" t="s">
        <v>1528</v>
      </c>
      <c r="I280" s="741" t="s">
        <v>1289</v>
      </c>
      <c r="J280" s="862"/>
    </row>
    <row r="281" ht="20.1" customHeight="1" spans="1:10">
      <c r="A281" s="719">
        <v>279</v>
      </c>
      <c r="B281" s="853" t="s">
        <v>15</v>
      </c>
      <c r="C281" s="854" t="s">
        <v>1542</v>
      </c>
      <c r="D281" s="855"/>
      <c r="E281" s="856">
        <v>332480.96</v>
      </c>
      <c r="F281" s="857">
        <v>45625</v>
      </c>
      <c r="G281" s="858">
        <v>45681</v>
      </c>
      <c r="H281" s="862" t="s">
        <v>1528</v>
      </c>
      <c r="I281" s="741" t="s">
        <v>1289</v>
      </c>
      <c r="J281" s="862"/>
    </row>
    <row r="282" ht="20.1" customHeight="1" spans="1:10">
      <c r="A282" s="864">
        <v>280</v>
      </c>
      <c r="B282" s="853" t="s">
        <v>1339</v>
      </c>
      <c r="C282" s="855" t="s">
        <v>1543</v>
      </c>
      <c r="D282" s="855"/>
      <c r="E282" s="856">
        <v>2393135.31</v>
      </c>
      <c r="F282" s="857">
        <v>45014</v>
      </c>
      <c r="G282" s="857">
        <v>45379</v>
      </c>
      <c r="H282" s="853" t="s">
        <v>1348</v>
      </c>
      <c r="I282" s="853" t="s">
        <v>1289</v>
      </c>
      <c r="J282" s="860"/>
    </row>
    <row r="283" ht="20.1" customHeight="1" spans="1:10">
      <c r="A283" s="719">
        <v>281</v>
      </c>
      <c r="B283" s="853" t="s">
        <v>31</v>
      </c>
      <c r="C283" s="855" t="s">
        <v>1544</v>
      </c>
      <c r="D283" s="855"/>
      <c r="E283" s="856">
        <v>4996005.4</v>
      </c>
      <c r="F283" s="857">
        <v>45666</v>
      </c>
      <c r="G283" s="858">
        <v>45737</v>
      </c>
      <c r="H283" s="862" t="s">
        <v>1528</v>
      </c>
      <c r="I283" s="853" t="s">
        <v>1289</v>
      </c>
      <c r="J283" s="860"/>
    </row>
    <row r="284" ht="20.1" customHeight="1" spans="1:10">
      <c r="A284" s="719">
        <v>282</v>
      </c>
      <c r="B284" s="853" t="s">
        <v>233</v>
      </c>
      <c r="C284" s="854" t="s">
        <v>1545</v>
      </c>
      <c r="D284" s="855"/>
      <c r="E284" s="856">
        <v>5295684.87</v>
      </c>
      <c r="F284" s="857">
        <v>45666</v>
      </c>
      <c r="G284" s="858">
        <v>45736</v>
      </c>
      <c r="H284" s="862" t="s">
        <v>1528</v>
      </c>
      <c r="I284" s="853" t="s">
        <v>1289</v>
      </c>
      <c r="J284" s="860"/>
    </row>
    <row r="285" ht="20.1" customHeight="1" spans="1:10">
      <c r="A285" s="719">
        <v>283</v>
      </c>
      <c r="B285" s="853" t="s">
        <v>15</v>
      </c>
      <c r="C285" s="854" t="s">
        <v>1546</v>
      </c>
      <c r="D285" s="855"/>
      <c r="E285" s="856">
        <v>1123104.95</v>
      </c>
      <c r="F285" s="857">
        <v>45702</v>
      </c>
      <c r="G285" s="858">
        <v>45737</v>
      </c>
      <c r="H285" s="862" t="s">
        <v>1528</v>
      </c>
      <c r="I285" s="853" t="s">
        <v>1289</v>
      </c>
      <c r="J285" s="860"/>
    </row>
    <row r="286" ht="20.1" customHeight="1" spans="1:10">
      <c r="A286" s="864">
        <v>284</v>
      </c>
      <c r="B286" s="853" t="s">
        <v>15</v>
      </c>
      <c r="C286" s="854" t="s">
        <v>1547</v>
      </c>
      <c r="D286" s="855"/>
      <c r="E286" s="856">
        <v>5051238.89</v>
      </c>
      <c r="F286" s="857">
        <v>45680</v>
      </c>
      <c r="G286" s="858">
        <v>45719</v>
      </c>
      <c r="H286" s="862" t="s">
        <v>1528</v>
      </c>
      <c r="I286" s="853" t="s">
        <v>1289</v>
      </c>
      <c r="J286" s="860"/>
    </row>
    <row r="287" ht="20.1" customHeight="1" spans="1:10">
      <c r="A287" s="864">
        <v>285</v>
      </c>
      <c r="B287" s="853" t="s">
        <v>15</v>
      </c>
      <c r="C287" s="854" t="s">
        <v>1548</v>
      </c>
      <c r="D287" s="855"/>
      <c r="E287" s="856">
        <v>4006944.2</v>
      </c>
      <c r="F287" s="857">
        <v>45715</v>
      </c>
      <c r="G287" s="857">
        <v>45748</v>
      </c>
      <c r="H287" s="862" t="s">
        <v>1528</v>
      </c>
      <c r="I287" s="853" t="s">
        <v>1289</v>
      </c>
      <c r="J287" s="860"/>
    </row>
    <row r="288" ht="20.1" customHeight="1" spans="1:10">
      <c r="A288" s="719">
        <v>286</v>
      </c>
      <c r="B288" s="853" t="s">
        <v>15</v>
      </c>
      <c r="C288" s="854" t="s">
        <v>1549</v>
      </c>
      <c r="D288" s="855"/>
      <c r="E288" s="856">
        <v>4001811.89</v>
      </c>
      <c r="F288" s="857">
        <v>45715</v>
      </c>
      <c r="G288" s="857">
        <v>45748</v>
      </c>
      <c r="H288" s="862" t="s">
        <v>1528</v>
      </c>
      <c r="I288" s="853" t="s">
        <v>1289</v>
      </c>
      <c r="J288" s="860"/>
    </row>
    <row r="289" ht="20.1" customHeight="1" spans="1:10">
      <c r="A289" s="719">
        <v>287</v>
      </c>
      <c r="B289" s="853" t="s">
        <v>102</v>
      </c>
      <c r="C289" s="854" t="s">
        <v>1550</v>
      </c>
      <c r="D289" s="855"/>
      <c r="E289" s="856">
        <v>319049.23</v>
      </c>
      <c r="F289" s="857">
        <v>45371</v>
      </c>
      <c r="G289" s="857">
        <v>45735</v>
      </c>
      <c r="H289" s="862" t="s">
        <v>1528</v>
      </c>
      <c r="I289" s="853" t="s">
        <v>1289</v>
      </c>
      <c r="J289" s="862" t="s">
        <v>1551</v>
      </c>
    </row>
    <row r="290" ht="20.1" customHeight="1" spans="1:10">
      <c r="A290" s="719">
        <v>288</v>
      </c>
      <c r="B290" s="853" t="s">
        <v>75</v>
      </c>
      <c r="C290" s="854" t="s">
        <v>1552</v>
      </c>
      <c r="D290" s="855"/>
      <c r="E290" s="856">
        <v>889148.75</v>
      </c>
      <c r="F290" s="857">
        <v>44993</v>
      </c>
      <c r="G290" s="857">
        <v>45359</v>
      </c>
      <c r="H290" s="862" t="s">
        <v>1348</v>
      </c>
      <c r="I290" s="853" t="s">
        <v>55</v>
      </c>
      <c r="J290" s="862" t="s">
        <v>1553</v>
      </c>
    </row>
    <row r="291" ht="20.1" customHeight="1" spans="1:10">
      <c r="A291" s="864">
        <v>289</v>
      </c>
      <c r="B291" s="853" t="s">
        <v>75</v>
      </c>
      <c r="C291" s="854" t="s">
        <v>1554</v>
      </c>
      <c r="D291" s="855"/>
      <c r="E291" s="856">
        <v>79850.93</v>
      </c>
      <c r="F291" s="857">
        <v>45679</v>
      </c>
      <c r="G291" s="857">
        <v>45802</v>
      </c>
      <c r="H291" s="862" t="s">
        <v>1348</v>
      </c>
      <c r="I291" s="853" t="s">
        <v>1289</v>
      </c>
      <c r="J291" s="860"/>
    </row>
    <row r="292" ht="20.1" customHeight="1" spans="1:10">
      <c r="A292" s="719">
        <v>290</v>
      </c>
      <c r="B292" s="853" t="s">
        <v>75</v>
      </c>
      <c r="C292" s="854" t="s">
        <v>1555</v>
      </c>
      <c r="D292" s="855"/>
      <c r="E292" s="25">
        <v>273736.47</v>
      </c>
      <c r="F292" s="857">
        <v>45729</v>
      </c>
      <c r="G292" s="857">
        <v>45802</v>
      </c>
      <c r="H292" s="862" t="s">
        <v>1348</v>
      </c>
      <c r="I292" s="853" t="s">
        <v>1289</v>
      </c>
      <c r="J292" s="860"/>
    </row>
    <row r="293" ht="20.1" customHeight="1" spans="1:10">
      <c r="A293" s="719">
        <v>291</v>
      </c>
      <c r="B293" s="853" t="s">
        <v>75</v>
      </c>
      <c r="C293" s="854" t="s">
        <v>1556</v>
      </c>
      <c r="D293" s="855"/>
      <c r="E293" s="25">
        <v>231141.79</v>
      </c>
      <c r="F293" s="857">
        <v>45730</v>
      </c>
      <c r="G293" s="857">
        <v>45802</v>
      </c>
      <c r="H293" s="862" t="s">
        <v>1348</v>
      </c>
      <c r="I293" s="853" t="s">
        <v>1289</v>
      </c>
      <c r="J293" s="860"/>
    </row>
    <row r="294" ht="20.1" customHeight="1" spans="1:10">
      <c r="A294" s="719">
        <v>292</v>
      </c>
      <c r="B294" s="853" t="s">
        <v>15</v>
      </c>
      <c r="C294" s="855" t="s">
        <v>1557</v>
      </c>
      <c r="D294" s="855"/>
      <c r="E294" s="25">
        <v>4003962.33</v>
      </c>
      <c r="F294" s="857">
        <v>45737</v>
      </c>
      <c r="G294" s="857">
        <v>45812</v>
      </c>
      <c r="H294" s="853" t="s">
        <v>1528</v>
      </c>
      <c r="I294" s="853" t="s">
        <v>1289</v>
      </c>
      <c r="J294" s="860"/>
    </row>
    <row r="295" ht="20.1" customHeight="1" spans="1:10">
      <c r="A295" s="719">
        <v>293</v>
      </c>
      <c r="B295" s="853" t="s">
        <v>15</v>
      </c>
      <c r="C295" s="855" t="s">
        <v>1558</v>
      </c>
      <c r="D295" s="855"/>
      <c r="E295" s="25">
        <v>4040100</v>
      </c>
      <c r="F295" s="857">
        <v>45774</v>
      </c>
      <c r="G295" s="857">
        <v>45812</v>
      </c>
      <c r="H295" s="853" t="s">
        <v>1528</v>
      </c>
      <c r="I295" s="853" t="s">
        <v>1289</v>
      </c>
      <c r="J295" s="860"/>
    </row>
    <row r="296" ht="20.1" customHeight="1" spans="1:10">
      <c r="A296" s="864">
        <v>294</v>
      </c>
      <c r="B296" s="853" t="s">
        <v>31</v>
      </c>
      <c r="C296" s="855" t="s">
        <v>1559</v>
      </c>
      <c r="D296" s="855"/>
      <c r="E296" s="25">
        <v>2894569.96</v>
      </c>
      <c r="F296" s="857">
        <v>45737</v>
      </c>
      <c r="G296" s="857">
        <v>45813</v>
      </c>
      <c r="H296" s="853" t="s">
        <v>1528</v>
      </c>
      <c r="I296" s="853" t="s">
        <v>1289</v>
      </c>
      <c r="J296" s="860"/>
    </row>
    <row r="297" ht="20.1" customHeight="1" spans="1:10">
      <c r="A297" s="864">
        <v>295</v>
      </c>
      <c r="B297" s="853" t="s">
        <v>233</v>
      </c>
      <c r="C297" s="855" t="s">
        <v>1560</v>
      </c>
      <c r="D297" s="855"/>
      <c r="E297" s="25">
        <v>160865.84</v>
      </c>
      <c r="F297" s="857">
        <v>45756</v>
      </c>
      <c r="G297" s="857">
        <v>45813</v>
      </c>
      <c r="H297" s="862" t="s">
        <v>1348</v>
      </c>
      <c r="I297" s="865" t="s">
        <v>1289</v>
      </c>
      <c r="J297" s="860"/>
    </row>
    <row r="298" ht="20.1" customHeight="1" spans="1:10">
      <c r="A298" s="864">
        <v>296</v>
      </c>
      <c r="B298" s="853" t="s">
        <v>228</v>
      </c>
      <c r="C298" s="866" t="s">
        <v>1561</v>
      </c>
      <c r="D298" s="855"/>
      <c r="E298" s="25">
        <v>677472.5</v>
      </c>
      <c r="F298" s="857">
        <v>45792</v>
      </c>
      <c r="G298" s="857">
        <v>45824</v>
      </c>
      <c r="H298" s="853" t="s">
        <v>1528</v>
      </c>
      <c r="I298" s="865" t="s">
        <v>1289</v>
      </c>
      <c r="J298" s="862" t="s">
        <v>1562</v>
      </c>
    </row>
    <row r="299" ht="20.1" customHeight="1" spans="1:10">
      <c r="A299" s="864">
        <v>297</v>
      </c>
      <c r="B299" s="853" t="s">
        <v>75</v>
      </c>
      <c r="C299" s="866" t="s">
        <v>655</v>
      </c>
      <c r="D299" s="855"/>
      <c r="E299" s="25">
        <v>88928.05</v>
      </c>
      <c r="F299" s="857">
        <v>45792</v>
      </c>
      <c r="G299" s="857">
        <v>45824</v>
      </c>
      <c r="H299" s="862" t="s">
        <v>1348</v>
      </c>
      <c r="I299" s="853" t="s">
        <v>1289</v>
      </c>
      <c r="J299" s="860"/>
    </row>
    <row r="300" ht="20.1" customHeight="1" spans="1:10">
      <c r="A300" s="864">
        <v>298</v>
      </c>
      <c r="B300" s="853" t="s">
        <v>75</v>
      </c>
      <c r="C300" s="866" t="s">
        <v>1563</v>
      </c>
      <c r="D300" s="855"/>
      <c r="E300" s="25">
        <v>93657.75</v>
      </c>
      <c r="F300" s="857">
        <v>45750</v>
      </c>
      <c r="G300" s="857">
        <v>45824</v>
      </c>
      <c r="H300" s="862" t="s">
        <v>1348</v>
      </c>
      <c r="I300" s="853" t="s">
        <v>1289</v>
      </c>
      <c r="J300" s="860"/>
    </row>
    <row r="301" ht="20.1" customHeight="1" spans="1:10">
      <c r="A301" s="864">
        <v>299</v>
      </c>
      <c r="B301" s="853" t="s">
        <v>75</v>
      </c>
      <c r="C301" s="866" t="s">
        <v>1564</v>
      </c>
      <c r="D301" s="855"/>
      <c r="E301" s="25">
        <v>92609.58</v>
      </c>
      <c r="F301" s="857">
        <v>45772</v>
      </c>
      <c r="G301" s="857">
        <v>45824</v>
      </c>
      <c r="H301" s="862" t="s">
        <v>1348</v>
      </c>
      <c r="I301" s="853" t="s">
        <v>1289</v>
      </c>
      <c r="J301" s="860"/>
    </row>
    <row r="302" ht="20.1" customHeight="1" spans="1:10">
      <c r="A302" s="864">
        <v>300</v>
      </c>
      <c r="B302" s="853" t="s">
        <v>228</v>
      </c>
      <c r="C302" s="866" t="s">
        <v>1565</v>
      </c>
      <c r="D302" s="855"/>
      <c r="E302" s="25">
        <v>1580000</v>
      </c>
      <c r="F302" s="857">
        <v>45744</v>
      </c>
      <c r="G302" s="857">
        <v>45848</v>
      </c>
      <c r="H302" s="862" t="s">
        <v>1528</v>
      </c>
      <c r="I302" s="853" t="s">
        <v>1289</v>
      </c>
      <c r="J302" s="860"/>
    </row>
    <row r="303" ht="20.1" customHeight="1" spans="1:10">
      <c r="A303" s="864">
        <v>301</v>
      </c>
      <c r="B303" s="853" t="s">
        <v>15</v>
      </c>
      <c r="C303" s="54" t="s">
        <v>1566</v>
      </c>
      <c r="D303" s="855"/>
      <c r="E303" s="25">
        <v>751976</v>
      </c>
      <c r="F303" s="857">
        <v>45744</v>
      </c>
      <c r="G303" s="867">
        <v>45848</v>
      </c>
      <c r="H303" s="862" t="s">
        <v>1528</v>
      </c>
      <c r="I303" s="853" t="s">
        <v>1289</v>
      </c>
      <c r="J303" s="860"/>
    </row>
    <row r="304" ht="20.1" customHeight="1" spans="1:10">
      <c r="A304" s="864">
        <v>302</v>
      </c>
      <c r="B304" s="853" t="s">
        <v>75</v>
      </c>
      <c r="C304" s="866" t="s">
        <v>1567</v>
      </c>
      <c r="D304" s="855"/>
      <c r="E304" s="25">
        <v>120864.54</v>
      </c>
      <c r="F304" s="857">
        <v>45800</v>
      </c>
      <c r="G304" s="857">
        <v>45848</v>
      </c>
      <c r="H304" s="862" t="s">
        <v>1348</v>
      </c>
      <c r="I304" s="853" t="s">
        <v>1289</v>
      </c>
      <c r="J304" s="860"/>
    </row>
    <row r="305" ht="20.1" customHeight="1" spans="1:10">
      <c r="A305" s="864">
        <v>303</v>
      </c>
      <c r="B305" s="853" t="s">
        <v>75</v>
      </c>
      <c r="C305" s="866" t="s">
        <v>1568</v>
      </c>
      <c r="D305" s="855"/>
      <c r="E305" s="25">
        <v>249374.9</v>
      </c>
      <c r="F305" s="857">
        <v>45800</v>
      </c>
      <c r="G305" s="857">
        <v>45848</v>
      </c>
      <c r="H305" s="862" t="s">
        <v>1348</v>
      </c>
      <c r="I305" s="853" t="s">
        <v>1289</v>
      </c>
      <c r="J305" s="860"/>
    </row>
    <row r="306" ht="20.1" customHeight="1" spans="1:10">
      <c r="A306" s="864">
        <v>304</v>
      </c>
      <c r="B306" s="853" t="s">
        <v>75</v>
      </c>
      <c r="C306" s="866" t="s">
        <v>1569</v>
      </c>
      <c r="D306" s="855"/>
      <c r="E306" s="25">
        <v>207586.25</v>
      </c>
      <c r="F306" s="857">
        <v>45826</v>
      </c>
      <c r="G306" s="857">
        <v>45848</v>
      </c>
      <c r="H306" s="862" t="s">
        <v>1348</v>
      </c>
      <c r="I306" s="853" t="s">
        <v>1289</v>
      </c>
      <c r="J306" s="860"/>
    </row>
    <row r="307" ht="20.1" customHeight="1" spans="1:10">
      <c r="A307" s="864">
        <v>305</v>
      </c>
      <c r="B307" s="853" t="s">
        <v>75</v>
      </c>
      <c r="C307" s="866" t="s">
        <v>1570</v>
      </c>
      <c r="D307" s="855"/>
      <c r="E307" s="25">
        <v>176165.14</v>
      </c>
      <c r="F307" s="857">
        <v>45800</v>
      </c>
      <c r="G307" s="857">
        <v>45848</v>
      </c>
      <c r="H307" s="862" t="s">
        <v>1348</v>
      </c>
      <c r="I307" s="853" t="s">
        <v>1289</v>
      </c>
      <c r="J307" s="860"/>
    </row>
    <row r="308" ht="20.1" customHeight="1" spans="1:10">
      <c r="A308" s="864">
        <v>306</v>
      </c>
      <c r="B308" s="853" t="s">
        <v>75</v>
      </c>
      <c r="C308" s="866" t="s">
        <v>1571</v>
      </c>
      <c r="D308" s="855"/>
      <c r="E308" s="25">
        <v>223404.29</v>
      </c>
      <c r="F308" s="857">
        <v>45772</v>
      </c>
      <c r="G308" s="857">
        <v>45828</v>
      </c>
      <c r="H308" s="862" t="s">
        <v>1348</v>
      </c>
      <c r="I308" s="853" t="s">
        <v>1289</v>
      </c>
      <c r="J308" s="860"/>
    </row>
    <row r="309" ht="20.1" customHeight="1" spans="1:10">
      <c r="A309" s="864">
        <v>307</v>
      </c>
      <c r="B309" s="853" t="s">
        <v>75</v>
      </c>
      <c r="C309" s="866" t="s">
        <v>1572</v>
      </c>
      <c r="D309" s="855"/>
      <c r="E309" s="25">
        <v>250124.4</v>
      </c>
      <c r="F309" s="857">
        <v>45750</v>
      </c>
      <c r="G309" s="857">
        <v>45828</v>
      </c>
      <c r="H309" s="862" t="s">
        <v>1348</v>
      </c>
      <c r="I309" s="853" t="s">
        <v>1289</v>
      </c>
      <c r="J309" s="860"/>
    </row>
    <row r="310" ht="20.1" customHeight="1" spans="1:10">
      <c r="A310" s="864">
        <v>308</v>
      </c>
      <c r="B310" s="853" t="s">
        <v>75</v>
      </c>
      <c r="C310" s="866" t="s">
        <v>1573</v>
      </c>
      <c r="D310" s="855"/>
      <c r="E310" s="25">
        <v>57971.78</v>
      </c>
      <c r="F310" s="857">
        <v>45750</v>
      </c>
      <c r="G310" s="857">
        <v>45828</v>
      </c>
      <c r="H310" s="862" t="s">
        <v>1348</v>
      </c>
      <c r="I310" s="853" t="s">
        <v>1289</v>
      </c>
      <c r="J310" s="860"/>
    </row>
    <row r="311" ht="20.1" customHeight="1" spans="1:10">
      <c r="A311" s="864">
        <v>309</v>
      </c>
      <c r="B311" s="853" t="s">
        <v>75</v>
      </c>
      <c r="C311" s="866" t="s">
        <v>1574</v>
      </c>
      <c r="D311" s="855"/>
      <c r="E311" s="25">
        <v>96477.85</v>
      </c>
      <c r="F311" s="857">
        <v>45772</v>
      </c>
      <c r="G311" s="857">
        <v>45828</v>
      </c>
      <c r="H311" s="862" t="s">
        <v>1348</v>
      </c>
      <c r="I311" s="853" t="s">
        <v>1289</v>
      </c>
      <c r="J311" s="860"/>
    </row>
    <row r="312" ht="20.1" customHeight="1" spans="1:10">
      <c r="A312" s="864">
        <v>310</v>
      </c>
      <c r="B312" s="853" t="s">
        <v>22</v>
      </c>
      <c r="C312" s="866" t="s">
        <v>1520</v>
      </c>
      <c r="D312" s="855"/>
      <c r="E312" s="25">
        <v>3204267.09</v>
      </c>
      <c r="F312" s="857">
        <v>45379</v>
      </c>
      <c r="G312" s="857">
        <v>45849</v>
      </c>
      <c r="H312" s="853" t="s">
        <v>1403</v>
      </c>
      <c r="I312" s="853" t="s">
        <v>1289</v>
      </c>
      <c r="J312" s="860"/>
    </row>
    <row r="313" ht="20.1" customHeight="1" spans="1:10">
      <c r="A313" s="864">
        <v>311</v>
      </c>
      <c r="B313" s="853" t="s">
        <v>75</v>
      </c>
      <c r="C313" s="866" t="s">
        <v>1575</v>
      </c>
      <c r="D313" s="855"/>
      <c r="E313" s="25">
        <v>161433.3</v>
      </c>
      <c r="F313" s="857">
        <v>45813</v>
      </c>
      <c r="G313" s="858">
        <v>45888</v>
      </c>
      <c r="H313" s="862" t="s">
        <v>1348</v>
      </c>
      <c r="I313" s="853" t="s">
        <v>1289</v>
      </c>
      <c r="J313" s="860"/>
    </row>
    <row r="314" ht="20.1" customHeight="1" spans="1:10">
      <c r="A314" s="864">
        <v>312</v>
      </c>
      <c r="B314" s="853" t="s">
        <v>75</v>
      </c>
      <c r="C314" s="866" t="s">
        <v>1576</v>
      </c>
      <c r="D314" s="855"/>
      <c r="E314" s="25">
        <v>144084</v>
      </c>
      <c r="F314" s="857">
        <v>45825</v>
      </c>
      <c r="G314" s="858">
        <v>45888</v>
      </c>
      <c r="H314" s="862" t="s">
        <v>1348</v>
      </c>
      <c r="I314" s="853" t="s">
        <v>1289</v>
      </c>
      <c r="J314" s="860"/>
    </row>
    <row r="315" ht="20.1" customHeight="1" spans="1:10">
      <c r="A315" s="864">
        <v>313</v>
      </c>
      <c r="B315" s="853" t="s">
        <v>75</v>
      </c>
      <c r="C315" s="866" t="s">
        <v>1577</v>
      </c>
      <c r="D315" s="855"/>
      <c r="E315" s="25">
        <v>199991.45</v>
      </c>
      <c r="F315" s="857">
        <v>45811</v>
      </c>
      <c r="G315" s="858">
        <v>45888</v>
      </c>
      <c r="H315" s="862" t="s">
        <v>1348</v>
      </c>
      <c r="I315" s="853" t="s">
        <v>1289</v>
      </c>
      <c r="J315" s="860"/>
    </row>
    <row r="316" ht="20.1" customHeight="1" spans="1:10">
      <c r="A316" s="864">
        <v>314</v>
      </c>
      <c r="B316" s="853" t="s">
        <v>75</v>
      </c>
      <c r="C316" s="866" t="s">
        <v>1578</v>
      </c>
      <c r="D316" s="855"/>
      <c r="E316" s="25">
        <v>128971.93</v>
      </c>
      <c r="F316" s="857">
        <v>45811</v>
      </c>
      <c r="G316" s="858">
        <v>45888</v>
      </c>
      <c r="H316" s="862" t="s">
        <v>1348</v>
      </c>
      <c r="I316" s="853" t="s">
        <v>1289</v>
      </c>
      <c r="J316" s="860"/>
    </row>
    <row r="317" ht="20.1" customHeight="1" spans="1:10">
      <c r="A317" s="864">
        <v>315</v>
      </c>
      <c r="B317" s="853" t="s">
        <v>75</v>
      </c>
      <c r="C317" s="866" t="s">
        <v>1579</v>
      </c>
      <c r="D317" s="855"/>
      <c r="E317" s="25">
        <v>148287.44</v>
      </c>
      <c r="F317" s="857">
        <v>45811</v>
      </c>
      <c r="G317" s="858">
        <v>45888</v>
      </c>
      <c r="H317" s="862" t="s">
        <v>1348</v>
      </c>
      <c r="I317" s="853" t="s">
        <v>1289</v>
      </c>
      <c r="J317" s="860"/>
    </row>
    <row r="318" ht="20.1" customHeight="1" spans="1:10">
      <c r="A318" s="864">
        <v>316</v>
      </c>
      <c r="B318" s="853" t="s">
        <v>75</v>
      </c>
      <c r="C318" s="866" t="s">
        <v>1580</v>
      </c>
      <c r="D318" s="855"/>
      <c r="E318" s="25">
        <v>67106.48</v>
      </c>
      <c r="F318" s="857">
        <v>45813</v>
      </c>
      <c r="G318" s="858">
        <v>45888</v>
      </c>
      <c r="H318" s="862" t="s">
        <v>1348</v>
      </c>
      <c r="I318" s="853" t="s">
        <v>1289</v>
      </c>
      <c r="J318" s="860"/>
    </row>
    <row r="319" ht="20.1" customHeight="1" spans="1:10">
      <c r="A319" s="864">
        <v>317</v>
      </c>
      <c r="B319" s="853" t="s">
        <v>75</v>
      </c>
      <c r="C319" s="855" t="s">
        <v>1581</v>
      </c>
      <c r="D319" s="855"/>
      <c r="E319" s="25">
        <v>1470803.46</v>
      </c>
      <c r="F319" s="857">
        <v>45862</v>
      </c>
      <c r="G319" s="858">
        <v>45903</v>
      </c>
      <c r="H319" s="853" t="s">
        <v>1528</v>
      </c>
      <c r="I319" s="853" t="s">
        <v>1289</v>
      </c>
      <c r="J319" s="860"/>
    </row>
    <row r="320" ht="20.1" customHeight="1" spans="1:10">
      <c r="A320" s="864">
        <v>318</v>
      </c>
      <c r="B320" s="853" t="s">
        <v>22</v>
      </c>
      <c r="C320" s="855" t="s">
        <v>1582</v>
      </c>
      <c r="D320" s="855"/>
      <c r="E320" s="25">
        <v>2159099.02</v>
      </c>
      <c r="F320" s="857">
        <v>45901</v>
      </c>
      <c r="G320" s="858">
        <v>45928</v>
      </c>
      <c r="H320" s="853" t="s">
        <v>1528</v>
      </c>
      <c r="I320" s="853" t="s">
        <v>1289</v>
      </c>
      <c r="J320" s="860"/>
    </row>
    <row r="321" ht="20.1" customHeight="1" spans="1:10">
      <c r="A321" s="864">
        <v>319</v>
      </c>
      <c r="B321" s="853" t="s">
        <v>22</v>
      </c>
      <c r="C321" s="855" t="s">
        <v>1583</v>
      </c>
      <c r="D321" s="855"/>
      <c r="E321" s="25">
        <v>800000</v>
      </c>
      <c r="F321" s="857">
        <v>45842</v>
      </c>
      <c r="G321" s="858">
        <v>45898</v>
      </c>
      <c r="H321" s="853" t="s">
        <v>1528</v>
      </c>
      <c r="I321" s="853" t="s">
        <v>1289</v>
      </c>
      <c r="J321" s="860"/>
    </row>
    <row r="322" ht="20.1" customHeight="1" spans="1:10">
      <c r="A322" s="864">
        <v>320</v>
      </c>
      <c r="B322" s="853" t="s">
        <v>582</v>
      </c>
      <c r="C322" s="855" t="s">
        <v>1461</v>
      </c>
      <c r="D322" s="855"/>
      <c r="E322" s="25">
        <v>388815.21</v>
      </c>
      <c r="F322" s="857">
        <v>45882</v>
      </c>
      <c r="G322" s="858">
        <v>45926</v>
      </c>
      <c r="H322" s="853" t="s">
        <v>1528</v>
      </c>
      <c r="I322" s="853" t="s">
        <v>1289</v>
      </c>
      <c r="J322" s="860"/>
    </row>
    <row r="323" ht="20.1" customHeight="1" spans="1:10">
      <c r="A323" s="864">
        <v>321</v>
      </c>
      <c r="B323" s="853" t="s">
        <v>228</v>
      </c>
      <c r="C323" s="855" t="s">
        <v>1584</v>
      </c>
      <c r="D323" s="855"/>
      <c r="E323" s="25">
        <v>239975.36</v>
      </c>
      <c r="F323" s="857">
        <v>45874</v>
      </c>
      <c r="G323" s="858">
        <v>45926</v>
      </c>
      <c r="H323" s="853" t="s">
        <v>1528</v>
      </c>
      <c r="I323" s="853" t="s">
        <v>1289</v>
      </c>
      <c r="J323" s="860"/>
    </row>
    <row r="324" ht="20.1" customHeight="1" spans="1:10">
      <c r="A324" s="864">
        <v>322</v>
      </c>
      <c r="B324" s="853" t="s">
        <v>1585</v>
      </c>
      <c r="C324" s="855" t="s">
        <v>1586</v>
      </c>
      <c r="D324" s="855"/>
      <c r="E324" s="25">
        <v>2029026.15</v>
      </c>
      <c r="F324" s="857">
        <v>45842</v>
      </c>
      <c r="G324" s="858">
        <v>45926</v>
      </c>
      <c r="H324" s="853" t="s">
        <v>1528</v>
      </c>
      <c r="I324" s="853" t="s">
        <v>1289</v>
      </c>
      <c r="J324" s="860"/>
    </row>
    <row r="325" ht="20.1" customHeight="1" spans="1:10">
      <c r="A325" s="864">
        <v>323</v>
      </c>
      <c r="B325" s="853" t="s">
        <v>233</v>
      </c>
      <c r="C325" s="855" t="s">
        <v>1587</v>
      </c>
      <c r="D325" s="855"/>
      <c r="E325" s="25">
        <v>4144953.82</v>
      </c>
      <c r="F325" s="857">
        <v>45828</v>
      </c>
      <c r="G325" s="858">
        <v>45926</v>
      </c>
      <c r="H325" s="853" t="s">
        <v>1528</v>
      </c>
      <c r="I325" s="853"/>
      <c r="J325" s="862" t="s">
        <v>1588</v>
      </c>
    </row>
    <row r="326" ht="20.1" customHeight="1" spans="1:10">
      <c r="A326" s="864">
        <v>324</v>
      </c>
      <c r="B326" s="853" t="s">
        <v>75</v>
      </c>
      <c r="C326" s="855" t="s">
        <v>1589</v>
      </c>
      <c r="D326" s="855"/>
      <c r="E326" s="25">
        <v>80095.77</v>
      </c>
      <c r="F326" s="857">
        <v>45868</v>
      </c>
      <c r="G326" s="858">
        <v>45924</v>
      </c>
      <c r="H326" s="862" t="s">
        <v>1348</v>
      </c>
      <c r="I326" s="853" t="s">
        <v>1289</v>
      </c>
      <c r="J326" s="860"/>
    </row>
    <row r="327" ht="20.1" customHeight="1" spans="1:10">
      <c r="A327" s="864">
        <v>325</v>
      </c>
      <c r="B327" s="853" t="s">
        <v>75</v>
      </c>
      <c r="C327" s="855" t="s">
        <v>1590</v>
      </c>
      <c r="D327" s="855"/>
      <c r="E327" s="25">
        <v>240991.88</v>
      </c>
      <c r="F327" s="857">
        <v>45870</v>
      </c>
      <c r="G327" s="858">
        <v>45924</v>
      </c>
      <c r="H327" s="862" t="s">
        <v>1348</v>
      </c>
      <c r="I327" s="853" t="s">
        <v>1289</v>
      </c>
      <c r="J327" s="860"/>
    </row>
    <row r="328" ht="20.1" customHeight="1" spans="1:10">
      <c r="A328" s="864">
        <v>326</v>
      </c>
      <c r="B328" s="853" t="s">
        <v>75</v>
      </c>
      <c r="C328" s="855" t="s">
        <v>1591</v>
      </c>
      <c r="D328" s="855"/>
      <c r="E328" s="25">
        <v>95965.04</v>
      </c>
      <c r="F328" s="857">
        <v>45868</v>
      </c>
      <c r="G328" s="858">
        <v>45924</v>
      </c>
      <c r="H328" s="862" t="s">
        <v>1348</v>
      </c>
      <c r="I328" s="853" t="s">
        <v>1289</v>
      </c>
      <c r="J328" s="860"/>
    </row>
    <row r="329" ht="20.1" customHeight="1" spans="1:10">
      <c r="A329" s="864">
        <v>327</v>
      </c>
      <c r="B329" s="853" t="s">
        <v>75</v>
      </c>
      <c r="C329" s="855" t="s">
        <v>1592</v>
      </c>
      <c r="D329" s="855"/>
      <c r="E329" s="25">
        <v>193266.78</v>
      </c>
      <c r="F329" s="857">
        <v>45867</v>
      </c>
      <c r="G329" s="858">
        <v>45924</v>
      </c>
      <c r="H329" s="862" t="s">
        <v>1348</v>
      </c>
      <c r="I329" s="853" t="s">
        <v>1289</v>
      </c>
      <c r="J329" s="860"/>
    </row>
    <row r="330" ht="20.1" customHeight="1" spans="1:10">
      <c r="A330" s="864">
        <v>328</v>
      </c>
      <c r="B330" s="853" t="s">
        <v>233</v>
      </c>
      <c r="C330" s="855" t="s">
        <v>1593</v>
      </c>
      <c r="D330" s="855"/>
      <c r="E330" s="25">
        <v>3246200</v>
      </c>
      <c r="F330" s="857">
        <v>45846</v>
      </c>
      <c r="G330" s="858">
        <v>45891</v>
      </c>
      <c r="H330" s="853" t="s">
        <v>1528</v>
      </c>
      <c r="I330" s="853" t="s">
        <v>1289</v>
      </c>
      <c r="J330" s="860"/>
    </row>
    <row r="331" ht="20.1" customHeight="1" spans="1:10">
      <c r="A331" s="864">
        <v>329</v>
      </c>
      <c r="B331" s="859" t="s">
        <v>233</v>
      </c>
      <c r="C331" s="855" t="s">
        <v>1594</v>
      </c>
      <c r="D331" s="855"/>
      <c r="E331" s="25">
        <v>811960</v>
      </c>
      <c r="F331" s="857">
        <v>45846</v>
      </c>
      <c r="G331" s="858">
        <v>45891</v>
      </c>
      <c r="H331" s="853" t="s">
        <v>1528</v>
      </c>
      <c r="I331" s="853" t="s">
        <v>1289</v>
      </c>
      <c r="J331" s="860"/>
    </row>
    <row r="332" ht="20.1" customHeight="1" spans="1:10">
      <c r="A332" s="864">
        <v>330</v>
      </c>
      <c r="B332" s="859" t="s">
        <v>233</v>
      </c>
      <c r="C332" s="855" t="s">
        <v>1594</v>
      </c>
      <c r="D332" s="855"/>
      <c r="E332" s="25">
        <v>1623920</v>
      </c>
      <c r="F332" s="857">
        <v>45846</v>
      </c>
      <c r="G332" s="858">
        <v>45891</v>
      </c>
      <c r="H332" s="853" t="s">
        <v>1528</v>
      </c>
      <c r="I332" s="853" t="s">
        <v>1289</v>
      </c>
      <c r="J332" s="860"/>
    </row>
    <row r="333" ht="20.1" customHeight="1" spans="1:10">
      <c r="A333" s="864">
        <v>331</v>
      </c>
      <c r="B333" s="859" t="s">
        <v>233</v>
      </c>
      <c r="C333" s="855" t="s">
        <v>1593</v>
      </c>
      <c r="D333" s="855"/>
      <c r="E333" s="25">
        <v>811534.7</v>
      </c>
      <c r="F333" s="857">
        <v>45846</v>
      </c>
      <c r="G333" s="858">
        <v>45891</v>
      </c>
      <c r="H333" s="853" t="s">
        <v>1528</v>
      </c>
      <c r="I333" s="853" t="s">
        <v>1289</v>
      </c>
      <c r="J333" s="860"/>
    </row>
    <row r="334" ht="20.1" customHeight="1" spans="1:10">
      <c r="A334" s="864">
        <v>332</v>
      </c>
      <c r="B334" s="853" t="s">
        <v>1585</v>
      </c>
      <c r="C334" s="855" t="s">
        <v>1557</v>
      </c>
      <c r="D334" s="855"/>
      <c r="E334" s="25">
        <v>2400000</v>
      </c>
      <c r="F334" s="857">
        <v>45930</v>
      </c>
      <c r="G334" s="858">
        <v>45946</v>
      </c>
      <c r="H334" s="853" t="s">
        <v>1528</v>
      </c>
      <c r="I334" s="853" t="s">
        <v>1272</v>
      </c>
      <c r="J334" s="860"/>
    </row>
    <row r="335" ht="20.1" customHeight="1" spans="1:10">
      <c r="A335" s="864">
        <v>333</v>
      </c>
      <c r="B335" s="853" t="s">
        <v>1585</v>
      </c>
      <c r="C335" s="855" t="s">
        <v>1557</v>
      </c>
      <c r="D335" s="855"/>
      <c r="E335" s="25">
        <v>1583938.75</v>
      </c>
      <c r="F335" s="857">
        <v>45930</v>
      </c>
      <c r="G335" s="858">
        <v>45946</v>
      </c>
      <c r="H335" s="853" t="s">
        <v>1528</v>
      </c>
      <c r="I335" s="853" t="s">
        <v>1272</v>
      </c>
      <c r="J335" s="860"/>
    </row>
    <row r="336" ht="20.1" customHeight="1" spans="1:10">
      <c r="A336" s="864">
        <v>334</v>
      </c>
      <c r="B336" s="853" t="s">
        <v>1585</v>
      </c>
      <c r="C336" s="855" t="s">
        <v>1115</v>
      </c>
      <c r="D336" s="855"/>
      <c r="E336" s="25">
        <v>1142110.02</v>
      </c>
      <c r="F336" s="857">
        <v>45842</v>
      </c>
      <c r="G336" s="858">
        <v>45946</v>
      </c>
      <c r="H336" s="853" t="s">
        <v>1528</v>
      </c>
      <c r="I336" s="853" t="s">
        <v>21</v>
      </c>
      <c r="J336" s="860"/>
    </row>
    <row r="337" ht="20.1" customHeight="1" spans="1:10">
      <c r="A337" s="864">
        <v>335</v>
      </c>
      <c r="B337" s="853" t="s">
        <v>1585</v>
      </c>
      <c r="C337" s="855" t="s">
        <v>1115</v>
      </c>
      <c r="D337" s="855"/>
      <c r="E337" s="25">
        <v>1520000</v>
      </c>
      <c r="F337" s="857">
        <v>45842</v>
      </c>
      <c r="G337" s="858">
        <v>45946</v>
      </c>
      <c r="H337" s="853" t="s">
        <v>1528</v>
      </c>
      <c r="I337" s="853" t="s">
        <v>21</v>
      </c>
      <c r="J337" s="860"/>
    </row>
    <row r="338" ht="20.1" customHeight="1" spans="1:10">
      <c r="A338" s="864">
        <v>336</v>
      </c>
      <c r="B338" s="853" t="s">
        <v>1585</v>
      </c>
      <c r="C338" s="855" t="s">
        <v>1115</v>
      </c>
      <c r="D338" s="855"/>
      <c r="E338" s="25">
        <v>880000</v>
      </c>
      <c r="F338" s="857">
        <v>45842</v>
      </c>
      <c r="G338" s="858">
        <v>45946</v>
      </c>
      <c r="H338" s="853" t="s">
        <v>1528</v>
      </c>
      <c r="I338" s="853" t="s">
        <v>21</v>
      </c>
      <c r="J338" s="860"/>
    </row>
    <row r="339" ht="20.1" customHeight="1" spans="1:10">
      <c r="A339" s="864">
        <v>337</v>
      </c>
      <c r="B339" s="853" t="s">
        <v>1585</v>
      </c>
      <c r="C339" s="54" t="s">
        <v>1595</v>
      </c>
      <c r="D339" s="855"/>
      <c r="E339" s="25">
        <v>2063337.6</v>
      </c>
      <c r="F339" s="857">
        <v>45925</v>
      </c>
      <c r="G339" s="858">
        <v>45946</v>
      </c>
      <c r="H339" s="853" t="s">
        <v>1528</v>
      </c>
      <c r="I339" s="853" t="s">
        <v>21</v>
      </c>
      <c r="J339" s="860"/>
    </row>
    <row r="340" ht="20.1" customHeight="1" spans="1:10">
      <c r="A340" s="864">
        <v>338</v>
      </c>
      <c r="B340" s="853" t="s">
        <v>1585</v>
      </c>
      <c r="C340" s="855" t="s">
        <v>1538</v>
      </c>
      <c r="D340" s="855"/>
      <c r="E340" s="25">
        <v>490000</v>
      </c>
      <c r="F340" s="858">
        <v>45925</v>
      </c>
      <c r="G340" s="858">
        <v>45965</v>
      </c>
      <c r="H340" s="853" t="s">
        <v>1528</v>
      </c>
      <c r="I340" s="853" t="s">
        <v>21</v>
      </c>
      <c r="J340" s="860"/>
    </row>
    <row r="341" ht="20.1" customHeight="1" spans="1:10">
      <c r="A341" s="864">
        <v>339</v>
      </c>
      <c r="B341" s="853" t="s">
        <v>1585</v>
      </c>
      <c r="C341" s="855" t="s">
        <v>1538</v>
      </c>
      <c r="D341" s="855"/>
      <c r="E341" s="25">
        <v>490000</v>
      </c>
      <c r="F341" s="858">
        <v>45925</v>
      </c>
      <c r="G341" s="858">
        <v>45965</v>
      </c>
      <c r="H341" s="853" t="s">
        <v>1528</v>
      </c>
      <c r="I341" s="853" t="s">
        <v>21</v>
      </c>
      <c r="J341" s="860"/>
    </row>
    <row r="342" ht="20.1" customHeight="1" spans="1:10">
      <c r="A342" s="864">
        <v>340</v>
      </c>
      <c r="B342" s="853" t="s">
        <v>1585</v>
      </c>
      <c r="C342" s="855" t="s">
        <v>1538</v>
      </c>
      <c r="D342" s="855"/>
      <c r="E342" s="25">
        <v>490000</v>
      </c>
      <c r="F342" s="858">
        <v>45925</v>
      </c>
      <c r="G342" s="858">
        <v>45965</v>
      </c>
      <c r="H342" s="853" t="s">
        <v>1528</v>
      </c>
      <c r="I342" s="853" t="s">
        <v>21</v>
      </c>
      <c r="J342" s="860"/>
    </row>
    <row r="343" ht="20.1" customHeight="1" spans="1:10">
      <c r="A343" s="864">
        <v>341</v>
      </c>
      <c r="B343" s="853" t="s">
        <v>1585</v>
      </c>
      <c r="C343" s="855" t="s">
        <v>1538</v>
      </c>
      <c r="D343" s="855"/>
      <c r="E343" s="25">
        <v>90000</v>
      </c>
      <c r="F343" s="858">
        <v>45925</v>
      </c>
      <c r="G343" s="858">
        <v>45965</v>
      </c>
      <c r="H343" s="853" t="s">
        <v>1528</v>
      </c>
      <c r="I343" s="853" t="s">
        <v>21</v>
      </c>
      <c r="J343" s="860"/>
    </row>
    <row r="344" ht="20.1" customHeight="1" spans="1:10">
      <c r="A344" s="864">
        <v>342</v>
      </c>
      <c r="B344" s="853" t="s">
        <v>1585</v>
      </c>
      <c r="C344" s="855" t="s">
        <v>1538</v>
      </c>
      <c r="D344" s="855"/>
      <c r="E344" s="25">
        <v>490000</v>
      </c>
      <c r="F344" s="858">
        <v>45925</v>
      </c>
      <c r="G344" s="858">
        <v>45965</v>
      </c>
      <c r="H344" s="853" t="s">
        <v>1528</v>
      </c>
      <c r="I344" s="853" t="s">
        <v>21</v>
      </c>
      <c r="J344" s="860"/>
    </row>
    <row r="345" ht="20.1" customHeight="1" spans="1:10">
      <c r="A345" s="864">
        <v>343</v>
      </c>
      <c r="B345" s="853" t="s">
        <v>75</v>
      </c>
      <c r="C345" s="855" t="s">
        <v>1596</v>
      </c>
      <c r="D345" s="855"/>
      <c r="E345" s="868">
        <v>3000000</v>
      </c>
      <c r="F345" s="858">
        <v>45930</v>
      </c>
      <c r="G345" s="851">
        <v>45964</v>
      </c>
      <c r="H345" s="853" t="s">
        <v>1528</v>
      </c>
      <c r="I345" s="853" t="s">
        <v>21</v>
      </c>
      <c r="J345" s="860"/>
    </row>
    <row r="346" ht="20.1" customHeight="1" spans="1:10">
      <c r="A346" s="864">
        <v>344</v>
      </c>
      <c r="B346" s="853" t="s">
        <v>75</v>
      </c>
      <c r="C346" s="855" t="s">
        <v>1597</v>
      </c>
      <c r="D346" s="855"/>
      <c r="E346" s="868">
        <v>122953.23</v>
      </c>
      <c r="F346" s="858">
        <v>45918</v>
      </c>
      <c r="G346" s="858">
        <v>46001</v>
      </c>
      <c r="H346" s="862" t="s">
        <v>1348</v>
      </c>
      <c r="I346" s="853" t="s">
        <v>21</v>
      </c>
      <c r="J346" s="860"/>
    </row>
    <row r="347" ht="20.1" customHeight="1" spans="1:10">
      <c r="A347" s="864">
        <v>345</v>
      </c>
      <c r="B347" s="853" t="s">
        <v>75</v>
      </c>
      <c r="C347" s="855" t="s">
        <v>1598</v>
      </c>
      <c r="D347" s="855"/>
      <c r="E347" s="868">
        <v>49979.72</v>
      </c>
      <c r="F347" s="858">
        <v>45915</v>
      </c>
      <c r="G347" s="858">
        <v>46001</v>
      </c>
      <c r="H347" s="862" t="s">
        <v>1348</v>
      </c>
      <c r="I347" s="853" t="s">
        <v>21</v>
      </c>
      <c r="J347" s="860"/>
    </row>
    <row r="348" ht="20.1" customHeight="1" spans="1:10">
      <c r="A348" s="864">
        <v>346</v>
      </c>
      <c r="B348" s="853" t="s">
        <v>75</v>
      </c>
      <c r="C348" s="855" t="s">
        <v>1599</v>
      </c>
      <c r="D348" s="855"/>
      <c r="E348" s="868">
        <v>68670.75</v>
      </c>
      <c r="F348" s="858">
        <v>45918</v>
      </c>
      <c r="G348" s="858">
        <v>46001</v>
      </c>
      <c r="H348" s="862" t="s">
        <v>1348</v>
      </c>
      <c r="I348" s="853" t="s">
        <v>21</v>
      </c>
      <c r="J348" s="860"/>
    </row>
    <row r="349" ht="20.1" customHeight="1" spans="1:10">
      <c r="A349" s="864">
        <v>347</v>
      </c>
      <c r="B349" s="853" t="s">
        <v>75</v>
      </c>
      <c r="C349" s="855" t="s">
        <v>1600</v>
      </c>
      <c r="D349" s="855"/>
      <c r="E349" s="868">
        <v>192000</v>
      </c>
      <c r="F349" s="858">
        <v>45926</v>
      </c>
      <c r="G349" s="858">
        <v>46001</v>
      </c>
      <c r="H349" s="862" t="s">
        <v>1348</v>
      </c>
      <c r="I349" s="853" t="s">
        <v>21</v>
      </c>
      <c r="J349" s="860"/>
    </row>
    <row r="350" ht="20.1" customHeight="1" spans="1:10">
      <c r="A350" s="864">
        <v>348</v>
      </c>
      <c r="B350" s="853" t="s">
        <v>75</v>
      </c>
      <c r="C350" s="855" t="s">
        <v>1601</v>
      </c>
      <c r="D350" s="855"/>
      <c r="E350" s="868">
        <v>106291.16</v>
      </c>
      <c r="F350" s="858">
        <v>45923</v>
      </c>
      <c r="G350" s="858">
        <v>46001</v>
      </c>
      <c r="H350" s="862" t="s">
        <v>1348</v>
      </c>
      <c r="I350" s="853" t="s">
        <v>21</v>
      </c>
      <c r="J350" s="860"/>
    </row>
    <row r="351" ht="20.1" customHeight="1" spans="1:10">
      <c r="A351" s="864">
        <v>349</v>
      </c>
      <c r="B351" s="853" t="s">
        <v>75</v>
      </c>
      <c r="C351" s="855" t="s">
        <v>1602</v>
      </c>
      <c r="D351" s="855"/>
      <c r="E351" s="868">
        <v>235521.36</v>
      </c>
      <c r="F351" s="858">
        <v>45904</v>
      </c>
      <c r="G351" s="858">
        <v>46001</v>
      </c>
      <c r="H351" s="862" t="s">
        <v>1348</v>
      </c>
      <c r="I351" s="853" t="s">
        <v>21</v>
      </c>
      <c r="J351" s="860"/>
    </row>
    <row r="352" ht="20.1" customHeight="1" spans="1:10">
      <c r="A352" s="864">
        <v>350</v>
      </c>
      <c r="B352" s="853" t="s">
        <v>75</v>
      </c>
      <c r="C352" s="855" t="s">
        <v>1603</v>
      </c>
      <c r="D352" s="855"/>
      <c r="E352" s="868">
        <v>239409</v>
      </c>
      <c r="F352" s="858">
        <v>45888</v>
      </c>
      <c r="G352" s="858">
        <v>46001</v>
      </c>
      <c r="H352" s="862" t="s">
        <v>1348</v>
      </c>
      <c r="I352" s="853" t="s">
        <v>21</v>
      </c>
      <c r="J352" s="860"/>
    </row>
    <row r="353" ht="20.1" customHeight="1" spans="1:10">
      <c r="A353" s="864">
        <v>351</v>
      </c>
      <c r="B353" s="853" t="s">
        <v>15</v>
      </c>
      <c r="C353" s="57" t="s">
        <v>1604</v>
      </c>
      <c r="D353" s="855"/>
      <c r="E353" s="868">
        <v>2282961.31</v>
      </c>
      <c r="F353" s="48">
        <v>45930</v>
      </c>
      <c r="G353" s="858">
        <v>45971</v>
      </c>
      <c r="H353" s="853" t="s">
        <v>1528</v>
      </c>
      <c r="I353" s="853" t="s">
        <v>21</v>
      </c>
      <c r="J353" s="860"/>
    </row>
    <row r="354" ht="20.1" customHeight="1" spans="1:10">
      <c r="A354" s="864">
        <v>352</v>
      </c>
      <c r="B354" s="853" t="s">
        <v>15</v>
      </c>
      <c r="C354" s="57" t="s">
        <v>1605</v>
      </c>
      <c r="D354" s="855"/>
      <c r="E354" s="868">
        <v>2401334.27</v>
      </c>
      <c r="F354" s="48">
        <v>45930</v>
      </c>
      <c r="G354" s="858">
        <v>45971</v>
      </c>
      <c r="H354" s="853" t="s">
        <v>1528</v>
      </c>
      <c r="I354" s="853" t="s">
        <v>21</v>
      </c>
      <c r="J354" s="860"/>
    </row>
    <row r="355" ht="20.1" customHeight="1" spans="1:10">
      <c r="A355" s="864"/>
      <c r="B355" s="859"/>
      <c r="C355" s="855"/>
      <c r="D355" s="855"/>
      <c r="E355" s="869"/>
      <c r="F355" s="870"/>
      <c r="G355" s="858"/>
      <c r="H355" s="859"/>
      <c r="I355" s="853"/>
      <c r="J355" s="860"/>
    </row>
    <row r="356" ht="20.1" customHeight="1" spans="1:10">
      <c r="A356" s="864"/>
      <c r="B356" s="859"/>
      <c r="C356" s="855"/>
      <c r="D356" s="855"/>
      <c r="E356" s="869"/>
      <c r="F356" s="871"/>
      <c r="G356" s="858"/>
      <c r="H356" s="859"/>
      <c r="I356" s="853"/>
      <c r="J356" s="860"/>
    </row>
    <row r="357" ht="20.1" customHeight="1" spans="1:10">
      <c r="A357" s="864"/>
      <c r="B357" s="859"/>
      <c r="C357" s="855"/>
      <c r="D357" s="855"/>
      <c r="E357" s="869"/>
      <c r="F357" s="871"/>
      <c r="G357" s="858"/>
      <c r="H357" s="859"/>
      <c r="I357" s="853"/>
      <c r="J357" s="860"/>
    </row>
    <row r="358" ht="20.1" customHeight="1" spans="1:10">
      <c r="A358" s="864"/>
      <c r="B358" s="859"/>
      <c r="C358" s="855" t="s">
        <v>859</v>
      </c>
      <c r="D358" s="855"/>
      <c r="E358" s="856">
        <f>SUM(E3:E295)</f>
        <v>291854140.49</v>
      </c>
      <c r="F358" s="872"/>
      <c r="G358" s="858"/>
      <c r="H358" s="859"/>
      <c r="I358" s="853"/>
      <c r="J358" s="860"/>
    </row>
    <row r="359" ht="20.1" customHeight="1" spans="1:10">
      <c r="A359" s="700"/>
      <c r="B359" s="702"/>
      <c r="C359" s="873"/>
      <c r="D359" s="873"/>
      <c r="E359" s="874"/>
      <c r="F359" s="875"/>
      <c r="G359" s="875"/>
      <c r="H359" s="876"/>
      <c r="I359" s="876"/>
      <c r="J359" s="877" t="s">
        <v>1606</v>
      </c>
    </row>
  </sheetData>
  <sheetProtection formatCells="0" insertHyperlinks="0" autoFilter="0"/>
  <sortState ref="A3:J262">
    <sortCondition ref="F134"/>
  </sortState>
  <mergeCells count="1">
    <mergeCell ref="A1:J1"/>
  </mergeCells>
  <pageMargins left="0.75" right="0.75" top="1" bottom="1" header="0.5" footer="0.5"/>
  <pageSetup paperSize="9" scale="8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397"/>
  <sheetViews>
    <sheetView view="pageBreakPreview" zoomScale="55" zoomScaleNormal="100" workbookViewId="0">
      <pane xSplit="4" ySplit="4" topLeftCell="E2361" activePane="bottomRight" state="frozen"/>
      <selection/>
      <selection pane="topRight"/>
      <selection pane="bottomLeft"/>
      <selection pane="bottomRight" activeCell="A2366" sqref="A2366"/>
    </sheetView>
  </sheetViews>
  <sheetFormatPr defaultColWidth="9" defaultRowHeight="13.7"/>
  <cols>
    <col min="1" max="1" width="4.76576576576577" style="102" customWidth="1"/>
    <col min="2" max="2" width="4.76576576576577" style="103" customWidth="1"/>
    <col min="3" max="3" width="15.6216216216216" style="103" customWidth="1"/>
    <col min="4" max="4" width="33.8738738738739" style="104" customWidth="1"/>
    <col min="5" max="5" width="21.4684684684685" style="105" customWidth="1"/>
    <col min="6" max="6" width="21.1261261261261" style="104" customWidth="1"/>
    <col min="7" max="7" width="14.7657657657658" style="103" customWidth="1"/>
    <col min="8" max="8" width="10.2702702702703" style="106" customWidth="1"/>
    <col min="9" max="9" width="17.2792792792793" style="107" customWidth="1"/>
    <col min="10" max="10" width="15.3783783783784" style="108" customWidth="1"/>
    <col min="11" max="11" width="13.3873873873874" style="108" customWidth="1"/>
    <col min="12" max="12" width="7.62162162162162" style="106" customWidth="1"/>
    <col min="13" max="13" width="13" style="109" customWidth="1"/>
    <col min="14" max="14" width="15.8828828828829" style="107" customWidth="1"/>
    <col min="15" max="15" width="15.7657657657658" style="107" customWidth="1"/>
    <col min="16" max="16" width="17.6216216216216" style="107" customWidth="1"/>
    <col min="17" max="17" width="17.7657657657658" style="107" customWidth="1"/>
    <col min="18" max="18" width="16.6216216216216" style="110" customWidth="1"/>
    <col min="19" max="19" width="18.6216216216216" style="107" customWidth="1"/>
    <col min="20" max="21" width="13.8828828828829" style="110" customWidth="1"/>
    <col min="22" max="22" width="15.3333333333333" style="107" customWidth="1"/>
    <col min="23" max="23" width="13.8828828828829" style="103" customWidth="1"/>
    <col min="24" max="24" width="16.8378378378378" style="111" customWidth="1"/>
    <col min="25" max="25" width="32.6396396396396" style="104" customWidth="1"/>
    <col min="26" max="255" width="9" style="103"/>
    <col min="256" max="257" width="4.76576576576577" style="103" customWidth="1"/>
    <col min="258" max="258" width="15.6216216216216" style="103" customWidth="1"/>
    <col min="259" max="259" width="35.8828828828829" style="103" customWidth="1"/>
    <col min="260" max="260" width="21.5045045045045" style="103" customWidth="1"/>
    <col min="261" max="261" width="25.5045045045045" style="103" customWidth="1"/>
    <col min="262" max="262" width="16.1261261261261" style="103" customWidth="1"/>
    <col min="263" max="263" width="14.3873873873874" style="103" customWidth="1"/>
    <col min="264" max="264" width="15.8828828828829" style="103" customWidth="1"/>
    <col min="265" max="265" width="13" style="103" customWidth="1"/>
    <col min="266" max="266" width="13.3873873873874" style="103" customWidth="1"/>
    <col min="267" max="267" width="11" style="103" customWidth="1"/>
    <col min="268" max="268" width="13" style="103" customWidth="1"/>
    <col min="269" max="269" width="15.8828828828829" style="103" customWidth="1"/>
    <col min="270" max="271" width="26.2702702702703" style="103" customWidth="1"/>
    <col min="272" max="272" width="21.6216216216216" style="103" customWidth="1"/>
    <col min="273" max="273" width="16.6216216216216" style="103" customWidth="1"/>
    <col min="274" max="274" width="33.2702702702703" style="103" customWidth="1"/>
    <col min="275" max="275" width="16" style="103" customWidth="1"/>
    <col min="276" max="276" width="18.1261261261261" style="103" customWidth="1"/>
    <col min="277" max="277" width="21.7657657657658" style="103" customWidth="1"/>
    <col min="278" max="278" width="17.2702702702703" style="103" customWidth="1"/>
    <col min="279" max="279" width="18.7657657657658" style="103" customWidth="1"/>
    <col min="280" max="280" width="17" style="103" customWidth="1"/>
    <col min="281" max="511" width="9" style="103"/>
    <col min="512" max="513" width="4.76576576576577" style="103" customWidth="1"/>
    <col min="514" max="514" width="15.6216216216216" style="103" customWidth="1"/>
    <col min="515" max="515" width="35.8828828828829" style="103" customWidth="1"/>
    <col min="516" max="516" width="21.5045045045045" style="103" customWidth="1"/>
    <col min="517" max="517" width="25.5045045045045" style="103" customWidth="1"/>
    <col min="518" max="518" width="16.1261261261261" style="103" customWidth="1"/>
    <col min="519" max="519" width="14.3873873873874" style="103" customWidth="1"/>
    <col min="520" max="520" width="15.8828828828829" style="103" customWidth="1"/>
    <col min="521" max="521" width="13" style="103" customWidth="1"/>
    <col min="522" max="522" width="13.3873873873874" style="103" customWidth="1"/>
    <col min="523" max="523" width="11" style="103" customWidth="1"/>
    <col min="524" max="524" width="13" style="103" customWidth="1"/>
    <col min="525" max="525" width="15.8828828828829" style="103" customWidth="1"/>
    <col min="526" max="527" width="26.2702702702703" style="103" customWidth="1"/>
    <col min="528" max="528" width="21.6216216216216" style="103" customWidth="1"/>
    <col min="529" max="529" width="16.6216216216216" style="103" customWidth="1"/>
    <col min="530" max="530" width="33.2702702702703" style="103" customWidth="1"/>
    <col min="531" max="531" width="16" style="103" customWidth="1"/>
    <col min="532" max="532" width="18.1261261261261" style="103" customWidth="1"/>
    <col min="533" max="533" width="21.7657657657658" style="103" customWidth="1"/>
    <col min="534" max="534" width="17.2702702702703" style="103" customWidth="1"/>
    <col min="535" max="535" width="18.7657657657658" style="103" customWidth="1"/>
    <col min="536" max="536" width="17" style="103" customWidth="1"/>
    <col min="537" max="767" width="9" style="103"/>
    <col min="768" max="769" width="4.76576576576577" style="103" customWidth="1"/>
    <col min="770" max="770" width="15.6216216216216" style="103" customWidth="1"/>
    <col min="771" max="771" width="35.8828828828829" style="103" customWidth="1"/>
    <col min="772" max="772" width="21.5045045045045" style="103" customWidth="1"/>
    <col min="773" max="773" width="25.5045045045045" style="103" customWidth="1"/>
    <col min="774" max="774" width="16.1261261261261" style="103" customWidth="1"/>
    <col min="775" max="775" width="14.3873873873874" style="103" customWidth="1"/>
    <col min="776" max="776" width="15.8828828828829" style="103" customWidth="1"/>
    <col min="777" max="777" width="13" style="103" customWidth="1"/>
    <col min="778" max="778" width="13.3873873873874" style="103" customWidth="1"/>
    <col min="779" max="779" width="11" style="103" customWidth="1"/>
    <col min="780" max="780" width="13" style="103" customWidth="1"/>
    <col min="781" max="781" width="15.8828828828829" style="103" customWidth="1"/>
    <col min="782" max="783" width="26.2702702702703" style="103" customWidth="1"/>
    <col min="784" max="784" width="21.6216216216216" style="103" customWidth="1"/>
    <col min="785" max="785" width="16.6216216216216" style="103" customWidth="1"/>
    <col min="786" max="786" width="33.2702702702703" style="103" customWidth="1"/>
    <col min="787" max="787" width="16" style="103" customWidth="1"/>
    <col min="788" max="788" width="18.1261261261261" style="103" customWidth="1"/>
    <col min="789" max="789" width="21.7657657657658" style="103" customWidth="1"/>
    <col min="790" max="790" width="17.2702702702703" style="103" customWidth="1"/>
    <col min="791" max="791" width="18.7657657657658" style="103" customWidth="1"/>
    <col min="792" max="792" width="17" style="103" customWidth="1"/>
    <col min="793" max="1023" width="9" style="103"/>
    <col min="1024" max="1025" width="4.76576576576577" style="103" customWidth="1"/>
    <col min="1026" max="1026" width="15.6216216216216" style="103" customWidth="1"/>
    <col min="1027" max="1027" width="35.8828828828829" style="103" customWidth="1"/>
    <col min="1028" max="1028" width="21.5045045045045" style="103" customWidth="1"/>
    <col min="1029" max="1029" width="25.5045045045045" style="103" customWidth="1"/>
    <col min="1030" max="1030" width="16.1261261261261" style="103" customWidth="1"/>
    <col min="1031" max="1031" width="14.3873873873874" style="103" customWidth="1"/>
    <col min="1032" max="1032" width="15.8828828828829" style="103" customWidth="1"/>
    <col min="1033" max="1033" width="13" style="103" customWidth="1"/>
    <col min="1034" max="1034" width="13.3873873873874" style="103" customWidth="1"/>
    <col min="1035" max="1035" width="11" style="103" customWidth="1"/>
    <col min="1036" max="1036" width="13" style="103" customWidth="1"/>
    <col min="1037" max="1037" width="15.8828828828829" style="103" customWidth="1"/>
    <col min="1038" max="1039" width="26.2702702702703" style="103" customWidth="1"/>
    <col min="1040" max="1040" width="21.6216216216216" style="103" customWidth="1"/>
    <col min="1041" max="1041" width="16.6216216216216" style="103" customWidth="1"/>
    <col min="1042" max="1042" width="33.2702702702703" style="103" customWidth="1"/>
    <col min="1043" max="1043" width="16" style="103" customWidth="1"/>
    <col min="1044" max="1044" width="18.1261261261261" style="103" customWidth="1"/>
    <col min="1045" max="1045" width="21.7657657657658" style="103" customWidth="1"/>
    <col min="1046" max="1046" width="17.2702702702703" style="103" customWidth="1"/>
    <col min="1047" max="1047" width="18.7657657657658" style="103" customWidth="1"/>
    <col min="1048" max="1048" width="17" style="103" customWidth="1"/>
    <col min="1049" max="1279" width="9" style="103"/>
    <col min="1280" max="1281" width="4.76576576576577" style="103" customWidth="1"/>
    <col min="1282" max="1282" width="15.6216216216216" style="103" customWidth="1"/>
    <col min="1283" max="1283" width="35.8828828828829" style="103" customWidth="1"/>
    <col min="1284" max="1284" width="21.5045045045045" style="103" customWidth="1"/>
    <col min="1285" max="1285" width="25.5045045045045" style="103" customWidth="1"/>
    <col min="1286" max="1286" width="16.1261261261261" style="103" customWidth="1"/>
    <col min="1287" max="1287" width="14.3873873873874" style="103" customWidth="1"/>
    <col min="1288" max="1288" width="15.8828828828829" style="103" customWidth="1"/>
    <col min="1289" max="1289" width="13" style="103" customWidth="1"/>
    <col min="1290" max="1290" width="13.3873873873874" style="103" customWidth="1"/>
    <col min="1291" max="1291" width="11" style="103" customWidth="1"/>
    <col min="1292" max="1292" width="13" style="103" customWidth="1"/>
    <col min="1293" max="1293" width="15.8828828828829" style="103" customWidth="1"/>
    <col min="1294" max="1295" width="26.2702702702703" style="103" customWidth="1"/>
    <col min="1296" max="1296" width="21.6216216216216" style="103" customWidth="1"/>
    <col min="1297" max="1297" width="16.6216216216216" style="103" customWidth="1"/>
    <col min="1298" max="1298" width="33.2702702702703" style="103" customWidth="1"/>
    <col min="1299" max="1299" width="16" style="103" customWidth="1"/>
    <col min="1300" max="1300" width="18.1261261261261" style="103" customWidth="1"/>
    <col min="1301" max="1301" width="21.7657657657658" style="103" customWidth="1"/>
    <col min="1302" max="1302" width="17.2702702702703" style="103" customWidth="1"/>
    <col min="1303" max="1303" width="18.7657657657658" style="103" customWidth="1"/>
    <col min="1304" max="1304" width="17" style="103" customWidth="1"/>
    <col min="1305" max="1535" width="9" style="103"/>
    <col min="1536" max="1537" width="4.76576576576577" style="103" customWidth="1"/>
    <col min="1538" max="1538" width="15.6216216216216" style="103" customWidth="1"/>
    <col min="1539" max="1539" width="35.8828828828829" style="103" customWidth="1"/>
    <col min="1540" max="1540" width="21.5045045045045" style="103" customWidth="1"/>
    <col min="1541" max="1541" width="25.5045045045045" style="103" customWidth="1"/>
    <col min="1542" max="1542" width="16.1261261261261" style="103" customWidth="1"/>
    <col min="1543" max="1543" width="14.3873873873874" style="103" customWidth="1"/>
    <col min="1544" max="1544" width="15.8828828828829" style="103" customWidth="1"/>
    <col min="1545" max="1545" width="13" style="103" customWidth="1"/>
    <col min="1546" max="1546" width="13.3873873873874" style="103" customWidth="1"/>
    <col min="1547" max="1547" width="11" style="103" customWidth="1"/>
    <col min="1548" max="1548" width="13" style="103" customWidth="1"/>
    <col min="1549" max="1549" width="15.8828828828829" style="103" customWidth="1"/>
    <col min="1550" max="1551" width="26.2702702702703" style="103" customWidth="1"/>
    <col min="1552" max="1552" width="21.6216216216216" style="103" customWidth="1"/>
    <col min="1553" max="1553" width="16.6216216216216" style="103" customWidth="1"/>
    <col min="1554" max="1554" width="33.2702702702703" style="103" customWidth="1"/>
    <col min="1555" max="1555" width="16" style="103" customWidth="1"/>
    <col min="1556" max="1556" width="18.1261261261261" style="103" customWidth="1"/>
    <col min="1557" max="1557" width="21.7657657657658" style="103" customWidth="1"/>
    <col min="1558" max="1558" width="17.2702702702703" style="103" customWidth="1"/>
    <col min="1559" max="1559" width="18.7657657657658" style="103" customWidth="1"/>
    <col min="1560" max="1560" width="17" style="103" customWidth="1"/>
    <col min="1561" max="1791" width="9" style="103"/>
    <col min="1792" max="1793" width="4.76576576576577" style="103" customWidth="1"/>
    <col min="1794" max="1794" width="15.6216216216216" style="103" customWidth="1"/>
    <col min="1795" max="1795" width="35.8828828828829" style="103" customWidth="1"/>
    <col min="1796" max="1796" width="21.5045045045045" style="103" customWidth="1"/>
    <col min="1797" max="1797" width="25.5045045045045" style="103" customWidth="1"/>
    <col min="1798" max="1798" width="16.1261261261261" style="103" customWidth="1"/>
    <col min="1799" max="1799" width="14.3873873873874" style="103" customWidth="1"/>
    <col min="1800" max="1800" width="15.8828828828829" style="103" customWidth="1"/>
    <col min="1801" max="1801" width="13" style="103" customWidth="1"/>
    <col min="1802" max="1802" width="13.3873873873874" style="103" customWidth="1"/>
    <col min="1803" max="1803" width="11" style="103" customWidth="1"/>
    <col min="1804" max="1804" width="13" style="103" customWidth="1"/>
    <col min="1805" max="1805" width="15.8828828828829" style="103" customWidth="1"/>
    <col min="1806" max="1807" width="26.2702702702703" style="103" customWidth="1"/>
    <col min="1808" max="1808" width="21.6216216216216" style="103" customWidth="1"/>
    <col min="1809" max="1809" width="16.6216216216216" style="103" customWidth="1"/>
    <col min="1810" max="1810" width="33.2702702702703" style="103" customWidth="1"/>
    <col min="1811" max="1811" width="16" style="103" customWidth="1"/>
    <col min="1812" max="1812" width="18.1261261261261" style="103" customWidth="1"/>
    <col min="1813" max="1813" width="21.7657657657658" style="103" customWidth="1"/>
    <col min="1814" max="1814" width="17.2702702702703" style="103" customWidth="1"/>
    <col min="1815" max="1815" width="18.7657657657658" style="103" customWidth="1"/>
    <col min="1816" max="1816" width="17" style="103" customWidth="1"/>
    <col min="1817" max="2047" width="9" style="103"/>
    <col min="2048" max="2049" width="4.76576576576577" style="103" customWidth="1"/>
    <col min="2050" max="2050" width="15.6216216216216" style="103" customWidth="1"/>
    <col min="2051" max="2051" width="35.8828828828829" style="103" customWidth="1"/>
    <col min="2052" max="2052" width="21.5045045045045" style="103" customWidth="1"/>
    <col min="2053" max="2053" width="25.5045045045045" style="103" customWidth="1"/>
    <col min="2054" max="2054" width="16.1261261261261" style="103" customWidth="1"/>
    <col min="2055" max="2055" width="14.3873873873874" style="103" customWidth="1"/>
    <col min="2056" max="2056" width="15.8828828828829" style="103" customWidth="1"/>
    <col min="2057" max="2057" width="13" style="103" customWidth="1"/>
    <col min="2058" max="2058" width="13.3873873873874" style="103" customWidth="1"/>
    <col min="2059" max="2059" width="11" style="103" customWidth="1"/>
    <col min="2060" max="2060" width="13" style="103" customWidth="1"/>
    <col min="2061" max="2061" width="15.8828828828829" style="103" customWidth="1"/>
    <col min="2062" max="2063" width="26.2702702702703" style="103" customWidth="1"/>
    <col min="2064" max="2064" width="21.6216216216216" style="103" customWidth="1"/>
    <col min="2065" max="2065" width="16.6216216216216" style="103" customWidth="1"/>
    <col min="2066" max="2066" width="33.2702702702703" style="103" customWidth="1"/>
    <col min="2067" max="2067" width="16" style="103" customWidth="1"/>
    <col min="2068" max="2068" width="18.1261261261261" style="103" customWidth="1"/>
    <col min="2069" max="2069" width="21.7657657657658" style="103" customWidth="1"/>
    <col min="2070" max="2070" width="17.2702702702703" style="103" customWidth="1"/>
    <col min="2071" max="2071" width="18.7657657657658" style="103" customWidth="1"/>
    <col min="2072" max="2072" width="17" style="103" customWidth="1"/>
    <col min="2073" max="2303" width="9" style="103"/>
    <col min="2304" max="2305" width="4.76576576576577" style="103" customWidth="1"/>
    <col min="2306" max="2306" width="15.6216216216216" style="103" customWidth="1"/>
    <col min="2307" max="2307" width="35.8828828828829" style="103" customWidth="1"/>
    <col min="2308" max="2308" width="21.5045045045045" style="103" customWidth="1"/>
    <col min="2309" max="2309" width="25.5045045045045" style="103" customWidth="1"/>
    <col min="2310" max="2310" width="16.1261261261261" style="103" customWidth="1"/>
    <col min="2311" max="2311" width="14.3873873873874" style="103" customWidth="1"/>
    <col min="2312" max="2312" width="15.8828828828829" style="103" customWidth="1"/>
    <col min="2313" max="2313" width="13" style="103" customWidth="1"/>
    <col min="2314" max="2314" width="13.3873873873874" style="103" customWidth="1"/>
    <col min="2315" max="2315" width="11" style="103" customWidth="1"/>
    <col min="2316" max="2316" width="13" style="103" customWidth="1"/>
    <col min="2317" max="2317" width="15.8828828828829" style="103" customWidth="1"/>
    <col min="2318" max="2319" width="26.2702702702703" style="103" customWidth="1"/>
    <col min="2320" max="2320" width="21.6216216216216" style="103" customWidth="1"/>
    <col min="2321" max="2321" width="16.6216216216216" style="103" customWidth="1"/>
    <col min="2322" max="2322" width="33.2702702702703" style="103" customWidth="1"/>
    <col min="2323" max="2323" width="16" style="103" customWidth="1"/>
    <col min="2324" max="2324" width="18.1261261261261" style="103" customWidth="1"/>
    <col min="2325" max="2325" width="21.7657657657658" style="103" customWidth="1"/>
    <col min="2326" max="2326" width="17.2702702702703" style="103" customWidth="1"/>
    <col min="2327" max="2327" width="18.7657657657658" style="103" customWidth="1"/>
    <col min="2328" max="2328" width="17" style="103" customWidth="1"/>
    <col min="2329" max="2559" width="9" style="103"/>
    <col min="2560" max="2561" width="4.76576576576577" style="103" customWidth="1"/>
    <col min="2562" max="2562" width="15.6216216216216" style="103" customWidth="1"/>
    <col min="2563" max="2563" width="35.8828828828829" style="103" customWidth="1"/>
    <col min="2564" max="2564" width="21.5045045045045" style="103" customWidth="1"/>
    <col min="2565" max="2565" width="25.5045045045045" style="103" customWidth="1"/>
    <col min="2566" max="2566" width="16.1261261261261" style="103" customWidth="1"/>
    <col min="2567" max="2567" width="14.3873873873874" style="103" customWidth="1"/>
    <col min="2568" max="2568" width="15.8828828828829" style="103" customWidth="1"/>
    <col min="2569" max="2569" width="13" style="103" customWidth="1"/>
    <col min="2570" max="2570" width="13.3873873873874" style="103" customWidth="1"/>
    <col min="2571" max="2571" width="11" style="103" customWidth="1"/>
    <col min="2572" max="2572" width="13" style="103" customWidth="1"/>
    <col min="2573" max="2573" width="15.8828828828829" style="103" customWidth="1"/>
    <col min="2574" max="2575" width="26.2702702702703" style="103" customWidth="1"/>
    <col min="2576" max="2576" width="21.6216216216216" style="103" customWidth="1"/>
    <col min="2577" max="2577" width="16.6216216216216" style="103" customWidth="1"/>
    <col min="2578" max="2578" width="33.2702702702703" style="103" customWidth="1"/>
    <col min="2579" max="2579" width="16" style="103" customWidth="1"/>
    <col min="2580" max="2580" width="18.1261261261261" style="103" customWidth="1"/>
    <col min="2581" max="2581" width="21.7657657657658" style="103" customWidth="1"/>
    <col min="2582" max="2582" width="17.2702702702703" style="103" customWidth="1"/>
    <col min="2583" max="2583" width="18.7657657657658" style="103" customWidth="1"/>
    <col min="2584" max="2584" width="17" style="103" customWidth="1"/>
    <col min="2585" max="2815" width="9" style="103"/>
    <col min="2816" max="2817" width="4.76576576576577" style="103" customWidth="1"/>
    <col min="2818" max="2818" width="15.6216216216216" style="103" customWidth="1"/>
    <col min="2819" max="2819" width="35.8828828828829" style="103" customWidth="1"/>
    <col min="2820" max="2820" width="21.5045045045045" style="103" customWidth="1"/>
    <col min="2821" max="2821" width="25.5045045045045" style="103" customWidth="1"/>
    <col min="2822" max="2822" width="16.1261261261261" style="103" customWidth="1"/>
    <col min="2823" max="2823" width="14.3873873873874" style="103" customWidth="1"/>
    <col min="2824" max="2824" width="15.8828828828829" style="103" customWidth="1"/>
    <col min="2825" max="2825" width="13" style="103" customWidth="1"/>
    <col min="2826" max="2826" width="13.3873873873874" style="103" customWidth="1"/>
    <col min="2827" max="2827" width="11" style="103" customWidth="1"/>
    <col min="2828" max="2828" width="13" style="103" customWidth="1"/>
    <col min="2829" max="2829" width="15.8828828828829" style="103" customWidth="1"/>
    <col min="2830" max="2831" width="26.2702702702703" style="103" customWidth="1"/>
    <col min="2832" max="2832" width="21.6216216216216" style="103" customWidth="1"/>
    <col min="2833" max="2833" width="16.6216216216216" style="103" customWidth="1"/>
    <col min="2834" max="2834" width="33.2702702702703" style="103" customWidth="1"/>
    <col min="2835" max="2835" width="16" style="103" customWidth="1"/>
    <col min="2836" max="2836" width="18.1261261261261" style="103" customWidth="1"/>
    <col min="2837" max="2837" width="21.7657657657658" style="103" customWidth="1"/>
    <col min="2838" max="2838" width="17.2702702702703" style="103" customWidth="1"/>
    <col min="2839" max="2839" width="18.7657657657658" style="103" customWidth="1"/>
    <col min="2840" max="2840" width="17" style="103" customWidth="1"/>
    <col min="2841" max="3071" width="9" style="103"/>
    <col min="3072" max="3073" width="4.76576576576577" style="103" customWidth="1"/>
    <col min="3074" max="3074" width="15.6216216216216" style="103" customWidth="1"/>
    <col min="3075" max="3075" width="35.8828828828829" style="103" customWidth="1"/>
    <col min="3076" max="3076" width="21.5045045045045" style="103" customWidth="1"/>
    <col min="3077" max="3077" width="25.5045045045045" style="103" customWidth="1"/>
    <col min="3078" max="3078" width="16.1261261261261" style="103" customWidth="1"/>
    <col min="3079" max="3079" width="14.3873873873874" style="103" customWidth="1"/>
    <col min="3080" max="3080" width="15.8828828828829" style="103" customWidth="1"/>
    <col min="3081" max="3081" width="13" style="103" customWidth="1"/>
    <col min="3082" max="3082" width="13.3873873873874" style="103" customWidth="1"/>
    <col min="3083" max="3083" width="11" style="103" customWidth="1"/>
    <col min="3084" max="3084" width="13" style="103" customWidth="1"/>
    <col min="3085" max="3085" width="15.8828828828829" style="103" customWidth="1"/>
    <col min="3086" max="3087" width="26.2702702702703" style="103" customWidth="1"/>
    <col min="3088" max="3088" width="21.6216216216216" style="103" customWidth="1"/>
    <col min="3089" max="3089" width="16.6216216216216" style="103" customWidth="1"/>
    <col min="3090" max="3090" width="33.2702702702703" style="103" customWidth="1"/>
    <col min="3091" max="3091" width="16" style="103" customWidth="1"/>
    <col min="3092" max="3092" width="18.1261261261261" style="103" customWidth="1"/>
    <col min="3093" max="3093" width="21.7657657657658" style="103" customWidth="1"/>
    <col min="3094" max="3094" width="17.2702702702703" style="103" customWidth="1"/>
    <col min="3095" max="3095" width="18.7657657657658" style="103" customWidth="1"/>
    <col min="3096" max="3096" width="17" style="103" customWidth="1"/>
    <col min="3097" max="3327" width="9" style="103"/>
    <col min="3328" max="3329" width="4.76576576576577" style="103" customWidth="1"/>
    <col min="3330" max="3330" width="15.6216216216216" style="103" customWidth="1"/>
    <col min="3331" max="3331" width="35.8828828828829" style="103" customWidth="1"/>
    <col min="3332" max="3332" width="21.5045045045045" style="103" customWidth="1"/>
    <col min="3333" max="3333" width="25.5045045045045" style="103" customWidth="1"/>
    <col min="3334" max="3334" width="16.1261261261261" style="103" customWidth="1"/>
    <col min="3335" max="3335" width="14.3873873873874" style="103" customWidth="1"/>
    <col min="3336" max="3336" width="15.8828828828829" style="103" customWidth="1"/>
    <col min="3337" max="3337" width="13" style="103" customWidth="1"/>
    <col min="3338" max="3338" width="13.3873873873874" style="103" customWidth="1"/>
    <col min="3339" max="3339" width="11" style="103" customWidth="1"/>
    <col min="3340" max="3340" width="13" style="103" customWidth="1"/>
    <col min="3341" max="3341" width="15.8828828828829" style="103" customWidth="1"/>
    <col min="3342" max="3343" width="26.2702702702703" style="103" customWidth="1"/>
    <col min="3344" max="3344" width="21.6216216216216" style="103" customWidth="1"/>
    <col min="3345" max="3345" width="16.6216216216216" style="103" customWidth="1"/>
    <col min="3346" max="3346" width="33.2702702702703" style="103" customWidth="1"/>
    <col min="3347" max="3347" width="16" style="103" customWidth="1"/>
    <col min="3348" max="3348" width="18.1261261261261" style="103" customWidth="1"/>
    <col min="3349" max="3349" width="21.7657657657658" style="103" customWidth="1"/>
    <col min="3350" max="3350" width="17.2702702702703" style="103" customWidth="1"/>
    <col min="3351" max="3351" width="18.7657657657658" style="103" customWidth="1"/>
    <col min="3352" max="3352" width="17" style="103" customWidth="1"/>
    <col min="3353" max="3583" width="9" style="103"/>
    <col min="3584" max="3585" width="4.76576576576577" style="103" customWidth="1"/>
    <col min="3586" max="3586" width="15.6216216216216" style="103" customWidth="1"/>
    <col min="3587" max="3587" width="35.8828828828829" style="103" customWidth="1"/>
    <col min="3588" max="3588" width="21.5045045045045" style="103" customWidth="1"/>
    <col min="3589" max="3589" width="25.5045045045045" style="103" customWidth="1"/>
    <col min="3590" max="3590" width="16.1261261261261" style="103" customWidth="1"/>
    <col min="3591" max="3591" width="14.3873873873874" style="103" customWidth="1"/>
    <col min="3592" max="3592" width="15.8828828828829" style="103" customWidth="1"/>
    <col min="3593" max="3593" width="13" style="103" customWidth="1"/>
    <col min="3594" max="3594" width="13.3873873873874" style="103" customWidth="1"/>
    <col min="3595" max="3595" width="11" style="103" customWidth="1"/>
    <col min="3596" max="3596" width="13" style="103" customWidth="1"/>
    <col min="3597" max="3597" width="15.8828828828829" style="103" customWidth="1"/>
    <col min="3598" max="3599" width="26.2702702702703" style="103" customWidth="1"/>
    <col min="3600" max="3600" width="21.6216216216216" style="103" customWidth="1"/>
    <col min="3601" max="3601" width="16.6216216216216" style="103" customWidth="1"/>
    <col min="3602" max="3602" width="33.2702702702703" style="103" customWidth="1"/>
    <col min="3603" max="3603" width="16" style="103" customWidth="1"/>
    <col min="3604" max="3604" width="18.1261261261261" style="103" customWidth="1"/>
    <col min="3605" max="3605" width="21.7657657657658" style="103" customWidth="1"/>
    <col min="3606" max="3606" width="17.2702702702703" style="103" customWidth="1"/>
    <col min="3607" max="3607" width="18.7657657657658" style="103" customWidth="1"/>
    <col min="3608" max="3608" width="17" style="103" customWidth="1"/>
    <col min="3609" max="3839" width="9" style="103"/>
    <col min="3840" max="3841" width="4.76576576576577" style="103" customWidth="1"/>
    <col min="3842" max="3842" width="15.6216216216216" style="103" customWidth="1"/>
    <col min="3843" max="3843" width="35.8828828828829" style="103" customWidth="1"/>
    <col min="3844" max="3844" width="21.5045045045045" style="103" customWidth="1"/>
    <col min="3845" max="3845" width="25.5045045045045" style="103" customWidth="1"/>
    <col min="3846" max="3846" width="16.1261261261261" style="103" customWidth="1"/>
    <col min="3847" max="3847" width="14.3873873873874" style="103" customWidth="1"/>
    <col min="3848" max="3848" width="15.8828828828829" style="103" customWidth="1"/>
    <col min="3849" max="3849" width="13" style="103" customWidth="1"/>
    <col min="3850" max="3850" width="13.3873873873874" style="103" customWidth="1"/>
    <col min="3851" max="3851" width="11" style="103" customWidth="1"/>
    <col min="3852" max="3852" width="13" style="103" customWidth="1"/>
    <col min="3853" max="3853" width="15.8828828828829" style="103" customWidth="1"/>
    <col min="3854" max="3855" width="26.2702702702703" style="103" customWidth="1"/>
    <col min="3856" max="3856" width="21.6216216216216" style="103" customWidth="1"/>
    <col min="3857" max="3857" width="16.6216216216216" style="103" customWidth="1"/>
    <col min="3858" max="3858" width="33.2702702702703" style="103" customWidth="1"/>
    <col min="3859" max="3859" width="16" style="103" customWidth="1"/>
    <col min="3860" max="3860" width="18.1261261261261" style="103" customWidth="1"/>
    <col min="3861" max="3861" width="21.7657657657658" style="103" customWidth="1"/>
    <col min="3862" max="3862" width="17.2702702702703" style="103" customWidth="1"/>
    <col min="3863" max="3863" width="18.7657657657658" style="103" customWidth="1"/>
    <col min="3864" max="3864" width="17" style="103" customWidth="1"/>
    <col min="3865" max="4095" width="9" style="103"/>
    <col min="4096" max="4097" width="4.76576576576577" style="103" customWidth="1"/>
    <col min="4098" max="4098" width="15.6216216216216" style="103" customWidth="1"/>
    <col min="4099" max="4099" width="35.8828828828829" style="103" customWidth="1"/>
    <col min="4100" max="4100" width="21.5045045045045" style="103" customWidth="1"/>
    <col min="4101" max="4101" width="25.5045045045045" style="103" customWidth="1"/>
    <col min="4102" max="4102" width="16.1261261261261" style="103" customWidth="1"/>
    <col min="4103" max="4103" width="14.3873873873874" style="103" customWidth="1"/>
    <col min="4104" max="4104" width="15.8828828828829" style="103" customWidth="1"/>
    <col min="4105" max="4105" width="13" style="103" customWidth="1"/>
    <col min="4106" max="4106" width="13.3873873873874" style="103" customWidth="1"/>
    <col min="4107" max="4107" width="11" style="103" customWidth="1"/>
    <col min="4108" max="4108" width="13" style="103" customWidth="1"/>
    <col min="4109" max="4109" width="15.8828828828829" style="103" customWidth="1"/>
    <col min="4110" max="4111" width="26.2702702702703" style="103" customWidth="1"/>
    <col min="4112" max="4112" width="21.6216216216216" style="103" customWidth="1"/>
    <col min="4113" max="4113" width="16.6216216216216" style="103" customWidth="1"/>
    <col min="4114" max="4114" width="33.2702702702703" style="103" customWidth="1"/>
    <col min="4115" max="4115" width="16" style="103" customWidth="1"/>
    <col min="4116" max="4116" width="18.1261261261261" style="103" customWidth="1"/>
    <col min="4117" max="4117" width="21.7657657657658" style="103" customWidth="1"/>
    <col min="4118" max="4118" width="17.2702702702703" style="103" customWidth="1"/>
    <col min="4119" max="4119" width="18.7657657657658" style="103" customWidth="1"/>
    <col min="4120" max="4120" width="17" style="103" customWidth="1"/>
    <col min="4121" max="4351" width="9" style="103"/>
    <col min="4352" max="4353" width="4.76576576576577" style="103" customWidth="1"/>
    <col min="4354" max="4354" width="15.6216216216216" style="103" customWidth="1"/>
    <col min="4355" max="4355" width="35.8828828828829" style="103" customWidth="1"/>
    <col min="4356" max="4356" width="21.5045045045045" style="103" customWidth="1"/>
    <col min="4357" max="4357" width="25.5045045045045" style="103" customWidth="1"/>
    <col min="4358" max="4358" width="16.1261261261261" style="103" customWidth="1"/>
    <col min="4359" max="4359" width="14.3873873873874" style="103" customWidth="1"/>
    <col min="4360" max="4360" width="15.8828828828829" style="103" customWidth="1"/>
    <col min="4361" max="4361" width="13" style="103" customWidth="1"/>
    <col min="4362" max="4362" width="13.3873873873874" style="103" customWidth="1"/>
    <col min="4363" max="4363" width="11" style="103" customWidth="1"/>
    <col min="4364" max="4364" width="13" style="103" customWidth="1"/>
    <col min="4365" max="4365" width="15.8828828828829" style="103" customWidth="1"/>
    <col min="4366" max="4367" width="26.2702702702703" style="103" customWidth="1"/>
    <col min="4368" max="4368" width="21.6216216216216" style="103" customWidth="1"/>
    <col min="4369" max="4369" width="16.6216216216216" style="103" customWidth="1"/>
    <col min="4370" max="4370" width="33.2702702702703" style="103" customWidth="1"/>
    <col min="4371" max="4371" width="16" style="103" customWidth="1"/>
    <col min="4372" max="4372" width="18.1261261261261" style="103" customWidth="1"/>
    <col min="4373" max="4373" width="21.7657657657658" style="103" customWidth="1"/>
    <col min="4374" max="4374" width="17.2702702702703" style="103" customWidth="1"/>
    <col min="4375" max="4375" width="18.7657657657658" style="103" customWidth="1"/>
    <col min="4376" max="4376" width="17" style="103" customWidth="1"/>
    <col min="4377" max="4607" width="9" style="103"/>
    <col min="4608" max="4609" width="4.76576576576577" style="103" customWidth="1"/>
    <col min="4610" max="4610" width="15.6216216216216" style="103" customWidth="1"/>
    <col min="4611" max="4611" width="35.8828828828829" style="103" customWidth="1"/>
    <col min="4612" max="4612" width="21.5045045045045" style="103" customWidth="1"/>
    <col min="4613" max="4613" width="25.5045045045045" style="103" customWidth="1"/>
    <col min="4614" max="4614" width="16.1261261261261" style="103" customWidth="1"/>
    <col min="4615" max="4615" width="14.3873873873874" style="103" customWidth="1"/>
    <col min="4616" max="4616" width="15.8828828828829" style="103" customWidth="1"/>
    <col min="4617" max="4617" width="13" style="103" customWidth="1"/>
    <col min="4618" max="4618" width="13.3873873873874" style="103" customWidth="1"/>
    <col min="4619" max="4619" width="11" style="103" customWidth="1"/>
    <col min="4620" max="4620" width="13" style="103" customWidth="1"/>
    <col min="4621" max="4621" width="15.8828828828829" style="103" customWidth="1"/>
    <col min="4622" max="4623" width="26.2702702702703" style="103" customWidth="1"/>
    <col min="4624" max="4624" width="21.6216216216216" style="103" customWidth="1"/>
    <col min="4625" max="4625" width="16.6216216216216" style="103" customWidth="1"/>
    <col min="4626" max="4626" width="33.2702702702703" style="103" customWidth="1"/>
    <col min="4627" max="4627" width="16" style="103" customWidth="1"/>
    <col min="4628" max="4628" width="18.1261261261261" style="103" customWidth="1"/>
    <col min="4629" max="4629" width="21.7657657657658" style="103" customWidth="1"/>
    <col min="4630" max="4630" width="17.2702702702703" style="103" customWidth="1"/>
    <col min="4631" max="4631" width="18.7657657657658" style="103" customWidth="1"/>
    <col min="4632" max="4632" width="17" style="103" customWidth="1"/>
    <col min="4633" max="4863" width="9" style="103"/>
    <col min="4864" max="4865" width="4.76576576576577" style="103" customWidth="1"/>
    <col min="4866" max="4866" width="15.6216216216216" style="103" customWidth="1"/>
    <col min="4867" max="4867" width="35.8828828828829" style="103" customWidth="1"/>
    <col min="4868" max="4868" width="21.5045045045045" style="103" customWidth="1"/>
    <col min="4869" max="4869" width="25.5045045045045" style="103" customWidth="1"/>
    <col min="4870" max="4870" width="16.1261261261261" style="103" customWidth="1"/>
    <col min="4871" max="4871" width="14.3873873873874" style="103" customWidth="1"/>
    <col min="4872" max="4872" width="15.8828828828829" style="103" customWidth="1"/>
    <col min="4873" max="4873" width="13" style="103" customWidth="1"/>
    <col min="4874" max="4874" width="13.3873873873874" style="103" customWidth="1"/>
    <col min="4875" max="4875" width="11" style="103" customWidth="1"/>
    <col min="4876" max="4876" width="13" style="103" customWidth="1"/>
    <col min="4877" max="4877" width="15.8828828828829" style="103" customWidth="1"/>
    <col min="4878" max="4879" width="26.2702702702703" style="103" customWidth="1"/>
    <col min="4880" max="4880" width="21.6216216216216" style="103" customWidth="1"/>
    <col min="4881" max="4881" width="16.6216216216216" style="103" customWidth="1"/>
    <col min="4882" max="4882" width="33.2702702702703" style="103" customWidth="1"/>
    <col min="4883" max="4883" width="16" style="103" customWidth="1"/>
    <col min="4884" max="4884" width="18.1261261261261" style="103" customWidth="1"/>
    <col min="4885" max="4885" width="21.7657657657658" style="103" customWidth="1"/>
    <col min="4886" max="4886" width="17.2702702702703" style="103" customWidth="1"/>
    <col min="4887" max="4887" width="18.7657657657658" style="103" customWidth="1"/>
    <col min="4888" max="4888" width="17" style="103" customWidth="1"/>
    <col min="4889" max="5119" width="9" style="103"/>
    <col min="5120" max="5121" width="4.76576576576577" style="103" customWidth="1"/>
    <col min="5122" max="5122" width="15.6216216216216" style="103" customWidth="1"/>
    <col min="5123" max="5123" width="35.8828828828829" style="103" customWidth="1"/>
    <col min="5124" max="5124" width="21.5045045045045" style="103" customWidth="1"/>
    <col min="5125" max="5125" width="25.5045045045045" style="103" customWidth="1"/>
    <col min="5126" max="5126" width="16.1261261261261" style="103" customWidth="1"/>
    <col min="5127" max="5127" width="14.3873873873874" style="103" customWidth="1"/>
    <col min="5128" max="5128" width="15.8828828828829" style="103" customWidth="1"/>
    <col min="5129" max="5129" width="13" style="103" customWidth="1"/>
    <col min="5130" max="5130" width="13.3873873873874" style="103" customWidth="1"/>
    <col min="5131" max="5131" width="11" style="103" customWidth="1"/>
    <col min="5132" max="5132" width="13" style="103" customWidth="1"/>
    <col min="5133" max="5133" width="15.8828828828829" style="103" customWidth="1"/>
    <col min="5134" max="5135" width="26.2702702702703" style="103" customWidth="1"/>
    <col min="5136" max="5136" width="21.6216216216216" style="103" customWidth="1"/>
    <col min="5137" max="5137" width="16.6216216216216" style="103" customWidth="1"/>
    <col min="5138" max="5138" width="33.2702702702703" style="103" customWidth="1"/>
    <col min="5139" max="5139" width="16" style="103" customWidth="1"/>
    <col min="5140" max="5140" width="18.1261261261261" style="103" customWidth="1"/>
    <col min="5141" max="5141" width="21.7657657657658" style="103" customWidth="1"/>
    <col min="5142" max="5142" width="17.2702702702703" style="103" customWidth="1"/>
    <col min="5143" max="5143" width="18.7657657657658" style="103" customWidth="1"/>
    <col min="5144" max="5144" width="17" style="103" customWidth="1"/>
    <col min="5145" max="5375" width="9" style="103"/>
    <col min="5376" max="5377" width="4.76576576576577" style="103" customWidth="1"/>
    <col min="5378" max="5378" width="15.6216216216216" style="103" customWidth="1"/>
    <col min="5379" max="5379" width="35.8828828828829" style="103" customWidth="1"/>
    <col min="5380" max="5380" width="21.5045045045045" style="103" customWidth="1"/>
    <col min="5381" max="5381" width="25.5045045045045" style="103" customWidth="1"/>
    <col min="5382" max="5382" width="16.1261261261261" style="103" customWidth="1"/>
    <col min="5383" max="5383" width="14.3873873873874" style="103" customWidth="1"/>
    <col min="5384" max="5384" width="15.8828828828829" style="103" customWidth="1"/>
    <col min="5385" max="5385" width="13" style="103" customWidth="1"/>
    <col min="5386" max="5386" width="13.3873873873874" style="103" customWidth="1"/>
    <col min="5387" max="5387" width="11" style="103" customWidth="1"/>
    <col min="5388" max="5388" width="13" style="103" customWidth="1"/>
    <col min="5389" max="5389" width="15.8828828828829" style="103" customWidth="1"/>
    <col min="5390" max="5391" width="26.2702702702703" style="103" customWidth="1"/>
    <col min="5392" max="5392" width="21.6216216216216" style="103" customWidth="1"/>
    <col min="5393" max="5393" width="16.6216216216216" style="103" customWidth="1"/>
    <col min="5394" max="5394" width="33.2702702702703" style="103" customWidth="1"/>
    <col min="5395" max="5395" width="16" style="103" customWidth="1"/>
    <col min="5396" max="5396" width="18.1261261261261" style="103" customWidth="1"/>
    <col min="5397" max="5397" width="21.7657657657658" style="103" customWidth="1"/>
    <col min="5398" max="5398" width="17.2702702702703" style="103" customWidth="1"/>
    <col min="5399" max="5399" width="18.7657657657658" style="103" customWidth="1"/>
    <col min="5400" max="5400" width="17" style="103" customWidth="1"/>
    <col min="5401" max="5631" width="9" style="103"/>
    <col min="5632" max="5633" width="4.76576576576577" style="103" customWidth="1"/>
    <col min="5634" max="5634" width="15.6216216216216" style="103" customWidth="1"/>
    <col min="5635" max="5635" width="35.8828828828829" style="103" customWidth="1"/>
    <col min="5636" max="5636" width="21.5045045045045" style="103" customWidth="1"/>
    <col min="5637" max="5637" width="25.5045045045045" style="103" customWidth="1"/>
    <col min="5638" max="5638" width="16.1261261261261" style="103" customWidth="1"/>
    <col min="5639" max="5639" width="14.3873873873874" style="103" customWidth="1"/>
    <col min="5640" max="5640" width="15.8828828828829" style="103" customWidth="1"/>
    <col min="5641" max="5641" width="13" style="103" customWidth="1"/>
    <col min="5642" max="5642" width="13.3873873873874" style="103" customWidth="1"/>
    <col min="5643" max="5643" width="11" style="103" customWidth="1"/>
    <col min="5644" max="5644" width="13" style="103" customWidth="1"/>
    <col min="5645" max="5645" width="15.8828828828829" style="103" customWidth="1"/>
    <col min="5646" max="5647" width="26.2702702702703" style="103" customWidth="1"/>
    <col min="5648" max="5648" width="21.6216216216216" style="103" customWidth="1"/>
    <col min="5649" max="5649" width="16.6216216216216" style="103" customWidth="1"/>
    <col min="5650" max="5650" width="33.2702702702703" style="103" customWidth="1"/>
    <col min="5651" max="5651" width="16" style="103" customWidth="1"/>
    <col min="5652" max="5652" width="18.1261261261261" style="103" customWidth="1"/>
    <col min="5653" max="5653" width="21.7657657657658" style="103" customWidth="1"/>
    <col min="5654" max="5654" width="17.2702702702703" style="103" customWidth="1"/>
    <col min="5655" max="5655" width="18.7657657657658" style="103" customWidth="1"/>
    <col min="5656" max="5656" width="17" style="103" customWidth="1"/>
    <col min="5657" max="5887" width="9" style="103"/>
    <col min="5888" max="5889" width="4.76576576576577" style="103" customWidth="1"/>
    <col min="5890" max="5890" width="15.6216216216216" style="103" customWidth="1"/>
    <col min="5891" max="5891" width="35.8828828828829" style="103" customWidth="1"/>
    <col min="5892" max="5892" width="21.5045045045045" style="103" customWidth="1"/>
    <col min="5893" max="5893" width="25.5045045045045" style="103" customWidth="1"/>
    <col min="5894" max="5894" width="16.1261261261261" style="103" customWidth="1"/>
    <col min="5895" max="5895" width="14.3873873873874" style="103" customWidth="1"/>
    <col min="5896" max="5896" width="15.8828828828829" style="103" customWidth="1"/>
    <col min="5897" max="5897" width="13" style="103" customWidth="1"/>
    <col min="5898" max="5898" width="13.3873873873874" style="103" customWidth="1"/>
    <col min="5899" max="5899" width="11" style="103" customWidth="1"/>
    <col min="5900" max="5900" width="13" style="103" customWidth="1"/>
    <col min="5901" max="5901" width="15.8828828828829" style="103" customWidth="1"/>
    <col min="5902" max="5903" width="26.2702702702703" style="103" customWidth="1"/>
    <col min="5904" max="5904" width="21.6216216216216" style="103" customWidth="1"/>
    <col min="5905" max="5905" width="16.6216216216216" style="103" customWidth="1"/>
    <col min="5906" max="5906" width="33.2702702702703" style="103" customWidth="1"/>
    <col min="5907" max="5907" width="16" style="103" customWidth="1"/>
    <col min="5908" max="5908" width="18.1261261261261" style="103" customWidth="1"/>
    <col min="5909" max="5909" width="21.7657657657658" style="103" customWidth="1"/>
    <col min="5910" max="5910" width="17.2702702702703" style="103" customWidth="1"/>
    <col min="5911" max="5911" width="18.7657657657658" style="103" customWidth="1"/>
    <col min="5912" max="5912" width="17" style="103" customWidth="1"/>
    <col min="5913" max="6143" width="9" style="103"/>
    <col min="6144" max="6145" width="4.76576576576577" style="103" customWidth="1"/>
    <col min="6146" max="6146" width="15.6216216216216" style="103" customWidth="1"/>
    <col min="6147" max="6147" width="35.8828828828829" style="103" customWidth="1"/>
    <col min="6148" max="6148" width="21.5045045045045" style="103" customWidth="1"/>
    <col min="6149" max="6149" width="25.5045045045045" style="103" customWidth="1"/>
    <col min="6150" max="6150" width="16.1261261261261" style="103" customWidth="1"/>
    <col min="6151" max="6151" width="14.3873873873874" style="103" customWidth="1"/>
    <col min="6152" max="6152" width="15.8828828828829" style="103" customWidth="1"/>
    <col min="6153" max="6153" width="13" style="103" customWidth="1"/>
    <col min="6154" max="6154" width="13.3873873873874" style="103" customWidth="1"/>
    <col min="6155" max="6155" width="11" style="103" customWidth="1"/>
    <col min="6156" max="6156" width="13" style="103" customWidth="1"/>
    <col min="6157" max="6157" width="15.8828828828829" style="103" customWidth="1"/>
    <col min="6158" max="6159" width="26.2702702702703" style="103" customWidth="1"/>
    <col min="6160" max="6160" width="21.6216216216216" style="103" customWidth="1"/>
    <col min="6161" max="6161" width="16.6216216216216" style="103" customWidth="1"/>
    <col min="6162" max="6162" width="33.2702702702703" style="103" customWidth="1"/>
    <col min="6163" max="6163" width="16" style="103" customWidth="1"/>
    <col min="6164" max="6164" width="18.1261261261261" style="103" customWidth="1"/>
    <col min="6165" max="6165" width="21.7657657657658" style="103" customWidth="1"/>
    <col min="6166" max="6166" width="17.2702702702703" style="103" customWidth="1"/>
    <col min="6167" max="6167" width="18.7657657657658" style="103" customWidth="1"/>
    <col min="6168" max="6168" width="17" style="103" customWidth="1"/>
    <col min="6169" max="6399" width="9" style="103"/>
    <col min="6400" max="6401" width="4.76576576576577" style="103" customWidth="1"/>
    <col min="6402" max="6402" width="15.6216216216216" style="103" customWidth="1"/>
    <col min="6403" max="6403" width="35.8828828828829" style="103" customWidth="1"/>
    <col min="6404" max="6404" width="21.5045045045045" style="103" customWidth="1"/>
    <col min="6405" max="6405" width="25.5045045045045" style="103" customWidth="1"/>
    <col min="6406" max="6406" width="16.1261261261261" style="103" customWidth="1"/>
    <col min="6407" max="6407" width="14.3873873873874" style="103" customWidth="1"/>
    <col min="6408" max="6408" width="15.8828828828829" style="103" customWidth="1"/>
    <col min="6409" max="6409" width="13" style="103" customWidth="1"/>
    <col min="6410" max="6410" width="13.3873873873874" style="103" customWidth="1"/>
    <col min="6411" max="6411" width="11" style="103" customWidth="1"/>
    <col min="6412" max="6412" width="13" style="103" customWidth="1"/>
    <col min="6413" max="6413" width="15.8828828828829" style="103" customWidth="1"/>
    <col min="6414" max="6415" width="26.2702702702703" style="103" customWidth="1"/>
    <col min="6416" max="6416" width="21.6216216216216" style="103" customWidth="1"/>
    <col min="6417" max="6417" width="16.6216216216216" style="103" customWidth="1"/>
    <col min="6418" max="6418" width="33.2702702702703" style="103" customWidth="1"/>
    <col min="6419" max="6419" width="16" style="103" customWidth="1"/>
    <col min="6420" max="6420" width="18.1261261261261" style="103" customWidth="1"/>
    <col min="6421" max="6421" width="21.7657657657658" style="103" customWidth="1"/>
    <col min="6422" max="6422" width="17.2702702702703" style="103" customWidth="1"/>
    <col min="6423" max="6423" width="18.7657657657658" style="103" customWidth="1"/>
    <col min="6424" max="6424" width="17" style="103" customWidth="1"/>
    <col min="6425" max="6655" width="9" style="103"/>
    <col min="6656" max="6657" width="4.76576576576577" style="103" customWidth="1"/>
    <col min="6658" max="6658" width="15.6216216216216" style="103" customWidth="1"/>
    <col min="6659" max="6659" width="35.8828828828829" style="103" customWidth="1"/>
    <col min="6660" max="6660" width="21.5045045045045" style="103" customWidth="1"/>
    <col min="6661" max="6661" width="25.5045045045045" style="103" customWidth="1"/>
    <col min="6662" max="6662" width="16.1261261261261" style="103" customWidth="1"/>
    <col min="6663" max="6663" width="14.3873873873874" style="103" customWidth="1"/>
    <col min="6664" max="6664" width="15.8828828828829" style="103" customWidth="1"/>
    <col min="6665" max="6665" width="13" style="103" customWidth="1"/>
    <col min="6666" max="6666" width="13.3873873873874" style="103" customWidth="1"/>
    <col min="6667" max="6667" width="11" style="103" customWidth="1"/>
    <col min="6668" max="6668" width="13" style="103" customWidth="1"/>
    <col min="6669" max="6669" width="15.8828828828829" style="103" customWidth="1"/>
    <col min="6670" max="6671" width="26.2702702702703" style="103" customWidth="1"/>
    <col min="6672" max="6672" width="21.6216216216216" style="103" customWidth="1"/>
    <col min="6673" max="6673" width="16.6216216216216" style="103" customWidth="1"/>
    <col min="6674" max="6674" width="33.2702702702703" style="103" customWidth="1"/>
    <col min="6675" max="6675" width="16" style="103" customWidth="1"/>
    <col min="6676" max="6676" width="18.1261261261261" style="103" customWidth="1"/>
    <col min="6677" max="6677" width="21.7657657657658" style="103" customWidth="1"/>
    <col min="6678" max="6678" width="17.2702702702703" style="103" customWidth="1"/>
    <col min="6679" max="6679" width="18.7657657657658" style="103" customWidth="1"/>
    <col min="6680" max="6680" width="17" style="103" customWidth="1"/>
    <col min="6681" max="6911" width="9" style="103"/>
    <col min="6912" max="6913" width="4.76576576576577" style="103" customWidth="1"/>
    <col min="6914" max="6914" width="15.6216216216216" style="103" customWidth="1"/>
    <col min="6915" max="6915" width="35.8828828828829" style="103" customWidth="1"/>
    <col min="6916" max="6916" width="21.5045045045045" style="103" customWidth="1"/>
    <col min="6917" max="6917" width="25.5045045045045" style="103" customWidth="1"/>
    <col min="6918" max="6918" width="16.1261261261261" style="103" customWidth="1"/>
    <col min="6919" max="6919" width="14.3873873873874" style="103" customWidth="1"/>
    <col min="6920" max="6920" width="15.8828828828829" style="103" customWidth="1"/>
    <col min="6921" max="6921" width="13" style="103" customWidth="1"/>
    <col min="6922" max="6922" width="13.3873873873874" style="103" customWidth="1"/>
    <col min="6923" max="6923" width="11" style="103" customWidth="1"/>
    <col min="6924" max="6924" width="13" style="103" customWidth="1"/>
    <col min="6925" max="6925" width="15.8828828828829" style="103" customWidth="1"/>
    <col min="6926" max="6927" width="26.2702702702703" style="103" customWidth="1"/>
    <col min="6928" max="6928" width="21.6216216216216" style="103" customWidth="1"/>
    <col min="6929" max="6929" width="16.6216216216216" style="103" customWidth="1"/>
    <col min="6930" max="6930" width="33.2702702702703" style="103" customWidth="1"/>
    <col min="6931" max="6931" width="16" style="103" customWidth="1"/>
    <col min="6932" max="6932" width="18.1261261261261" style="103" customWidth="1"/>
    <col min="6933" max="6933" width="21.7657657657658" style="103" customWidth="1"/>
    <col min="6934" max="6934" width="17.2702702702703" style="103" customWidth="1"/>
    <col min="6935" max="6935" width="18.7657657657658" style="103" customWidth="1"/>
    <col min="6936" max="6936" width="17" style="103" customWidth="1"/>
    <col min="6937" max="7167" width="9" style="103"/>
    <col min="7168" max="7169" width="4.76576576576577" style="103" customWidth="1"/>
    <col min="7170" max="7170" width="15.6216216216216" style="103" customWidth="1"/>
    <col min="7171" max="7171" width="35.8828828828829" style="103" customWidth="1"/>
    <col min="7172" max="7172" width="21.5045045045045" style="103" customWidth="1"/>
    <col min="7173" max="7173" width="25.5045045045045" style="103" customWidth="1"/>
    <col min="7174" max="7174" width="16.1261261261261" style="103" customWidth="1"/>
    <col min="7175" max="7175" width="14.3873873873874" style="103" customWidth="1"/>
    <col min="7176" max="7176" width="15.8828828828829" style="103" customWidth="1"/>
    <col min="7177" max="7177" width="13" style="103" customWidth="1"/>
    <col min="7178" max="7178" width="13.3873873873874" style="103" customWidth="1"/>
    <col min="7179" max="7179" width="11" style="103" customWidth="1"/>
    <col min="7180" max="7180" width="13" style="103" customWidth="1"/>
    <col min="7181" max="7181" width="15.8828828828829" style="103" customWidth="1"/>
    <col min="7182" max="7183" width="26.2702702702703" style="103" customWidth="1"/>
    <col min="7184" max="7184" width="21.6216216216216" style="103" customWidth="1"/>
    <col min="7185" max="7185" width="16.6216216216216" style="103" customWidth="1"/>
    <col min="7186" max="7186" width="33.2702702702703" style="103" customWidth="1"/>
    <col min="7187" max="7187" width="16" style="103" customWidth="1"/>
    <col min="7188" max="7188" width="18.1261261261261" style="103" customWidth="1"/>
    <col min="7189" max="7189" width="21.7657657657658" style="103" customWidth="1"/>
    <col min="7190" max="7190" width="17.2702702702703" style="103" customWidth="1"/>
    <col min="7191" max="7191" width="18.7657657657658" style="103" customWidth="1"/>
    <col min="7192" max="7192" width="17" style="103" customWidth="1"/>
    <col min="7193" max="7423" width="9" style="103"/>
    <col min="7424" max="7425" width="4.76576576576577" style="103" customWidth="1"/>
    <col min="7426" max="7426" width="15.6216216216216" style="103" customWidth="1"/>
    <col min="7427" max="7427" width="35.8828828828829" style="103" customWidth="1"/>
    <col min="7428" max="7428" width="21.5045045045045" style="103" customWidth="1"/>
    <col min="7429" max="7429" width="25.5045045045045" style="103" customWidth="1"/>
    <col min="7430" max="7430" width="16.1261261261261" style="103" customWidth="1"/>
    <col min="7431" max="7431" width="14.3873873873874" style="103" customWidth="1"/>
    <col min="7432" max="7432" width="15.8828828828829" style="103" customWidth="1"/>
    <col min="7433" max="7433" width="13" style="103" customWidth="1"/>
    <col min="7434" max="7434" width="13.3873873873874" style="103" customWidth="1"/>
    <col min="7435" max="7435" width="11" style="103" customWidth="1"/>
    <col min="7436" max="7436" width="13" style="103" customWidth="1"/>
    <col min="7437" max="7437" width="15.8828828828829" style="103" customWidth="1"/>
    <col min="7438" max="7439" width="26.2702702702703" style="103" customWidth="1"/>
    <col min="7440" max="7440" width="21.6216216216216" style="103" customWidth="1"/>
    <col min="7441" max="7441" width="16.6216216216216" style="103" customWidth="1"/>
    <col min="7442" max="7442" width="33.2702702702703" style="103" customWidth="1"/>
    <col min="7443" max="7443" width="16" style="103" customWidth="1"/>
    <col min="7444" max="7444" width="18.1261261261261" style="103" customWidth="1"/>
    <col min="7445" max="7445" width="21.7657657657658" style="103" customWidth="1"/>
    <col min="7446" max="7446" width="17.2702702702703" style="103" customWidth="1"/>
    <col min="7447" max="7447" width="18.7657657657658" style="103" customWidth="1"/>
    <col min="7448" max="7448" width="17" style="103" customWidth="1"/>
    <col min="7449" max="7679" width="9" style="103"/>
    <col min="7680" max="7681" width="4.76576576576577" style="103" customWidth="1"/>
    <col min="7682" max="7682" width="15.6216216216216" style="103" customWidth="1"/>
    <col min="7683" max="7683" width="35.8828828828829" style="103" customWidth="1"/>
    <col min="7684" max="7684" width="21.5045045045045" style="103" customWidth="1"/>
    <col min="7685" max="7685" width="25.5045045045045" style="103" customWidth="1"/>
    <col min="7686" max="7686" width="16.1261261261261" style="103" customWidth="1"/>
    <col min="7687" max="7687" width="14.3873873873874" style="103" customWidth="1"/>
    <col min="7688" max="7688" width="15.8828828828829" style="103" customWidth="1"/>
    <col min="7689" max="7689" width="13" style="103" customWidth="1"/>
    <col min="7690" max="7690" width="13.3873873873874" style="103" customWidth="1"/>
    <col min="7691" max="7691" width="11" style="103" customWidth="1"/>
    <col min="7692" max="7692" width="13" style="103" customWidth="1"/>
    <col min="7693" max="7693" width="15.8828828828829" style="103" customWidth="1"/>
    <col min="7694" max="7695" width="26.2702702702703" style="103" customWidth="1"/>
    <col min="7696" max="7696" width="21.6216216216216" style="103" customWidth="1"/>
    <col min="7697" max="7697" width="16.6216216216216" style="103" customWidth="1"/>
    <col min="7698" max="7698" width="33.2702702702703" style="103" customWidth="1"/>
    <col min="7699" max="7699" width="16" style="103" customWidth="1"/>
    <col min="7700" max="7700" width="18.1261261261261" style="103" customWidth="1"/>
    <col min="7701" max="7701" width="21.7657657657658" style="103" customWidth="1"/>
    <col min="7702" max="7702" width="17.2702702702703" style="103" customWidth="1"/>
    <col min="7703" max="7703" width="18.7657657657658" style="103" customWidth="1"/>
    <col min="7704" max="7704" width="17" style="103" customWidth="1"/>
    <col min="7705" max="7935" width="9" style="103"/>
    <col min="7936" max="7937" width="4.76576576576577" style="103" customWidth="1"/>
    <col min="7938" max="7938" width="15.6216216216216" style="103" customWidth="1"/>
    <col min="7939" max="7939" width="35.8828828828829" style="103" customWidth="1"/>
    <col min="7940" max="7940" width="21.5045045045045" style="103" customWidth="1"/>
    <col min="7941" max="7941" width="25.5045045045045" style="103" customWidth="1"/>
    <col min="7942" max="7942" width="16.1261261261261" style="103" customWidth="1"/>
    <col min="7943" max="7943" width="14.3873873873874" style="103" customWidth="1"/>
    <col min="7944" max="7944" width="15.8828828828829" style="103" customWidth="1"/>
    <col min="7945" max="7945" width="13" style="103" customWidth="1"/>
    <col min="7946" max="7946" width="13.3873873873874" style="103" customWidth="1"/>
    <col min="7947" max="7947" width="11" style="103" customWidth="1"/>
    <col min="7948" max="7948" width="13" style="103" customWidth="1"/>
    <col min="7949" max="7949" width="15.8828828828829" style="103" customWidth="1"/>
    <col min="7950" max="7951" width="26.2702702702703" style="103" customWidth="1"/>
    <col min="7952" max="7952" width="21.6216216216216" style="103" customWidth="1"/>
    <col min="7953" max="7953" width="16.6216216216216" style="103" customWidth="1"/>
    <col min="7954" max="7954" width="33.2702702702703" style="103" customWidth="1"/>
    <col min="7955" max="7955" width="16" style="103" customWidth="1"/>
    <col min="7956" max="7956" width="18.1261261261261" style="103" customWidth="1"/>
    <col min="7957" max="7957" width="21.7657657657658" style="103" customWidth="1"/>
    <col min="7958" max="7958" width="17.2702702702703" style="103" customWidth="1"/>
    <col min="7959" max="7959" width="18.7657657657658" style="103" customWidth="1"/>
    <col min="7960" max="7960" width="17" style="103" customWidth="1"/>
    <col min="7961" max="8191" width="9" style="103"/>
    <col min="8192" max="8193" width="4.76576576576577" style="103" customWidth="1"/>
    <col min="8194" max="8194" width="15.6216216216216" style="103" customWidth="1"/>
    <col min="8195" max="8195" width="35.8828828828829" style="103" customWidth="1"/>
    <col min="8196" max="8196" width="21.5045045045045" style="103" customWidth="1"/>
    <col min="8197" max="8197" width="25.5045045045045" style="103" customWidth="1"/>
    <col min="8198" max="8198" width="16.1261261261261" style="103" customWidth="1"/>
    <col min="8199" max="8199" width="14.3873873873874" style="103" customWidth="1"/>
    <col min="8200" max="8200" width="15.8828828828829" style="103" customWidth="1"/>
    <col min="8201" max="8201" width="13" style="103" customWidth="1"/>
    <col min="8202" max="8202" width="13.3873873873874" style="103" customWidth="1"/>
    <col min="8203" max="8203" width="11" style="103" customWidth="1"/>
    <col min="8204" max="8204" width="13" style="103" customWidth="1"/>
    <col min="8205" max="8205" width="15.8828828828829" style="103" customWidth="1"/>
    <col min="8206" max="8207" width="26.2702702702703" style="103" customWidth="1"/>
    <col min="8208" max="8208" width="21.6216216216216" style="103" customWidth="1"/>
    <col min="8209" max="8209" width="16.6216216216216" style="103" customWidth="1"/>
    <col min="8210" max="8210" width="33.2702702702703" style="103" customWidth="1"/>
    <col min="8211" max="8211" width="16" style="103" customWidth="1"/>
    <col min="8212" max="8212" width="18.1261261261261" style="103" customWidth="1"/>
    <col min="8213" max="8213" width="21.7657657657658" style="103" customWidth="1"/>
    <col min="8214" max="8214" width="17.2702702702703" style="103" customWidth="1"/>
    <col min="8215" max="8215" width="18.7657657657658" style="103" customWidth="1"/>
    <col min="8216" max="8216" width="17" style="103" customWidth="1"/>
    <col min="8217" max="8447" width="9" style="103"/>
    <col min="8448" max="8449" width="4.76576576576577" style="103" customWidth="1"/>
    <col min="8450" max="8450" width="15.6216216216216" style="103" customWidth="1"/>
    <col min="8451" max="8451" width="35.8828828828829" style="103" customWidth="1"/>
    <col min="8452" max="8452" width="21.5045045045045" style="103" customWidth="1"/>
    <col min="8453" max="8453" width="25.5045045045045" style="103" customWidth="1"/>
    <col min="8454" max="8454" width="16.1261261261261" style="103" customWidth="1"/>
    <col min="8455" max="8455" width="14.3873873873874" style="103" customWidth="1"/>
    <col min="8456" max="8456" width="15.8828828828829" style="103" customWidth="1"/>
    <col min="8457" max="8457" width="13" style="103" customWidth="1"/>
    <col min="8458" max="8458" width="13.3873873873874" style="103" customWidth="1"/>
    <col min="8459" max="8459" width="11" style="103" customWidth="1"/>
    <col min="8460" max="8460" width="13" style="103" customWidth="1"/>
    <col min="8461" max="8461" width="15.8828828828829" style="103" customWidth="1"/>
    <col min="8462" max="8463" width="26.2702702702703" style="103" customWidth="1"/>
    <col min="8464" max="8464" width="21.6216216216216" style="103" customWidth="1"/>
    <col min="8465" max="8465" width="16.6216216216216" style="103" customWidth="1"/>
    <col min="8466" max="8466" width="33.2702702702703" style="103" customWidth="1"/>
    <col min="8467" max="8467" width="16" style="103" customWidth="1"/>
    <col min="8468" max="8468" width="18.1261261261261" style="103" customWidth="1"/>
    <col min="8469" max="8469" width="21.7657657657658" style="103" customWidth="1"/>
    <col min="8470" max="8470" width="17.2702702702703" style="103" customWidth="1"/>
    <col min="8471" max="8471" width="18.7657657657658" style="103" customWidth="1"/>
    <col min="8472" max="8472" width="17" style="103" customWidth="1"/>
    <col min="8473" max="8703" width="9" style="103"/>
    <col min="8704" max="8705" width="4.76576576576577" style="103" customWidth="1"/>
    <col min="8706" max="8706" width="15.6216216216216" style="103" customWidth="1"/>
    <col min="8707" max="8707" width="35.8828828828829" style="103" customWidth="1"/>
    <col min="8708" max="8708" width="21.5045045045045" style="103" customWidth="1"/>
    <col min="8709" max="8709" width="25.5045045045045" style="103" customWidth="1"/>
    <col min="8710" max="8710" width="16.1261261261261" style="103" customWidth="1"/>
    <col min="8711" max="8711" width="14.3873873873874" style="103" customWidth="1"/>
    <col min="8712" max="8712" width="15.8828828828829" style="103" customWidth="1"/>
    <col min="8713" max="8713" width="13" style="103" customWidth="1"/>
    <col min="8714" max="8714" width="13.3873873873874" style="103" customWidth="1"/>
    <col min="8715" max="8715" width="11" style="103" customWidth="1"/>
    <col min="8716" max="8716" width="13" style="103" customWidth="1"/>
    <col min="8717" max="8717" width="15.8828828828829" style="103" customWidth="1"/>
    <col min="8718" max="8719" width="26.2702702702703" style="103" customWidth="1"/>
    <col min="8720" max="8720" width="21.6216216216216" style="103" customWidth="1"/>
    <col min="8721" max="8721" width="16.6216216216216" style="103" customWidth="1"/>
    <col min="8722" max="8722" width="33.2702702702703" style="103" customWidth="1"/>
    <col min="8723" max="8723" width="16" style="103" customWidth="1"/>
    <col min="8724" max="8724" width="18.1261261261261" style="103" customWidth="1"/>
    <col min="8725" max="8725" width="21.7657657657658" style="103" customWidth="1"/>
    <col min="8726" max="8726" width="17.2702702702703" style="103" customWidth="1"/>
    <col min="8727" max="8727" width="18.7657657657658" style="103" customWidth="1"/>
    <col min="8728" max="8728" width="17" style="103" customWidth="1"/>
    <col min="8729" max="8959" width="9" style="103"/>
    <col min="8960" max="8961" width="4.76576576576577" style="103" customWidth="1"/>
    <col min="8962" max="8962" width="15.6216216216216" style="103" customWidth="1"/>
    <col min="8963" max="8963" width="35.8828828828829" style="103" customWidth="1"/>
    <col min="8964" max="8964" width="21.5045045045045" style="103" customWidth="1"/>
    <col min="8965" max="8965" width="25.5045045045045" style="103" customWidth="1"/>
    <col min="8966" max="8966" width="16.1261261261261" style="103" customWidth="1"/>
    <col min="8967" max="8967" width="14.3873873873874" style="103" customWidth="1"/>
    <col min="8968" max="8968" width="15.8828828828829" style="103" customWidth="1"/>
    <col min="8969" max="8969" width="13" style="103" customWidth="1"/>
    <col min="8970" max="8970" width="13.3873873873874" style="103" customWidth="1"/>
    <col min="8971" max="8971" width="11" style="103" customWidth="1"/>
    <col min="8972" max="8972" width="13" style="103" customWidth="1"/>
    <col min="8973" max="8973" width="15.8828828828829" style="103" customWidth="1"/>
    <col min="8974" max="8975" width="26.2702702702703" style="103" customWidth="1"/>
    <col min="8976" max="8976" width="21.6216216216216" style="103" customWidth="1"/>
    <col min="8977" max="8977" width="16.6216216216216" style="103" customWidth="1"/>
    <col min="8978" max="8978" width="33.2702702702703" style="103" customWidth="1"/>
    <col min="8979" max="8979" width="16" style="103" customWidth="1"/>
    <col min="8980" max="8980" width="18.1261261261261" style="103" customWidth="1"/>
    <col min="8981" max="8981" width="21.7657657657658" style="103" customWidth="1"/>
    <col min="8982" max="8982" width="17.2702702702703" style="103" customWidth="1"/>
    <col min="8983" max="8983" width="18.7657657657658" style="103" customWidth="1"/>
    <col min="8984" max="8984" width="17" style="103" customWidth="1"/>
    <col min="8985" max="9215" width="9" style="103"/>
    <col min="9216" max="9217" width="4.76576576576577" style="103" customWidth="1"/>
    <col min="9218" max="9218" width="15.6216216216216" style="103" customWidth="1"/>
    <col min="9219" max="9219" width="35.8828828828829" style="103" customWidth="1"/>
    <col min="9220" max="9220" width="21.5045045045045" style="103" customWidth="1"/>
    <col min="9221" max="9221" width="25.5045045045045" style="103" customWidth="1"/>
    <col min="9222" max="9222" width="16.1261261261261" style="103" customWidth="1"/>
    <col min="9223" max="9223" width="14.3873873873874" style="103" customWidth="1"/>
    <col min="9224" max="9224" width="15.8828828828829" style="103" customWidth="1"/>
    <col min="9225" max="9225" width="13" style="103" customWidth="1"/>
    <col min="9226" max="9226" width="13.3873873873874" style="103" customWidth="1"/>
    <col min="9227" max="9227" width="11" style="103" customWidth="1"/>
    <col min="9228" max="9228" width="13" style="103" customWidth="1"/>
    <col min="9229" max="9229" width="15.8828828828829" style="103" customWidth="1"/>
    <col min="9230" max="9231" width="26.2702702702703" style="103" customWidth="1"/>
    <col min="9232" max="9232" width="21.6216216216216" style="103" customWidth="1"/>
    <col min="9233" max="9233" width="16.6216216216216" style="103" customWidth="1"/>
    <col min="9234" max="9234" width="33.2702702702703" style="103" customWidth="1"/>
    <col min="9235" max="9235" width="16" style="103" customWidth="1"/>
    <col min="9236" max="9236" width="18.1261261261261" style="103" customWidth="1"/>
    <col min="9237" max="9237" width="21.7657657657658" style="103" customWidth="1"/>
    <col min="9238" max="9238" width="17.2702702702703" style="103" customWidth="1"/>
    <col min="9239" max="9239" width="18.7657657657658" style="103" customWidth="1"/>
    <col min="9240" max="9240" width="17" style="103" customWidth="1"/>
    <col min="9241" max="9471" width="9" style="103"/>
    <col min="9472" max="9473" width="4.76576576576577" style="103" customWidth="1"/>
    <col min="9474" max="9474" width="15.6216216216216" style="103" customWidth="1"/>
    <col min="9475" max="9475" width="35.8828828828829" style="103" customWidth="1"/>
    <col min="9476" max="9476" width="21.5045045045045" style="103" customWidth="1"/>
    <col min="9477" max="9477" width="25.5045045045045" style="103" customWidth="1"/>
    <col min="9478" max="9478" width="16.1261261261261" style="103" customWidth="1"/>
    <col min="9479" max="9479" width="14.3873873873874" style="103" customWidth="1"/>
    <col min="9480" max="9480" width="15.8828828828829" style="103" customWidth="1"/>
    <col min="9481" max="9481" width="13" style="103" customWidth="1"/>
    <col min="9482" max="9482" width="13.3873873873874" style="103" customWidth="1"/>
    <col min="9483" max="9483" width="11" style="103" customWidth="1"/>
    <col min="9484" max="9484" width="13" style="103" customWidth="1"/>
    <col min="9485" max="9485" width="15.8828828828829" style="103" customWidth="1"/>
    <col min="9486" max="9487" width="26.2702702702703" style="103" customWidth="1"/>
    <col min="9488" max="9488" width="21.6216216216216" style="103" customWidth="1"/>
    <col min="9489" max="9489" width="16.6216216216216" style="103" customWidth="1"/>
    <col min="9490" max="9490" width="33.2702702702703" style="103" customWidth="1"/>
    <col min="9491" max="9491" width="16" style="103" customWidth="1"/>
    <col min="9492" max="9492" width="18.1261261261261" style="103" customWidth="1"/>
    <col min="9493" max="9493" width="21.7657657657658" style="103" customWidth="1"/>
    <col min="9494" max="9494" width="17.2702702702703" style="103" customWidth="1"/>
    <col min="9495" max="9495" width="18.7657657657658" style="103" customWidth="1"/>
    <col min="9496" max="9496" width="17" style="103" customWidth="1"/>
    <col min="9497" max="9727" width="9" style="103"/>
    <col min="9728" max="9729" width="4.76576576576577" style="103" customWidth="1"/>
    <col min="9730" max="9730" width="15.6216216216216" style="103" customWidth="1"/>
    <col min="9731" max="9731" width="35.8828828828829" style="103" customWidth="1"/>
    <col min="9732" max="9732" width="21.5045045045045" style="103" customWidth="1"/>
    <col min="9733" max="9733" width="25.5045045045045" style="103" customWidth="1"/>
    <col min="9734" max="9734" width="16.1261261261261" style="103" customWidth="1"/>
    <col min="9735" max="9735" width="14.3873873873874" style="103" customWidth="1"/>
    <col min="9736" max="9736" width="15.8828828828829" style="103" customWidth="1"/>
    <col min="9737" max="9737" width="13" style="103" customWidth="1"/>
    <col min="9738" max="9738" width="13.3873873873874" style="103" customWidth="1"/>
    <col min="9739" max="9739" width="11" style="103" customWidth="1"/>
    <col min="9740" max="9740" width="13" style="103" customWidth="1"/>
    <col min="9741" max="9741" width="15.8828828828829" style="103" customWidth="1"/>
    <col min="9742" max="9743" width="26.2702702702703" style="103" customWidth="1"/>
    <col min="9744" max="9744" width="21.6216216216216" style="103" customWidth="1"/>
    <col min="9745" max="9745" width="16.6216216216216" style="103" customWidth="1"/>
    <col min="9746" max="9746" width="33.2702702702703" style="103" customWidth="1"/>
    <col min="9747" max="9747" width="16" style="103" customWidth="1"/>
    <col min="9748" max="9748" width="18.1261261261261" style="103" customWidth="1"/>
    <col min="9749" max="9749" width="21.7657657657658" style="103" customWidth="1"/>
    <col min="9750" max="9750" width="17.2702702702703" style="103" customWidth="1"/>
    <col min="9751" max="9751" width="18.7657657657658" style="103" customWidth="1"/>
    <col min="9752" max="9752" width="17" style="103" customWidth="1"/>
    <col min="9753" max="9983" width="9" style="103"/>
    <col min="9984" max="9985" width="4.76576576576577" style="103" customWidth="1"/>
    <col min="9986" max="9986" width="15.6216216216216" style="103" customWidth="1"/>
    <col min="9987" max="9987" width="35.8828828828829" style="103" customWidth="1"/>
    <col min="9988" max="9988" width="21.5045045045045" style="103" customWidth="1"/>
    <col min="9989" max="9989" width="25.5045045045045" style="103" customWidth="1"/>
    <col min="9990" max="9990" width="16.1261261261261" style="103" customWidth="1"/>
    <col min="9991" max="9991" width="14.3873873873874" style="103" customWidth="1"/>
    <col min="9992" max="9992" width="15.8828828828829" style="103" customWidth="1"/>
    <col min="9993" max="9993" width="13" style="103" customWidth="1"/>
    <col min="9994" max="9994" width="13.3873873873874" style="103" customWidth="1"/>
    <col min="9995" max="9995" width="11" style="103" customWidth="1"/>
    <col min="9996" max="9996" width="13" style="103" customWidth="1"/>
    <col min="9997" max="9997" width="15.8828828828829" style="103" customWidth="1"/>
    <col min="9998" max="9999" width="26.2702702702703" style="103" customWidth="1"/>
    <col min="10000" max="10000" width="21.6216216216216" style="103" customWidth="1"/>
    <col min="10001" max="10001" width="16.6216216216216" style="103" customWidth="1"/>
    <col min="10002" max="10002" width="33.2702702702703" style="103" customWidth="1"/>
    <col min="10003" max="10003" width="16" style="103" customWidth="1"/>
    <col min="10004" max="10004" width="18.1261261261261" style="103" customWidth="1"/>
    <col min="10005" max="10005" width="21.7657657657658" style="103" customWidth="1"/>
    <col min="10006" max="10006" width="17.2702702702703" style="103" customWidth="1"/>
    <col min="10007" max="10007" width="18.7657657657658" style="103" customWidth="1"/>
    <col min="10008" max="10008" width="17" style="103" customWidth="1"/>
    <col min="10009" max="10239" width="9" style="103"/>
    <col min="10240" max="10241" width="4.76576576576577" style="103" customWidth="1"/>
    <col min="10242" max="10242" width="15.6216216216216" style="103" customWidth="1"/>
    <col min="10243" max="10243" width="35.8828828828829" style="103" customWidth="1"/>
    <col min="10244" max="10244" width="21.5045045045045" style="103" customWidth="1"/>
    <col min="10245" max="10245" width="25.5045045045045" style="103" customWidth="1"/>
    <col min="10246" max="10246" width="16.1261261261261" style="103" customWidth="1"/>
    <col min="10247" max="10247" width="14.3873873873874" style="103" customWidth="1"/>
    <col min="10248" max="10248" width="15.8828828828829" style="103" customWidth="1"/>
    <col min="10249" max="10249" width="13" style="103" customWidth="1"/>
    <col min="10250" max="10250" width="13.3873873873874" style="103" customWidth="1"/>
    <col min="10251" max="10251" width="11" style="103" customWidth="1"/>
    <col min="10252" max="10252" width="13" style="103" customWidth="1"/>
    <col min="10253" max="10253" width="15.8828828828829" style="103" customWidth="1"/>
    <col min="10254" max="10255" width="26.2702702702703" style="103" customWidth="1"/>
    <col min="10256" max="10256" width="21.6216216216216" style="103" customWidth="1"/>
    <col min="10257" max="10257" width="16.6216216216216" style="103" customWidth="1"/>
    <col min="10258" max="10258" width="33.2702702702703" style="103" customWidth="1"/>
    <col min="10259" max="10259" width="16" style="103" customWidth="1"/>
    <col min="10260" max="10260" width="18.1261261261261" style="103" customWidth="1"/>
    <col min="10261" max="10261" width="21.7657657657658" style="103" customWidth="1"/>
    <col min="10262" max="10262" width="17.2702702702703" style="103" customWidth="1"/>
    <col min="10263" max="10263" width="18.7657657657658" style="103" customWidth="1"/>
    <col min="10264" max="10264" width="17" style="103" customWidth="1"/>
    <col min="10265" max="10495" width="9" style="103"/>
    <col min="10496" max="10497" width="4.76576576576577" style="103" customWidth="1"/>
    <col min="10498" max="10498" width="15.6216216216216" style="103" customWidth="1"/>
    <col min="10499" max="10499" width="35.8828828828829" style="103" customWidth="1"/>
    <col min="10500" max="10500" width="21.5045045045045" style="103" customWidth="1"/>
    <col min="10501" max="10501" width="25.5045045045045" style="103" customWidth="1"/>
    <col min="10502" max="10502" width="16.1261261261261" style="103" customWidth="1"/>
    <col min="10503" max="10503" width="14.3873873873874" style="103" customWidth="1"/>
    <col min="10504" max="10504" width="15.8828828828829" style="103" customWidth="1"/>
    <col min="10505" max="10505" width="13" style="103" customWidth="1"/>
    <col min="10506" max="10506" width="13.3873873873874" style="103" customWidth="1"/>
    <col min="10507" max="10507" width="11" style="103" customWidth="1"/>
    <col min="10508" max="10508" width="13" style="103" customWidth="1"/>
    <col min="10509" max="10509" width="15.8828828828829" style="103" customWidth="1"/>
    <col min="10510" max="10511" width="26.2702702702703" style="103" customWidth="1"/>
    <col min="10512" max="10512" width="21.6216216216216" style="103" customWidth="1"/>
    <col min="10513" max="10513" width="16.6216216216216" style="103" customWidth="1"/>
    <col min="10514" max="10514" width="33.2702702702703" style="103" customWidth="1"/>
    <col min="10515" max="10515" width="16" style="103" customWidth="1"/>
    <col min="10516" max="10516" width="18.1261261261261" style="103" customWidth="1"/>
    <col min="10517" max="10517" width="21.7657657657658" style="103" customWidth="1"/>
    <col min="10518" max="10518" width="17.2702702702703" style="103" customWidth="1"/>
    <col min="10519" max="10519" width="18.7657657657658" style="103" customWidth="1"/>
    <col min="10520" max="10520" width="17" style="103" customWidth="1"/>
    <col min="10521" max="10751" width="9" style="103"/>
    <col min="10752" max="10753" width="4.76576576576577" style="103" customWidth="1"/>
    <col min="10754" max="10754" width="15.6216216216216" style="103" customWidth="1"/>
    <col min="10755" max="10755" width="35.8828828828829" style="103" customWidth="1"/>
    <col min="10756" max="10756" width="21.5045045045045" style="103" customWidth="1"/>
    <col min="10757" max="10757" width="25.5045045045045" style="103" customWidth="1"/>
    <col min="10758" max="10758" width="16.1261261261261" style="103" customWidth="1"/>
    <col min="10759" max="10759" width="14.3873873873874" style="103" customWidth="1"/>
    <col min="10760" max="10760" width="15.8828828828829" style="103" customWidth="1"/>
    <col min="10761" max="10761" width="13" style="103" customWidth="1"/>
    <col min="10762" max="10762" width="13.3873873873874" style="103" customWidth="1"/>
    <col min="10763" max="10763" width="11" style="103" customWidth="1"/>
    <col min="10764" max="10764" width="13" style="103" customWidth="1"/>
    <col min="10765" max="10765" width="15.8828828828829" style="103" customWidth="1"/>
    <col min="10766" max="10767" width="26.2702702702703" style="103" customWidth="1"/>
    <col min="10768" max="10768" width="21.6216216216216" style="103" customWidth="1"/>
    <col min="10769" max="10769" width="16.6216216216216" style="103" customWidth="1"/>
    <col min="10770" max="10770" width="33.2702702702703" style="103" customWidth="1"/>
    <col min="10771" max="10771" width="16" style="103" customWidth="1"/>
    <col min="10772" max="10772" width="18.1261261261261" style="103" customWidth="1"/>
    <col min="10773" max="10773" width="21.7657657657658" style="103" customWidth="1"/>
    <col min="10774" max="10774" width="17.2702702702703" style="103" customWidth="1"/>
    <col min="10775" max="10775" width="18.7657657657658" style="103" customWidth="1"/>
    <col min="10776" max="10776" width="17" style="103" customWidth="1"/>
    <col min="10777" max="11007" width="9" style="103"/>
    <col min="11008" max="11009" width="4.76576576576577" style="103" customWidth="1"/>
    <col min="11010" max="11010" width="15.6216216216216" style="103" customWidth="1"/>
    <col min="11011" max="11011" width="35.8828828828829" style="103" customWidth="1"/>
    <col min="11012" max="11012" width="21.5045045045045" style="103" customWidth="1"/>
    <col min="11013" max="11013" width="25.5045045045045" style="103" customWidth="1"/>
    <col min="11014" max="11014" width="16.1261261261261" style="103" customWidth="1"/>
    <col min="11015" max="11015" width="14.3873873873874" style="103" customWidth="1"/>
    <col min="11016" max="11016" width="15.8828828828829" style="103" customWidth="1"/>
    <col min="11017" max="11017" width="13" style="103" customWidth="1"/>
    <col min="11018" max="11018" width="13.3873873873874" style="103" customWidth="1"/>
    <col min="11019" max="11019" width="11" style="103" customWidth="1"/>
    <col min="11020" max="11020" width="13" style="103" customWidth="1"/>
    <col min="11021" max="11021" width="15.8828828828829" style="103" customWidth="1"/>
    <col min="11022" max="11023" width="26.2702702702703" style="103" customWidth="1"/>
    <col min="11024" max="11024" width="21.6216216216216" style="103" customWidth="1"/>
    <col min="11025" max="11025" width="16.6216216216216" style="103" customWidth="1"/>
    <col min="11026" max="11026" width="33.2702702702703" style="103" customWidth="1"/>
    <col min="11027" max="11027" width="16" style="103" customWidth="1"/>
    <col min="11028" max="11028" width="18.1261261261261" style="103" customWidth="1"/>
    <col min="11029" max="11029" width="21.7657657657658" style="103" customWidth="1"/>
    <col min="11030" max="11030" width="17.2702702702703" style="103" customWidth="1"/>
    <col min="11031" max="11031" width="18.7657657657658" style="103" customWidth="1"/>
    <col min="11032" max="11032" width="17" style="103" customWidth="1"/>
    <col min="11033" max="11263" width="9" style="103"/>
    <col min="11264" max="11265" width="4.76576576576577" style="103" customWidth="1"/>
    <col min="11266" max="11266" width="15.6216216216216" style="103" customWidth="1"/>
    <col min="11267" max="11267" width="35.8828828828829" style="103" customWidth="1"/>
    <col min="11268" max="11268" width="21.5045045045045" style="103" customWidth="1"/>
    <col min="11269" max="11269" width="25.5045045045045" style="103" customWidth="1"/>
    <col min="11270" max="11270" width="16.1261261261261" style="103" customWidth="1"/>
    <col min="11271" max="11271" width="14.3873873873874" style="103" customWidth="1"/>
    <col min="11272" max="11272" width="15.8828828828829" style="103" customWidth="1"/>
    <col min="11273" max="11273" width="13" style="103" customWidth="1"/>
    <col min="11274" max="11274" width="13.3873873873874" style="103" customWidth="1"/>
    <col min="11275" max="11275" width="11" style="103" customWidth="1"/>
    <col min="11276" max="11276" width="13" style="103" customWidth="1"/>
    <col min="11277" max="11277" width="15.8828828828829" style="103" customWidth="1"/>
    <col min="11278" max="11279" width="26.2702702702703" style="103" customWidth="1"/>
    <col min="11280" max="11280" width="21.6216216216216" style="103" customWidth="1"/>
    <col min="11281" max="11281" width="16.6216216216216" style="103" customWidth="1"/>
    <col min="11282" max="11282" width="33.2702702702703" style="103" customWidth="1"/>
    <col min="11283" max="11283" width="16" style="103" customWidth="1"/>
    <col min="11284" max="11284" width="18.1261261261261" style="103" customWidth="1"/>
    <col min="11285" max="11285" width="21.7657657657658" style="103" customWidth="1"/>
    <col min="11286" max="11286" width="17.2702702702703" style="103" customWidth="1"/>
    <col min="11287" max="11287" width="18.7657657657658" style="103" customWidth="1"/>
    <col min="11288" max="11288" width="17" style="103" customWidth="1"/>
    <col min="11289" max="11519" width="9" style="103"/>
    <col min="11520" max="11521" width="4.76576576576577" style="103" customWidth="1"/>
    <col min="11522" max="11522" width="15.6216216216216" style="103" customWidth="1"/>
    <col min="11523" max="11523" width="35.8828828828829" style="103" customWidth="1"/>
    <col min="11524" max="11524" width="21.5045045045045" style="103" customWidth="1"/>
    <col min="11525" max="11525" width="25.5045045045045" style="103" customWidth="1"/>
    <col min="11526" max="11526" width="16.1261261261261" style="103" customWidth="1"/>
    <col min="11527" max="11527" width="14.3873873873874" style="103" customWidth="1"/>
    <col min="11528" max="11528" width="15.8828828828829" style="103" customWidth="1"/>
    <col min="11529" max="11529" width="13" style="103" customWidth="1"/>
    <col min="11530" max="11530" width="13.3873873873874" style="103" customWidth="1"/>
    <col min="11531" max="11531" width="11" style="103" customWidth="1"/>
    <col min="11532" max="11532" width="13" style="103" customWidth="1"/>
    <col min="11533" max="11533" width="15.8828828828829" style="103" customWidth="1"/>
    <col min="11534" max="11535" width="26.2702702702703" style="103" customWidth="1"/>
    <col min="11536" max="11536" width="21.6216216216216" style="103" customWidth="1"/>
    <col min="11537" max="11537" width="16.6216216216216" style="103" customWidth="1"/>
    <col min="11538" max="11538" width="33.2702702702703" style="103" customWidth="1"/>
    <col min="11539" max="11539" width="16" style="103" customWidth="1"/>
    <col min="11540" max="11540" width="18.1261261261261" style="103" customWidth="1"/>
    <col min="11541" max="11541" width="21.7657657657658" style="103" customWidth="1"/>
    <col min="11542" max="11542" width="17.2702702702703" style="103" customWidth="1"/>
    <col min="11543" max="11543" width="18.7657657657658" style="103" customWidth="1"/>
    <col min="11544" max="11544" width="17" style="103" customWidth="1"/>
    <col min="11545" max="11775" width="9" style="103"/>
    <col min="11776" max="11777" width="4.76576576576577" style="103" customWidth="1"/>
    <col min="11778" max="11778" width="15.6216216216216" style="103" customWidth="1"/>
    <col min="11779" max="11779" width="35.8828828828829" style="103" customWidth="1"/>
    <col min="11780" max="11780" width="21.5045045045045" style="103" customWidth="1"/>
    <col min="11781" max="11781" width="25.5045045045045" style="103" customWidth="1"/>
    <col min="11782" max="11782" width="16.1261261261261" style="103" customWidth="1"/>
    <col min="11783" max="11783" width="14.3873873873874" style="103" customWidth="1"/>
    <col min="11784" max="11784" width="15.8828828828829" style="103" customWidth="1"/>
    <col min="11785" max="11785" width="13" style="103" customWidth="1"/>
    <col min="11786" max="11786" width="13.3873873873874" style="103" customWidth="1"/>
    <col min="11787" max="11787" width="11" style="103" customWidth="1"/>
    <col min="11788" max="11788" width="13" style="103" customWidth="1"/>
    <col min="11789" max="11789" width="15.8828828828829" style="103" customWidth="1"/>
    <col min="11790" max="11791" width="26.2702702702703" style="103" customWidth="1"/>
    <col min="11792" max="11792" width="21.6216216216216" style="103" customWidth="1"/>
    <col min="11793" max="11793" width="16.6216216216216" style="103" customWidth="1"/>
    <col min="11794" max="11794" width="33.2702702702703" style="103" customWidth="1"/>
    <col min="11795" max="11795" width="16" style="103" customWidth="1"/>
    <col min="11796" max="11796" width="18.1261261261261" style="103" customWidth="1"/>
    <col min="11797" max="11797" width="21.7657657657658" style="103" customWidth="1"/>
    <col min="11798" max="11798" width="17.2702702702703" style="103" customWidth="1"/>
    <col min="11799" max="11799" width="18.7657657657658" style="103" customWidth="1"/>
    <col min="11800" max="11800" width="17" style="103" customWidth="1"/>
    <col min="11801" max="12031" width="9" style="103"/>
    <col min="12032" max="12033" width="4.76576576576577" style="103" customWidth="1"/>
    <col min="12034" max="12034" width="15.6216216216216" style="103" customWidth="1"/>
    <col min="12035" max="12035" width="35.8828828828829" style="103" customWidth="1"/>
    <col min="12036" max="12036" width="21.5045045045045" style="103" customWidth="1"/>
    <col min="12037" max="12037" width="25.5045045045045" style="103" customWidth="1"/>
    <col min="12038" max="12038" width="16.1261261261261" style="103" customWidth="1"/>
    <col min="12039" max="12039" width="14.3873873873874" style="103" customWidth="1"/>
    <col min="12040" max="12040" width="15.8828828828829" style="103" customWidth="1"/>
    <col min="12041" max="12041" width="13" style="103" customWidth="1"/>
    <col min="12042" max="12042" width="13.3873873873874" style="103" customWidth="1"/>
    <col min="12043" max="12043" width="11" style="103" customWidth="1"/>
    <col min="12044" max="12044" width="13" style="103" customWidth="1"/>
    <col min="12045" max="12045" width="15.8828828828829" style="103" customWidth="1"/>
    <col min="12046" max="12047" width="26.2702702702703" style="103" customWidth="1"/>
    <col min="12048" max="12048" width="21.6216216216216" style="103" customWidth="1"/>
    <col min="12049" max="12049" width="16.6216216216216" style="103" customWidth="1"/>
    <col min="12050" max="12050" width="33.2702702702703" style="103" customWidth="1"/>
    <col min="12051" max="12051" width="16" style="103" customWidth="1"/>
    <col min="12052" max="12052" width="18.1261261261261" style="103" customWidth="1"/>
    <col min="12053" max="12053" width="21.7657657657658" style="103" customWidth="1"/>
    <col min="12054" max="12054" width="17.2702702702703" style="103" customWidth="1"/>
    <col min="12055" max="12055" width="18.7657657657658" style="103" customWidth="1"/>
    <col min="12056" max="12056" width="17" style="103" customWidth="1"/>
    <col min="12057" max="12287" width="9" style="103"/>
    <col min="12288" max="12289" width="4.76576576576577" style="103" customWidth="1"/>
    <col min="12290" max="12290" width="15.6216216216216" style="103" customWidth="1"/>
    <col min="12291" max="12291" width="35.8828828828829" style="103" customWidth="1"/>
    <col min="12292" max="12292" width="21.5045045045045" style="103" customWidth="1"/>
    <col min="12293" max="12293" width="25.5045045045045" style="103" customWidth="1"/>
    <col min="12294" max="12294" width="16.1261261261261" style="103" customWidth="1"/>
    <col min="12295" max="12295" width="14.3873873873874" style="103" customWidth="1"/>
    <col min="12296" max="12296" width="15.8828828828829" style="103" customWidth="1"/>
    <col min="12297" max="12297" width="13" style="103" customWidth="1"/>
    <col min="12298" max="12298" width="13.3873873873874" style="103" customWidth="1"/>
    <col min="12299" max="12299" width="11" style="103" customWidth="1"/>
    <col min="12300" max="12300" width="13" style="103" customWidth="1"/>
    <col min="12301" max="12301" width="15.8828828828829" style="103" customWidth="1"/>
    <col min="12302" max="12303" width="26.2702702702703" style="103" customWidth="1"/>
    <col min="12304" max="12304" width="21.6216216216216" style="103" customWidth="1"/>
    <col min="12305" max="12305" width="16.6216216216216" style="103" customWidth="1"/>
    <col min="12306" max="12306" width="33.2702702702703" style="103" customWidth="1"/>
    <col min="12307" max="12307" width="16" style="103" customWidth="1"/>
    <col min="12308" max="12308" width="18.1261261261261" style="103" customWidth="1"/>
    <col min="12309" max="12309" width="21.7657657657658" style="103" customWidth="1"/>
    <col min="12310" max="12310" width="17.2702702702703" style="103" customWidth="1"/>
    <col min="12311" max="12311" width="18.7657657657658" style="103" customWidth="1"/>
    <col min="12312" max="12312" width="17" style="103" customWidth="1"/>
    <col min="12313" max="12543" width="9" style="103"/>
    <col min="12544" max="12545" width="4.76576576576577" style="103" customWidth="1"/>
    <col min="12546" max="12546" width="15.6216216216216" style="103" customWidth="1"/>
    <col min="12547" max="12547" width="35.8828828828829" style="103" customWidth="1"/>
    <col min="12548" max="12548" width="21.5045045045045" style="103" customWidth="1"/>
    <col min="12549" max="12549" width="25.5045045045045" style="103" customWidth="1"/>
    <col min="12550" max="12550" width="16.1261261261261" style="103" customWidth="1"/>
    <col min="12551" max="12551" width="14.3873873873874" style="103" customWidth="1"/>
    <col min="12552" max="12552" width="15.8828828828829" style="103" customWidth="1"/>
    <col min="12553" max="12553" width="13" style="103" customWidth="1"/>
    <col min="12554" max="12554" width="13.3873873873874" style="103" customWidth="1"/>
    <col min="12555" max="12555" width="11" style="103" customWidth="1"/>
    <col min="12556" max="12556" width="13" style="103" customWidth="1"/>
    <col min="12557" max="12557" width="15.8828828828829" style="103" customWidth="1"/>
    <col min="12558" max="12559" width="26.2702702702703" style="103" customWidth="1"/>
    <col min="12560" max="12560" width="21.6216216216216" style="103" customWidth="1"/>
    <col min="12561" max="12561" width="16.6216216216216" style="103" customWidth="1"/>
    <col min="12562" max="12562" width="33.2702702702703" style="103" customWidth="1"/>
    <col min="12563" max="12563" width="16" style="103" customWidth="1"/>
    <col min="12564" max="12564" width="18.1261261261261" style="103" customWidth="1"/>
    <col min="12565" max="12565" width="21.7657657657658" style="103" customWidth="1"/>
    <col min="12566" max="12566" width="17.2702702702703" style="103" customWidth="1"/>
    <col min="12567" max="12567" width="18.7657657657658" style="103" customWidth="1"/>
    <col min="12568" max="12568" width="17" style="103" customWidth="1"/>
    <col min="12569" max="12799" width="9" style="103"/>
    <col min="12800" max="12801" width="4.76576576576577" style="103" customWidth="1"/>
    <col min="12802" max="12802" width="15.6216216216216" style="103" customWidth="1"/>
    <col min="12803" max="12803" width="35.8828828828829" style="103" customWidth="1"/>
    <col min="12804" max="12804" width="21.5045045045045" style="103" customWidth="1"/>
    <col min="12805" max="12805" width="25.5045045045045" style="103" customWidth="1"/>
    <col min="12806" max="12806" width="16.1261261261261" style="103" customWidth="1"/>
    <col min="12807" max="12807" width="14.3873873873874" style="103" customWidth="1"/>
    <col min="12808" max="12808" width="15.8828828828829" style="103" customWidth="1"/>
    <col min="12809" max="12809" width="13" style="103" customWidth="1"/>
    <col min="12810" max="12810" width="13.3873873873874" style="103" customWidth="1"/>
    <col min="12811" max="12811" width="11" style="103" customWidth="1"/>
    <col min="12812" max="12812" width="13" style="103" customWidth="1"/>
    <col min="12813" max="12813" width="15.8828828828829" style="103" customWidth="1"/>
    <col min="12814" max="12815" width="26.2702702702703" style="103" customWidth="1"/>
    <col min="12816" max="12816" width="21.6216216216216" style="103" customWidth="1"/>
    <col min="12817" max="12817" width="16.6216216216216" style="103" customWidth="1"/>
    <col min="12818" max="12818" width="33.2702702702703" style="103" customWidth="1"/>
    <col min="12819" max="12819" width="16" style="103" customWidth="1"/>
    <col min="12820" max="12820" width="18.1261261261261" style="103" customWidth="1"/>
    <col min="12821" max="12821" width="21.7657657657658" style="103" customWidth="1"/>
    <col min="12822" max="12822" width="17.2702702702703" style="103" customWidth="1"/>
    <col min="12823" max="12823" width="18.7657657657658" style="103" customWidth="1"/>
    <col min="12824" max="12824" width="17" style="103" customWidth="1"/>
    <col min="12825" max="13055" width="9" style="103"/>
    <col min="13056" max="13057" width="4.76576576576577" style="103" customWidth="1"/>
    <col min="13058" max="13058" width="15.6216216216216" style="103" customWidth="1"/>
    <col min="13059" max="13059" width="35.8828828828829" style="103" customWidth="1"/>
    <col min="13060" max="13060" width="21.5045045045045" style="103" customWidth="1"/>
    <col min="13061" max="13061" width="25.5045045045045" style="103" customWidth="1"/>
    <col min="13062" max="13062" width="16.1261261261261" style="103" customWidth="1"/>
    <col min="13063" max="13063" width="14.3873873873874" style="103" customWidth="1"/>
    <col min="13064" max="13064" width="15.8828828828829" style="103" customWidth="1"/>
    <col min="13065" max="13065" width="13" style="103" customWidth="1"/>
    <col min="13066" max="13066" width="13.3873873873874" style="103" customWidth="1"/>
    <col min="13067" max="13067" width="11" style="103" customWidth="1"/>
    <col min="13068" max="13068" width="13" style="103" customWidth="1"/>
    <col min="13069" max="13069" width="15.8828828828829" style="103" customWidth="1"/>
    <col min="13070" max="13071" width="26.2702702702703" style="103" customWidth="1"/>
    <col min="13072" max="13072" width="21.6216216216216" style="103" customWidth="1"/>
    <col min="13073" max="13073" width="16.6216216216216" style="103" customWidth="1"/>
    <col min="13074" max="13074" width="33.2702702702703" style="103" customWidth="1"/>
    <col min="13075" max="13075" width="16" style="103" customWidth="1"/>
    <col min="13076" max="13076" width="18.1261261261261" style="103" customWidth="1"/>
    <col min="13077" max="13077" width="21.7657657657658" style="103" customWidth="1"/>
    <col min="13078" max="13078" width="17.2702702702703" style="103" customWidth="1"/>
    <col min="13079" max="13079" width="18.7657657657658" style="103" customWidth="1"/>
    <col min="13080" max="13080" width="17" style="103" customWidth="1"/>
    <col min="13081" max="13311" width="9" style="103"/>
    <col min="13312" max="13313" width="4.76576576576577" style="103" customWidth="1"/>
    <col min="13314" max="13314" width="15.6216216216216" style="103" customWidth="1"/>
    <col min="13315" max="13315" width="35.8828828828829" style="103" customWidth="1"/>
    <col min="13316" max="13316" width="21.5045045045045" style="103" customWidth="1"/>
    <col min="13317" max="13317" width="25.5045045045045" style="103" customWidth="1"/>
    <col min="13318" max="13318" width="16.1261261261261" style="103" customWidth="1"/>
    <col min="13319" max="13319" width="14.3873873873874" style="103" customWidth="1"/>
    <col min="13320" max="13320" width="15.8828828828829" style="103" customWidth="1"/>
    <col min="13321" max="13321" width="13" style="103" customWidth="1"/>
    <col min="13322" max="13322" width="13.3873873873874" style="103" customWidth="1"/>
    <col min="13323" max="13323" width="11" style="103" customWidth="1"/>
    <col min="13324" max="13324" width="13" style="103" customWidth="1"/>
    <col min="13325" max="13325" width="15.8828828828829" style="103" customWidth="1"/>
    <col min="13326" max="13327" width="26.2702702702703" style="103" customWidth="1"/>
    <col min="13328" max="13328" width="21.6216216216216" style="103" customWidth="1"/>
    <col min="13329" max="13329" width="16.6216216216216" style="103" customWidth="1"/>
    <col min="13330" max="13330" width="33.2702702702703" style="103" customWidth="1"/>
    <col min="13331" max="13331" width="16" style="103" customWidth="1"/>
    <col min="13332" max="13332" width="18.1261261261261" style="103" customWidth="1"/>
    <col min="13333" max="13333" width="21.7657657657658" style="103" customWidth="1"/>
    <col min="13334" max="13334" width="17.2702702702703" style="103" customWidth="1"/>
    <col min="13335" max="13335" width="18.7657657657658" style="103" customWidth="1"/>
    <col min="13336" max="13336" width="17" style="103" customWidth="1"/>
    <col min="13337" max="13567" width="9" style="103"/>
    <col min="13568" max="13569" width="4.76576576576577" style="103" customWidth="1"/>
    <col min="13570" max="13570" width="15.6216216216216" style="103" customWidth="1"/>
    <col min="13571" max="13571" width="35.8828828828829" style="103" customWidth="1"/>
    <col min="13572" max="13572" width="21.5045045045045" style="103" customWidth="1"/>
    <col min="13573" max="13573" width="25.5045045045045" style="103" customWidth="1"/>
    <col min="13574" max="13574" width="16.1261261261261" style="103" customWidth="1"/>
    <col min="13575" max="13575" width="14.3873873873874" style="103" customWidth="1"/>
    <col min="13576" max="13576" width="15.8828828828829" style="103" customWidth="1"/>
    <col min="13577" max="13577" width="13" style="103" customWidth="1"/>
    <col min="13578" max="13578" width="13.3873873873874" style="103" customWidth="1"/>
    <col min="13579" max="13579" width="11" style="103" customWidth="1"/>
    <col min="13580" max="13580" width="13" style="103" customWidth="1"/>
    <col min="13581" max="13581" width="15.8828828828829" style="103" customWidth="1"/>
    <col min="13582" max="13583" width="26.2702702702703" style="103" customWidth="1"/>
    <col min="13584" max="13584" width="21.6216216216216" style="103" customWidth="1"/>
    <col min="13585" max="13585" width="16.6216216216216" style="103" customWidth="1"/>
    <col min="13586" max="13586" width="33.2702702702703" style="103" customWidth="1"/>
    <col min="13587" max="13587" width="16" style="103" customWidth="1"/>
    <col min="13588" max="13588" width="18.1261261261261" style="103" customWidth="1"/>
    <col min="13589" max="13589" width="21.7657657657658" style="103" customWidth="1"/>
    <col min="13590" max="13590" width="17.2702702702703" style="103" customWidth="1"/>
    <col min="13591" max="13591" width="18.7657657657658" style="103" customWidth="1"/>
    <col min="13592" max="13592" width="17" style="103" customWidth="1"/>
    <col min="13593" max="13823" width="9" style="103"/>
    <col min="13824" max="13825" width="4.76576576576577" style="103" customWidth="1"/>
    <col min="13826" max="13826" width="15.6216216216216" style="103" customWidth="1"/>
    <col min="13827" max="13827" width="35.8828828828829" style="103" customWidth="1"/>
    <col min="13828" max="13828" width="21.5045045045045" style="103" customWidth="1"/>
    <col min="13829" max="13829" width="25.5045045045045" style="103" customWidth="1"/>
    <col min="13830" max="13830" width="16.1261261261261" style="103" customWidth="1"/>
    <col min="13831" max="13831" width="14.3873873873874" style="103" customWidth="1"/>
    <col min="13832" max="13832" width="15.8828828828829" style="103" customWidth="1"/>
    <col min="13833" max="13833" width="13" style="103" customWidth="1"/>
    <col min="13834" max="13834" width="13.3873873873874" style="103" customWidth="1"/>
    <col min="13835" max="13835" width="11" style="103" customWidth="1"/>
    <col min="13836" max="13836" width="13" style="103" customWidth="1"/>
    <col min="13837" max="13837" width="15.8828828828829" style="103" customWidth="1"/>
    <col min="13838" max="13839" width="26.2702702702703" style="103" customWidth="1"/>
    <col min="13840" max="13840" width="21.6216216216216" style="103" customWidth="1"/>
    <col min="13841" max="13841" width="16.6216216216216" style="103" customWidth="1"/>
    <col min="13842" max="13842" width="33.2702702702703" style="103" customWidth="1"/>
    <col min="13843" max="13843" width="16" style="103" customWidth="1"/>
    <col min="13844" max="13844" width="18.1261261261261" style="103" customWidth="1"/>
    <col min="13845" max="13845" width="21.7657657657658" style="103" customWidth="1"/>
    <col min="13846" max="13846" width="17.2702702702703" style="103" customWidth="1"/>
    <col min="13847" max="13847" width="18.7657657657658" style="103" customWidth="1"/>
    <col min="13848" max="13848" width="17" style="103" customWidth="1"/>
    <col min="13849" max="14079" width="9" style="103"/>
    <col min="14080" max="14081" width="4.76576576576577" style="103" customWidth="1"/>
    <col min="14082" max="14082" width="15.6216216216216" style="103" customWidth="1"/>
    <col min="14083" max="14083" width="35.8828828828829" style="103" customWidth="1"/>
    <col min="14084" max="14084" width="21.5045045045045" style="103" customWidth="1"/>
    <col min="14085" max="14085" width="25.5045045045045" style="103" customWidth="1"/>
    <col min="14086" max="14086" width="16.1261261261261" style="103" customWidth="1"/>
    <col min="14087" max="14087" width="14.3873873873874" style="103" customWidth="1"/>
    <col min="14088" max="14088" width="15.8828828828829" style="103" customWidth="1"/>
    <col min="14089" max="14089" width="13" style="103" customWidth="1"/>
    <col min="14090" max="14090" width="13.3873873873874" style="103" customWidth="1"/>
    <col min="14091" max="14091" width="11" style="103" customWidth="1"/>
    <col min="14092" max="14092" width="13" style="103" customWidth="1"/>
    <col min="14093" max="14093" width="15.8828828828829" style="103" customWidth="1"/>
    <col min="14094" max="14095" width="26.2702702702703" style="103" customWidth="1"/>
    <col min="14096" max="14096" width="21.6216216216216" style="103" customWidth="1"/>
    <col min="14097" max="14097" width="16.6216216216216" style="103" customWidth="1"/>
    <col min="14098" max="14098" width="33.2702702702703" style="103" customWidth="1"/>
    <col min="14099" max="14099" width="16" style="103" customWidth="1"/>
    <col min="14100" max="14100" width="18.1261261261261" style="103" customWidth="1"/>
    <col min="14101" max="14101" width="21.7657657657658" style="103" customWidth="1"/>
    <col min="14102" max="14102" width="17.2702702702703" style="103" customWidth="1"/>
    <col min="14103" max="14103" width="18.7657657657658" style="103" customWidth="1"/>
    <col min="14104" max="14104" width="17" style="103" customWidth="1"/>
    <col min="14105" max="14335" width="9" style="103"/>
    <col min="14336" max="14337" width="4.76576576576577" style="103" customWidth="1"/>
    <col min="14338" max="14338" width="15.6216216216216" style="103" customWidth="1"/>
    <col min="14339" max="14339" width="35.8828828828829" style="103" customWidth="1"/>
    <col min="14340" max="14340" width="21.5045045045045" style="103" customWidth="1"/>
    <col min="14341" max="14341" width="25.5045045045045" style="103" customWidth="1"/>
    <col min="14342" max="14342" width="16.1261261261261" style="103" customWidth="1"/>
    <col min="14343" max="14343" width="14.3873873873874" style="103" customWidth="1"/>
    <col min="14344" max="14344" width="15.8828828828829" style="103" customWidth="1"/>
    <col min="14345" max="14345" width="13" style="103" customWidth="1"/>
    <col min="14346" max="14346" width="13.3873873873874" style="103" customWidth="1"/>
    <col min="14347" max="14347" width="11" style="103" customWidth="1"/>
    <col min="14348" max="14348" width="13" style="103" customWidth="1"/>
    <col min="14349" max="14349" width="15.8828828828829" style="103" customWidth="1"/>
    <col min="14350" max="14351" width="26.2702702702703" style="103" customWidth="1"/>
    <col min="14352" max="14352" width="21.6216216216216" style="103" customWidth="1"/>
    <col min="14353" max="14353" width="16.6216216216216" style="103" customWidth="1"/>
    <col min="14354" max="14354" width="33.2702702702703" style="103" customWidth="1"/>
    <col min="14355" max="14355" width="16" style="103" customWidth="1"/>
    <col min="14356" max="14356" width="18.1261261261261" style="103" customWidth="1"/>
    <col min="14357" max="14357" width="21.7657657657658" style="103" customWidth="1"/>
    <col min="14358" max="14358" width="17.2702702702703" style="103" customWidth="1"/>
    <col min="14359" max="14359" width="18.7657657657658" style="103" customWidth="1"/>
    <col min="14360" max="14360" width="17" style="103" customWidth="1"/>
    <col min="14361" max="14591" width="9" style="103"/>
    <col min="14592" max="14593" width="4.76576576576577" style="103" customWidth="1"/>
    <col min="14594" max="14594" width="15.6216216216216" style="103" customWidth="1"/>
    <col min="14595" max="14595" width="35.8828828828829" style="103" customWidth="1"/>
    <col min="14596" max="14596" width="21.5045045045045" style="103" customWidth="1"/>
    <col min="14597" max="14597" width="25.5045045045045" style="103" customWidth="1"/>
    <col min="14598" max="14598" width="16.1261261261261" style="103" customWidth="1"/>
    <col min="14599" max="14599" width="14.3873873873874" style="103" customWidth="1"/>
    <col min="14600" max="14600" width="15.8828828828829" style="103" customWidth="1"/>
    <col min="14601" max="14601" width="13" style="103" customWidth="1"/>
    <col min="14602" max="14602" width="13.3873873873874" style="103" customWidth="1"/>
    <col min="14603" max="14603" width="11" style="103" customWidth="1"/>
    <col min="14604" max="14604" width="13" style="103" customWidth="1"/>
    <col min="14605" max="14605" width="15.8828828828829" style="103" customWidth="1"/>
    <col min="14606" max="14607" width="26.2702702702703" style="103" customWidth="1"/>
    <col min="14608" max="14608" width="21.6216216216216" style="103" customWidth="1"/>
    <col min="14609" max="14609" width="16.6216216216216" style="103" customWidth="1"/>
    <col min="14610" max="14610" width="33.2702702702703" style="103" customWidth="1"/>
    <col min="14611" max="14611" width="16" style="103" customWidth="1"/>
    <col min="14612" max="14612" width="18.1261261261261" style="103" customWidth="1"/>
    <col min="14613" max="14613" width="21.7657657657658" style="103" customWidth="1"/>
    <col min="14614" max="14614" width="17.2702702702703" style="103" customWidth="1"/>
    <col min="14615" max="14615" width="18.7657657657658" style="103" customWidth="1"/>
    <col min="14616" max="14616" width="17" style="103" customWidth="1"/>
    <col min="14617" max="14847" width="9" style="103"/>
    <col min="14848" max="14849" width="4.76576576576577" style="103" customWidth="1"/>
    <col min="14850" max="14850" width="15.6216216216216" style="103" customWidth="1"/>
    <col min="14851" max="14851" width="35.8828828828829" style="103" customWidth="1"/>
    <col min="14852" max="14852" width="21.5045045045045" style="103" customWidth="1"/>
    <col min="14853" max="14853" width="25.5045045045045" style="103" customWidth="1"/>
    <col min="14854" max="14854" width="16.1261261261261" style="103" customWidth="1"/>
    <col min="14855" max="14855" width="14.3873873873874" style="103" customWidth="1"/>
    <col min="14856" max="14856" width="15.8828828828829" style="103" customWidth="1"/>
    <col min="14857" max="14857" width="13" style="103" customWidth="1"/>
    <col min="14858" max="14858" width="13.3873873873874" style="103" customWidth="1"/>
    <col min="14859" max="14859" width="11" style="103" customWidth="1"/>
    <col min="14860" max="14860" width="13" style="103" customWidth="1"/>
    <col min="14861" max="14861" width="15.8828828828829" style="103" customWidth="1"/>
    <col min="14862" max="14863" width="26.2702702702703" style="103" customWidth="1"/>
    <col min="14864" max="14864" width="21.6216216216216" style="103" customWidth="1"/>
    <col min="14865" max="14865" width="16.6216216216216" style="103" customWidth="1"/>
    <col min="14866" max="14866" width="33.2702702702703" style="103" customWidth="1"/>
    <col min="14867" max="14867" width="16" style="103" customWidth="1"/>
    <col min="14868" max="14868" width="18.1261261261261" style="103" customWidth="1"/>
    <col min="14869" max="14869" width="21.7657657657658" style="103" customWidth="1"/>
    <col min="14870" max="14870" width="17.2702702702703" style="103" customWidth="1"/>
    <col min="14871" max="14871" width="18.7657657657658" style="103" customWidth="1"/>
    <col min="14872" max="14872" width="17" style="103" customWidth="1"/>
    <col min="14873" max="15103" width="9" style="103"/>
    <col min="15104" max="15105" width="4.76576576576577" style="103" customWidth="1"/>
    <col min="15106" max="15106" width="15.6216216216216" style="103" customWidth="1"/>
    <col min="15107" max="15107" width="35.8828828828829" style="103" customWidth="1"/>
    <col min="15108" max="15108" width="21.5045045045045" style="103" customWidth="1"/>
    <col min="15109" max="15109" width="25.5045045045045" style="103" customWidth="1"/>
    <col min="15110" max="15110" width="16.1261261261261" style="103" customWidth="1"/>
    <col min="15111" max="15111" width="14.3873873873874" style="103" customWidth="1"/>
    <col min="15112" max="15112" width="15.8828828828829" style="103" customWidth="1"/>
    <col min="15113" max="15113" width="13" style="103" customWidth="1"/>
    <col min="15114" max="15114" width="13.3873873873874" style="103" customWidth="1"/>
    <col min="15115" max="15115" width="11" style="103" customWidth="1"/>
    <col min="15116" max="15116" width="13" style="103" customWidth="1"/>
    <col min="15117" max="15117" width="15.8828828828829" style="103" customWidth="1"/>
    <col min="15118" max="15119" width="26.2702702702703" style="103" customWidth="1"/>
    <col min="15120" max="15120" width="21.6216216216216" style="103" customWidth="1"/>
    <col min="15121" max="15121" width="16.6216216216216" style="103" customWidth="1"/>
    <col min="15122" max="15122" width="33.2702702702703" style="103" customWidth="1"/>
    <col min="15123" max="15123" width="16" style="103" customWidth="1"/>
    <col min="15124" max="15124" width="18.1261261261261" style="103" customWidth="1"/>
    <col min="15125" max="15125" width="21.7657657657658" style="103" customWidth="1"/>
    <col min="15126" max="15126" width="17.2702702702703" style="103" customWidth="1"/>
    <col min="15127" max="15127" width="18.7657657657658" style="103" customWidth="1"/>
    <col min="15128" max="15128" width="17" style="103" customWidth="1"/>
    <col min="15129" max="15359" width="9" style="103"/>
    <col min="15360" max="15361" width="4.76576576576577" style="103" customWidth="1"/>
    <col min="15362" max="15362" width="15.6216216216216" style="103" customWidth="1"/>
    <col min="15363" max="15363" width="35.8828828828829" style="103" customWidth="1"/>
    <col min="15364" max="15364" width="21.5045045045045" style="103" customWidth="1"/>
    <col min="15365" max="15365" width="25.5045045045045" style="103" customWidth="1"/>
    <col min="15366" max="15366" width="16.1261261261261" style="103" customWidth="1"/>
    <col min="15367" max="15367" width="14.3873873873874" style="103" customWidth="1"/>
    <col min="15368" max="15368" width="15.8828828828829" style="103" customWidth="1"/>
    <col min="15369" max="15369" width="13" style="103" customWidth="1"/>
    <col min="15370" max="15370" width="13.3873873873874" style="103" customWidth="1"/>
    <col min="15371" max="15371" width="11" style="103" customWidth="1"/>
    <col min="15372" max="15372" width="13" style="103" customWidth="1"/>
    <col min="15373" max="15373" width="15.8828828828829" style="103" customWidth="1"/>
    <col min="15374" max="15375" width="26.2702702702703" style="103" customWidth="1"/>
    <col min="15376" max="15376" width="21.6216216216216" style="103" customWidth="1"/>
    <col min="15377" max="15377" width="16.6216216216216" style="103" customWidth="1"/>
    <col min="15378" max="15378" width="33.2702702702703" style="103" customWidth="1"/>
    <col min="15379" max="15379" width="16" style="103" customWidth="1"/>
    <col min="15380" max="15380" width="18.1261261261261" style="103" customWidth="1"/>
    <col min="15381" max="15381" width="21.7657657657658" style="103" customWidth="1"/>
    <col min="15382" max="15382" width="17.2702702702703" style="103" customWidth="1"/>
    <col min="15383" max="15383" width="18.7657657657658" style="103" customWidth="1"/>
    <col min="15384" max="15384" width="17" style="103" customWidth="1"/>
    <col min="15385" max="15615" width="9" style="103"/>
    <col min="15616" max="15617" width="4.76576576576577" style="103" customWidth="1"/>
    <col min="15618" max="15618" width="15.6216216216216" style="103" customWidth="1"/>
    <col min="15619" max="15619" width="35.8828828828829" style="103" customWidth="1"/>
    <col min="15620" max="15620" width="21.5045045045045" style="103" customWidth="1"/>
    <col min="15621" max="15621" width="25.5045045045045" style="103" customWidth="1"/>
    <col min="15622" max="15622" width="16.1261261261261" style="103" customWidth="1"/>
    <col min="15623" max="15623" width="14.3873873873874" style="103" customWidth="1"/>
    <col min="15624" max="15624" width="15.8828828828829" style="103" customWidth="1"/>
    <col min="15625" max="15625" width="13" style="103" customWidth="1"/>
    <col min="15626" max="15626" width="13.3873873873874" style="103" customWidth="1"/>
    <col min="15627" max="15627" width="11" style="103" customWidth="1"/>
    <col min="15628" max="15628" width="13" style="103" customWidth="1"/>
    <col min="15629" max="15629" width="15.8828828828829" style="103" customWidth="1"/>
    <col min="15630" max="15631" width="26.2702702702703" style="103" customWidth="1"/>
    <col min="15632" max="15632" width="21.6216216216216" style="103" customWidth="1"/>
    <col min="15633" max="15633" width="16.6216216216216" style="103" customWidth="1"/>
    <col min="15634" max="15634" width="33.2702702702703" style="103" customWidth="1"/>
    <col min="15635" max="15635" width="16" style="103" customWidth="1"/>
    <col min="15636" max="15636" width="18.1261261261261" style="103" customWidth="1"/>
    <col min="15637" max="15637" width="21.7657657657658" style="103" customWidth="1"/>
    <col min="15638" max="15638" width="17.2702702702703" style="103" customWidth="1"/>
    <col min="15639" max="15639" width="18.7657657657658" style="103" customWidth="1"/>
    <col min="15640" max="15640" width="17" style="103" customWidth="1"/>
    <col min="15641" max="15871" width="9" style="103"/>
    <col min="15872" max="15873" width="4.76576576576577" style="103" customWidth="1"/>
    <col min="15874" max="15874" width="15.6216216216216" style="103" customWidth="1"/>
    <col min="15875" max="15875" width="35.8828828828829" style="103" customWidth="1"/>
    <col min="15876" max="15876" width="21.5045045045045" style="103" customWidth="1"/>
    <col min="15877" max="15877" width="25.5045045045045" style="103" customWidth="1"/>
    <col min="15878" max="15878" width="16.1261261261261" style="103" customWidth="1"/>
    <col min="15879" max="15879" width="14.3873873873874" style="103" customWidth="1"/>
    <col min="15880" max="15880" width="15.8828828828829" style="103" customWidth="1"/>
    <col min="15881" max="15881" width="13" style="103" customWidth="1"/>
    <col min="15882" max="15882" width="13.3873873873874" style="103" customWidth="1"/>
    <col min="15883" max="15883" width="11" style="103" customWidth="1"/>
    <col min="15884" max="15884" width="13" style="103" customWidth="1"/>
    <col min="15885" max="15885" width="15.8828828828829" style="103" customWidth="1"/>
    <col min="15886" max="15887" width="26.2702702702703" style="103" customWidth="1"/>
    <col min="15888" max="15888" width="21.6216216216216" style="103" customWidth="1"/>
    <col min="15889" max="15889" width="16.6216216216216" style="103" customWidth="1"/>
    <col min="15890" max="15890" width="33.2702702702703" style="103" customWidth="1"/>
    <col min="15891" max="15891" width="16" style="103" customWidth="1"/>
    <col min="15892" max="15892" width="18.1261261261261" style="103" customWidth="1"/>
    <col min="15893" max="15893" width="21.7657657657658" style="103" customWidth="1"/>
    <col min="15894" max="15894" width="17.2702702702703" style="103" customWidth="1"/>
    <col min="15895" max="15895" width="18.7657657657658" style="103" customWidth="1"/>
    <col min="15896" max="15896" width="17" style="103" customWidth="1"/>
    <col min="15897" max="16127" width="9" style="103"/>
    <col min="16128" max="16129" width="4.76576576576577" style="103" customWidth="1"/>
    <col min="16130" max="16130" width="15.6216216216216" style="103" customWidth="1"/>
    <col min="16131" max="16131" width="35.8828828828829" style="103" customWidth="1"/>
    <col min="16132" max="16132" width="21.5045045045045" style="103" customWidth="1"/>
    <col min="16133" max="16133" width="25.5045045045045" style="103" customWidth="1"/>
    <col min="16134" max="16134" width="16.1261261261261" style="103" customWidth="1"/>
    <col min="16135" max="16135" width="14.3873873873874" style="103" customWidth="1"/>
    <col min="16136" max="16136" width="15.8828828828829" style="103" customWidth="1"/>
    <col min="16137" max="16137" width="13" style="103" customWidth="1"/>
    <col min="16138" max="16138" width="13.3873873873874" style="103" customWidth="1"/>
    <col min="16139" max="16139" width="11" style="103" customWidth="1"/>
    <col min="16140" max="16140" width="13" style="103" customWidth="1"/>
    <col min="16141" max="16141" width="15.8828828828829" style="103" customWidth="1"/>
    <col min="16142" max="16143" width="26.2702702702703" style="103" customWidth="1"/>
    <col min="16144" max="16144" width="21.6216216216216" style="103" customWidth="1"/>
    <col min="16145" max="16145" width="16.6216216216216" style="103" customWidth="1"/>
    <col min="16146" max="16146" width="33.2702702702703" style="103" customWidth="1"/>
    <col min="16147" max="16147" width="16" style="103" customWidth="1"/>
    <col min="16148" max="16148" width="18.1261261261261" style="103" customWidth="1"/>
    <col min="16149" max="16149" width="21.7657657657658" style="103" customWidth="1"/>
    <col min="16150" max="16150" width="17.2702702702703" style="103" customWidth="1"/>
    <col min="16151" max="16151" width="18.7657657657658" style="103" customWidth="1"/>
    <col min="16152" max="16152" width="17" style="103" customWidth="1"/>
    <col min="16153" max="16383" width="9" style="103"/>
  </cols>
  <sheetData>
    <row r="1" s="80" customFormat="1" ht="69.95" customHeight="1" spans="1:25">
      <c r="A1" s="112" t="s">
        <v>1607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="80" customFormat="1" ht="23" customHeight="1" spans="1:25">
      <c r="A2" s="113" t="s">
        <v>1048</v>
      </c>
      <c r="B2" s="113"/>
      <c r="C2" s="113"/>
      <c r="D2" s="113"/>
      <c r="E2" s="114"/>
      <c r="F2" s="113"/>
      <c r="G2" s="113"/>
      <c r="H2" s="113"/>
      <c r="I2" s="115"/>
      <c r="J2" s="116"/>
      <c r="K2" s="116"/>
      <c r="L2" s="113"/>
      <c r="M2" s="117"/>
      <c r="N2" s="113"/>
      <c r="O2" s="113"/>
      <c r="P2" s="113"/>
      <c r="Q2" s="113"/>
      <c r="R2" s="113"/>
      <c r="S2" s="115"/>
      <c r="T2" s="113"/>
      <c r="U2" s="113"/>
      <c r="V2" s="113"/>
      <c r="W2" s="113"/>
      <c r="X2" s="113"/>
      <c r="Y2" s="113"/>
    </row>
    <row r="3" s="80" customFormat="1" ht="18" customHeight="1" spans="1:25">
      <c r="A3" s="118" t="s">
        <v>1</v>
      </c>
      <c r="B3" s="118" t="s">
        <v>1049</v>
      </c>
      <c r="C3" s="118" t="s">
        <v>1050</v>
      </c>
      <c r="D3" s="118" t="s">
        <v>3</v>
      </c>
      <c r="E3" s="119" t="s">
        <v>1051</v>
      </c>
      <c r="F3" s="120" t="s">
        <v>1052</v>
      </c>
      <c r="G3" s="120" t="s">
        <v>1053</v>
      </c>
      <c r="H3" s="121" t="s">
        <v>1054</v>
      </c>
      <c r="I3" s="122" t="s">
        <v>1055</v>
      </c>
      <c r="J3" s="123" t="s">
        <v>1056</v>
      </c>
      <c r="K3" s="123" t="s">
        <v>1057</v>
      </c>
      <c r="L3" s="120" t="s">
        <v>1058</v>
      </c>
      <c r="M3" s="124" t="s">
        <v>6</v>
      </c>
      <c r="N3" s="121" t="s">
        <v>1059</v>
      </c>
      <c r="O3" s="121" t="s">
        <v>1060</v>
      </c>
      <c r="P3" s="121" t="s">
        <v>1061</v>
      </c>
      <c r="Q3" s="120" t="s">
        <v>1062</v>
      </c>
      <c r="R3" s="120" t="s">
        <v>1063</v>
      </c>
      <c r="S3" s="122" t="s">
        <v>1064</v>
      </c>
      <c r="T3" s="125" t="s">
        <v>1065</v>
      </c>
      <c r="U3" s="126" t="s">
        <v>1066</v>
      </c>
      <c r="V3" s="127"/>
      <c r="W3" s="126"/>
      <c r="X3" s="128"/>
      <c r="Y3" s="129" t="s">
        <v>12</v>
      </c>
    </row>
    <row r="4" s="81" customFormat="1" ht="39.95" customHeight="1" spans="1:25">
      <c r="A4" s="130"/>
      <c r="B4" s="130"/>
      <c r="C4" s="130"/>
      <c r="D4" s="130"/>
      <c r="E4" s="131"/>
      <c r="F4" s="120"/>
      <c r="G4" s="120"/>
      <c r="H4" s="132"/>
      <c r="I4" s="122"/>
      <c r="J4" s="123"/>
      <c r="K4" s="123"/>
      <c r="L4" s="120"/>
      <c r="M4" s="133"/>
      <c r="N4" s="134"/>
      <c r="O4" s="132"/>
      <c r="P4" s="132"/>
      <c r="Q4" s="120"/>
      <c r="R4" s="120"/>
      <c r="S4" s="122"/>
      <c r="T4" s="135"/>
      <c r="U4" s="136" t="s">
        <v>1067</v>
      </c>
      <c r="V4" s="120" t="s">
        <v>1068</v>
      </c>
      <c r="W4" s="120" t="s">
        <v>1069</v>
      </c>
      <c r="X4" s="137" t="s">
        <v>1064</v>
      </c>
      <c r="Y4" s="129"/>
    </row>
    <row r="5" s="80" customFormat="1" ht="37.5" customHeight="1" spans="1:25">
      <c r="A5" s="138">
        <f>ROW()-4</f>
        <v>1</v>
      </c>
      <c r="B5" s="139">
        <v>2019</v>
      </c>
      <c r="C5" s="138" t="s">
        <v>31</v>
      </c>
      <c r="D5" s="140" t="s">
        <v>1608</v>
      </c>
      <c r="E5" s="141"/>
      <c r="F5" s="142" t="s">
        <v>1609</v>
      </c>
      <c r="G5" s="143" t="s">
        <v>1610</v>
      </c>
      <c r="H5" s="144">
        <v>1</v>
      </c>
      <c r="I5" s="145">
        <v>500000</v>
      </c>
      <c r="J5" s="146" t="s">
        <v>1611</v>
      </c>
      <c r="K5" s="146" t="s">
        <v>1612</v>
      </c>
      <c r="L5" s="147">
        <v>0.2</v>
      </c>
      <c r="M5" s="148" t="s">
        <v>1613</v>
      </c>
      <c r="N5" s="145">
        <v>152123.427</v>
      </c>
      <c r="O5" s="145">
        <v>150000</v>
      </c>
      <c r="P5" s="145">
        <v>152123.427</v>
      </c>
      <c r="Q5" s="145">
        <v>152123.427</v>
      </c>
      <c r="R5" s="149" t="s">
        <v>1614</v>
      </c>
      <c r="S5" s="145">
        <v>30424.69</v>
      </c>
      <c r="T5" s="150" t="s">
        <v>1615</v>
      </c>
      <c r="U5" s="151"/>
      <c r="V5" s="145"/>
      <c r="W5" s="152"/>
      <c r="X5" s="153"/>
      <c r="Y5" s="154"/>
    </row>
    <row r="6" s="80" customFormat="1" ht="37.5" customHeight="1" spans="1:25">
      <c r="A6" s="138">
        <f>ROW()-4</f>
        <v>2</v>
      </c>
      <c r="B6" s="138">
        <v>2019</v>
      </c>
      <c r="C6" s="138" t="s">
        <v>31</v>
      </c>
      <c r="D6" s="140" t="s">
        <v>1616</v>
      </c>
      <c r="E6" s="141"/>
      <c r="F6" s="142" t="s">
        <v>1617</v>
      </c>
      <c r="G6" s="138" t="s">
        <v>1610</v>
      </c>
      <c r="H6" s="147">
        <v>1</v>
      </c>
      <c r="I6" s="145">
        <v>4000000</v>
      </c>
      <c r="J6" s="146" t="s">
        <v>1618</v>
      </c>
      <c r="K6" s="146" t="s">
        <v>1619</v>
      </c>
      <c r="L6" s="147">
        <v>0.2</v>
      </c>
      <c r="M6" s="148" t="s">
        <v>1620</v>
      </c>
      <c r="N6" s="145">
        <v>4306846.21</v>
      </c>
      <c r="O6" s="145">
        <v>4000000</v>
      </c>
      <c r="P6" s="145">
        <v>4306846.21</v>
      </c>
      <c r="Q6" s="145">
        <v>4306846.21</v>
      </c>
      <c r="R6" s="149" t="s">
        <v>1621</v>
      </c>
      <c r="S6" s="145">
        <v>861369.24</v>
      </c>
      <c r="T6" s="150" t="s">
        <v>1622</v>
      </c>
      <c r="U6" s="151"/>
      <c r="V6" s="145"/>
      <c r="W6" s="138"/>
      <c r="X6" s="153"/>
      <c r="Y6" s="154"/>
    </row>
    <row r="7" s="80" customFormat="1" ht="37.5" customHeight="1" spans="1:25">
      <c r="A7" s="138">
        <f>ROW()-4</f>
        <v>3</v>
      </c>
      <c r="B7" s="138">
        <v>2019</v>
      </c>
      <c r="C7" s="138" t="s">
        <v>233</v>
      </c>
      <c r="D7" s="140" t="s">
        <v>1623</v>
      </c>
      <c r="E7" s="141"/>
      <c r="F7" s="142" t="s">
        <v>1624</v>
      </c>
      <c r="G7" s="138" t="s">
        <v>1610</v>
      </c>
      <c r="H7" s="147">
        <v>1</v>
      </c>
      <c r="I7" s="145">
        <v>1000000</v>
      </c>
      <c r="J7" s="146" t="s">
        <v>1625</v>
      </c>
      <c r="K7" s="146" t="s">
        <v>1626</v>
      </c>
      <c r="L7" s="147">
        <v>0.1</v>
      </c>
      <c r="M7" s="148" t="s">
        <v>1627</v>
      </c>
      <c r="N7" s="145">
        <v>885824.8</v>
      </c>
      <c r="O7" s="145">
        <v>885824.8</v>
      </c>
      <c r="P7" s="145">
        <v>885824.8</v>
      </c>
      <c r="Q7" s="145">
        <v>885824.8</v>
      </c>
      <c r="R7" s="149" t="s">
        <v>1628</v>
      </c>
      <c r="S7" s="145">
        <v>88582.48</v>
      </c>
      <c r="T7" s="150" t="s">
        <v>1629</v>
      </c>
      <c r="U7" s="151"/>
      <c r="V7" s="145"/>
      <c r="W7" s="138"/>
      <c r="X7" s="153"/>
      <c r="Y7" s="154"/>
    </row>
    <row r="8" s="80" customFormat="1" ht="37.5" customHeight="1" spans="1:25">
      <c r="A8" s="138">
        <f>ROW()-4</f>
        <v>4</v>
      </c>
      <c r="B8" s="138">
        <v>2019</v>
      </c>
      <c r="C8" s="138" t="s">
        <v>57</v>
      </c>
      <c r="D8" s="140" t="s">
        <v>1630</v>
      </c>
      <c r="E8" s="141"/>
      <c r="F8" s="142" t="s">
        <v>1631</v>
      </c>
      <c r="G8" s="138" t="s">
        <v>1610</v>
      </c>
      <c r="H8" s="147">
        <v>1</v>
      </c>
      <c r="I8" s="145">
        <v>4000000</v>
      </c>
      <c r="J8" s="146" t="s">
        <v>1625</v>
      </c>
      <c r="K8" s="146" t="s">
        <v>1626</v>
      </c>
      <c r="L8" s="147">
        <v>0.2</v>
      </c>
      <c r="M8" s="148" t="s">
        <v>1632</v>
      </c>
      <c r="N8" s="145">
        <v>4020331.8</v>
      </c>
      <c r="O8" s="145">
        <v>4020331.8</v>
      </c>
      <c r="P8" s="145">
        <v>4020331.8</v>
      </c>
      <c r="Q8" s="145">
        <v>4020331.8</v>
      </c>
      <c r="R8" s="149" t="s">
        <v>1628</v>
      </c>
      <c r="S8" s="145">
        <v>804066.36</v>
      </c>
      <c r="T8" s="150" t="s">
        <v>1629</v>
      </c>
      <c r="U8" s="151"/>
      <c r="V8" s="145"/>
      <c r="W8" s="138"/>
      <c r="X8" s="153"/>
      <c r="Y8" s="154"/>
    </row>
    <row r="9" s="80" customFormat="1" ht="37.5" customHeight="1" spans="1:25">
      <c r="A9" s="138">
        <f>ROW()-4</f>
        <v>5</v>
      </c>
      <c r="B9" s="138">
        <v>2019</v>
      </c>
      <c r="C9" s="138" t="s">
        <v>22</v>
      </c>
      <c r="D9" s="140" t="s">
        <v>1633</v>
      </c>
      <c r="E9" s="141"/>
      <c r="F9" s="142" t="s">
        <v>1634</v>
      </c>
      <c r="G9" s="138" t="s">
        <v>1610</v>
      </c>
      <c r="H9" s="147">
        <v>1</v>
      </c>
      <c r="I9" s="145">
        <v>1500000</v>
      </c>
      <c r="J9" s="146" t="s">
        <v>1635</v>
      </c>
      <c r="K9" s="146" t="s">
        <v>1636</v>
      </c>
      <c r="L9" s="147">
        <v>0.2</v>
      </c>
      <c r="M9" s="148" t="s">
        <v>1637</v>
      </c>
      <c r="N9" s="145">
        <v>1025608.68</v>
      </c>
      <c r="O9" s="145">
        <v>1025608.68</v>
      </c>
      <c r="P9" s="145">
        <v>1025608.68</v>
      </c>
      <c r="Q9" s="145">
        <v>1025608.68</v>
      </c>
      <c r="R9" s="149" t="s">
        <v>1638</v>
      </c>
      <c r="S9" s="145">
        <v>205121.74</v>
      </c>
      <c r="T9" s="150" t="s">
        <v>1622</v>
      </c>
      <c r="U9" s="151"/>
      <c r="V9" s="145"/>
      <c r="W9" s="138"/>
      <c r="X9" s="153"/>
      <c r="Y9" s="154"/>
    </row>
    <row r="10" s="82" customFormat="1" ht="37.5" customHeight="1" spans="1:25">
      <c r="A10" s="155"/>
      <c r="B10" s="155"/>
      <c r="C10" s="156" t="s">
        <v>1266</v>
      </c>
      <c r="D10" s="157"/>
      <c r="E10" s="158"/>
      <c r="F10" s="159"/>
      <c r="G10" s="160"/>
      <c r="H10" s="161"/>
      <c r="I10" s="162">
        <f>SUM(I5:I9)</f>
        <v>11000000</v>
      </c>
      <c r="J10" s="163"/>
      <c r="K10" s="163"/>
      <c r="L10" s="164"/>
      <c r="M10" s="165"/>
      <c r="N10" s="162">
        <f>SUM(N5:N9)</f>
        <v>10390734.917</v>
      </c>
      <c r="O10" s="162">
        <f>SUM(O5:O9)</f>
        <v>10081765.28</v>
      </c>
      <c r="P10" s="162">
        <f>SUM(P5:P9)</f>
        <v>10390734.917</v>
      </c>
      <c r="Q10" s="162">
        <f>SUM(Q5:Q9)</f>
        <v>10390734.917</v>
      </c>
      <c r="R10" s="166"/>
      <c r="S10" s="162">
        <f>SUM(S5:S9)</f>
        <v>1989564.51</v>
      </c>
      <c r="T10" s="167"/>
      <c r="U10" s="166"/>
      <c r="V10" s="162"/>
      <c r="W10" s="168"/>
      <c r="X10" s="169"/>
      <c r="Y10" s="170"/>
    </row>
    <row r="11" s="80" customFormat="1" ht="37.5" customHeight="1" spans="1:25">
      <c r="A11" s="138">
        <f>ROW()-5</f>
        <v>6</v>
      </c>
      <c r="B11" s="138">
        <v>2020</v>
      </c>
      <c r="C11" s="138" t="s">
        <v>22</v>
      </c>
      <c r="D11" s="140" t="s">
        <v>1639</v>
      </c>
      <c r="E11" s="141" t="s">
        <v>1640</v>
      </c>
      <c r="F11" s="142" t="s">
        <v>1641</v>
      </c>
      <c r="G11" s="138" t="s">
        <v>1610</v>
      </c>
      <c r="H11" s="147">
        <v>1</v>
      </c>
      <c r="I11" s="145">
        <v>2000000</v>
      </c>
      <c r="J11" s="146" t="s">
        <v>1642</v>
      </c>
      <c r="K11" s="146" t="s">
        <v>1643</v>
      </c>
      <c r="L11" s="147">
        <v>0.4</v>
      </c>
      <c r="M11" s="148" t="s">
        <v>1644</v>
      </c>
      <c r="N11" s="145">
        <v>2027630.51</v>
      </c>
      <c r="O11" s="145">
        <v>1999984.02</v>
      </c>
      <c r="P11" s="145">
        <f t="shared" ref="P11:P30" si="0">O11*H11</f>
        <v>1999984.02</v>
      </c>
      <c r="Q11" s="145">
        <v>2027630.51</v>
      </c>
      <c r="R11" s="149" t="s">
        <v>1645</v>
      </c>
      <c r="S11" s="145">
        <v>811052.2</v>
      </c>
      <c r="T11" s="150" t="s">
        <v>1646</v>
      </c>
      <c r="U11" s="149" t="s">
        <v>1647</v>
      </c>
      <c r="V11" s="171">
        <v>399996.804</v>
      </c>
      <c r="W11" s="149" t="s">
        <v>1648</v>
      </c>
      <c r="X11" s="153">
        <v>399996.804</v>
      </c>
      <c r="Y11" s="154"/>
    </row>
    <row r="12" s="80" customFormat="1" ht="37.5" customHeight="1" spans="1:25">
      <c r="A12" s="138">
        <f t="shared" ref="A12:A30" si="1">ROW()-5</f>
        <v>7</v>
      </c>
      <c r="B12" s="138">
        <v>2020</v>
      </c>
      <c r="C12" s="138" t="s">
        <v>22</v>
      </c>
      <c r="D12" s="140" t="s">
        <v>1649</v>
      </c>
      <c r="E12" s="141" t="s">
        <v>1650</v>
      </c>
      <c r="F12" s="142" t="s">
        <v>1651</v>
      </c>
      <c r="G12" s="138">
        <v>4321</v>
      </c>
      <c r="H12" s="147">
        <v>0.8</v>
      </c>
      <c r="I12" s="145">
        <v>3000000</v>
      </c>
      <c r="J12" s="146" t="s">
        <v>1652</v>
      </c>
      <c r="K12" s="146" t="s">
        <v>1653</v>
      </c>
      <c r="L12" s="147">
        <v>0.4</v>
      </c>
      <c r="M12" s="148" t="s">
        <v>1654</v>
      </c>
      <c r="N12" s="145">
        <v>3038606.25</v>
      </c>
      <c r="O12" s="145">
        <v>3000000</v>
      </c>
      <c r="P12" s="145">
        <f t="shared" si="0"/>
        <v>2400000</v>
      </c>
      <c r="Q12" s="145">
        <v>2430885</v>
      </c>
      <c r="R12" s="149" t="s">
        <v>1655</v>
      </c>
      <c r="S12" s="145">
        <v>1215442.5</v>
      </c>
      <c r="T12" s="150" t="s">
        <v>1656</v>
      </c>
      <c r="U12" s="149" t="s">
        <v>1657</v>
      </c>
      <c r="V12" s="145">
        <v>600000</v>
      </c>
      <c r="W12" s="149" t="s">
        <v>1658</v>
      </c>
      <c r="X12" s="153">
        <v>600000</v>
      </c>
      <c r="Y12" s="154"/>
    </row>
    <row r="13" s="80" customFormat="1" ht="37.5" customHeight="1" spans="1:25">
      <c r="A13" s="138">
        <f t="shared" si="1"/>
        <v>8</v>
      </c>
      <c r="B13" s="138">
        <v>2020</v>
      </c>
      <c r="C13" s="138" t="s">
        <v>22</v>
      </c>
      <c r="D13" s="140" t="s">
        <v>1659</v>
      </c>
      <c r="E13" s="141" t="s">
        <v>1660</v>
      </c>
      <c r="F13" s="142" t="s">
        <v>1661</v>
      </c>
      <c r="G13" s="138" t="s">
        <v>1610</v>
      </c>
      <c r="H13" s="147">
        <v>1</v>
      </c>
      <c r="I13" s="145">
        <v>2000000</v>
      </c>
      <c r="J13" s="146" t="s">
        <v>1662</v>
      </c>
      <c r="K13" s="146" t="s">
        <v>1663</v>
      </c>
      <c r="L13" s="147">
        <v>0.4</v>
      </c>
      <c r="M13" s="148" t="s">
        <v>1664</v>
      </c>
      <c r="N13" s="145">
        <v>2040717.74</v>
      </c>
      <c r="O13" s="145">
        <v>2000000</v>
      </c>
      <c r="P13" s="145">
        <f t="shared" si="0"/>
        <v>2000000</v>
      </c>
      <c r="Q13" s="145">
        <v>2040717.74</v>
      </c>
      <c r="R13" s="149" t="s">
        <v>1665</v>
      </c>
      <c r="S13" s="145">
        <v>815295.06</v>
      </c>
      <c r="T13" s="150" t="s">
        <v>1666</v>
      </c>
      <c r="U13" s="149" t="s">
        <v>1667</v>
      </c>
      <c r="V13" s="145">
        <v>400000</v>
      </c>
      <c r="W13" s="149" t="s">
        <v>1648</v>
      </c>
      <c r="X13" s="153">
        <v>400000</v>
      </c>
      <c r="Y13" s="154"/>
    </row>
    <row r="14" s="83" customFormat="1" ht="37.5" customHeight="1" spans="1:25">
      <c r="A14" s="138">
        <f t="shared" si="1"/>
        <v>9</v>
      </c>
      <c r="B14" s="138">
        <v>2020</v>
      </c>
      <c r="C14" s="138" t="s">
        <v>22</v>
      </c>
      <c r="D14" s="172" t="s">
        <v>1668</v>
      </c>
      <c r="E14" s="173" t="s">
        <v>1669</v>
      </c>
      <c r="F14" s="174" t="s">
        <v>1670</v>
      </c>
      <c r="G14" s="175">
        <v>4321</v>
      </c>
      <c r="H14" s="147">
        <v>0.8</v>
      </c>
      <c r="I14" s="171">
        <v>800000</v>
      </c>
      <c r="J14" s="176" t="s">
        <v>1671</v>
      </c>
      <c r="K14" s="176" t="s">
        <v>1672</v>
      </c>
      <c r="L14" s="177">
        <v>0.4</v>
      </c>
      <c r="M14" s="178" t="s">
        <v>1673</v>
      </c>
      <c r="N14" s="171">
        <v>815766.35</v>
      </c>
      <c r="O14" s="171">
        <v>799999</v>
      </c>
      <c r="P14" s="145">
        <f t="shared" si="0"/>
        <v>639999.2</v>
      </c>
      <c r="Q14" s="171">
        <v>652613.08</v>
      </c>
      <c r="R14" s="179" t="s">
        <v>1674</v>
      </c>
      <c r="S14" s="171">
        <v>326306.54</v>
      </c>
      <c r="T14" s="150" t="s">
        <v>1675</v>
      </c>
      <c r="U14" s="179" t="s">
        <v>1676</v>
      </c>
      <c r="V14" s="171">
        <v>159999.8</v>
      </c>
      <c r="W14" s="179" t="s">
        <v>1677</v>
      </c>
      <c r="X14" s="153">
        <v>159999.8</v>
      </c>
      <c r="Y14" s="180"/>
    </row>
    <row r="15" s="80" customFormat="1" ht="37.5" customHeight="1" spans="1:25">
      <c r="A15" s="138">
        <f t="shared" si="1"/>
        <v>10</v>
      </c>
      <c r="B15" s="138">
        <v>2020</v>
      </c>
      <c r="C15" s="138" t="s">
        <v>22</v>
      </c>
      <c r="D15" s="140" t="s">
        <v>1678</v>
      </c>
      <c r="E15" s="141" t="s">
        <v>1679</v>
      </c>
      <c r="F15" s="142" t="s">
        <v>1670</v>
      </c>
      <c r="G15" s="138">
        <v>4321</v>
      </c>
      <c r="H15" s="147">
        <v>0.8</v>
      </c>
      <c r="I15" s="145">
        <v>1000000</v>
      </c>
      <c r="J15" s="146" t="s">
        <v>1680</v>
      </c>
      <c r="K15" s="146" t="s">
        <v>1681</v>
      </c>
      <c r="L15" s="147">
        <v>0.4</v>
      </c>
      <c r="M15" s="148" t="s">
        <v>1673</v>
      </c>
      <c r="N15" s="145">
        <v>817207.02</v>
      </c>
      <c r="O15" s="145">
        <v>805219.98</v>
      </c>
      <c r="P15" s="145">
        <f t="shared" si="0"/>
        <v>644175.984</v>
      </c>
      <c r="Q15" s="145">
        <v>653765.61</v>
      </c>
      <c r="R15" s="149" t="s">
        <v>1674</v>
      </c>
      <c r="S15" s="145">
        <v>326882.81</v>
      </c>
      <c r="T15" s="150" t="s">
        <v>1675</v>
      </c>
      <c r="U15" s="149" t="s">
        <v>1676</v>
      </c>
      <c r="V15" s="145">
        <v>161044</v>
      </c>
      <c r="W15" s="149" t="s">
        <v>1677</v>
      </c>
      <c r="X15" s="153">
        <v>161044</v>
      </c>
      <c r="Y15" s="154"/>
    </row>
    <row r="16" s="80" customFormat="1" ht="37.5" customHeight="1" spans="1:25">
      <c r="A16" s="138">
        <f t="shared" si="1"/>
        <v>11</v>
      </c>
      <c r="B16" s="138">
        <v>2020</v>
      </c>
      <c r="C16" s="138" t="s">
        <v>37</v>
      </c>
      <c r="D16" s="140" t="s">
        <v>1682</v>
      </c>
      <c r="E16" s="141" t="s">
        <v>1683</v>
      </c>
      <c r="F16" s="142" t="s">
        <v>1684</v>
      </c>
      <c r="G16" s="138" t="s">
        <v>1610</v>
      </c>
      <c r="H16" s="147">
        <v>1</v>
      </c>
      <c r="I16" s="145">
        <v>5000000</v>
      </c>
      <c r="J16" s="146" t="s">
        <v>1685</v>
      </c>
      <c r="K16" s="146" t="s">
        <v>1686</v>
      </c>
      <c r="L16" s="147">
        <v>0.4</v>
      </c>
      <c r="M16" s="148" t="s">
        <v>1687</v>
      </c>
      <c r="N16" s="145">
        <v>5003534.82</v>
      </c>
      <c r="O16" s="145">
        <v>5000000</v>
      </c>
      <c r="P16" s="145">
        <f t="shared" si="0"/>
        <v>5000000</v>
      </c>
      <c r="Q16" s="145">
        <v>5003534.82</v>
      </c>
      <c r="R16" s="149" t="s">
        <v>1665</v>
      </c>
      <c r="S16" s="145">
        <v>2000000</v>
      </c>
      <c r="T16" s="150" t="s">
        <v>1688</v>
      </c>
      <c r="U16" s="149" t="s">
        <v>1689</v>
      </c>
      <c r="V16" s="145">
        <v>1000000</v>
      </c>
      <c r="W16" s="149" t="s">
        <v>1648</v>
      </c>
      <c r="X16" s="153">
        <v>1000000</v>
      </c>
      <c r="Y16" s="154"/>
    </row>
    <row r="17" s="80" customFormat="1" ht="37.5" customHeight="1" spans="1:25">
      <c r="A17" s="138">
        <f t="shared" si="1"/>
        <v>12</v>
      </c>
      <c r="B17" s="138">
        <v>2020</v>
      </c>
      <c r="C17" s="138" t="s">
        <v>37</v>
      </c>
      <c r="D17" s="140" t="s">
        <v>1690</v>
      </c>
      <c r="E17" s="141" t="s">
        <v>1691</v>
      </c>
      <c r="F17" s="140" t="s">
        <v>1670</v>
      </c>
      <c r="G17" s="138" t="s">
        <v>1610</v>
      </c>
      <c r="H17" s="147">
        <v>1</v>
      </c>
      <c r="I17" s="145">
        <v>2200000</v>
      </c>
      <c r="J17" s="146" t="s">
        <v>1692</v>
      </c>
      <c r="K17" s="146" t="s">
        <v>1693</v>
      </c>
      <c r="L17" s="147">
        <v>0.4</v>
      </c>
      <c r="M17" s="148" t="s">
        <v>1694</v>
      </c>
      <c r="N17" s="145">
        <v>1913855.44</v>
      </c>
      <c r="O17" s="145">
        <v>1873855.44</v>
      </c>
      <c r="P17" s="145">
        <f t="shared" si="0"/>
        <v>1873855.44</v>
      </c>
      <c r="Q17" s="145">
        <v>1913855.44</v>
      </c>
      <c r="R17" s="149" t="s">
        <v>1655</v>
      </c>
      <c r="S17" s="145">
        <v>749542.18</v>
      </c>
      <c r="T17" s="150" t="s">
        <v>1648</v>
      </c>
      <c r="U17" s="149" t="s">
        <v>1657</v>
      </c>
      <c r="V17" s="145">
        <v>374771.09</v>
      </c>
      <c r="W17" s="149" t="s">
        <v>1658</v>
      </c>
      <c r="X17" s="153">
        <v>374771.09</v>
      </c>
      <c r="Y17" s="154"/>
    </row>
    <row r="18" s="80" customFormat="1" ht="37.5" customHeight="1" spans="1:25">
      <c r="A18" s="138">
        <f t="shared" si="1"/>
        <v>13</v>
      </c>
      <c r="B18" s="138">
        <v>2020</v>
      </c>
      <c r="C18" s="138" t="s">
        <v>37</v>
      </c>
      <c r="D18" s="140" t="s">
        <v>1695</v>
      </c>
      <c r="E18" s="1255" t="s">
        <v>1696</v>
      </c>
      <c r="F18" s="140" t="s">
        <v>1697</v>
      </c>
      <c r="G18" s="138" t="s">
        <v>1610</v>
      </c>
      <c r="H18" s="147">
        <v>1</v>
      </c>
      <c r="I18" s="145">
        <v>5000000</v>
      </c>
      <c r="J18" s="146" t="s">
        <v>1698</v>
      </c>
      <c r="K18" s="146" t="s">
        <v>1647</v>
      </c>
      <c r="L18" s="147">
        <v>0.4</v>
      </c>
      <c r="M18" s="148" t="s">
        <v>1647</v>
      </c>
      <c r="N18" s="145">
        <v>4500000</v>
      </c>
      <c r="O18" s="145">
        <v>4500000</v>
      </c>
      <c r="P18" s="145">
        <f t="shared" si="0"/>
        <v>4500000</v>
      </c>
      <c r="Q18" s="145">
        <v>4500000</v>
      </c>
      <c r="R18" s="149" t="s">
        <v>1655</v>
      </c>
      <c r="S18" s="145">
        <v>1800000</v>
      </c>
      <c r="T18" s="150" t="s">
        <v>1648</v>
      </c>
      <c r="U18" s="149" t="s">
        <v>1657</v>
      </c>
      <c r="V18" s="145">
        <v>900000</v>
      </c>
      <c r="W18" s="149" t="s">
        <v>1658</v>
      </c>
      <c r="X18" s="153">
        <v>900000</v>
      </c>
      <c r="Y18" s="154"/>
    </row>
    <row r="19" s="80" customFormat="1" ht="37.5" customHeight="1" spans="1:25">
      <c r="A19" s="138">
        <f t="shared" si="1"/>
        <v>14</v>
      </c>
      <c r="B19" s="138">
        <v>2020</v>
      </c>
      <c r="C19" s="138" t="s">
        <v>147</v>
      </c>
      <c r="D19" s="140" t="s">
        <v>1699</v>
      </c>
      <c r="E19" s="141" t="s">
        <v>1700</v>
      </c>
      <c r="F19" s="140" t="s">
        <v>1670</v>
      </c>
      <c r="G19" s="138" t="s">
        <v>1610</v>
      </c>
      <c r="H19" s="147">
        <v>1</v>
      </c>
      <c r="I19" s="145">
        <v>4000000</v>
      </c>
      <c r="J19" s="146" t="s">
        <v>1701</v>
      </c>
      <c r="K19" s="146" t="s">
        <v>1646</v>
      </c>
      <c r="L19" s="147">
        <v>0.4</v>
      </c>
      <c r="M19" s="148" t="s">
        <v>1702</v>
      </c>
      <c r="N19" s="145">
        <v>4079999</v>
      </c>
      <c r="O19" s="145">
        <v>3999999</v>
      </c>
      <c r="P19" s="145">
        <f t="shared" si="0"/>
        <v>3999999</v>
      </c>
      <c r="Q19" s="145">
        <v>4079999</v>
      </c>
      <c r="R19" s="149" t="s">
        <v>1703</v>
      </c>
      <c r="S19" s="145">
        <v>1599999.6</v>
      </c>
      <c r="T19" s="150" t="s">
        <v>1704</v>
      </c>
      <c r="U19" s="149" t="s">
        <v>1657</v>
      </c>
      <c r="V19" s="145">
        <v>799999.8</v>
      </c>
      <c r="W19" s="149" t="s">
        <v>1658</v>
      </c>
      <c r="X19" s="153">
        <v>799999.8</v>
      </c>
      <c r="Y19" s="154"/>
    </row>
    <row r="20" s="80" customFormat="1" ht="37.5" customHeight="1" spans="1:25">
      <c r="A20" s="138">
        <f t="shared" si="1"/>
        <v>15</v>
      </c>
      <c r="B20" s="138">
        <v>2020</v>
      </c>
      <c r="C20" s="138" t="s">
        <v>147</v>
      </c>
      <c r="D20" s="140" t="s">
        <v>1705</v>
      </c>
      <c r="E20" s="141" t="s">
        <v>1706</v>
      </c>
      <c r="F20" s="140" t="s">
        <v>1670</v>
      </c>
      <c r="G20" s="138" t="s">
        <v>1707</v>
      </c>
      <c r="H20" s="147">
        <v>1</v>
      </c>
      <c r="I20" s="145">
        <v>2700000</v>
      </c>
      <c r="J20" s="146" t="s">
        <v>1701</v>
      </c>
      <c r="K20" s="146" t="s">
        <v>1646</v>
      </c>
      <c r="L20" s="147">
        <v>0.5</v>
      </c>
      <c r="M20" s="148" t="s">
        <v>1708</v>
      </c>
      <c r="N20" s="145">
        <v>2700000</v>
      </c>
      <c r="O20" s="145">
        <v>270000</v>
      </c>
      <c r="P20" s="145">
        <f t="shared" si="0"/>
        <v>270000</v>
      </c>
      <c r="Q20" s="145">
        <v>2700000</v>
      </c>
      <c r="R20" s="149" t="s">
        <v>1709</v>
      </c>
      <c r="S20" s="145">
        <v>1350000</v>
      </c>
      <c r="T20" s="150" t="s">
        <v>1710</v>
      </c>
      <c r="U20" s="149" t="s">
        <v>1711</v>
      </c>
      <c r="V20" s="145">
        <v>810000</v>
      </c>
      <c r="W20" s="149" t="s">
        <v>1677</v>
      </c>
      <c r="X20" s="153">
        <v>810000</v>
      </c>
      <c r="Y20" s="154"/>
    </row>
    <row r="21" s="80" customFormat="1" ht="37.5" customHeight="1" spans="1:25">
      <c r="A21" s="138">
        <f t="shared" si="1"/>
        <v>16</v>
      </c>
      <c r="B21" s="138">
        <v>2020</v>
      </c>
      <c r="C21" s="138" t="s">
        <v>147</v>
      </c>
      <c r="D21" s="140" t="s">
        <v>1712</v>
      </c>
      <c r="E21" s="141" t="s">
        <v>1713</v>
      </c>
      <c r="F21" s="140" t="s">
        <v>1714</v>
      </c>
      <c r="G21" s="138" t="s">
        <v>1707</v>
      </c>
      <c r="H21" s="147">
        <v>1</v>
      </c>
      <c r="I21" s="145">
        <v>3000000</v>
      </c>
      <c r="J21" s="146" t="s">
        <v>1715</v>
      </c>
      <c r="K21" s="146" t="s">
        <v>1716</v>
      </c>
      <c r="L21" s="147">
        <v>0.5</v>
      </c>
      <c r="M21" s="148" t="s">
        <v>1709</v>
      </c>
      <c r="N21" s="145">
        <v>3000000</v>
      </c>
      <c r="O21" s="145">
        <v>3000000</v>
      </c>
      <c r="P21" s="145">
        <f t="shared" si="0"/>
        <v>3000000</v>
      </c>
      <c r="Q21" s="145">
        <v>3000000</v>
      </c>
      <c r="R21" s="149" t="s">
        <v>1717</v>
      </c>
      <c r="S21" s="145">
        <v>1500000</v>
      </c>
      <c r="T21" s="150" t="s">
        <v>1718</v>
      </c>
      <c r="U21" s="149" t="s">
        <v>1711</v>
      </c>
      <c r="V21" s="145">
        <v>900000</v>
      </c>
      <c r="W21" s="149" t="s">
        <v>1677</v>
      </c>
      <c r="X21" s="153">
        <v>900000</v>
      </c>
      <c r="Y21" s="154"/>
    </row>
    <row r="22" s="80" customFormat="1" ht="37.5" customHeight="1" spans="1:25">
      <c r="A22" s="138">
        <f t="shared" si="1"/>
        <v>17</v>
      </c>
      <c r="B22" s="138">
        <v>2020</v>
      </c>
      <c r="C22" s="138" t="s">
        <v>147</v>
      </c>
      <c r="D22" s="140" t="s">
        <v>1719</v>
      </c>
      <c r="E22" s="141" t="s">
        <v>1720</v>
      </c>
      <c r="F22" s="140" t="s">
        <v>1714</v>
      </c>
      <c r="G22" s="138" t="s">
        <v>1610</v>
      </c>
      <c r="H22" s="147">
        <v>1</v>
      </c>
      <c r="I22" s="145">
        <v>5000000</v>
      </c>
      <c r="J22" s="146" t="s">
        <v>1721</v>
      </c>
      <c r="K22" s="146" t="s">
        <v>1722</v>
      </c>
      <c r="L22" s="147">
        <v>0.5</v>
      </c>
      <c r="M22" s="148" t="s">
        <v>1723</v>
      </c>
      <c r="N22" s="145">
        <v>4970431.17</v>
      </c>
      <c r="O22" s="145">
        <v>4970431.17</v>
      </c>
      <c r="P22" s="145">
        <f t="shared" si="0"/>
        <v>4970431.17</v>
      </c>
      <c r="Q22" s="145">
        <v>4970431.17</v>
      </c>
      <c r="R22" s="149" t="s">
        <v>1724</v>
      </c>
      <c r="S22" s="145">
        <v>2485215.59</v>
      </c>
      <c r="T22" s="150" t="s">
        <v>1725</v>
      </c>
      <c r="U22" s="149" t="s">
        <v>1711</v>
      </c>
      <c r="V22" s="145">
        <v>1491129.35</v>
      </c>
      <c r="W22" s="149" t="s">
        <v>1677</v>
      </c>
      <c r="X22" s="153">
        <v>1491129.35</v>
      </c>
      <c r="Y22" s="154"/>
    </row>
    <row r="23" s="80" customFormat="1" ht="37.5" customHeight="1" spans="1:25">
      <c r="A23" s="138">
        <f t="shared" si="1"/>
        <v>18</v>
      </c>
      <c r="B23" s="138">
        <v>2020</v>
      </c>
      <c r="C23" s="138" t="s">
        <v>233</v>
      </c>
      <c r="D23" s="140" t="s">
        <v>1726</v>
      </c>
      <c r="E23" s="141" t="s">
        <v>1727</v>
      </c>
      <c r="F23" s="140" t="s">
        <v>1728</v>
      </c>
      <c r="G23" s="138" t="s">
        <v>1610</v>
      </c>
      <c r="H23" s="147">
        <v>1</v>
      </c>
      <c r="I23" s="145">
        <v>1000000</v>
      </c>
      <c r="J23" s="146" t="s">
        <v>1729</v>
      </c>
      <c r="K23" s="146" t="s">
        <v>1730</v>
      </c>
      <c r="L23" s="147">
        <v>0.4</v>
      </c>
      <c r="M23" s="148" t="s">
        <v>1731</v>
      </c>
      <c r="N23" s="145">
        <v>1006962.84</v>
      </c>
      <c r="O23" s="145">
        <v>1000000</v>
      </c>
      <c r="P23" s="145">
        <f t="shared" si="0"/>
        <v>1000000</v>
      </c>
      <c r="Q23" s="145">
        <v>1006962.84</v>
      </c>
      <c r="R23" s="149" t="s">
        <v>1656</v>
      </c>
      <c r="S23" s="145">
        <v>402785.14</v>
      </c>
      <c r="T23" s="150" t="s">
        <v>1732</v>
      </c>
      <c r="U23" s="149" t="s">
        <v>1657</v>
      </c>
      <c r="V23" s="145">
        <v>200000</v>
      </c>
      <c r="W23" s="149" t="s">
        <v>1658</v>
      </c>
      <c r="X23" s="153">
        <v>200000</v>
      </c>
      <c r="Y23" s="154"/>
    </row>
    <row r="24" s="80" customFormat="1" ht="37.5" customHeight="1" spans="1:25">
      <c r="A24" s="138">
        <f t="shared" si="1"/>
        <v>19</v>
      </c>
      <c r="B24" s="138">
        <v>2020</v>
      </c>
      <c r="C24" s="138" t="s">
        <v>233</v>
      </c>
      <c r="D24" s="140" t="s">
        <v>1733</v>
      </c>
      <c r="E24" s="141" t="s">
        <v>1734</v>
      </c>
      <c r="F24" s="140" t="s">
        <v>1670</v>
      </c>
      <c r="G24" s="138" t="s">
        <v>1610</v>
      </c>
      <c r="H24" s="147">
        <v>1</v>
      </c>
      <c r="I24" s="145">
        <v>480000</v>
      </c>
      <c r="J24" s="146" t="s">
        <v>1636</v>
      </c>
      <c r="K24" s="146" t="s">
        <v>1735</v>
      </c>
      <c r="L24" s="147">
        <v>0.4</v>
      </c>
      <c r="M24" s="148" t="s">
        <v>1736</v>
      </c>
      <c r="N24" s="145">
        <v>458743.83</v>
      </c>
      <c r="O24" s="145">
        <v>458743.83</v>
      </c>
      <c r="P24" s="145">
        <f t="shared" si="0"/>
        <v>458743.83</v>
      </c>
      <c r="Q24" s="145">
        <v>458743.83</v>
      </c>
      <c r="R24" s="149" t="s">
        <v>1737</v>
      </c>
      <c r="S24" s="145">
        <v>184000</v>
      </c>
      <c r="T24" s="150" t="s">
        <v>1738</v>
      </c>
      <c r="U24" s="149" t="s">
        <v>1739</v>
      </c>
      <c r="V24" s="145">
        <v>91748.766</v>
      </c>
      <c r="W24" s="149" t="s">
        <v>1740</v>
      </c>
      <c r="X24" s="153">
        <v>91748.766</v>
      </c>
      <c r="Y24" s="154"/>
    </row>
    <row r="25" s="83" customFormat="1" ht="37.5" customHeight="1" spans="1:25">
      <c r="A25" s="138">
        <f t="shared" si="1"/>
        <v>20</v>
      </c>
      <c r="B25" s="138">
        <v>2020</v>
      </c>
      <c r="C25" s="138" t="s">
        <v>233</v>
      </c>
      <c r="D25" s="172" t="s">
        <v>1741</v>
      </c>
      <c r="E25" s="173" t="s">
        <v>1742</v>
      </c>
      <c r="F25" s="172" t="s">
        <v>1670</v>
      </c>
      <c r="G25" s="175">
        <v>4321</v>
      </c>
      <c r="H25" s="147">
        <v>0.8</v>
      </c>
      <c r="I25" s="145">
        <v>400000</v>
      </c>
      <c r="J25" s="176" t="s">
        <v>1743</v>
      </c>
      <c r="K25" s="176" t="s">
        <v>1744</v>
      </c>
      <c r="L25" s="177">
        <v>0.4</v>
      </c>
      <c r="M25" s="178" t="s">
        <v>1745</v>
      </c>
      <c r="N25" s="171">
        <v>300000</v>
      </c>
      <c r="O25" s="171">
        <v>293806.89</v>
      </c>
      <c r="P25" s="145">
        <f t="shared" si="0"/>
        <v>235045.512</v>
      </c>
      <c r="Q25" s="171">
        <v>240000</v>
      </c>
      <c r="R25" s="179" t="s">
        <v>1674</v>
      </c>
      <c r="S25" s="171">
        <v>120000</v>
      </c>
      <c r="T25" s="150" t="s">
        <v>1675</v>
      </c>
      <c r="U25" s="179" t="s">
        <v>1711</v>
      </c>
      <c r="V25" s="171">
        <v>58761.38</v>
      </c>
      <c r="W25" s="179" t="s">
        <v>1677</v>
      </c>
      <c r="X25" s="153">
        <v>58761.38</v>
      </c>
      <c r="Y25" s="180"/>
    </row>
    <row r="26" s="80" customFormat="1" ht="37.5" customHeight="1" spans="1:25">
      <c r="A26" s="138">
        <f t="shared" si="1"/>
        <v>21</v>
      </c>
      <c r="B26" s="138">
        <v>2020</v>
      </c>
      <c r="C26" s="138" t="s">
        <v>233</v>
      </c>
      <c r="D26" s="140" t="s">
        <v>1746</v>
      </c>
      <c r="E26" s="173" t="s">
        <v>1747</v>
      </c>
      <c r="F26" s="140" t="s">
        <v>1670</v>
      </c>
      <c r="G26" s="138" t="s">
        <v>1610</v>
      </c>
      <c r="H26" s="147">
        <v>1</v>
      </c>
      <c r="I26" s="145">
        <v>1800000</v>
      </c>
      <c r="J26" s="146" t="s">
        <v>1748</v>
      </c>
      <c r="K26" s="146" t="s">
        <v>1675</v>
      </c>
      <c r="L26" s="147">
        <v>0.4</v>
      </c>
      <c r="M26" s="148" t="s">
        <v>1749</v>
      </c>
      <c r="N26" s="145">
        <v>1813275.72</v>
      </c>
      <c r="O26" s="145">
        <v>1800000</v>
      </c>
      <c r="P26" s="145">
        <f t="shared" si="0"/>
        <v>1800000</v>
      </c>
      <c r="Q26" s="145">
        <v>1813275.72</v>
      </c>
      <c r="R26" s="149" t="s">
        <v>1724</v>
      </c>
      <c r="S26" s="145">
        <v>725310.29</v>
      </c>
      <c r="T26" s="150" t="s">
        <v>1750</v>
      </c>
      <c r="U26" s="149" t="s">
        <v>1751</v>
      </c>
      <c r="V26" s="145">
        <v>360000</v>
      </c>
      <c r="W26" s="149" t="s">
        <v>1752</v>
      </c>
      <c r="X26" s="153">
        <v>360000</v>
      </c>
      <c r="Y26" s="154"/>
    </row>
    <row r="27" s="80" customFormat="1" ht="37.5" customHeight="1" spans="1:25">
      <c r="A27" s="138">
        <f t="shared" si="1"/>
        <v>22</v>
      </c>
      <c r="B27" s="138">
        <v>2020</v>
      </c>
      <c r="C27" s="138" t="s">
        <v>25</v>
      </c>
      <c r="D27" s="140" t="s">
        <v>1753</v>
      </c>
      <c r="E27" s="173" t="s">
        <v>1754</v>
      </c>
      <c r="F27" s="140" t="s">
        <v>1728</v>
      </c>
      <c r="G27" s="138" t="s">
        <v>1610</v>
      </c>
      <c r="H27" s="147">
        <v>1</v>
      </c>
      <c r="I27" s="145">
        <v>1000000</v>
      </c>
      <c r="J27" s="146" t="s">
        <v>1755</v>
      </c>
      <c r="K27" s="146" t="s">
        <v>1756</v>
      </c>
      <c r="L27" s="147">
        <v>0.4</v>
      </c>
      <c r="M27" s="148" t="s">
        <v>1757</v>
      </c>
      <c r="N27" s="145">
        <v>1028090.21</v>
      </c>
      <c r="O27" s="145">
        <v>1000000</v>
      </c>
      <c r="P27" s="145">
        <f t="shared" si="0"/>
        <v>1000000</v>
      </c>
      <c r="Q27" s="145">
        <v>1028090.21</v>
      </c>
      <c r="R27" s="149" t="s">
        <v>1758</v>
      </c>
      <c r="S27" s="145">
        <v>411236.08</v>
      </c>
      <c r="T27" s="150" t="s">
        <v>1759</v>
      </c>
      <c r="U27" s="149" t="s">
        <v>1739</v>
      </c>
      <c r="V27" s="145">
        <v>200000</v>
      </c>
      <c r="W27" s="149" t="s">
        <v>1740</v>
      </c>
      <c r="X27" s="153">
        <v>200000</v>
      </c>
      <c r="Y27" s="154"/>
    </row>
    <row r="28" s="80" customFormat="1" ht="37.5" customHeight="1" spans="1:25">
      <c r="A28" s="138">
        <f t="shared" si="1"/>
        <v>23</v>
      </c>
      <c r="B28" s="138">
        <v>2020</v>
      </c>
      <c r="C28" s="138" t="s">
        <v>31</v>
      </c>
      <c r="D28" s="140" t="s">
        <v>1760</v>
      </c>
      <c r="E28" s="181" t="s">
        <v>1761</v>
      </c>
      <c r="F28" s="140" t="s">
        <v>1728</v>
      </c>
      <c r="G28" s="138" t="s">
        <v>1610</v>
      </c>
      <c r="H28" s="147">
        <v>1</v>
      </c>
      <c r="I28" s="145">
        <v>900000</v>
      </c>
      <c r="J28" s="146" t="s">
        <v>1762</v>
      </c>
      <c r="K28" s="146" t="s">
        <v>1758</v>
      </c>
      <c r="L28" s="147">
        <v>0.4</v>
      </c>
      <c r="M28" s="148" t="s">
        <v>1763</v>
      </c>
      <c r="N28" s="145">
        <v>952819.35</v>
      </c>
      <c r="O28" s="145">
        <v>900000</v>
      </c>
      <c r="P28" s="145">
        <f t="shared" si="0"/>
        <v>900000</v>
      </c>
      <c r="Q28" s="145">
        <v>952820.35</v>
      </c>
      <c r="R28" s="149" t="s">
        <v>1708</v>
      </c>
      <c r="S28" s="145">
        <v>381127.74</v>
      </c>
      <c r="T28" s="150" t="s">
        <v>1764</v>
      </c>
      <c r="U28" s="149" t="s">
        <v>1739</v>
      </c>
      <c r="V28" s="145">
        <v>180000</v>
      </c>
      <c r="W28" s="149" t="s">
        <v>1740</v>
      </c>
      <c r="X28" s="153">
        <v>180000</v>
      </c>
      <c r="Y28" s="154"/>
    </row>
    <row r="29" s="80" customFormat="1" ht="37.5" customHeight="1" spans="1:25">
      <c r="A29" s="138">
        <f t="shared" si="1"/>
        <v>24</v>
      </c>
      <c r="B29" s="138">
        <v>2020</v>
      </c>
      <c r="C29" s="138" t="s">
        <v>31</v>
      </c>
      <c r="D29" s="140" t="s">
        <v>1765</v>
      </c>
      <c r="E29" s="1256" t="s">
        <v>1766</v>
      </c>
      <c r="F29" s="140" t="s">
        <v>1728</v>
      </c>
      <c r="G29" s="138" t="s">
        <v>1610</v>
      </c>
      <c r="H29" s="147">
        <v>1</v>
      </c>
      <c r="I29" s="145">
        <v>9000000</v>
      </c>
      <c r="J29" s="146" t="s">
        <v>1767</v>
      </c>
      <c r="K29" s="146" t="s">
        <v>1725</v>
      </c>
      <c r="L29" s="147">
        <v>0.4</v>
      </c>
      <c r="M29" s="148" t="s">
        <v>1768</v>
      </c>
      <c r="N29" s="145">
        <v>9502210.97</v>
      </c>
      <c r="O29" s="145">
        <v>9000000</v>
      </c>
      <c r="P29" s="145">
        <f t="shared" si="0"/>
        <v>9000000</v>
      </c>
      <c r="Q29" s="145">
        <v>9402210.97</v>
      </c>
      <c r="R29" s="149" t="s">
        <v>1769</v>
      </c>
      <c r="S29" s="145">
        <v>3760884.39</v>
      </c>
      <c r="T29" s="150" t="s">
        <v>1770</v>
      </c>
      <c r="U29" s="149" t="s">
        <v>1711</v>
      </c>
      <c r="V29" s="145">
        <v>1800000</v>
      </c>
      <c r="W29" s="149" t="s">
        <v>1677</v>
      </c>
      <c r="X29" s="153">
        <v>1800000</v>
      </c>
      <c r="Y29" s="154"/>
    </row>
    <row r="30" s="80" customFormat="1" ht="37.5" customHeight="1" spans="1:25">
      <c r="A30" s="138">
        <f t="shared" si="1"/>
        <v>25</v>
      </c>
      <c r="B30" s="138">
        <v>2020</v>
      </c>
      <c r="C30" s="138" t="s">
        <v>57</v>
      </c>
      <c r="D30" s="140" t="s">
        <v>1771</v>
      </c>
      <c r="E30" s="141" t="s">
        <v>1772</v>
      </c>
      <c r="F30" s="140" t="s">
        <v>1773</v>
      </c>
      <c r="G30" s="138" t="s">
        <v>1610</v>
      </c>
      <c r="H30" s="147">
        <v>1</v>
      </c>
      <c r="I30" s="145">
        <v>5000000</v>
      </c>
      <c r="J30" s="146" t="s">
        <v>1774</v>
      </c>
      <c r="K30" s="146" t="s">
        <v>1775</v>
      </c>
      <c r="L30" s="147">
        <v>0.4</v>
      </c>
      <c r="M30" s="148" t="s">
        <v>1776</v>
      </c>
      <c r="N30" s="145">
        <v>5047587.42</v>
      </c>
      <c r="O30" s="145">
        <v>5000000</v>
      </c>
      <c r="P30" s="145">
        <f t="shared" si="0"/>
        <v>5000000</v>
      </c>
      <c r="Q30" s="145">
        <v>5047588.42</v>
      </c>
      <c r="R30" s="149" t="s">
        <v>1737</v>
      </c>
      <c r="S30" s="145">
        <v>2019034.96</v>
      </c>
      <c r="T30" s="150" t="s">
        <v>1777</v>
      </c>
      <c r="U30" s="149" t="s">
        <v>1739</v>
      </c>
      <c r="V30" s="145">
        <v>1000000</v>
      </c>
      <c r="W30" s="149" t="s">
        <v>1740</v>
      </c>
      <c r="X30" s="153">
        <v>1000000</v>
      </c>
      <c r="Y30" s="154"/>
    </row>
    <row r="31" s="82" customFormat="1" ht="37.5" customHeight="1" spans="1:25">
      <c r="A31" s="156"/>
      <c r="B31" s="156"/>
      <c r="C31" s="156" t="s">
        <v>1266</v>
      </c>
      <c r="D31" s="157"/>
      <c r="E31" s="158"/>
      <c r="F31" s="157"/>
      <c r="G31" s="156"/>
      <c r="H31" s="164"/>
      <c r="I31" s="162">
        <f>SUM(I11:I30)</f>
        <v>55280000</v>
      </c>
      <c r="J31" s="163"/>
      <c r="K31" s="163"/>
      <c r="L31" s="164"/>
      <c r="M31" s="165"/>
      <c r="N31" s="162">
        <f>SUM(N11:N30)</f>
        <v>55017438.64</v>
      </c>
      <c r="O31" s="162">
        <f>SUM(O11:O30)</f>
        <v>51672039.33</v>
      </c>
      <c r="P31" s="162">
        <f>SUM(P11:P30)</f>
        <v>50692234.156</v>
      </c>
      <c r="Q31" s="162">
        <f>SUM(Q11:Q30)</f>
        <v>53923124.71</v>
      </c>
      <c r="R31" s="166"/>
      <c r="S31" s="162">
        <f>SUM(S11:S30)</f>
        <v>22984115.08</v>
      </c>
      <c r="T31" s="167"/>
      <c r="U31" s="182"/>
      <c r="V31" s="162">
        <f>SUM(V11:V30)</f>
        <v>11887450.99</v>
      </c>
      <c r="W31" s="182"/>
      <c r="X31" s="169">
        <f>SUM(X11:X30)</f>
        <v>11887450.99</v>
      </c>
      <c r="Y31" s="170"/>
    </row>
    <row r="32" s="80" customFormat="1" ht="37.5" customHeight="1" spans="1:25">
      <c r="A32" s="138">
        <f>ROW()-6</f>
        <v>26</v>
      </c>
      <c r="B32" s="138">
        <v>2021</v>
      </c>
      <c r="C32" s="138" t="s">
        <v>22</v>
      </c>
      <c r="D32" s="140" t="s">
        <v>1778</v>
      </c>
      <c r="E32" s="141" t="s">
        <v>1779</v>
      </c>
      <c r="F32" s="142" t="s">
        <v>1780</v>
      </c>
      <c r="G32" s="143" t="s">
        <v>1781</v>
      </c>
      <c r="H32" s="147">
        <v>1</v>
      </c>
      <c r="I32" s="145">
        <v>1500000</v>
      </c>
      <c r="J32" s="146" t="s">
        <v>1612</v>
      </c>
      <c r="K32" s="146" t="s">
        <v>1782</v>
      </c>
      <c r="L32" s="147">
        <v>0.5</v>
      </c>
      <c r="M32" s="148" t="s">
        <v>1783</v>
      </c>
      <c r="N32" s="145">
        <v>1400000</v>
      </c>
      <c r="O32" s="145">
        <v>1400000</v>
      </c>
      <c r="P32" s="145">
        <f t="shared" ref="P32:P53" si="2">O32*H32</f>
        <v>1400000</v>
      </c>
      <c r="Q32" s="145">
        <v>1400000</v>
      </c>
      <c r="R32" s="149" t="s">
        <v>1784</v>
      </c>
      <c r="S32" s="145">
        <v>700000</v>
      </c>
      <c r="T32" s="150" t="s">
        <v>1785</v>
      </c>
      <c r="U32" s="149" t="s">
        <v>1751</v>
      </c>
      <c r="V32" s="145">
        <v>420000</v>
      </c>
      <c r="W32" s="149" t="s">
        <v>1752</v>
      </c>
      <c r="X32" s="153">
        <v>420000</v>
      </c>
      <c r="Y32" s="154"/>
    </row>
    <row r="33" s="80" customFormat="1" ht="37.5" customHeight="1" spans="1:25">
      <c r="A33" s="138">
        <f t="shared" ref="A33:A53" si="3">ROW()-6</f>
        <v>27</v>
      </c>
      <c r="B33" s="138">
        <v>2021</v>
      </c>
      <c r="C33" s="138" t="s">
        <v>22</v>
      </c>
      <c r="D33" s="140" t="s">
        <v>1786</v>
      </c>
      <c r="E33" s="141" t="s">
        <v>1787</v>
      </c>
      <c r="F33" s="142" t="s">
        <v>1788</v>
      </c>
      <c r="G33" s="143" t="s">
        <v>1781</v>
      </c>
      <c r="H33" s="147">
        <v>1</v>
      </c>
      <c r="I33" s="145">
        <v>5000000</v>
      </c>
      <c r="J33" s="146" t="s">
        <v>1648</v>
      </c>
      <c r="K33" s="146" t="s">
        <v>1789</v>
      </c>
      <c r="L33" s="147">
        <v>0.5</v>
      </c>
      <c r="M33" s="148" t="s">
        <v>1790</v>
      </c>
      <c r="N33" s="145">
        <v>5114687.33</v>
      </c>
      <c r="O33" s="145">
        <v>5000000</v>
      </c>
      <c r="P33" s="145">
        <f t="shared" si="2"/>
        <v>5000000</v>
      </c>
      <c r="Q33" s="145">
        <v>4091749.86</v>
      </c>
      <c r="R33" s="149" t="s">
        <v>1791</v>
      </c>
      <c r="S33" s="145">
        <v>2557343.67</v>
      </c>
      <c r="T33" s="150" t="s">
        <v>1792</v>
      </c>
      <c r="U33" s="149" t="s">
        <v>1793</v>
      </c>
      <c r="V33" s="145">
        <v>1500000</v>
      </c>
      <c r="W33" s="149" t="s">
        <v>1794</v>
      </c>
      <c r="X33" s="153">
        <v>1500000</v>
      </c>
      <c r="Y33" s="154"/>
    </row>
    <row r="34" s="80" customFormat="1" ht="37.5" customHeight="1" spans="1:25">
      <c r="A34" s="138">
        <f t="shared" si="3"/>
        <v>28</v>
      </c>
      <c r="B34" s="138">
        <v>2021</v>
      </c>
      <c r="C34" s="138" t="s">
        <v>22</v>
      </c>
      <c r="D34" s="140" t="s">
        <v>1795</v>
      </c>
      <c r="E34" s="141" t="s">
        <v>1796</v>
      </c>
      <c r="F34" s="142" t="s">
        <v>1641</v>
      </c>
      <c r="G34" s="143" t="s">
        <v>1610</v>
      </c>
      <c r="H34" s="147">
        <v>1</v>
      </c>
      <c r="I34" s="145">
        <v>4500000</v>
      </c>
      <c r="J34" s="146" t="s">
        <v>1797</v>
      </c>
      <c r="K34" s="146" t="s">
        <v>1798</v>
      </c>
      <c r="L34" s="147">
        <v>0.4</v>
      </c>
      <c r="M34" s="148" t="s">
        <v>1792</v>
      </c>
      <c r="N34" s="145">
        <v>4713841.13</v>
      </c>
      <c r="O34" s="145">
        <v>4500000</v>
      </c>
      <c r="P34" s="145">
        <f t="shared" si="2"/>
        <v>4500000</v>
      </c>
      <c r="Q34" s="145">
        <v>4713841.13</v>
      </c>
      <c r="R34" s="149" t="s">
        <v>1799</v>
      </c>
      <c r="S34" s="145">
        <v>1885536.45</v>
      </c>
      <c r="T34" s="150" t="s">
        <v>1800</v>
      </c>
      <c r="U34" s="149" t="s">
        <v>1801</v>
      </c>
      <c r="V34" s="145">
        <v>900000</v>
      </c>
      <c r="W34" s="149" t="s">
        <v>1802</v>
      </c>
      <c r="X34" s="153">
        <v>900000</v>
      </c>
      <c r="Y34" s="154"/>
    </row>
    <row r="35" s="80" customFormat="1" ht="37.5" customHeight="1" spans="1:25">
      <c r="A35" s="138">
        <f t="shared" si="3"/>
        <v>29</v>
      </c>
      <c r="B35" s="138">
        <v>2021</v>
      </c>
      <c r="C35" s="138" t="s">
        <v>22</v>
      </c>
      <c r="D35" s="140" t="s">
        <v>1803</v>
      </c>
      <c r="E35" s="141" t="s">
        <v>1804</v>
      </c>
      <c r="F35" s="142" t="s">
        <v>1805</v>
      </c>
      <c r="G35" s="143" t="s">
        <v>1781</v>
      </c>
      <c r="H35" s="147">
        <v>1</v>
      </c>
      <c r="I35" s="145">
        <v>1200000</v>
      </c>
      <c r="J35" s="146" t="s">
        <v>1759</v>
      </c>
      <c r="K35" s="146" t="s">
        <v>1806</v>
      </c>
      <c r="L35" s="147">
        <v>0.5</v>
      </c>
      <c r="M35" s="148" t="s">
        <v>1807</v>
      </c>
      <c r="N35" s="145">
        <v>1220097</v>
      </c>
      <c r="O35" s="145">
        <v>1200000</v>
      </c>
      <c r="P35" s="145">
        <f t="shared" si="2"/>
        <v>1200000</v>
      </c>
      <c r="Q35" s="145">
        <v>976077.6</v>
      </c>
      <c r="R35" s="149" t="s">
        <v>1793</v>
      </c>
      <c r="S35" s="145">
        <v>610048.5</v>
      </c>
      <c r="T35" s="150" t="s">
        <v>1808</v>
      </c>
      <c r="U35" s="149" t="s">
        <v>1801</v>
      </c>
      <c r="V35" s="145">
        <v>360000</v>
      </c>
      <c r="W35" s="149" t="s">
        <v>1802</v>
      </c>
      <c r="X35" s="153">
        <v>360000</v>
      </c>
      <c r="Y35" s="154"/>
    </row>
    <row r="36" s="80" customFormat="1" ht="37.5" customHeight="1" spans="1:25">
      <c r="A36" s="138">
        <f t="shared" si="3"/>
        <v>30</v>
      </c>
      <c r="B36" s="138">
        <v>2021</v>
      </c>
      <c r="C36" s="138" t="s">
        <v>22</v>
      </c>
      <c r="D36" s="142" t="s">
        <v>1809</v>
      </c>
      <c r="E36" s="183" t="s">
        <v>1810</v>
      </c>
      <c r="F36" s="142" t="s">
        <v>1811</v>
      </c>
      <c r="G36" s="143" t="s">
        <v>1610</v>
      </c>
      <c r="H36" s="147">
        <v>1</v>
      </c>
      <c r="I36" s="145">
        <v>2000000</v>
      </c>
      <c r="J36" s="146" t="s">
        <v>1812</v>
      </c>
      <c r="K36" s="146" t="s">
        <v>1813</v>
      </c>
      <c r="L36" s="147">
        <v>0.4</v>
      </c>
      <c r="M36" s="148" t="s">
        <v>1802</v>
      </c>
      <c r="N36" s="145">
        <v>2019950.36</v>
      </c>
      <c r="O36" s="145">
        <v>1998676.67</v>
      </c>
      <c r="P36" s="145">
        <f t="shared" si="2"/>
        <v>1998676.67</v>
      </c>
      <c r="Q36" s="145">
        <v>2019950.36</v>
      </c>
      <c r="R36" s="149" t="s">
        <v>1814</v>
      </c>
      <c r="S36" s="145">
        <v>807980.14</v>
      </c>
      <c r="T36" s="150" t="s">
        <v>1815</v>
      </c>
      <c r="U36" s="149" t="s">
        <v>1816</v>
      </c>
      <c r="V36" s="145">
        <v>399735.334</v>
      </c>
      <c r="W36" s="149" t="s">
        <v>1817</v>
      </c>
      <c r="X36" s="153">
        <v>399735.334</v>
      </c>
      <c r="Y36" s="154"/>
    </row>
    <row r="37" s="80" customFormat="1" ht="37.5" customHeight="1" spans="1:25">
      <c r="A37" s="138">
        <f t="shared" si="3"/>
        <v>31</v>
      </c>
      <c r="B37" s="138">
        <v>2021</v>
      </c>
      <c r="C37" s="138" t="s">
        <v>22</v>
      </c>
      <c r="D37" s="142" t="s">
        <v>1818</v>
      </c>
      <c r="E37" s="183" t="s">
        <v>1819</v>
      </c>
      <c r="F37" s="142" t="s">
        <v>1820</v>
      </c>
      <c r="G37" s="143" t="s">
        <v>1781</v>
      </c>
      <c r="H37" s="147">
        <v>1</v>
      </c>
      <c r="I37" s="145">
        <v>2900000</v>
      </c>
      <c r="J37" s="146" t="s">
        <v>1821</v>
      </c>
      <c r="K37" s="146" t="s">
        <v>1822</v>
      </c>
      <c r="L37" s="147">
        <v>0.5</v>
      </c>
      <c r="M37" s="148" t="s">
        <v>1823</v>
      </c>
      <c r="N37" s="145">
        <v>3153764.81</v>
      </c>
      <c r="O37" s="145">
        <v>2900000</v>
      </c>
      <c r="P37" s="145">
        <f t="shared" si="2"/>
        <v>2900000</v>
      </c>
      <c r="Q37" s="145">
        <v>3153764.81</v>
      </c>
      <c r="R37" s="149" t="s">
        <v>1824</v>
      </c>
      <c r="S37" s="145">
        <v>1576882.41</v>
      </c>
      <c r="T37" s="150" t="s">
        <v>1825</v>
      </c>
      <c r="U37" s="149" t="s">
        <v>1816</v>
      </c>
      <c r="V37" s="145">
        <v>870000</v>
      </c>
      <c r="W37" s="149" t="s">
        <v>1817</v>
      </c>
      <c r="X37" s="153">
        <v>870000</v>
      </c>
      <c r="Y37" s="154"/>
    </row>
    <row r="38" s="80" customFormat="1" ht="37.5" customHeight="1" spans="1:25">
      <c r="A38" s="138">
        <f t="shared" si="3"/>
        <v>32</v>
      </c>
      <c r="B38" s="138">
        <v>2021</v>
      </c>
      <c r="C38" s="138" t="s">
        <v>22</v>
      </c>
      <c r="D38" s="140" t="s">
        <v>1826</v>
      </c>
      <c r="E38" s="141" t="s">
        <v>1827</v>
      </c>
      <c r="F38" s="142" t="s">
        <v>1828</v>
      </c>
      <c r="G38" s="143" t="s">
        <v>1610</v>
      </c>
      <c r="H38" s="147">
        <v>1</v>
      </c>
      <c r="I38" s="145">
        <v>2000000</v>
      </c>
      <c r="J38" s="146" t="s">
        <v>1829</v>
      </c>
      <c r="K38" s="146" t="s">
        <v>1830</v>
      </c>
      <c r="L38" s="147">
        <v>0.4</v>
      </c>
      <c r="M38" s="148" t="s">
        <v>1831</v>
      </c>
      <c r="N38" s="145">
        <v>2022677.6</v>
      </c>
      <c r="O38" s="145">
        <v>1997065.24</v>
      </c>
      <c r="P38" s="145">
        <f t="shared" si="2"/>
        <v>1997065.24</v>
      </c>
      <c r="Q38" s="145">
        <v>2022677.6</v>
      </c>
      <c r="R38" s="1257" t="s">
        <v>1824</v>
      </c>
      <c r="S38" s="145">
        <v>809071.04</v>
      </c>
      <c r="T38" s="150" t="s">
        <v>1825</v>
      </c>
      <c r="U38" s="149" t="s">
        <v>1816</v>
      </c>
      <c r="V38" s="145">
        <v>399413.05</v>
      </c>
      <c r="W38" s="149" t="s">
        <v>1817</v>
      </c>
      <c r="X38" s="153">
        <v>399413.05</v>
      </c>
      <c r="Y38" s="154"/>
    </row>
    <row r="39" s="80" customFormat="1" ht="37.5" customHeight="1" spans="1:25">
      <c r="A39" s="138">
        <f t="shared" si="3"/>
        <v>33</v>
      </c>
      <c r="B39" s="138">
        <v>2021</v>
      </c>
      <c r="C39" s="138" t="s">
        <v>31</v>
      </c>
      <c r="D39" s="140" t="s">
        <v>1832</v>
      </c>
      <c r="E39" s="141" t="s">
        <v>1833</v>
      </c>
      <c r="F39" s="142" t="s">
        <v>1834</v>
      </c>
      <c r="G39" s="143" t="s">
        <v>1610</v>
      </c>
      <c r="H39" s="147">
        <v>1</v>
      </c>
      <c r="I39" s="145">
        <v>500000</v>
      </c>
      <c r="J39" s="146" t="s">
        <v>1645</v>
      </c>
      <c r="K39" s="146" t="s">
        <v>1835</v>
      </c>
      <c r="L39" s="147">
        <v>0.4</v>
      </c>
      <c r="M39" s="148" t="s">
        <v>1836</v>
      </c>
      <c r="N39" s="145">
        <v>503752</v>
      </c>
      <c r="O39" s="145">
        <v>500000</v>
      </c>
      <c r="P39" s="145">
        <f t="shared" si="2"/>
        <v>500000</v>
      </c>
      <c r="Q39" s="145">
        <v>503752</v>
      </c>
      <c r="R39" s="149" t="s">
        <v>1837</v>
      </c>
      <c r="S39" s="145">
        <v>201500.8</v>
      </c>
      <c r="T39" s="150" t="s">
        <v>1838</v>
      </c>
      <c r="U39" s="149" t="s">
        <v>1751</v>
      </c>
      <c r="V39" s="145">
        <v>100000</v>
      </c>
      <c r="W39" s="149" t="s">
        <v>1752</v>
      </c>
      <c r="X39" s="153">
        <v>100000</v>
      </c>
      <c r="Y39" s="154"/>
    </row>
    <row r="40" s="80" customFormat="1" ht="37.5" customHeight="1" spans="1:25">
      <c r="A40" s="138">
        <f t="shared" si="3"/>
        <v>34</v>
      </c>
      <c r="B40" s="138">
        <v>2021</v>
      </c>
      <c r="C40" s="138" t="s">
        <v>31</v>
      </c>
      <c r="D40" s="140" t="s">
        <v>1839</v>
      </c>
      <c r="E40" s="141" t="s">
        <v>1840</v>
      </c>
      <c r="F40" s="142" t="s">
        <v>1841</v>
      </c>
      <c r="G40" s="143" t="s">
        <v>1610</v>
      </c>
      <c r="H40" s="147">
        <v>1</v>
      </c>
      <c r="I40" s="145">
        <v>1150000</v>
      </c>
      <c r="J40" s="146" t="s">
        <v>1842</v>
      </c>
      <c r="K40" s="146" t="s">
        <v>1843</v>
      </c>
      <c r="L40" s="147">
        <v>0.4</v>
      </c>
      <c r="M40" s="148" t="s">
        <v>1844</v>
      </c>
      <c r="N40" s="145">
        <v>1175274.7</v>
      </c>
      <c r="O40" s="145">
        <v>1150000</v>
      </c>
      <c r="P40" s="145">
        <f t="shared" si="2"/>
        <v>1150000</v>
      </c>
      <c r="Q40" s="145">
        <v>1175274.7</v>
      </c>
      <c r="R40" s="149" t="s">
        <v>1845</v>
      </c>
      <c r="S40" s="145">
        <v>470109.88</v>
      </c>
      <c r="T40" s="150" t="s">
        <v>1846</v>
      </c>
      <c r="U40" s="184" t="s">
        <v>1847</v>
      </c>
      <c r="V40" s="145">
        <v>230000</v>
      </c>
      <c r="W40" s="149" t="s">
        <v>1848</v>
      </c>
      <c r="X40" s="153">
        <v>230000</v>
      </c>
      <c r="Y40" s="154"/>
    </row>
    <row r="41" s="80" customFormat="1" ht="37.5" customHeight="1" spans="1:25">
      <c r="A41" s="138">
        <f t="shared" si="3"/>
        <v>35</v>
      </c>
      <c r="B41" s="138">
        <v>2021</v>
      </c>
      <c r="C41" s="138" t="s">
        <v>75</v>
      </c>
      <c r="D41" s="140" t="s">
        <v>1849</v>
      </c>
      <c r="E41" s="141" t="s">
        <v>1850</v>
      </c>
      <c r="F41" s="142" t="s">
        <v>1851</v>
      </c>
      <c r="G41" s="143" t="s">
        <v>1610</v>
      </c>
      <c r="H41" s="147">
        <v>1</v>
      </c>
      <c r="I41" s="145">
        <v>5900000</v>
      </c>
      <c r="J41" s="146" t="s">
        <v>1767</v>
      </c>
      <c r="K41" s="146" t="s">
        <v>1725</v>
      </c>
      <c r="L41" s="147">
        <v>0.4</v>
      </c>
      <c r="M41" s="148" t="s">
        <v>1852</v>
      </c>
      <c r="N41" s="145">
        <v>6173942.8</v>
      </c>
      <c r="O41" s="145">
        <v>5900000</v>
      </c>
      <c r="P41" s="145">
        <f t="shared" si="2"/>
        <v>5900000</v>
      </c>
      <c r="Q41" s="145">
        <v>6173942.8</v>
      </c>
      <c r="R41" s="149" t="s">
        <v>1837</v>
      </c>
      <c r="S41" s="145">
        <v>2469577.12</v>
      </c>
      <c r="T41" s="150" t="s">
        <v>1838</v>
      </c>
      <c r="U41" s="184" t="s">
        <v>1751</v>
      </c>
      <c r="V41" s="145">
        <v>1180000</v>
      </c>
      <c r="W41" s="149" t="s">
        <v>1752</v>
      </c>
      <c r="X41" s="153">
        <v>1180000</v>
      </c>
      <c r="Y41" s="154"/>
    </row>
    <row r="42" s="80" customFormat="1" ht="37.5" customHeight="1" spans="1:25">
      <c r="A42" s="138">
        <f t="shared" si="3"/>
        <v>36</v>
      </c>
      <c r="B42" s="138">
        <v>2021</v>
      </c>
      <c r="C42" s="138" t="s">
        <v>37</v>
      </c>
      <c r="D42" s="140" t="s">
        <v>1853</v>
      </c>
      <c r="E42" s="141" t="s">
        <v>1854</v>
      </c>
      <c r="F42" s="142" t="s">
        <v>1855</v>
      </c>
      <c r="G42" s="143" t="s">
        <v>1610</v>
      </c>
      <c r="H42" s="147">
        <v>1</v>
      </c>
      <c r="I42" s="145">
        <v>7000000</v>
      </c>
      <c r="J42" s="146" t="s">
        <v>1856</v>
      </c>
      <c r="K42" s="146" t="s">
        <v>1857</v>
      </c>
      <c r="L42" s="147">
        <v>0.4</v>
      </c>
      <c r="M42" s="148" t="s">
        <v>1858</v>
      </c>
      <c r="N42" s="145">
        <v>6680942</v>
      </c>
      <c r="O42" s="145">
        <v>6650000</v>
      </c>
      <c r="P42" s="145">
        <f t="shared" si="2"/>
        <v>6650000</v>
      </c>
      <c r="Q42" s="145">
        <v>6680942</v>
      </c>
      <c r="R42" s="149" t="s">
        <v>1791</v>
      </c>
      <c r="S42" s="145">
        <v>2672376.8</v>
      </c>
      <c r="T42" s="150" t="s">
        <v>1792</v>
      </c>
      <c r="U42" s="184" t="s">
        <v>1793</v>
      </c>
      <c r="V42" s="145">
        <v>1330000</v>
      </c>
      <c r="W42" s="149" t="s">
        <v>1794</v>
      </c>
      <c r="X42" s="153">
        <v>1330000</v>
      </c>
      <c r="Y42" s="154"/>
    </row>
    <row r="43" s="80" customFormat="1" ht="37.5" customHeight="1" spans="1:25">
      <c r="A43" s="138">
        <f t="shared" si="3"/>
        <v>37</v>
      </c>
      <c r="B43" s="138">
        <v>2021</v>
      </c>
      <c r="C43" s="138" t="s">
        <v>37</v>
      </c>
      <c r="D43" s="142" t="s">
        <v>1859</v>
      </c>
      <c r="E43" s="183" t="s">
        <v>1860</v>
      </c>
      <c r="F43" s="142" t="s">
        <v>1861</v>
      </c>
      <c r="G43" s="143" t="s">
        <v>1610</v>
      </c>
      <c r="H43" s="147">
        <v>1</v>
      </c>
      <c r="I43" s="145">
        <v>5000000</v>
      </c>
      <c r="J43" s="146" t="s">
        <v>1862</v>
      </c>
      <c r="K43" s="146" t="s">
        <v>1863</v>
      </c>
      <c r="L43" s="147">
        <v>0.4</v>
      </c>
      <c r="M43" s="148" t="s">
        <v>1864</v>
      </c>
      <c r="N43" s="145">
        <v>1405505.44</v>
      </c>
      <c r="O43" s="145">
        <v>1405505.44</v>
      </c>
      <c r="P43" s="145">
        <f t="shared" si="2"/>
        <v>1405505.44</v>
      </c>
      <c r="Q43" s="145">
        <v>1405505.44</v>
      </c>
      <c r="R43" s="149" t="s">
        <v>1865</v>
      </c>
      <c r="S43" s="145">
        <v>562202.18</v>
      </c>
      <c r="T43" s="150" t="s">
        <v>1866</v>
      </c>
      <c r="U43" s="184" t="s">
        <v>1847</v>
      </c>
      <c r="V43" s="145">
        <v>281101.1</v>
      </c>
      <c r="W43" s="149" t="s">
        <v>1848</v>
      </c>
      <c r="X43" s="153">
        <v>281101.09</v>
      </c>
      <c r="Y43" s="154"/>
    </row>
    <row r="44" s="80" customFormat="1" ht="37.5" customHeight="1" spans="1:25">
      <c r="A44" s="138">
        <f t="shared" si="3"/>
        <v>38</v>
      </c>
      <c r="B44" s="138">
        <v>2021</v>
      </c>
      <c r="C44" s="138" t="s">
        <v>37</v>
      </c>
      <c r="D44" s="140" t="s">
        <v>1867</v>
      </c>
      <c r="E44" s="141" t="s">
        <v>1868</v>
      </c>
      <c r="F44" s="142" t="s">
        <v>1869</v>
      </c>
      <c r="G44" s="143" t="s">
        <v>1610</v>
      </c>
      <c r="H44" s="147">
        <v>1</v>
      </c>
      <c r="I44" s="145">
        <v>5000000</v>
      </c>
      <c r="J44" s="146" t="s">
        <v>1870</v>
      </c>
      <c r="K44" s="146" t="s">
        <v>1871</v>
      </c>
      <c r="L44" s="147">
        <v>0.4</v>
      </c>
      <c r="M44" s="148" t="s">
        <v>1872</v>
      </c>
      <c r="N44" s="145">
        <v>5106411.81</v>
      </c>
      <c r="O44" s="145">
        <v>5000000</v>
      </c>
      <c r="P44" s="145">
        <f t="shared" si="2"/>
        <v>5000000</v>
      </c>
      <c r="Q44" s="145">
        <v>5106411.81</v>
      </c>
      <c r="R44" s="149" t="s">
        <v>1873</v>
      </c>
      <c r="S44" s="145">
        <v>2042564.72</v>
      </c>
      <c r="T44" s="150" t="s">
        <v>1874</v>
      </c>
      <c r="U44" s="184" t="s">
        <v>1875</v>
      </c>
      <c r="V44" s="145">
        <v>1000000</v>
      </c>
      <c r="W44" s="1257" t="s">
        <v>1876</v>
      </c>
      <c r="X44" s="153">
        <v>1000000</v>
      </c>
      <c r="Y44" s="154"/>
    </row>
    <row r="45" s="80" customFormat="1" ht="37.5" customHeight="1" spans="1:25">
      <c r="A45" s="138">
        <f t="shared" si="3"/>
        <v>39</v>
      </c>
      <c r="B45" s="138">
        <v>2021</v>
      </c>
      <c r="C45" s="138" t="s">
        <v>37</v>
      </c>
      <c r="D45" s="142" t="s">
        <v>1877</v>
      </c>
      <c r="E45" s="183" t="s">
        <v>1878</v>
      </c>
      <c r="F45" s="142" t="s">
        <v>1879</v>
      </c>
      <c r="G45" s="143" t="s">
        <v>1610</v>
      </c>
      <c r="H45" s="147">
        <v>1</v>
      </c>
      <c r="I45" s="145">
        <v>6000000</v>
      </c>
      <c r="J45" s="146" t="s">
        <v>1880</v>
      </c>
      <c r="K45" s="146" t="s">
        <v>1881</v>
      </c>
      <c r="L45" s="147">
        <v>0.4</v>
      </c>
      <c r="M45" s="148" t="s">
        <v>1882</v>
      </c>
      <c r="N45" s="145">
        <v>6164495</v>
      </c>
      <c r="O45" s="145">
        <v>6000000</v>
      </c>
      <c r="P45" s="145">
        <f t="shared" si="2"/>
        <v>6000000</v>
      </c>
      <c r="Q45" s="145">
        <v>6164495</v>
      </c>
      <c r="R45" s="149" t="s">
        <v>1873</v>
      </c>
      <c r="S45" s="145">
        <v>2465798</v>
      </c>
      <c r="T45" s="150" t="s">
        <v>1874</v>
      </c>
      <c r="U45" s="184" t="s">
        <v>1875</v>
      </c>
      <c r="V45" s="145">
        <v>1200000</v>
      </c>
      <c r="W45" s="149" t="s">
        <v>1876</v>
      </c>
      <c r="X45" s="153">
        <v>1200000</v>
      </c>
      <c r="Y45" s="154"/>
    </row>
    <row r="46" s="80" customFormat="1" ht="37.5" customHeight="1" spans="1:25">
      <c r="A46" s="138">
        <f t="shared" si="3"/>
        <v>40</v>
      </c>
      <c r="B46" s="138">
        <v>2021</v>
      </c>
      <c r="C46" s="138" t="s">
        <v>25</v>
      </c>
      <c r="D46" s="140" t="s">
        <v>1883</v>
      </c>
      <c r="E46" s="141" t="s">
        <v>1884</v>
      </c>
      <c r="F46" s="142" t="s">
        <v>1885</v>
      </c>
      <c r="G46" s="143" t="s">
        <v>1610</v>
      </c>
      <c r="H46" s="147">
        <v>1</v>
      </c>
      <c r="I46" s="145">
        <v>7800000</v>
      </c>
      <c r="J46" s="146" t="s">
        <v>1886</v>
      </c>
      <c r="K46" s="146" t="s">
        <v>1887</v>
      </c>
      <c r="L46" s="147">
        <v>0.4</v>
      </c>
      <c r="M46" s="148" t="s">
        <v>1790</v>
      </c>
      <c r="N46" s="145">
        <v>7800000</v>
      </c>
      <c r="O46" s="145">
        <v>7800000</v>
      </c>
      <c r="P46" s="145">
        <f t="shared" si="2"/>
        <v>7800000</v>
      </c>
      <c r="Q46" s="145">
        <v>7800000</v>
      </c>
      <c r="R46" s="149" t="s">
        <v>1791</v>
      </c>
      <c r="S46" s="145">
        <v>3120000</v>
      </c>
      <c r="T46" s="150" t="s">
        <v>1789</v>
      </c>
      <c r="U46" s="184" t="s">
        <v>1793</v>
      </c>
      <c r="V46" s="145">
        <v>1560000</v>
      </c>
      <c r="W46" s="149" t="s">
        <v>1794</v>
      </c>
      <c r="X46" s="153">
        <v>1560000</v>
      </c>
      <c r="Y46" s="154"/>
    </row>
    <row r="47" s="80" customFormat="1" ht="37.5" customHeight="1" spans="1:25">
      <c r="A47" s="138">
        <f t="shared" si="3"/>
        <v>41</v>
      </c>
      <c r="B47" s="138">
        <v>2021</v>
      </c>
      <c r="C47" s="138" t="s">
        <v>25</v>
      </c>
      <c r="D47" s="140" t="s">
        <v>1888</v>
      </c>
      <c r="E47" s="141" t="s">
        <v>1889</v>
      </c>
      <c r="F47" s="142" t="s">
        <v>1890</v>
      </c>
      <c r="G47" s="143" t="s">
        <v>1610</v>
      </c>
      <c r="H47" s="147">
        <v>1</v>
      </c>
      <c r="I47" s="145">
        <v>7200000</v>
      </c>
      <c r="J47" s="146" t="s">
        <v>1776</v>
      </c>
      <c r="K47" s="146" t="s">
        <v>1891</v>
      </c>
      <c r="L47" s="147">
        <v>0.4</v>
      </c>
      <c r="M47" s="148" t="s">
        <v>1892</v>
      </c>
      <c r="N47" s="145">
        <v>7076404.91</v>
      </c>
      <c r="O47" s="145">
        <v>7000000</v>
      </c>
      <c r="P47" s="145">
        <f t="shared" si="2"/>
        <v>7000000</v>
      </c>
      <c r="Q47" s="145">
        <v>7076404.91</v>
      </c>
      <c r="R47" s="149" t="s">
        <v>1893</v>
      </c>
      <c r="S47" s="145">
        <v>2830561.96</v>
      </c>
      <c r="T47" s="150" t="s">
        <v>1894</v>
      </c>
      <c r="U47" s="184" t="s">
        <v>1847</v>
      </c>
      <c r="V47" s="145">
        <v>1400000</v>
      </c>
      <c r="W47" s="149" t="s">
        <v>1848</v>
      </c>
      <c r="X47" s="153">
        <v>1400000</v>
      </c>
      <c r="Y47" s="154"/>
    </row>
    <row r="48" s="80" customFormat="1" ht="37.5" customHeight="1" spans="1:25">
      <c r="A48" s="138">
        <f t="shared" si="3"/>
        <v>42</v>
      </c>
      <c r="B48" s="138">
        <v>2021</v>
      </c>
      <c r="C48" s="138" t="s">
        <v>1895</v>
      </c>
      <c r="D48" s="140" t="s">
        <v>1896</v>
      </c>
      <c r="E48" s="141" t="s">
        <v>1897</v>
      </c>
      <c r="F48" s="142" t="s">
        <v>1898</v>
      </c>
      <c r="G48" s="143" t="s">
        <v>1610</v>
      </c>
      <c r="H48" s="147">
        <v>1</v>
      </c>
      <c r="I48" s="145">
        <v>1190000</v>
      </c>
      <c r="J48" s="146" t="s">
        <v>1686</v>
      </c>
      <c r="K48" s="146" t="s">
        <v>1899</v>
      </c>
      <c r="L48" s="147">
        <v>0.4</v>
      </c>
      <c r="M48" s="148" t="s">
        <v>1900</v>
      </c>
      <c r="N48" s="145">
        <v>1046060.48</v>
      </c>
      <c r="O48" s="145">
        <v>1046060.48</v>
      </c>
      <c r="P48" s="145">
        <f t="shared" si="2"/>
        <v>1046060.48</v>
      </c>
      <c r="Q48" s="145">
        <v>1046060.48</v>
      </c>
      <c r="R48" s="149" t="s">
        <v>1798</v>
      </c>
      <c r="S48" s="145">
        <v>418424.19</v>
      </c>
      <c r="T48" s="150" t="s">
        <v>1808</v>
      </c>
      <c r="U48" s="149" t="s">
        <v>1801</v>
      </c>
      <c r="V48" s="145">
        <v>209212.1</v>
      </c>
      <c r="W48" s="149" t="s">
        <v>1802</v>
      </c>
      <c r="X48" s="153">
        <v>209212.1</v>
      </c>
      <c r="Y48" s="154"/>
    </row>
    <row r="49" s="80" customFormat="1" ht="37.5" customHeight="1" spans="1:25">
      <c r="A49" s="138">
        <f t="shared" si="3"/>
        <v>43</v>
      </c>
      <c r="B49" s="138">
        <v>2021</v>
      </c>
      <c r="C49" s="138" t="s">
        <v>147</v>
      </c>
      <c r="D49" s="142" t="s">
        <v>1901</v>
      </c>
      <c r="E49" s="183" t="s">
        <v>1902</v>
      </c>
      <c r="F49" s="142" t="s">
        <v>1903</v>
      </c>
      <c r="G49" s="143" t="s">
        <v>1781</v>
      </c>
      <c r="H49" s="147">
        <v>1</v>
      </c>
      <c r="I49" s="145">
        <v>3500000</v>
      </c>
      <c r="J49" s="146" t="s">
        <v>1904</v>
      </c>
      <c r="K49" s="146" t="s">
        <v>1905</v>
      </c>
      <c r="L49" s="147">
        <v>0.5</v>
      </c>
      <c r="M49" s="148" t="s">
        <v>1906</v>
      </c>
      <c r="N49" s="145">
        <v>3776576.28</v>
      </c>
      <c r="O49" s="145">
        <v>3500000</v>
      </c>
      <c r="P49" s="145">
        <f t="shared" si="2"/>
        <v>3500000</v>
      </c>
      <c r="Q49" s="145">
        <v>3706576.28</v>
      </c>
      <c r="R49" s="149" t="s">
        <v>1814</v>
      </c>
      <c r="S49" s="145">
        <v>1853288.14</v>
      </c>
      <c r="T49" s="150" t="s">
        <v>1824</v>
      </c>
      <c r="U49" s="149" t="s">
        <v>1816</v>
      </c>
      <c r="V49" s="145">
        <v>1050000</v>
      </c>
      <c r="W49" s="149" t="s">
        <v>1817</v>
      </c>
      <c r="X49" s="153">
        <v>1050000</v>
      </c>
      <c r="Y49" s="154"/>
    </row>
    <row r="50" s="80" customFormat="1" ht="37.5" customHeight="1" spans="1:25">
      <c r="A50" s="138">
        <f t="shared" si="3"/>
        <v>44</v>
      </c>
      <c r="B50" s="138">
        <v>2021</v>
      </c>
      <c r="C50" s="138" t="s">
        <v>57</v>
      </c>
      <c r="D50" s="142" t="s">
        <v>1907</v>
      </c>
      <c r="E50" s="183" t="s">
        <v>1908</v>
      </c>
      <c r="F50" s="142" t="s">
        <v>1909</v>
      </c>
      <c r="G50" s="143" t="s">
        <v>1610</v>
      </c>
      <c r="H50" s="147">
        <v>1</v>
      </c>
      <c r="I50" s="145">
        <v>2000000</v>
      </c>
      <c r="J50" s="146" t="s">
        <v>1910</v>
      </c>
      <c r="K50" s="146" t="s">
        <v>1911</v>
      </c>
      <c r="L50" s="147">
        <v>0.4</v>
      </c>
      <c r="M50" s="148" t="s">
        <v>1912</v>
      </c>
      <c r="N50" s="145">
        <v>2011152.92</v>
      </c>
      <c r="O50" s="145">
        <v>2000000</v>
      </c>
      <c r="P50" s="145">
        <f t="shared" si="2"/>
        <v>2000000</v>
      </c>
      <c r="Q50" s="145">
        <v>2011152.92</v>
      </c>
      <c r="R50" s="149" t="s">
        <v>1814</v>
      </c>
      <c r="S50" s="145">
        <v>804461.17</v>
      </c>
      <c r="T50" s="150" t="s">
        <v>1815</v>
      </c>
      <c r="U50" s="149" t="s">
        <v>1816</v>
      </c>
      <c r="V50" s="145">
        <v>400000</v>
      </c>
      <c r="W50" s="184" t="s">
        <v>1817</v>
      </c>
      <c r="X50" s="153">
        <v>400000</v>
      </c>
      <c r="Y50" s="154"/>
    </row>
    <row r="51" s="80" customFormat="1" ht="37.5" customHeight="1" spans="1:25">
      <c r="A51" s="138">
        <f t="shared" si="3"/>
        <v>45</v>
      </c>
      <c r="B51" s="138">
        <v>2021</v>
      </c>
      <c r="C51" s="138" t="s">
        <v>102</v>
      </c>
      <c r="D51" s="142" t="s">
        <v>1913</v>
      </c>
      <c r="E51" s="183" t="s">
        <v>1914</v>
      </c>
      <c r="F51" s="142" t="s">
        <v>1915</v>
      </c>
      <c r="G51" s="143">
        <v>4321</v>
      </c>
      <c r="H51" s="144">
        <v>0.8</v>
      </c>
      <c r="I51" s="145">
        <v>3000000</v>
      </c>
      <c r="J51" s="146" t="s">
        <v>1916</v>
      </c>
      <c r="K51" s="146" t="s">
        <v>1917</v>
      </c>
      <c r="L51" s="147">
        <v>0.4</v>
      </c>
      <c r="M51" s="148" t="s">
        <v>1791</v>
      </c>
      <c r="N51" s="145">
        <v>2848420.42</v>
      </c>
      <c r="O51" s="145">
        <v>2828867.48</v>
      </c>
      <c r="P51" s="145">
        <f t="shared" si="2"/>
        <v>2263093.984</v>
      </c>
      <c r="Q51" s="145">
        <v>2278736.33</v>
      </c>
      <c r="R51" s="149" t="s">
        <v>1814</v>
      </c>
      <c r="S51" s="145">
        <v>1139368.17</v>
      </c>
      <c r="T51" s="150" t="s">
        <v>1815</v>
      </c>
      <c r="U51" s="149" t="s">
        <v>1816</v>
      </c>
      <c r="V51" s="145">
        <v>565773.5</v>
      </c>
      <c r="W51" s="184" t="s">
        <v>1817</v>
      </c>
      <c r="X51" s="153">
        <v>565773.5</v>
      </c>
      <c r="Y51" s="154"/>
    </row>
    <row r="52" s="80" customFormat="1" ht="37.5" customHeight="1" spans="1:25">
      <c r="A52" s="138">
        <f t="shared" si="3"/>
        <v>46</v>
      </c>
      <c r="B52" s="138">
        <v>2021</v>
      </c>
      <c r="C52" s="138" t="s">
        <v>28</v>
      </c>
      <c r="D52" s="140" t="s">
        <v>1918</v>
      </c>
      <c r="E52" s="141" t="s">
        <v>1919</v>
      </c>
      <c r="F52" s="142" t="s">
        <v>1920</v>
      </c>
      <c r="G52" s="143" t="s">
        <v>1610</v>
      </c>
      <c r="H52" s="147">
        <v>1</v>
      </c>
      <c r="I52" s="145">
        <v>900000</v>
      </c>
      <c r="J52" s="146" t="s">
        <v>1921</v>
      </c>
      <c r="K52" s="146" t="s">
        <v>1794</v>
      </c>
      <c r="L52" s="147">
        <v>0.4</v>
      </c>
      <c r="M52" s="148" t="s">
        <v>1922</v>
      </c>
      <c r="N52" s="145">
        <v>914323</v>
      </c>
      <c r="O52" s="145">
        <v>900000</v>
      </c>
      <c r="P52" s="145">
        <f t="shared" si="2"/>
        <v>900000</v>
      </c>
      <c r="Q52" s="145">
        <v>914323</v>
      </c>
      <c r="R52" s="149" t="s">
        <v>1865</v>
      </c>
      <c r="S52" s="145">
        <v>365729.2</v>
      </c>
      <c r="T52" s="150" t="s">
        <v>1866</v>
      </c>
      <c r="U52" s="149" t="s">
        <v>1847</v>
      </c>
      <c r="V52" s="145">
        <v>180000</v>
      </c>
      <c r="W52" s="184" t="s">
        <v>1848</v>
      </c>
      <c r="X52" s="153">
        <v>180000</v>
      </c>
      <c r="Y52" s="154"/>
    </row>
    <row r="53" s="80" customFormat="1" ht="37.5" customHeight="1" spans="1:25">
      <c r="A53" s="138">
        <f t="shared" si="3"/>
        <v>47</v>
      </c>
      <c r="B53" s="138">
        <v>2021</v>
      </c>
      <c r="C53" s="138" t="s">
        <v>233</v>
      </c>
      <c r="D53" s="140" t="s">
        <v>1923</v>
      </c>
      <c r="E53" s="141" t="s">
        <v>1924</v>
      </c>
      <c r="F53" s="142" t="s">
        <v>1925</v>
      </c>
      <c r="G53" s="143" t="s">
        <v>1610</v>
      </c>
      <c r="H53" s="147">
        <v>1</v>
      </c>
      <c r="I53" s="145">
        <v>5000000</v>
      </c>
      <c r="J53" s="146" t="s">
        <v>1926</v>
      </c>
      <c r="K53" s="146" t="s">
        <v>1927</v>
      </c>
      <c r="L53" s="147">
        <v>0.4</v>
      </c>
      <c r="M53" s="148" t="s">
        <v>1928</v>
      </c>
      <c r="N53" s="145">
        <v>1249314.32</v>
      </c>
      <c r="O53" s="145">
        <v>1249039.64</v>
      </c>
      <c r="P53" s="145">
        <f t="shared" si="2"/>
        <v>1249039.64</v>
      </c>
      <c r="Q53" s="145">
        <v>1249314.32</v>
      </c>
      <c r="R53" s="149" t="s">
        <v>1845</v>
      </c>
      <c r="S53" s="145">
        <v>499725.73</v>
      </c>
      <c r="T53" s="150" t="s">
        <v>1846</v>
      </c>
      <c r="U53" s="149" t="s">
        <v>1847</v>
      </c>
      <c r="V53" s="145">
        <v>249807.93</v>
      </c>
      <c r="W53" s="184" t="s">
        <v>1848</v>
      </c>
      <c r="X53" s="153">
        <v>249807.93</v>
      </c>
      <c r="Y53" s="154"/>
    </row>
    <row r="54" s="84" customFormat="1" ht="37.5" customHeight="1" spans="1:25">
      <c r="A54" s="156"/>
      <c r="B54" s="156"/>
      <c r="C54" s="156" t="s">
        <v>1266</v>
      </c>
      <c r="D54" s="157"/>
      <c r="E54" s="158"/>
      <c r="F54" s="159"/>
      <c r="G54" s="160"/>
      <c r="H54" s="161"/>
      <c r="I54" s="162">
        <f>SUM(I32:I53)</f>
        <v>80240000</v>
      </c>
      <c r="J54" s="163"/>
      <c r="K54" s="163"/>
      <c r="L54" s="164"/>
      <c r="M54" s="165"/>
      <c r="N54" s="162">
        <f>SUM(N32:N53)</f>
        <v>73577594.31</v>
      </c>
      <c r="O54" s="162">
        <f>SUM(O32:O53)</f>
        <v>71925214.95</v>
      </c>
      <c r="P54" s="162">
        <f>SUM(P32:P53)</f>
        <v>71359441.454</v>
      </c>
      <c r="Q54" s="162">
        <f>SUM(Q32:Q53)</f>
        <v>71670953.35</v>
      </c>
      <c r="R54" s="182"/>
      <c r="S54" s="162">
        <f>SUM(S32:S53)</f>
        <v>30862550.27</v>
      </c>
      <c r="T54" s="167"/>
      <c r="U54" s="182"/>
      <c r="V54" s="162">
        <f>SUM(V32:V53)</f>
        <v>15785043.014</v>
      </c>
      <c r="W54" s="182"/>
      <c r="X54" s="169">
        <f>SUM(X32:X53)</f>
        <v>15785043.004</v>
      </c>
      <c r="Y54" s="170"/>
    </row>
    <row r="55" s="80" customFormat="1" ht="37.5" customHeight="1" spans="1:25">
      <c r="A55" s="138">
        <f>ROW()-7</f>
        <v>48</v>
      </c>
      <c r="B55" s="138">
        <v>2022</v>
      </c>
      <c r="C55" s="138" t="s">
        <v>22</v>
      </c>
      <c r="D55" s="140" t="s">
        <v>1929</v>
      </c>
      <c r="E55" s="141" t="s">
        <v>1930</v>
      </c>
      <c r="F55" s="142" t="s">
        <v>1828</v>
      </c>
      <c r="G55" s="143" t="s">
        <v>1610</v>
      </c>
      <c r="H55" s="147">
        <v>1</v>
      </c>
      <c r="I55" s="145">
        <v>1100000</v>
      </c>
      <c r="J55" s="1258" t="s">
        <v>1858</v>
      </c>
      <c r="K55" s="185" t="s">
        <v>1751</v>
      </c>
      <c r="L55" s="147">
        <v>0.4</v>
      </c>
      <c r="M55" s="1259" t="s">
        <v>1931</v>
      </c>
      <c r="N55" s="145">
        <v>1103120.88</v>
      </c>
      <c r="O55" s="145">
        <v>1090000</v>
      </c>
      <c r="P55" s="145">
        <f>O55*H55</f>
        <v>1090000</v>
      </c>
      <c r="Q55" s="145">
        <v>1103120.88</v>
      </c>
      <c r="R55" s="1260" t="s">
        <v>1932</v>
      </c>
      <c r="S55" s="145">
        <v>441248.35</v>
      </c>
      <c r="T55" s="150" t="s">
        <v>1933</v>
      </c>
      <c r="U55" s="1260" t="s">
        <v>1875</v>
      </c>
      <c r="V55" s="186">
        <v>218000</v>
      </c>
      <c r="W55" s="1260" t="s">
        <v>1876</v>
      </c>
      <c r="X55" s="153">
        <v>218000</v>
      </c>
      <c r="Y55" s="154"/>
    </row>
    <row r="56" s="80" customFormat="1" ht="37.5" customHeight="1" spans="1:25">
      <c r="A56" s="138">
        <f t="shared" ref="A56:A119" si="4">ROW()-7</f>
        <v>49</v>
      </c>
      <c r="B56" s="138">
        <v>2022</v>
      </c>
      <c r="C56" s="138" t="s">
        <v>22</v>
      </c>
      <c r="D56" s="140" t="s">
        <v>1934</v>
      </c>
      <c r="E56" s="141" t="s">
        <v>1935</v>
      </c>
      <c r="F56" s="142" t="s">
        <v>1936</v>
      </c>
      <c r="G56" s="143" t="s">
        <v>1781</v>
      </c>
      <c r="H56" s="147">
        <v>1</v>
      </c>
      <c r="I56" s="145">
        <v>5000000</v>
      </c>
      <c r="J56" s="1258" t="s">
        <v>1937</v>
      </c>
      <c r="K56" s="185" t="s">
        <v>1938</v>
      </c>
      <c r="L56" s="147">
        <v>0.5</v>
      </c>
      <c r="M56" s="1259" t="s">
        <v>1939</v>
      </c>
      <c r="N56" s="145">
        <v>5082048.61</v>
      </c>
      <c r="O56" s="145">
        <v>5000000</v>
      </c>
      <c r="P56" s="145">
        <f>O56*H56</f>
        <v>5000000</v>
      </c>
      <c r="Q56" s="145">
        <v>5082048.61</v>
      </c>
      <c r="R56" s="1260" t="s">
        <v>1847</v>
      </c>
      <c r="S56" s="145">
        <v>2541024.31</v>
      </c>
      <c r="T56" s="150" t="s">
        <v>1933</v>
      </c>
      <c r="U56" s="1260" t="s">
        <v>1875</v>
      </c>
      <c r="V56" s="186">
        <v>1500000</v>
      </c>
      <c r="W56" s="1260" t="s">
        <v>1876</v>
      </c>
      <c r="X56" s="153">
        <v>1500000</v>
      </c>
      <c r="Y56" s="154"/>
    </row>
    <row r="57" s="80" customFormat="1" ht="37.5" customHeight="1" spans="1:25">
      <c r="A57" s="138">
        <f t="shared" si="4"/>
        <v>50</v>
      </c>
      <c r="B57" s="138">
        <v>2022</v>
      </c>
      <c r="C57" s="138" t="s">
        <v>25</v>
      </c>
      <c r="D57" s="140" t="s">
        <v>1940</v>
      </c>
      <c r="E57" s="141" t="s">
        <v>1941</v>
      </c>
      <c r="F57" s="142" t="s">
        <v>1942</v>
      </c>
      <c r="G57" s="143" t="s">
        <v>1610</v>
      </c>
      <c r="H57" s="147">
        <v>1</v>
      </c>
      <c r="I57" s="145">
        <v>3900000</v>
      </c>
      <c r="J57" s="1258" t="s">
        <v>1943</v>
      </c>
      <c r="K57" s="185" t="s">
        <v>1944</v>
      </c>
      <c r="L57" s="147">
        <v>0.4</v>
      </c>
      <c r="M57" s="1259" t="s">
        <v>1945</v>
      </c>
      <c r="N57" s="145">
        <v>3685640</v>
      </c>
      <c r="O57" s="145">
        <v>3500000</v>
      </c>
      <c r="P57" s="145">
        <f>O57*H57</f>
        <v>3500000</v>
      </c>
      <c r="Q57" s="145">
        <v>3685640</v>
      </c>
      <c r="R57" s="1260" t="s">
        <v>1847</v>
      </c>
      <c r="S57" s="145">
        <v>1474256</v>
      </c>
      <c r="T57" s="150" t="s">
        <v>1946</v>
      </c>
      <c r="U57" s="1260" t="s">
        <v>1875</v>
      </c>
      <c r="V57" s="186">
        <v>700000</v>
      </c>
      <c r="W57" s="1260" t="s">
        <v>1876</v>
      </c>
      <c r="X57" s="153">
        <v>700000</v>
      </c>
      <c r="Y57" s="154"/>
    </row>
    <row r="58" s="80" customFormat="1" ht="37.5" customHeight="1" spans="1:25">
      <c r="A58" s="138">
        <f t="shared" si="4"/>
        <v>51</v>
      </c>
      <c r="B58" s="138">
        <v>2022</v>
      </c>
      <c r="C58" s="138" t="s">
        <v>37</v>
      </c>
      <c r="D58" s="140" t="s">
        <v>1947</v>
      </c>
      <c r="E58" s="141" t="s">
        <v>1948</v>
      </c>
      <c r="F58" s="142" t="s">
        <v>1869</v>
      </c>
      <c r="G58" s="143" t="s">
        <v>1610</v>
      </c>
      <c r="H58" s="147">
        <v>1</v>
      </c>
      <c r="I58" s="145">
        <v>9000000</v>
      </c>
      <c r="J58" s="1258" t="s">
        <v>1949</v>
      </c>
      <c r="K58" s="185" t="s">
        <v>1950</v>
      </c>
      <c r="L58" s="147">
        <v>0.4</v>
      </c>
      <c r="M58" s="1259" t="s">
        <v>1951</v>
      </c>
      <c r="N58" s="145">
        <v>9000000</v>
      </c>
      <c r="O58" s="145">
        <v>9000000</v>
      </c>
      <c r="P58" s="145">
        <f>O58*H58</f>
        <v>9000000</v>
      </c>
      <c r="Q58" s="145">
        <v>9000000</v>
      </c>
      <c r="R58" s="1260" t="s">
        <v>1932</v>
      </c>
      <c r="S58" s="145">
        <v>3600000</v>
      </c>
      <c r="T58" s="150" t="s">
        <v>1952</v>
      </c>
      <c r="U58" s="1260" t="s">
        <v>1875</v>
      </c>
      <c r="V58" s="186">
        <v>1800000</v>
      </c>
      <c r="W58" s="1260" t="s">
        <v>1876</v>
      </c>
      <c r="X58" s="153">
        <v>1800000</v>
      </c>
      <c r="Y58" s="154"/>
    </row>
    <row r="59" s="80" customFormat="1" ht="37.5" customHeight="1" spans="1:25">
      <c r="A59" s="138">
        <f t="shared" si="4"/>
        <v>52</v>
      </c>
      <c r="B59" s="138">
        <v>2022</v>
      </c>
      <c r="C59" s="138" t="s">
        <v>37</v>
      </c>
      <c r="D59" s="140" t="s">
        <v>1953</v>
      </c>
      <c r="E59" s="141" t="s">
        <v>1954</v>
      </c>
      <c r="F59" s="142" t="s">
        <v>1955</v>
      </c>
      <c r="G59" s="143" t="s">
        <v>1610</v>
      </c>
      <c r="H59" s="147">
        <v>1</v>
      </c>
      <c r="I59" s="145">
        <v>2000000</v>
      </c>
      <c r="J59" s="1258" t="s">
        <v>1956</v>
      </c>
      <c r="K59" s="185" t="s">
        <v>1957</v>
      </c>
      <c r="L59" s="147">
        <v>0.4</v>
      </c>
      <c r="M59" s="1259" t="s">
        <v>1958</v>
      </c>
      <c r="N59" s="145">
        <v>1706548.51</v>
      </c>
      <c r="O59" s="145">
        <v>1700000</v>
      </c>
      <c r="P59" s="145">
        <f>O59*H59</f>
        <v>1700000</v>
      </c>
      <c r="Q59" s="145">
        <v>1706548.51</v>
      </c>
      <c r="R59" s="1260" t="s">
        <v>1959</v>
      </c>
      <c r="S59" s="145">
        <v>682619.4</v>
      </c>
      <c r="T59" s="150" t="s">
        <v>1960</v>
      </c>
      <c r="U59" s="1260" t="s">
        <v>1875</v>
      </c>
      <c r="V59" s="186">
        <v>340000</v>
      </c>
      <c r="W59" s="1260" t="s">
        <v>1876</v>
      </c>
      <c r="X59" s="153">
        <v>340000</v>
      </c>
      <c r="Y59" s="154"/>
    </row>
    <row r="60" s="80" customFormat="1" ht="37.5" customHeight="1" spans="1:25">
      <c r="A60" s="138">
        <f t="shared" si="4"/>
        <v>53</v>
      </c>
      <c r="B60" s="138">
        <v>2022</v>
      </c>
      <c r="C60" s="138" t="s">
        <v>430</v>
      </c>
      <c r="D60" s="187" t="s">
        <v>1961</v>
      </c>
      <c r="E60" s="188" t="s">
        <v>1962</v>
      </c>
      <c r="F60" s="142" t="s">
        <v>1963</v>
      </c>
      <c r="G60" s="143" t="s">
        <v>1610</v>
      </c>
      <c r="H60" s="147">
        <v>1</v>
      </c>
      <c r="I60" s="145">
        <v>2000000</v>
      </c>
      <c r="J60" s="1258" t="s">
        <v>1964</v>
      </c>
      <c r="K60" s="185" t="s">
        <v>1922</v>
      </c>
      <c r="L60" s="147">
        <v>0.4</v>
      </c>
      <c r="M60" s="1259" t="s">
        <v>1873</v>
      </c>
      <c r="N60" s="145">
        <v>1930553.94</v>
      </c>
      <c r="O60" s="145">
        <v>1929991.17</v>
      </c>
      <c r="P60" s="145">
        <v>1929991.17</v>
      </c>
      <c r="Q60" s="145">
        <v>1930553.94</v>
      </c>
      <c r="R60" s="1260" t="s">
        <v>1932</v>
      </c>
      <c r="S60" s="145">
        <v>772221.58</v>
      </c>
      <c r="T60" s="150" t="s">
        <v>1965</v>
      </c>
      <c r="U60" s="1260" t="s">
        <v>1875</v>
      </c>
      <c r="V60" s="145">
        <v>385998.234</v>
      </c>
      <c r="W60" s="1260" t="s">
        <v>1876</v>
      </c>
      <c r="X60" s="153">
        <v>385998.234</v>
      </c>
      <c r="Y60" s="154"/>
    </row>
    <row r="61" s="80" customFormat="1" ht="37.5" customHeight="1" spans="1:25">
      <c r="A61" s="138">
        <f t="shared" si="4"/>
        <v>54</v>
      </c>
      <c r="B61" s="138">
        <v>2022</v>
      </c>
      <c r="C61" s="138" t="s">
        <v>1895</v>
      </c>
      <c r="D61" s="140" t="s">
        <v>1966</v>
      </c>
      <c r="E61" s="141" t="s">
        <v>1967</v>
      </c>
      <c r="F61" s="142" t="s">
        <v>1148</v>
      </c>
      <c r="G61" s="143" t="s">
        <v>1610</v>
      </c>
      <c r="H61" s="147">
        <v>1</v>
      </c>
      <c r="I61" s="145">
        <v>700000</v>
      </c>
      <c r="J61" s="1258" t="s">
        <v>1968</v>
      </c>
      <c r="K61" s="185" t="s">
        <v>1969</v>
      </c>
      <c r="L61" s="147">
        <v>0.4</v>
      </c>
      <c r="M61" s="1259" t="s">
        <v>1970</v>
      </c>
      <c r="N61" s="145">
        <v>613950.9</v>
      </c>
      <c r="O61" s="145">
        <v>613950.9</v>
      </c>
      <c r="P61" s="145">
        <f>O61*H61</f>
        <v>613950.9</v>
      </c>
      <c r="Q61" s="145">
        <v>613950.9</v>
      </c>
      <c r="R61" s="1260" t="s">
        <v>1847</v>
      </c>
      <c r="S61" s="145">
        <v>245580.36</v>
      </c>
      <c r="T61" s="150" t="s">
        <v>1933</v>
      </c>
      <c r="U61" s="1260" t="s">
        <v>1875</v>
      </c>
      <c r="V61" s="186">
        <v>122790.18</v>
      </c>
      <c r="W61" s="1260" t="s">
        <v>1876</v>
      </c>
      <c r="X61" s="153">
        <v>122790.18</v>
      </c>
      <c r="Y61" s="154"/>
    </row>
    <row r="62" s="80" customFormat="1" ht="37.5" customHeight="1" spans="1:25">
      <c r="A62" s="138">
        <f t="shared" si="4"/>
        <v>55</v>
      </c>
      <c r="B62" s="138">
        <v>2022</v>
      </c>
      <c r="C62" s="138" t="s">
        <v>31</v>
      </c>
      <c r="D62" s="140" t="s">
        <v>1971</v>
      </c>
      <c r="E62" s="141" t="s">
        <v>1972</v>
      </c>
      <c r="F62" s="142" t="s">
        <v>1973</v>
      </c>
      <c r="G62" s="143" t="s">
        <v>1610</v>
      </c>
      <c r="H62" s="147">
        <v>1</v>
      </c>
      <c r="I62" s="145">
        <v>3200000</v>
      </c>
      <c r="J62" s="1258" t="s">
        <v>1974</v>
      </c>
      <c r="K62" s="185" t="s">
        <v>1873</v>
      </c>
      <c r="L62" s="147">
        <v>0.4</v>
      </c>
      <c r="M62" s="1259" t="s">
        <v>1975</v>
      </c>
      <c r="N62" s="145">
        <v>3278926.06</v>
      </c>
      <c r="O62" s="145">
        <v>3200000</v>
      </c>
      <c r="P62" s="145">
        <f>O62*H62</f>
        <v>3200000</v>
      </c>
      <c r="Q62" s="145">
        <v>3278926.06</v>
      </c>
      <c r="R62" s="1260" t="s">
        <v>1959</v>
      </c>
      <c r="S62" s="145">
        <v>1311570.42</v>
      </c>
      <c r="T62" s="150" t="s">
        <v>1952</v>
      </c>
      <c r="U62" s="1260" t="s">
        <v>1875</v>
      </c>
      <c r="V62" s="186">
        <v>640000</v>
      </c>
      <c r="W62" s="1260" t="s">
        <v>1876</v>
      </c>
      <c r="X62" s="153">
        <v>640000</v>
      </c>
      <c r="Y62" s="154"/>
    </row>
    <row r="63" s="80" customFormat="1" ht="37.5" customHeight="1" spans="1:25">
      <c r="A63" s="138">
        <f t="shared" si="4"/>
        <v>56</v>
      </c>
      <c r="B63" s="138">
        <v>2022</v>
      </c>
      <c r="C63" s="138" t="s">
        <v>28</v>
      </c>
      <c r="D63" s="140" t="s">
        <v>1976</v>
      </c>
      <c r="E63" s="1255" t="s">
        <v>1977</v>
      </c>
      <c r="F63" s="142" t="s">
        <v>1978</v>
      </c>
      <c r="G63" s="143" t="s">
        <v>1610</v>
      </c>
      <c r="H63" s="147">
        <v>1</v>
      </c>
      <c r="I63" s="145">
        <v>400000</v>
      </c>
      <c r="J63" s="185" t="s">
        <v>1979</v>
      </c>
      <c r="K63" s="1258" t="s">
        <v>1873</v>
      </c>
      <c r="L63" s="147">
        <v>0.4</v>
      </c>
      <c r="M63" s="1259" t="s">
        <v>1980</v>
      </c>
      <c r="N63" s="145">
        <v>400783.26</v>
      </c>
      <c r="O63" s="145">
        <v>400000</v>
      </c>
      <c r="P63" s="145">
        <v>400000</v>
      </c>
      <c r="Q63" s="145">
        <v>400783.26</v>
      </c>
      <c r="R63" s="1260" t="s">
        <v>1965</v>
      </c>
      <c r="S63" s="145">
        <v>160313.3</v>
      </c>
      <c r="T63" s="150" t="s">
        <v>1981</v>
      </c>
      <c r="U63" s="1260" t="s">
        <v>1876</v>
      </c>
      <c r="V63" s="186">
        <v>80000</v>
      </c>
      <c r="W63" s="1260" t="s">
        <v>1876</v>
      </c>
      <c r="X63" s="153">
        <v>80000</v>
      </c>
      <c r="Y63" s="154"/>
    </row>
    <row r="64" s="80" customFormat="1" ht="37.5" customHeight="1" spans="1:25">
      <c r="A64" s="138">
        <f t="shared" si="4"/>
        <v>57</v>
      </c>
      <c r="B64" s="138">
        <v>2022</v>
      </c>
      <c r="C64" s="138" t="s">
        <v>1982</v>
      </c>
      <c r="D64" s="140" t="s">
        <v>1983</v>
      </c>
      <c r="E64" s="141" t="s">
        <v>1984</v>
      </c>
      <c r="F64" s="142" t="s">
        <v>1985</v>
      </c>
      <c r="G64" s="143" t="s">
        <v>1610</v>
      </c>
      <c r="H64" s="147">
        <v>1</v>
      </c>
      <c r="I64" s="145">
        <v>5000000</v>
      </c>
      <c r="J64" s="1258" t="s">
        <v>1986</v>
      </c>
      <c r="K64" s="185" t="s">
        <v>1975</v>
      </c>
      <c r="L64" s="147">
        <v>0.4</v>
      </c>
      <c r="M64" s="1259" t="s">
        <v>1980</v>
      </c>
      <c r="N64" s="145">
        <v>4547834.46</v>
      </c>
      <c r="O64" s="145">
        <v>4547834.46</v>
      </c>
      <c r="P64" s="145">
        <f t="shared" ref="P64:P127" si="5">O64*H64</f>
        <v>4547834.46</v>
      </c>
      <c r="Q64" s="145">
        <v>4547834.46</v>
      </c>
      <c r="R64" s="1260" t="s">
        <v>1987</v>
      </c>
      <c r="S64" s="145">
        <v>596800</v>
      </c>
      <c r="T64" s="150" t="s">
        <v>1988</v>
      </c>
      <c r="U64" s="1260" t="s">
        <v>1875</v>
      </c>
      <c r="V64" s="186">
        <v>298400</v>
      </c>
      <c r="W64" s="1260" t="s">
        <v>1876</v>
      </c>
      <c r="X64" s="153">
        <v>298400</v>
      </c>
      <c r="Y64" s="154"/>
    </row>
    <row r="65" s="80" customFormat="1" ht="37.5" customHeight="1" spans="1:25">
      <c r="A65" s="138">
        <f t="shared" si="4"/>
        <v>58</v>
      </c>
      <c r="B65" s="138">
        <v>2022</v>
      </c>
      <c r="C65" s="189" t="s">
        <v>28</v>
      </c>
      <c r="D65" s="140" t="s">
        <v>1989</v>
      </c>
      <c r="E65" s="141" t="s">
        <v>1990</v>
      </c>
      <c r="F65" s="142" t="s">
        <v>1991</v>
      </c>
      <c r="G65" s="143" t="s">
        <v>1610</v>
      </c>
      <c r="H65" s="147">
        <v>1</v>
      </c>
      <c r="I65" s="145">
        <v>700000</v>
      </c>
      <c r="J65" s="185" t="s">
        <v>1992</v>
      </c>
      <c r="K65" s="185" t="s">
        <v>1993</v>
      </c>
      <c r="L65" s="147">
        <v>0.4</v>
      </c>
      <c r="M65" s="1259" t="s">
        <v>1994</v>
      </c>
      <c r="N65" s="145">
        <v>708679.44</v>
      </c>
      <c r="O65" s="145">
        <v>695074.32</v>
      </c>
      <c r="P65" s="145">
        <f t="shared" si="5"/>
        <v>695074.32</v>
      </c>
      <c r="Q65" s="145">
        <f>N65</f>
        <v>708679.44</v>
      </c>
      <c r="R65" s="1260" t="s">
        <v>1995</v>
      </c>
      <c r="S65" s="145">
        <v>283471.78</v>
      </c>
      <c r="T65" s="150" t="s">
        <v>1988</v>
      </c>
      <c r="U65" s="1260" t="s">
        <v>1875</v>
      </c>
      <c r="V65" s="186">
        <v>139014.864</v>
      </c>
      <c r="W65" s="1260" t="s">
        <v>1876</v>
      </c>
      <c r="X65" s="153">
        <v>139014.864</v>
      </c>
      <c r="Y65" s="154"/>
    </row>
    <row r="66" s="80" customFormat="1" ht="37.5" customHeight="1" spans="1:25">
      <c r="A66" s="138">
        <f t="shared" si="4"/>
        <v>59</v>
      </c>
      <c r="B66" s="138">
        <v>2022</v>
      </c>
      <c r="C66" s="189" t="s">
        <v>22</v>
      </c>
      <c r="D66" s="140" t="s">
        <v>1996</v>
      </c>
      <c r="E66" s="141" t="s">
        <v>1997</v>
      </c>
      <c r="F66" s="142" t="s">
        <v>1936</v>
      </c>
      <c r="G66" s="143" t="s">
        <v>1610</v>
      </c>
      <c r="H66" s="147">
        <v>1</v>
      </c>
      <c r="I66" s="145">
        <v>5000000</v>
      </c>
      <c r="J66" s="185" t="s">
        <v>1998</v>
      </c>
      <c r="K66" s="185" t="s">
        <v>1999</v>
      </c>
      <c r="L66" s="147">
        <v>0.4</v>
      </c>
      <c r="M66" s="1259" t="s">
        <v>2000</v>
      </c>
      <c r="N66" s="145">
        <v>5086854.38</v>
      </c>
      <c r="O66" s="145">
        <f>500*10000</f>
        <v>5000000</v>
      </c>
      <c r="P66" s="145">
        <f t="shared" si="5"/>
        <v>5000000</v>
      </c>
      <c r="Q66" s="145">
        <f>N66</f>
        <v>5086854.38</v>
      </c>
      <c r="R66" s="1260" t="s">
        <v>2001</v>
      </c>
      <c r="S66" s="145">
        <f>Q66*0.4</f>
        <v>2034741.752</v>
      </c>
      <c r="T66" s="150" t="s">
        <v>2002</v>
      </c>
      <c r="U66" s="1260" t="s">
        <v>1875</v>
      </c>
      <c r="V66" s="186">
        <v>1000000</v>
      </c>
      <c r="W66" s="1260" t="s">
        <v>1876</v>
      </c>
      <c r="X66" s="153">
        <v>1000000</v>
      </c>
      <c r="Y66" s="154"/>
    </row>
    <row r="67" s="80" customFormat="1" ht="37.5" customHeight="1" spans="1:25">
      <c r="A67" s="138">
        <f t="shared" si="4"/>
        <v>60</v>
      </c>
      <c r="B67" s="138">
        <v>2022</v>
      </c>
      <c r="C67" s="189" t="s">
        <v>22</v>
      </c>
      <c r="D67" s="140" t="s">
        <v>1996</v>
      </c>
      <c r="E67" s="141" t="s">
        <v>2003</v>
      </c>
      <c r="F67" s="142" t="s">
        <v>1641</v>
      </c>
      <c r="G67" s="143" t="s">
        <v>1610</v>
      </c>
      <c r="H67" s="147">
        <v>1</v>
      </c>
      <c r="I67" s="145">
        <v>5000000</v>
      </c>
      <c r="J67" s="185" t="s">
        <v>2004</v>
      </c>
      <c r="K67" s="185" t="s">
        <v>1922</v>
      </c>
      <c r="L67" s="147">
        <v>0.4</v>
      </c>
      <c r="M67" s="1259" t="s">
        <v>2000</v>
      </c>
      <c r="N67" s="145">
        <v>5113054.81</v>
      </c>
      <c r="O67" s="145">
        <f>500*10000</f>
        <v>5000000</v>
      </c>
      <c r="P67" s="145">
        <f t="shared" si="5"/>
        <v>5000000</v>
      </c>
      <c r="Q67" s="145">
        <f>N67</f>
        <v>5113054.81</v>
      </c>
      <c r="R67" s="1260" t="s">
        <v>2001</v>
      </c>
      <c r="S67" s="145">
        <f>Q67*0.4</f>
        <v>2045221.924</v>
      </c>
      <c r="T67" s="150" t="s">
        <v>2002</v>
      </c>
      <c r="U67" s="1260" t="s">
        <v>1875</v>
      </c>
      <c r="V67" s="186">
        <v>1000000</v>
      </c>
      <c r="W67" s="1260" t="s">
        <v>1876</v>
      </c>
      <c r="X67" s="153">
        <v>1000000</v>
      </c>
      <c r="Y67" s="154"/>
    </row>
    <row r="68" s="80" customFormat="1" ht="37.5" customHeight="1" spans="1:25">
      <c r="A68" s="138">
        <f t="shared" si="4"/>
        <v>61</v>
      </c>
      <c r="B68" s="138">
        <v>2022</v>
      </c>
      <c r="C68" s="189" t="s">
        <v>28</v>
      </c>
      <c r="D68" s="140" t="s">
        <v>2005</v>
      </c>
      <c r="E68" s="190" t="s">
        <v>2006</v>
      </c>
      <c r="F68" s="142" t="s">
        <v>2007</v>
      </c>
      <c r="G68" s="143" t="s">
        <v>1610</v>
      </c>
      <c r="H68" s="147">
        <v>1</v>
      </c>
      <c r="I68" s="145">
        <v>400000</v>
      </c>
      <c r="J68" s="185" t="s">
        <v>1994</v>
      </c>
      <c r="K68" s="185" t="s">
        <v>2008</v>
      </c>
      <c r="L68" s="147">
        <v>0.4</v>
      </c>
      <c r="M68" s="1259" t="s">
        <v>2009</v>
      </c>
      <c r="N68" s="145">
        <v>403134.71</v>
      </c>
      <c r="O68" s="145">
        <v>400000</v>
      </c>
      <c r="P68" s="145">
        <f t="shared" si="5"/>
        <v>400000</v>
      </c>
      <c r="Q68" s="145">
        <v>403134.71</v>
      </c>
      <c r="R68" s="1260" t="s">
        <v>2010</v>
      </c>
      <c r="S68" s="145">
        <v>161253.88</v>
      </c>
      <c r="T68" s="150" t="s">
        <v>2011</v>
      </c>
      <c r="U68" s="1260" t="s">
        <v>1875</v>
      </c>
      <c r="V68" s="186">
        <v>80000</v>
      </c>
      <c r="W68" s="1260" t="s">
        <v>1876</v>
      </c>
      <c r="X68" s="153">
        <v>80000</v>
      </c>
      <c r="Y68" s="154"/>
    </row>
    <row r="69" s="80" customFormat="1" ht="37.5" customHeight="1" spans="1:25">
      <c r="A69" s="138">
        <f t="shared" si="4"/>
        <v>62</v>
      </c>
      <c r="B69" s="138">
        <v>2022</v>
      </c>
      <c r="C69" s="189" t="s">
        <v>37</v>
      </c>
      <c r="D69" s="140" t="s">
        <v>2012</v>
      </c>
      <c r="E69" s="141" t="s">
        <v>2013</v>
      </c>
      <c r="F69" s="142" t="s">
        <v>2014</v>
      </c>
      <c r="G69" s="143" t="s">
        <v>1610</v>
      </c>
      <c r="H69" s="147">
        <v>1</v>
      </c>
      <c r="I69" s="145">
        <v>4000000</v>
      </c>
      <c r="J69" s="185" t="s">
        <v>1783</v>
      </c>
      <c r="K69" s="185" t="s">
        <v>2015</v>
      </c>
      <c r="L69" s="147">
        <v>0.4</v>
      </c>
      <c r="M69" s="1259" t="s">
        <v>2016</v>
      </c>
      <c r="N69" s="145">
        <v>4000000</v>
      </c>
      <c r="O69" s="145">
        <f>N69</f>
        <v>4000000</v>
      </c>
      <c r="P69" s="145">
        <f t="shared" si="5"/>
        <v>4000000</v>
      </c>
      <c r="Q69" s="145">
        <f>O69</f>
        <v>4000000</v>
      </c>
      <c r="R69" s="1260" t="s">
        <v>2010</v>
      </c>
      <c r="S69" s="145">
        <v>1600000</v>
      </c>
      <c r="T69" s="150" t="s">
        <v>2011</v>
      </c>
      <c r="U69" s="1260" t="s">
        <v>1875</v>
      </c>
      <c r="V69" s="186">
        <v>800000</v>
      </c>
      <c r="W69" s="1260" t="s">
        <v>1876</v>
      </c>
      <c r="X69" s="153">
        <v>800000</v>
      </c>
      <c r="Y69" s="154"/>
    </row>
    <row r="70" s="80" customFormat="1" ht="37.5" customHeight="1" spans="1:25">
      <c r="A70" s="138">
        <f t="shared" si="4"/>
        <v>63</v>
      </c>
      <c r="B70" s="138">
        <v>2022</v>
      </c>
      <c r="C70" s="189" t="s">
        <v>133</v>
      </c>
      <c r="D70" s="140" t="s">
        <v>2017</v>
      </c>
      <c r="E70" s="141" t="s">
        <v>2018</v>
      </c>
      <c r="F70" s="142" t="s">
        <v>2019</v>
      </c>
      <c r="G70" s="143" t="s">
        <v>1610</v>
      </c>
      <c r="H70" s="147">
        <v>1</v>
      </c>
      <c r="I70" s="145">
        <v>1000000</v>
      </c>
      <c r="J70" s="185" t="s">
        <v>1899</v>
      </c>
      <c r="K70" s="185" t="s">
        <v>2020</v>
      </c>
      <c r="L70" s="147">
        <v>0.4</v>
      </c>
      <c r="M70" s="1259" t="s">
        <v>2020</v>
      </c>
      <c r="N70" s="145">
        <v>898870</v>
      </c>
      <c r="O70" s="145">
        <v>898870</v>
      </c>
      <c r="P70" s="145">
        <f t="shared" si="5"/>
        <v>898870</v>
      </c>
      <c r="Q70" s="145">
        <v>898870</v>
      </c>
      <c r="R70" s="1260" t="s">
        <v>2021</v>
      </c>
      <c r="S70" s="145">
        <v>359548</v>
      </c>
      <c r="T70" s="150" t="s">
        <v>2011</v>
      </c>
      <c r="U70" s="1260" t="s">
        <v>1875</v>
      </c>
      <c r="V70" s="186">
        <v>179774</v>
      </c>
      <c r="W70" s="1260" t="s">
        <v>1876</v>
      </c>
      <c r="X70" s="153">
        <v>179774</v>
      </c>
      <c r="Y70" s="154"/>
    </row>
    <row r="71" s="80" customFormat="1" ht="37.5" customHeight="1" spans="1:25">
      <c r="A71" s="138">
        <f t="shared" si="4"/>
        <v>64</v>
      </c>
      <c r="B71" s="138">
        <v>2022</v>
      </c>
      <c r="C71" s="189" t="s">
        <v>22</v>
      </c>
      <c r="D71" s="140" t="s">
        <v>2022</v>
      </c>
      <c r="E71" s="190" t="s">
        <v>2023</v>
      </c>
      <c r="F71" s="142" t="s">
        <v>1828</v>
      </c>
      <c r="G71" s="143" t="s">
        <v>1781</v>
      </c>
      <c r="H71" s="147">
        <v>1</v>
      </c>
      <c r="I71" s="145">
        <v>1800000</v>
      </c>
      <c r="J71" s="185" t="s">
        <v>1979</v>
      </c>
      <c r="K71" s="185" t="s">
        <v>2024</v>
      </c>
      <c r="L71" s="147">
        <v>0.5</v>
      </c>
      <c r="M71" s="1259" t="s">
        <v>2025</v>
      </c>
      <c r="N71" s="145">
        <v>1826294.15</v>
      </c>
      <c r="O71" s="145">
        <v>1799969.53</v>
      </c>
      <c r="P71" s="145">
        <f t="shared" si="5"/>
        <v>1799969.53</v>
      </c>
      <c r="Q71" s="145">
        <v>1826294.15</v>
      </c>
      <c r="R71" s="1260" t="s">
        <v>2026</v>
      </c>
      <c r="S71" s="145">
        <v>913147.08</v>
      </c>
      <c r="T71" s="150" t="s">
        <v>2027</v>
      </c>
      <c r="U71" s="1260" t="s">
        <v>2028</v>
      </c>
      <c r="V71" s="186">
        <v>539990.86</v>
      </c>
      <c r="W71" s="184" t="s">
        <v>2029</v>
      </c>
      <c r="X71" s="153">
        <v>539990.86</v>
      </c>
      <c r="Y71" s="154"/>
    </row>
    <row r="72" s="80" customFormat="1" ht="37.5" customHeight="1" spans="1:25">
      <c r="A72" s="138">
        <f t="shared" si="4"/>
        <v>65</v>
      </c>
      <c r="B72" s="138">
        <v>2022</v>
      </c>
      <c r="C72" s="189" t="s">
        <v>147</v>
      </c>
      <c r="D72" s="140" t="s">
        <v>2030</v>
      </c>
      <c r="E72" s="190" t="s">
        <v>2031</v>
      </c>
      <c r="F72" s="142" t="s">
        <v>2032</v>
      </c>
      <c r="G72" s="143" t="s">
        <v>1610</v>
      </c>
      <c r="H72" s="147">
        <v>1</v>
      </c>
      <c r="I72" s="145">
        <v>4000000</v>
      </c>
      <c r="J72" s="185" t="s">
        <v>2033</v>
      </c>
      <c r="K72" s="185" t="s">
        <v>2034</v>
      </c>
      <c r="L72" s="147">
        <v>0.4</v>
      </c>
      <c r="M72" s="1259" t="s">
        <v>2034</v>
      </c>
      <c r="N72" s="145">
        <v>3985024.97</v>
      </c>
      <c r="O72" s="145">
        <f>N72</f>
        <v>3985024.97</v>
      </c>
      <c r="P72" s="145">
        <f t="shared" si="5"/>
        <v>3985024.97</v>
      </c>
      <c r="Q72" s="145">
        <f>N72</f>
        <v>3985024.97</v>
      </c>
      <c r="R72" s="1260" t="s">
        <v>2027</v>
      </c>
      <c r="S72" s="145">
        <v>1594009.99</v>
      </c>
      <c r="T72" s="150" t="s">
        <v>2035</v>
      </c>
      <c r="U72" s="1260" t="s">
        <v>2028</v>
      </c>
      <c r="V72" s="186">
        <v>797005</v>
      </c>
      <c r="W72" s="184" t="s">
        <v>2029</v>
      </c>
      <c r="X72" s="153">
        <v>797005</v>
      </c>
      <c r="Y72" s="154"/>
    </row>
    <row r="73" s="80" customFormat="1" ht="33" customHeight="1" spans="1:25">
      <c r="A73" s="138">
        <f t="shared" si="4"/>
        <v>66</v>
      </c>
      <c r="B73" s="138">
        <v>2022</v>
      </c>
      <c r="C73" s="189" t="s">
        <v>22</v>
      </c>
      <c r="D73" s="140" t="s">
        <v>2036</v>
      </c>
      <c r="E73" s="190" t="s">
        <v>2037</v>
      </c>
      <c r="F73" s="142" t="s">
        <v>1788</v>
      </c>
      <c r="G73" s="143" t="s">
        <v>1610</v>
      </c>
      <c r="H73" s="144">
        <v>0.8</v>
      </c>
      <c r="I73" s="145">
        <v>1500000</v>
      </c>
      <c r="J73" s="185" t="s">
        <v>2038</v>
      </c>
      <c r="K73" s="185" t="s">
        <v>1865</v>
      </c>
      <c r="L73" s="147">
        <v>0.5</v>
      </c>
      <c r="M73" s="1259" t="s">
        <v>2039</v>
      </c>
      <c r="N73" s="145">
        <v>1499220.75</v>
      </c>
      <c r="O73" s="145">
        <v>1463183.14</v>
      </c>
      <c r="P73" s="145">
        <f t="shared" si="5"/>
        <v>1170546.512</v>
      </c>
      <c r="Q73" s="145">
        <v>1199376.6</v>
      </c>
      <c r="R73" s="1260" t="s">
        <v>2026</v>
      </c>
      <c r="S73" s="145">
        <v>749610.38</v>
      </c>
      <c r="T73" s="150" t="s">
        <v>2027</v>
      </c>
      <c r="U73" s="1260" t="s">
        <v>2028</v>
      </c>
      <c r="V73" s="186">
        <v>439854.94</v>
      </c>
      <c r="W73" s="184" t="s">
        <v>2029</v>
      </c>
      <c r="X73" s="153">
        <v>439854.94</v>
      </c>
      <c r="Y73" s="154"/>
    </row>
    <row r="74" s="80" customFormat="1" ht="37.5" customHeight="1" spans="1:25">
      <c r="A74" s="138">
        <f t="shared" si="4"/>
        <v>67</v>
      </c>
      <c r="B74" s="138">
        <v>2022</v>
      </c>
      <c r="C74" s="189" t="s">
        <v>22</v>
      </c>
      <c r="D74" s="140" t="s">
        <v>2040</v>
      </c>
      <c r="E74" s="190" t="s">
        <v>2041</v>
      </c>
      <c r="F74" s="142" t="s">
        <v>1641</v>
      </c>
      <c r="G74" s="143" t="s">
        <v>1610</v>
      </c>
      <c r="H74" s="144">
        <v>1</v>
      </c>
      <c r="I74" s="145">
        <v>2000000</v>
      </c>
      <c r="J74" s="185" t="s">
        <v>2042</v>
      </c>
      <c r="K74" s="185" t="s">
        <v>1975</v>
      </c>
      <c r="L74" s="147">
        <v>0.4</v>
      </c>
      <c r="M74" s="1259" t="s">
        <v>2025</v>
      </c>
      <c r="N74" s="145">
        <v>2060005.83</v>
      </c>
      <c r="O74" s="145">
        <v>2000000</v>
      </c>
      <c r="P74" s="145">
        <f t="shared" si="5"/>
        <v>2000000</v>
      </c>
      <c r="Q74" s="145">
        <v>2060005.83</v>
      </c>
      <c r="R74" s="1260" t="s">
        <v>2026</v>
      </c>
      <c r="S74" s="145">
        <v>824002.33</v>
      </c>
      <c r="T74" s="150" t="s">
        <v>2027</v>
      </c>
      <c r="U74" s="1260" t="s">
        <v>2028</v>
      </c>
      <c r="V74" s="186">
        <v>400000</v>
      </c>
      <c r="W74" s="184" t="s">
        <v>2029</v>
      </c>
      <c r="X74" s="153">
        <v>400000</v>
      </c>
      <c r="Y74" s="154"/>
    </row>
    <row r="75" s="80" customFormat="1" ht="37.5" customHeight="1" spans="1:25">
      <c r="A75" s="138">
        <f t="shared" si="4"/>
        <v>68</v>
      </c>
      <c r="B75" s="138">
        <v>2022</v>
      </c>
      <c r="C75" s="189" t="s">
        <v>25</v>
      </c>
      <c r="D75" s="140" t="s">
        <v>2043</v>
      </c>
      <c r="E75" s="190" t="s">
        <v>2044</v>
      </c>
      <c r="F75" s="142" t="s">
        <v>2045</v>
      </c>
      <c r="G75" s="143" t="s">
        <v>1610</v>
      </c>
      <c r="H75" s="144">
        <v>1</v>
      </c>
      <c r="I75" s="145">
        <v>3950000</v>
      </c>
      <c r="J75" s="185" t="s">
        <v>1717</v>
      </c>
      <c r="K75" s="185" t="s">
        <v>1939</v>
      </c>
      <c r="L75" s="147">
        <v>0.4</v>
      </c>
      <c r="M75" s="1259" t="s">
        <v>2025</v>
      </c>
      <c r="N75" s="145">
        <v>4189920.09</v>
      </c>
      <c r="O75" s="145">
        <v>3950000</v>
      </c>
      <c r="P75" s="145">
        <f t="shared" si="5"/>
        <v>3950000</v>
      </c>
      <c r="Q75" s="145">
        <v>4189920.09</v>
      </c>
      <c r="R75" s="1260" t="s">
        <v>2046</v>
      </c>
      <c r="S75" s="145">
        <v>1675968.04</v>
      </c>
      <c r="T75" s="150" t="s">
        <v>2047</v>
      </c>
      <c r="U75" s="1260" t="s">
        <v>2048</v>
      </c>
      <c r="V75" s="186">
        <v>790000</v>
      </c>
      <c r="W75" s="1260" t="s">
        <v>2049</v>
      </c>
      <c r="X75" s="153">
        <v>790000</v>
      </c>
      <c r="Y75" s="154"/>
    </row>
    <row r="76" s="80" customFormat="1" ht="37.5" customHeight="1" spans="1:25">
      <c r="A76" s="138">
        <f t="shared" si="4"/>
        <v>69</v>
      </c>
      <c r="B76" s="138">
        <v>2022</v>
      </c>
      <c r="C76" s="189" t="s">
        <v>28</v>
      </c>
      <c r="D76" s="140" t="s">
        <v>2050</v>
      </c>
      <c r="E76" s="190" t="s">
        <v>2051</v>
      </c>
      <c r="F76" s="142" t="s">
        <v>1909</v>
      </c>
      <c r="G76" s="143" t="s">
        <v>1610</v>
      </c>
      <c r="H76" s="144">
        <v>1</v>
      </c>
      <c r="I76" s="145">
        <v>500000</v>
      </c>
      <c r="J76" s="185" t="s">
        <v>2052</v>
      </c>
      <c r="K76" s="185" t="s">
        <v>2053</v>
      </c>
      <c r="L76" s="147">
        <v>0.4</v>
      </c>
      <c r="M76" s="1259" t="s">
        <v>2054</v>
      </c>
      <c r="N76" s="145">
        <v>506799.2</v>
      </c>
      <c r="O76" s="145">
        <v>500000</v>
      </c>
      <c r="P76" s="145">
        <f t="shared" si="5"/>
        <v>500000</v>
      </c>
      <c r="Q76" s="145">
        <v>506799.2</v>
      </c>
      <c r="R76" s="1260" t="s">
        <v>2046</v>
      </c>
      <c r="S76" s="145">
        <v>202719.69</v>
      </c>
      <c r="T76" s="150" t="s">
        <v>2047</v>
      </c>
      <c r="U76" s="1260" t="s">
        <v>2048</v>
      </c>
      <c r="V76" s="186">
        <v>100000</v>
      </c>
      <c r="W76" s="1260" t="s">
        <v>2055</v>
      </c>
      <c r="X76" s="153">
        <v>100000</v>
      </c>
      <c r="Y76" s="154"/>
    </row>
    <row r="77" s="80" customFormat="1" ht="37.5" customHeight="1" spans="1:25">
      <c r="A77" s="138">
        <f t="shared" si="4"/>
        <v>70</v>
      </c>
      <c r="B77" s="138">
        <v>2022</v>
      </c>
      <c r="C77" s="189" t="s">
        <v>28</v>
      </c>
      <c r="D77" s="140" t="s">
        <v>2056</v>
      </c>
      <c r="E77" s="190" t="s">
        <v>2057</v>
      </c>
      <c r="F77" s="142" t="s">
        <v>1920</v>
      </c>
      <c r="G77" s="143" t="s">
        <v>1610</v>
      </c>
      <c r="H77" s="144">
        <v>1</v>
      </c>
      <c r="I77" s="145">
        <v>200000</v>
      </c>
      <c r="J77" s="185" t="s">
        <v>2058</v>
      </c>
      <c r="K77" s="185" t="s">
        <v>2059</v>
      </c>
      <c r="L77" s="147">
        <v>0.4</v>
      </c>
      <c r="M77" s="1259" t="s">
        <v>2060</v>
      </c>
      <c r="N77" s="145">
        <v>204623.12</v>
      </c>
      <c r="O77" s="145">
        <v>200000</v>
      </c>
      <c r="P77" s="145">
        <f t="shared" si="5"/>
        <v>200000</v>
      </c>
      <c r="Q77" s="145">
        <v>204623.12</v>
      </c>
      <c r="R77" s="1260" t="s">
        <v>1876</v>
      </c>
      <c r="S77" s="145">
        <v>81849.25</v>
      </c>
      <c r="T77" s="150" t="s">
        <v>2061</v>
      </c>
      <c r="U77" s="1260" t="s">
        <v>2062</v>
      </c>
      <c r="V77" s="186">
        <v>40000</v>
      </c>
      <c r="W77" s="1260" t="s">
        <v>2063</v>
      </c>
      <c r="X77" s="191">
        <v>40000</v>
      </c>
      <c r="Y77" s="154"/>
    </row>
    <row r="78" s="80" customFormat="1" ht="37.5" customHeight="1" spans="1:25">
      <c r="A78" s="138">
        <f t="shared" si="4"/>
        <v>71</v>
      </c>
      <c r="B78" s="138">
        <v>2022</v>
      </c>
      <c r="C78" s="189" t="s">
        <v>2064</v>
      </c>
      <c r="D78" s="140" t="s">
        <v>2065</v>
      </c>
      <c r="E78" s="190" t="s">
        <v>2066</v>
      </c>
      <c r="F78" s="142" t="s">
        <v>2067</v>
      </c>
      <c r="G78" s="143" t="s">
        <v>1610</v>
      </c>
      <c r="H78" s="144">
        <v>1</v>
      </c>
      <c r="I78" s="145">
        <v>150000</v>
      </c>
      <c r="J78" s="185" t="s">
        <v>2068</v>
      </c>
      <c r="K78" s="185" t="s">
        <v>2069</v>
      </c>
      <c r="L78" s="147">
        <v>0.4</v>
      </c>
      <c r="M78" s="1259" t="s">
        <v>2070</v>
      </c>
      <c r="N78" s="145">
        <v>153532.53</v>
      </c>
      <c r="O78" s="145">
        <v>149998.53</v>
      </c>
      <c r="P78" s="145">
        <f t="shared" si="5"/>
        <v>149998.53</v>
      </c>
      <c r="Q78" s="145">
        <v>153532.53</v>
      </c>
      <c r="R78" s="1260" t="s">
        <v>1876</v>
      </c>
      <c r="S78" s="145">
        <v>61413.01</v>
      </c>
      <c r="T78" s="150" t="s">
        <v>2027</v>
      </c>
      <c r="U78" s="1260" t="s">
        <v>2062</v>
      </c>
      <c r="V78" s="186">
        <v>29999.71</v>
      </c>
      <c r="W78" s="1260" t="s">
        <v>2063</v>
      </c>
      <c r="X78" s="191">
        <v>29999.71</v>
      </c>
      <c r="Y78" s="154"/>
    </row>
    <row r="79" ht="37.5" customHeight="1" spans="1:25">
      <c r="A79" s="192">
        <f t="shared" si="4"/>
        <v>72</v>
      </c>
      <c r="B79" s="192">
        <v>2022</v>
      </c>
      <c r="C79" s="193" t="s">
        <v>37</v>
      </c>
      <c r="D79" s="194" t="s">
        <v>2071</v>
      </c>
      <c r="E79" s="195" t="s">
        <v>2072</v>
      </c>
      <c r="F79" s="196" t="s">
        <v>2073</v>
      </c>
      <c r="G79" s="197" t="s">
        <v>1610</v>
      </c>
      <c r="H79" s="198">
        <v>0.8</v>
      </c>
      <c r="I79" s="199">
        <v>36530</v>
      </c>
      <c r="J79" s="200" t="s">
        <v>2074</v>
      </c>
      <c r="K79" s="200" t="s">
        <v>2075</v>
      </c>
      <c r="L79" s="201">
        <v>0.4</v>
      </c>
      <c r="M79" s="1261" t="s">
        <v>2076</v>
      </c>
      <c r="N79" s="199">
        <v>17916.625</v>
      </c>
      <c r="O79" s="199">
        <v>17916.625</v>
      </c>
      <c r="P79" s="199">
        <f t="shared" si="5"/>
        <v>14333.3</v>
      </c>
      <c r="Q79" s="199">
        <v>14333.3</v>
      </c>
      <c r="R79" s="1262" t="s">
        <v>1876</v>
      </c>
      <c r="S79" s="199">
        <v>7166.65</v>
      </c>
      <c r="T79" s="204" t="s">
        <v>1876</v>
      </c>
      <c r="U79" s="1262" t="s">
        <v>2048</v>
      </c>
      <c r="V79" s="205">
        <v>3583.33</v>
      </c>
      <c r="W79" s="1262" t="s">
        <v>2055</v>
      </c>
      <c r="X79" s="206">
        <v>3583.33</v>
      </c>
      <c r="Y79" s="207"/>
    </row>
    <row r="80" ht="33.75" customHeight="1" spans="1:25">
      <c r="A80" s="192">
        <f t="shared" si="4"/>
        <v>73</v>
      </c>
      <c r="B80" s="192">
        <v>2022</v>
      </c>
      <c r="C80" s="193" t="s">
        <v>37</v>
      </c>
      <c r="D80" s="194" t="s">
        <v>2077</v>
      </c>
      <c r="E80" s="195" t="s">
        <v>2078</v>
      </c>
      <c r="F80" s="196" t="s">
        <v>2073</v>
      </c>
      <c r="G80" s="197" t="s">
        <v>1610</v>
      </c>
      <c r="H80" s="198">
        <v>0.8</v>
      </c>
      <c r="I80" s="199">
        <v>81010</v>
      </c>
      <c r="J80" s="200" t="s">
        <v>2079</v>
      </c>
      <c r="K80" s="200" t="s">
        <v>2080</v>
      </c>
      <c r="L80" s="201">
        <v>0.4</v>
      </c>
      <c r="M80" s="1261" t="s">
        <v>2076</v>
      </c>
      <c r="N80" s="199">
        <v>8499.95</v>
      </c>
      <c r="O80" s="199">
        <v>8499.95</v>
      </c>
      <c r="P80" s="199">
        <f t="shared" si="5"/>
        <v>6799.96</v>
      </c>
      <c r="Q80" s="199">
        <v>6799.96</v>
      </c>
      <c r="R80" s="1262" t="s">
        <v>1876</v>
      </c>
      <c r="S80" s="199">
        <v>3399.98</v>
      </c>
      <c r="T80" s="204" t="s">
        <v>1876</v>
      </c>
      <c r="U80" s="1262" t="s">
        <v>2048</v>
      </c>
      <c r="V80" s="205">
        <v>1699.99</v>
      </c>
      <c r="W80" s="1262" t="s">
        <v>2055</v>
      </c>
      <c r="X80" s="206">
        <v>1699.99</v>
      </c>
      <c r="Y80" s="207"/>
    </row>
    <row r="81" ht="37.5" customHeight="1" spans="1:25">
      <c r="A81" s="192">
        <f t="shared" si="4"/>
        <v>74</v>
      </c>
      <c r="B81" s="192">
        <v>2022</v>
      </c>
      <c r="C81" s="193" t="s">
        <v>37</v>
      </c>
      <c r="D81" s="194" t="s">
        <v>2081</v>
      </c>
      <c r="E81" s="195" t="s">
        <v>2082</v>
      </c>
      <c r="F81" s="196" t="s">
        <v>2073</v>
      </c>
      <c r="G81" s="197" t="s">
        <v>1610</v>
      </c>
      <c r="H81" s="198">
        <v>0.8</v>
      </c>
      <c r="I81" s="199">
        <v>150980</v>
      </c>
      <c r="J81" s="200" t="s">
        <v>2083</v>
      </c>
      <c r="K81" s="200" t="s">
        <v>2084</v>
      </c>
      <c r="L81" s="201">
        <v>0.4</v>
      </c>
      <c r="M81" s="1261" t="s">
        <v>2009</v>
      </c>
      <c r="N81" s="199">
        <v>366.725</v>
      </c>
      <c r="O81" s="199">
        <v>366.725</v>
      </c>
      <c r="P81" s="199">
        <f t="shared" si="5"/>
        <v>293.38</v>
      </c>
      <c r="Q81" s="199">
        <v>293.38</v>
      </c>
      <c r="R81" s="1262" t="s">
        <v>1876</v>
      </c>
      <c r="S81" s="199">
        <v>146.69</v>
      </c>
      <c r="T81" s="204" t="s">
        <v>1876</v>
      </c>
      <c r="U81" s="1262" t="s">
        <v>2048</v>
      </c>
      <c r="V81" s="205">
        <v>73.35</v>
      </c>
      <c r="W81" s="1262" t="s">
        <v>2055</v>
      </c>
      <c r="X81" s="206">
        <v>73.35</v>
      </c>
      <c r="Y81" s="207"/>
    </row>
    <row r="82" ht="37.5" customHeight="1" spans="1:25">
      <c r="A82" s="192">
        <f t="shared" si="4"/>
        <v>75</v>
      </c>
      <c r="B82" s="192">
        <v>2022</v>
      </c>
      <c r="C82" s="193" t="s">
        <v>37</v>
      </c>
      <c r="D82" s="194" t="s">
        <v>2085</v>
      </c>
      <c r="E82" s="195" t="s">
        <v>2086</v>
      </c>
      <c r="F82" s="196" t="s">
        <v>2073</v>
      </c>
      <c r="G82" s="197" t="s">
        <v>1610</v>
      </c>
      <c r="H82" s="198">
        <v>0.8</v>
      </c>
      <c r="I82" s="199">
        <v>41590</v>
      </c>
      <c r="J82" s="200" t="s">
        <v>2083</v>
      </c>
      <c r="K82" s="200" t="s">
        <v>2084</v>
      </c>
      <c r="L82" s="201">
        <v>0.4</v>
      </c>
      <c r="M82" s="1261" t="s">
        <v>2087</v>
      </c>
      <c r="N82" s="199">
        <v>5750</v>
      </c>
      <c r="O82" s="199">
        <v>5750</v>
      </c>
      <c r="P82" s="199">
        <f t="shared" si="5"/>
        <v>4600</v>
      </c>
      <c r="Q82" s="199">
        <v>4600</v>
      </c>
      <c r="R82" s="200">
        <v>44756</v>
      </c>
      <c r="S82" s="199">
        <v>2300</v>
      </c>
      <c r="T82" s="204" t="s">
        <v>1876</v>
      </c>
      <c r="U82" s="1262" t="s">
        <v>2048</v>
      </c>
      <c r="V82" s="205">
        <v>1150</v>
      </c>
      <c r="W82" s="1262" t="s">
        <v>2055</v>
      </c>
      <c r="X82" s="206">
        <v>1150</v>
      </c>
      <c r="Y82" s="207"/>
    </row>
    <row r="83" ht="37.5" customHeight="1" spans="1:25">
      <c r="A83" s="192">
        <f t="shared" si="4"/>
        <v>76</v>
      </c>
      <c r="B83" s="192">
        <v>2022</v>
      </c>
      <c r="C83" s="193" t="s">
        <v>37</v>
      </c>
      <c r="D83" s="194" t="s">
        <v>2088</v>
      </c>
      <c r="E83" s="195" t="s">
        <v>2089</v>
      </c>
      <c r="F83" s="196" t="s">
        <v>2073</v>
      </c>
      <c r="G83" s="197" t="s">
        <v>1610</v>
      </c>
      <c r="H83" s="198">
        <v>0.8</v>
      </c>
      <c r="I83" s="199">
        <v>32400</v>
      </c>
      <c r="J83" s="200" t="s">
        <v>2083</v>
      </c>
      <c r="K83" s="200" t="s">
        <v>2084</v>
      </c>
      <c r="L83" s="201">
        <v>0.4</v>
      </c>
      <c r="M83" s="1261" t="s">
        <v>2076</v>
      </c>
      <c r="N83" s="199">
        <v>2799.95</v>
      </c>
      <c r="O83" s="199">
        <v>2799.95</v>
      </c>
      <c r="P83" s="199">
        <f t="shared" si="5"/>
        <v>2239.96</v>
      </c>
      <c r="Q83" s="199">
        <v>2239.96</v>
      </c>
      <c r="R83" s="200">
        <v>44756</v>
      </c>
      <c r="S83" s="199">
        <v>1119.98</v>
      </c>
      <c r="T83" s="204" t="s">
        <v>1876</v>
      </c>
      <c r="U83" s="1262" t="s">
        <v>2048</v>
      </c>
      <c r="V83" s="205">
        <v>559.99</v>
      </c>
      <c r="W83" s="1262" t="s">
        <v>2055</v>
      </c>
      <c r="X83" s="206">
        <v>559.99</v>
      </c>
      <c r="Y83" s="207"/>
    </row>
    <row r="84" ht="37.5" customHeight="1" spans="1:25">
      <c r="A84" s="192">
        <f t="shared" si="4"/>
        <v>77</v>
      </c>
      <c r="B84" s="192">
        <v>2022</v>
      </c>
      <c r="C84" s="193" t="s">
        <v>37</v>
      </c>
      <c r="D84" s="194" t="s">
        <v>2090</v>
      </c>
      <c r="E84" s="195" t="s">
        <v>2091</v>
      </c>
      <c r="F84" s="196" t="s">
        <v>2073</v>
      </c>
      <c r="G84" s="197" t="s">
        <v>1610</v>
      </c>
      <c r="H84" s="198">
        <v>0.8</v>
      </c>
      <c r="I84" s="199">
        <v>35000</v>
      </c>
      <c r="J84" s="200" t="s">
        <v>2083</v>
      </c>
      <c r="K84" s="200" t="s">
        <v>2084</v>
      </c>
      <c r="L84" s="201">
        <v>0.4</v>
      </c>
      <c r="M84" s="1261" t="s">
        <v>2092</v>
      </c>
      <c r="N84" s="199">
        <v>1336.4875</v>
      </c>
      <c r="O84" s="199">
        <v>1336.4875</v>
      </c>
      <c r="P84" s="199">
        <f t="shared" si="5"/>
        <v>1069.19</v>
      </c>
      <c r="Q84" s="199">
        <v>1069.19</v>
      </c>
      <c r="R84" s="200">
        <v>44756</v>
      </c>
      <c r="S84" s="199">
        <v>534.595</v>
      </c>
      <c r="T84" s="204" t="s">
        <v>1876</v>
      </c>
      <c r="U84" s="1262" t="s">
        <v>2048</v>
      </c>
      <c r="V84" s="205">
        <v>267.3</v>
      </c>
      <c r="W84" s="1262" t="s">
        <v>2055</v>
      </c>
      <c r="X84" s="206">
        <v>267.3</v>
      </c>
      <c r="Y84" s="207"/>
    </row>
    <row r="85" ht="37.5" customHeight="1" spans="1:25">
      <c r="A85" s="192">
        <f t="shared" si="4"/>
        <v>78</v>
      </c>
      <c r="B85" s="208">
        <v>2022</v>
      </c>
      <c r="C85" s="193" t="s">
        <v>37</v>
      </c>
      <c r="D85" s="194" t="s">
        <v>2093</v>
      </c>
      <c r="E85" s="195" t="s">
        <v>2094</v>
      </c>
      <c r="F85" s="196" t="s">
        <v>2073</v>
      </c>
      <c r="G85" s="197" t="s">
        <v>1610</v>
      </c>
      <c r="H85" s="198">
        <v>0.8</v>
      </c>
      <c r="I85" s="199">
        <v>50000</v>
      </c>
      <c r="J85" s="200" t="s">
        <v>2095</v>
      </c>
      <c r="K85" s="200" t="s">
        <v>2096</v>
      </c>
      <c r="L85" s="201">
        <v>0.4</v>
      </c>
      <c r="M85" s="1261" t="s">
        <v>2097</v>
      </c>
      <c r="N85" s="199">
        <v>1095.3375</v>
      </c>
      <c r="O85" s="199">
        <v>1095.3375</v>
      </c>
      <c r="P85" s="199">
        <f t="shared" si="5"/>
        <v>876.27</v>
      </c>
      <c r="Q85" s="199">
        <v>876.27</v>
      </c>
      <c r="R85" s="200">
        <v>44756</v>
      </c>
      <c r="S85" s="199">
        <v>438.135</v>
      </c>
      <c r="T85" s="204" t="s">
        <v>1876</v>
      </c>
      <c r="U85" s="1262" t="s">
        <v>2048</v>
      </c>
      <c r="V85" s="205">
        <v>219.07</v>
      </c>
      <c r="W85" s="1262" t="s">
        <v>2055</v>
      </c>
      <c r="X85" s="206">
        <v>219.07</v>
      </c>
      <c r="Y85" s="207"/>
    </row>
    <row r="86" ht="37.5" customHeight="1" spans="1:25">
      <c r="A86" s="192">
        <f t="shared" si="4"/>
        <v>79</v>
      </c>
      <c r="B86" s="208">
        <v>2022</v>
      </c>
      <c r="C86" s="193" t="s">
        <v>37</v>
      </c>
      <c r="D86" s="194" t="s">
        <v>2098</v>
      </c>
      <c r="E86" s="195" t="s">
        <v>2099</v>
      </c>
      <c r="F86" s="196" t="s">
        <v>2073</v>
      </c>
      <c r="G86" s="197" t="s">
        <v>1610</v>
      </c>
      <c r="H86" s="198">
        <v>0.8</v>
      </c>
      <c r="I86" s="199">
        <v>28070</v>
      </c>
      <c r="J86" s="200" t="s">
        <v>2095</v>
      </c>
      <c r="K86" s="200" t="s">
        <v>2096</v>
      </c>
      <c r="L86" s="201">
        <v>0.4</v>
      </c>
      <c r="M86" s="1261" t="s">
        <v>2039</v>
      </c>
      <c r="N86" s="199">
        <v>8000.0125</v>
      </c>
      <c r="O86" s="199">
        <v>8000.0125</v>
      </c>
      <c r="P86" s="199">
        <f t="shared" si="5"/>
        <v>6400.01</v>
      </c>
      <c r="Q86" s="199">
        <v>6400.01</v>
      </c>
      <c r="R86" s="200">
        <v>44756</v>
      </c>
      <c r="S86" s="199">
        <v>3200.005</v>
      </c>
      <c r="T86" s="204" t="s">
        <v>1876</v>
      </c>
      <c r="U86" s="1262" t="s">
        <v>2048</v>
      </c>
      <c r="V86" s="205">
        <v>1600</v>
      </c>
      <c r="W86" s="1262" t="s">
        <v>2055</v>
      </c>
      <c r="X86" s="206">
        <v>1600</v>
      </c>
      <c r="Y86" s="207"/>
    </row>
    <row r="87" ht="37.5" customHeight="1" spans="1:25">
      <c r="A87" s="192">
        <f t="shared" si="4"/>
        <v>80</v>
      </c>
      <c r="B87" s="208">
        <v>2022</v>
      </c>
      <c r="C87" s="193" t="s">
        <v>37</v>
      </c>
      <c r="D87" s="194" t="s">
        <v>2100</v>
      </c>
      <c r="E87" s="195" t="s">
        <v>2101</v>
      </c>
      <c r="F87" s="196" t="s">
        <v>2073</v>
      </c>
      <c r="G87" s="197" t="s">
        <v>1610</v>
      </c>
      <c r="H87" s="198">
        <v>0.8</v>
      </c>
      <c r="I87" s="199">
        <v>15000</v>
      </c>
      <c r="J87" s="200" t="s">
        <v>1824</v>
      </c>
      <c r="K87" s="200" t="s">
        <v>2102</v>
      </c>
      <c r="L87" s="201">
        <v>0.4</v>
      </c>
      <c r="M87" s="1261" t="s">
        <v>2103</v>
      </c>
      <c r="N87" s="199">
        <v>1144.875</v>
      </c>
      <c r="O87" s="199">
        <v>1144.875</v>
      </c>
      <c r="P87" s="199">
        <f t="shared" si="5"/>
        <v>915.9</v>
      </c>
      <c r="Q87" s="199">
        <v>915.9</v>
      </c>
      <c r="R87" s="200">
        <v>44756</v>
      </c>
      <c r="S87" s="199">
        <v>457.95</v>
      </c>
      <c r="T87" s="204" t="s">
        <v>1876</v>
      </c>
      <c r="U87" s="1262" t="s">
        <v>2048</v>
      </c>
      <c r="V87" s="205">
        <v>228.98</v>
      </c>
      <c r="W87" s="1262" t="s">
        <v>2055</v>
      </c>
      <c r="X87" s="206">
        <v>228.98</v>
      </c>
      <c r="Y87" s="207"/>
    </row>
    <row r="88" s="83" customFormat="1" ht="37.5" customHeight="1" spans="1:25">
      <c r="A88" s="192">
        <f t="shared" si="4"/>
        <v>81</v>
      </c>
      <c r="B88" s="209">
        <v>2022</v>
      </c>
      <c r="C88" s="210" t="s">
        <v>37</v>
      </c>
      <c r="D88" s="211" t="s">
        <v>2104</v>
      </c>
      <c r="E88" s="212" t="s">
        <v>2105</v>
      </c>
      <c r="F88" s="213" t="s">
        <v>2073</v>
      </c>
      <c r="G88" s="214" t="s">
        <v>1610</v>
      </c>
      <c r="H88" s="215">
        <v>0.8</v>
      </c>
      <c r="I88" s="216">
        <v>60130</v>
      </c>
      <c r="J88" s="217" t="s">
        <v>2106</v>
      </c>
      <c r="K88" s="217" t="s">
        <v>2107</v>
      </c>
      <c r="L88" s="218">
        <v>0.4</v>
      </c>
      <c r="M88" s="1263" t="s">
        <v>2108</v>
      </c>
      <c r="N88" s="216">
        <v>423</v>
      </c>
      <c r="O88" s="216">
        <v>423</v>
      </c>
      <c r="P88" s="216">
        <f t="shared" si="5"/>
        <v>338.4</v>
      </c>
      <c r="Q88" s="216">
        <v>338.4</v>
      </c>
      <c r="R88" s="217">
        <v>44756</v>
      </c>
      <c r="S88" s="216">
        <v>169.2</v>
      </c>
      <c r="T88" s="204" t="s">
        <v>1876</v>
      </c>
      <c r="U88" s="1264" t="s">
        <v>2048</v>
      </c>
      <c r="V88" s="221">
        <v>84.6</v>
      </c>
      <c r="W88" s="1264" t="s">
        <v>2055</v>
      </c>
      <c r="X88" s="222">
        <v>84.6</v>
      </c>
      <c r="Y88" s="223"/>
    </row>
    <row r="89" ht="37.5" customHeight="1" spans="1:25">
      <c r="A89" s="192">
        <f t="shared" si="4"/>
        <v>82</v>
      </c>
      <c r="B89" s="208">
        <v>2022</v>
      </c>
      <c r="C89" s="193" t="s">
        <v>37</v>
      </c>
      <c r="D89" s="194" t="s">
        <v>2109</v>
      </c>
      <c r="E89" s="195" t="s">
        <v>2110</v>
      </c>
      <c r="F89" s="196" t="s">
        <v>2073</v>
      </c>
      <c r="G89" s="197" t="s">
        <v>1610</v>
      </c>
      <c r="H89" s="198">
        <v>0.8</v>
      </c>
      <c r="I89" s="199">
        <v>26010</v>
      </c>
      <c r="J89" s="200" t="s">
        <v>2111</v>
      </c>
      <c r="K89" s="200" t="s">
        <v>2112</v>
      </c>
      <c r="L89" s="201">
        <v>0.4</v>
      </c>
      <c r="M89" s="1261" t="s">
        <v>2113</v>
      </c>
      <c r="N89" s="199">
        <v>20833.3375</v>
      </c>
      <c r="O89" s="199">
        <v>20833.3375</v>
      </c>
      <c r="P89" s="199">
        <f t="shared" si="5"/>
        <v>16666.67</v>
      </c>
      <c r="Q89" s="199">
        <v>16666.67</v>
      </c>
      <c r="R89" s="200">
        <v>44756</v>
      </c>
      <c r="S89" s="199">
        <v>8333.335</v>
      </c>
      <c r="T89" s="204" t="s">
        <v>1876</v>
      </c>
      <c r="U89" s="1262" t="s">
        <v>2048</v>
      </c>
      <c r="V89" s="205">
        <v>4166.67</v>
      </c>
      <c r="W89" s="1262" t="s">
        <v>2055</v>
      </c>
      <c r="X89" s="206">
        <v>4166.67</v>
      </c>
      <c r="Y89" s="207"/>
    </row>
    <row r="90" ht="37.5" customHeight="1" spans="1:25">
      <c r="A90" s="192">
        <f t="shared" si="4"/>
        <v>83</v>
      </c>
      <c r="B90" s="208">
        <v>2022</v>
      </c>
      <c r="C90" s="193" t="s">
        <v>37</v>
      </c>
      <c r="D90" s="194" t="s">
        <v>2114</v>
      </c>
      <c r="E90" s="195" t="s">
        <v>2115</v>
      </c>
      <c r="F90" s="196" t="s">
        <v>2073</v>
      </c>
      <c r="G90" s="197" t="s">
        <v>1610</v>
      </c>
      <c r="H90" s="198">
        <v>0.8</v>
      </c>
      <c r="I90" s="199">
        <v>45000</v>
      </c>
      <c r="J90" s="200" t="s">
        <v>1927</v>
      </c>
      <c r="K90" s="200" t="s">
        <v>2116</v>
      </c>
      <c r="L90" s="201">
        <v>0.4</v>
      </c>
      <c r="M90" s="1261" t="s">
        <v>2117</v>
      </c>
      <c r="N90" s="199">
        <v>25207.375</v>
      </c>
      <c r="O90" s="199">
        <v>25207.375</v>
      </c>
      <c r="P90" s="199">
        <f t="shared" si="5"/>
        <v>20165.9</v>
      </c>
      <c r="Q90" s="199">
        <v>20165.9</v>
      </c>
      <c r="R90" s="200">
        <v>44756</v>
      </c>
      <c r="S90" s="199">
        <v>10082.95</v>
      </c>
      <c r="T90" s="204" t="s">
        <v>1876</v>
      </c>
      <c r="U90" s="1262" t="s">
        <v>2048</v>
      </c>
      <c r="V90" s="205">
        <v>5041.48</v>
      </c>
      <c r="W90" s="1262" t="s">
        <v>2055</v>
      </c>
      <c r="X90" s="206">
        <v>5041.48</v>
      </c>
      <c r="Y90" s="207"/>
    </row>
    <row r="91" ht="37.5" customHeight="1" spans="1:25">
      <c r="A91" s="192">
        <f t="shared" si="4"/>
        <v>84</v>
      </c>
      <c r="B91" s="208">
        <v>2022</v>
      </c>
      <c r="C91" s="193" t="s">
        <v>37</v>
      </c>
      <c r="D91" s="194" t="s">
        <v>2118</v>
      </c>
      <c r="E91" s="195" t="s">
        <v>2119</v>
      </c>
      <c r="F91" s="196" t="s">
        <v>2073</v>
      </c>
      <c r="G91" s="197" t="s">
        <v>1610</v>
      </c>
      <c r="H91" s="198">
        <v>0.8</v>
      </c>
      <c r="I91" s="199">
        <v>327000</v>
      </c>
      <c r="J91" s="200" t="s">
        <v>1927</v>
      </c>
      <c r="K91" s="200" t="s">
        <v>2116</v>
      </c>
      <c r="L91" s="201">
        <v>0.4</v>
      </c>
      <c r="M91" s="202" t="s">
        <v>2120</v>
      </c>
      <c r="N91" s="199">
        <v>2431.6625</v>
      </c>
      <c r="O91" s="199">
        <v>2431.6625</v>
      </c>
      <c r="P91" s="199">
        <f t="shared" si="5"/>
        <v>1945.33</v>
      </c>
      <c r="Q91" s="199">
        <v>1945.33</v>
      </c>
      <c r="R91" s="200">
        <v>44756</v>
      </c>
      <c r="S91" s="199">
        <v>972.665</v>
      </c>
      <c r="T91" s="204" t="s">
        <v>1876</v>
      </c>
      <c r="U91" s="1262" t="s">
        <v>2048</v>
      </c>
      <c r="V91" s="205">
        <v>486.33</v>
      </c>
      <c r="W91" s="1262" t="s">
        <v>2055</v>
      </c>
      <c r="X91" s="206">
        <v>486.33</v>
      </c>
      <c r="Y91" s="207"/>
    </row>
    <row r="92" ht="37.5" customHeight="1" spans="1:25">
      <c r="A92" s="192">
        <f t="shared" si="4"/>
        <v>85</v>
      </c>
      <c r="B92" s="209">
        <v>2022</v>
      </c>
      <c r="C92" s="210" t="s">
        <v>37</v>
      </c>
      <c r="D92" s="211" t="s">
        <v>2121</v>
      </c>
      <c r="E92" s="212" t="s">
        <v>2122</v>
      </c>
      <c r="F92" s="213" t="s">
        <v>2073</v>
      </c>
      <c r="G92" s="214" t="s">
        <v>1610</v>
      </c>
      <c r="H92" s="198">
        <v>0.8</v>
      </c>
      <c r="I92" s="199">
        <v>162120</v>
      </c>
      <c r="J92" s="200" t="s">
        <v>2123</v>
      </c>
      <c r="K92" s="200" t="s">
        <v>2124</v>
      </c>
      <c r="L92" s="201">
        <v>0.4</v>
      </c>
      <c r="M92" s="1261" t="s">
        <v>2125</v>
      </c>
      <c r="N92" s="199">
        <v>159968</v>
      </c>
      <c r="O92" s="199">
        <v>159968</v>
      </c>
      <c r="P92" s="199">
        <f t="shared" si="5"/>
        <v>127974.4</v>
      </c>
      <c r="Q92" s="199">
        <v>127974.4</v>
      </c>
      <c r="R92" s="1262" t="s">
        <v>1876</v>
      </c>
      <c r="S92" s="199">
        <v>63987.2</v>
      </c>
      <c r="T92" s="204" t="s">
        <v>1876</v>
      </c>
      <c r="U92" s="1262" t="s">
        <v>2048</v>
      </c>
      <c r="V92" s="205">
        <v>31993.6</v>
      </c>
      <c r="W92" s="1262" t="s">
        <v>2055</v>
      </c>
      <c r="X92" s="206">
        <v>31993.6</v>
      </c>
      <c r="Y92" s="207"/>
    </row>
    <row r="93" ht="37.5" customHeight="1" spans="1:25">
      <c r="A93" s="192">
        <f t="shared" si="4"/>
        <v>86</v>
      </c>
      <c r="B93" s="209">
        <v>2022</v>
      </c>
      <c r="C93" s="210" t="s">
        <v>37</v>
      </c>
      <c r="D93" s="211" t="s">
        <v>2126</v>
      </c>
      <c r="E93" s="212" t="s">
        <v>2127</v>
      </c>
      <c r="F93" s="213" t="s">
        <v>2073</v>
      </c>
      <c r="G93" s="214" t="s">
        <v>1610</v>
      </c>
      <c r="H93" s="198">
        <v>0.8</v>
      </c>
      <c r="I93" s="199">
        <v>102310</v>
      </c>
      <c r="J93" s="200" t="s">
        <v>2123</v>
      </c>
      <c r="K93" s="200" t="s">
        <v>2124</v>
      </c>
      <c r="L93" s="201">
        <v>0.4</v>
      </c>
      <c r="M93" s="1261" t="s">
        <v>1933</v>
      </c>
      <c r="N93" s="199">
        <v>22000</v>
      </c>
      <c r="O93" s="199">
        <v>22000</v>
      </c>
      <c r="P93" s="199">
        <f t="shared" si="5"/>
        <v>17600</v>
      </c>
      <c r="Q93" s="199">
        <v>17600</v>
      </c>
      <c r="R93" s="1262" t="s">
        <v>1876</v>
      </c>
      <c r="S93" s="199">
        <v>8800</v>
      </c>
      <c r="T93" s="204" t="s">
        <v>1876</v>
      </c>
      <c r="U93" s="1262" t="s">
        <v>2048</v>
      </c>
      <c r="V93" s="205">
        <v>4400</v>
      </c>
      <c r="W93" s="1262" t="s">
        <v>2055</v>
      </c>
      <c r="X93" s="206">
        <v>4400</v>
      </c>
      <c r="Y93" s="207"/>
    </row>
    <row r="94" ht="37.5" customHeight="1" spans="1:25">
      <c r="A94" s="192">
        <f t="shared" si="4"/>
        <v>87</v>
      </c>
      <c r="B94" s="209">
        <v>2022</v>
      </c>
      <c r="C94" s="210" t="s">
        <v>37</v>
      </c>
      <c r="D94" s="211" t="s">
        <v>2128</v>
      </c>
      <c r="E94" s="212" t="s">
        <v>2129</v>
      </c>
      <c r="F94" s="213" t="s">
        <v>2073</v>
      </c>
      <c r="G94" s="214" t="s">
        <v>1610</v>
      </c>
      <c r="H94" s="198">
        <v>0.8</v>
      </c>
      <c r="I94" s="199">
        <v>130000</v>
      </c>
      <c r="J94" s="200" t="s">
        <v>2123</v>
      </c>
      <c r="K94" s="200" t="s">
        <v>2124</v>
      </c>
      <c r="L94" s="201">
        <v>0.4</v>
      </c>
      <c r="M94" s="1261" t="s">
        <v>1933</v>
      </c>
      <c r="N94" s="199">
        <v>18701.8625</v>
      </c>
      <c r="O94" s="199">
        <v>18701.8625</v>
      </c>
      <c r="P94" s="199">
        <f t="shared" si="5"/>
        <v>14961.49</v>
      </c>
      <c r="Q94" s="199">
        <v>14961.49</v>
      </c>
      <c r="R94" s="1262" t="s">
        <v>1876</v>
      </c>
      <c r="S94" s="199">
        <v>7480.745</v>
      </c>
      <c r="T94" s="204" t="s">
        <v>1876</v>
      </c>
      <c r="U94" s="1262" t="s">
        <v>2048</v>
      </c>
      <c r="V94" s="205">
        <v>3740.37</v>
      </c>
      <c r="W94" s="1262" t="s">
        <v>2055</v>
      </c>
      <c r="X94" s="206">
        <v>3740.37</v>
      </c>
      <c r="Y94" s="207"/>
    </row>
    <row r="95" ht="37.5" customHeight="1" spans="1:25">
      <c r="A95" s="192">
        <f t="shared" si="4"/>
        <v>88</v>
      </c>
      <c r="B95" s="209">
        <v>2022</v>
      </c>
      <c r="C95" s="210" t="s">
        <v>37</v>
      </c>
      <c r="D95" s="211" t="s">
        <v>2130</v>
      </c>
      <c r="E95" s="212" t="s">
        <v>2131</v>
      </c>
      <c r="F95" s="213" t="s">
        <v>2073</v>
      </c>
      <c r="G95" s="214" t="s">
        <v>1610</v>
      </c>
      <c r="H95" s="198">
        <v>0.8</v>
      </c>
      <c r="I95" s="199">
        <v>16000</v>
      </c>
      <c r="J95" s="200" t="s">
        <v>2132</v>
      </c>
      <c r="K95" s="200" t="s">
        <v>2133</v>
      </c>
      <c r="L95" s="201">
        <v>0.4</v>
      </c>
      <c r="M95" s="1261" t="s">
        <v>1933</v>
      </c>
      <c r="N95" s="199">
        <v>14666.625</v>
      </c>
      <c r="O95" s="199">
        <v>14666.625</v>
      </c>
      <c r="P95" s="199">
        <f t="shared" si="5"/>
        <v>11733.3</v>
      </c>
      <c r="Q95" s="199">
        <v>11733.3</v>
      </c>
      <c r="R95" s="1262" t="s">
        <v>1876</v>
      </c>
      <c r="S95" s="199">
        <v>5866.65</v>
      </c>
      <c r="T95" s="204" t="s">
        <v>1876</v>
      </c>
      <c r="U95" s="1262" t="s">
        <v>2048</v>
      </c>
      <c r="V95" s="205">
        <v>2933.33</v>
      </c>
      <c r="W95" s="1262" t="s">
        <v>2055</v>
      </c>
      <c r="X95" s="206">
        <v>2933.33</v>
      </c>
      <c r="Y95" s="207"/>
    </row>
    <row r="96" ht="37.5" customHeight="1" spans="1:25">
      <c r="A96" s="192">
        <f t="shared" si="4"/>
        <v>89</v>
      </c>
      <c r="B96" s="209">
        <v>2022</v>
      </c>
      <c r="C96" s="210" t="s">
        <v>37</v>
      </c>
      <c r="D96" s="211" t="s">
        <v>2134</v>
      </c>
      <c r="E96" s="212" t="s">
        <v>2135</v>
      </c>
      <c r="F96" s="213" t="s">
        <v>2073</v>
      </c>
      <c r="G96" s="214" t="s">
        <v>1610</v>
      </c>
      <c r="H96" s="198">
        <v>0.8</v>
      </c>
      <c r="I96" s="199">
        <v>457710</v>
      </c>
      <c r="J96" s="200" t="s">
        <v>1928</v>
      </c>
      <c r="K96" s="200" t="s">
        <v>2136</v>
      </c>
      <c r="L96" s="201">
        <v>0.4</v>
      </c>
      <c r="M96" s="1261" t="s">
        <v>1950</v>
      </c>
      <c r="N96" s="199">
        <v>50000.025</v>
      </c>
      <c r="O96" s="199">
        <v>50000.025</v>
      </c>
      <c r="P96" s="199">
        <f t="shared" si="5"/>
        <v>40000.02</v>
      </c>
      <c r="Q96" s="199">
        <v>40000.02</v>
      </c>
      <c r="R96" s="1262" t="s">
        <v>1876</v>
      </c>
      <c r="S96" s="199">
        <v>20000.01</v>
      </c>
      <c r="T96" s="204" t="s">
        <v>1876</v>
      </c>
      <c r="U96" s="1262" t="s">
        <v>2048</v>
      </c>
      <c r="V96" s="205">
        <v>10000.01</v>
      </c>
      <c r="W96" s="1262" t="s">
        <v>2055</v>
      </c>
      <c r="X96" s="206">
        <v>10000.01</v>
      </c>
      <c r="Y96" s="207"/>
    </row>
    <row r="97" s="80" customFormat="1" ht="37.5" customHeight="1" spans="1:25">
      <c r="A97" s="138">
        <f t="shared" si="4"/>
        <v>90</v>
      </c>
      <c r="B97" s="224">
        <v>2022</v>
      </c>
      <c r="C97" s="225" t="s">
        <v>102</v>
      </c>
      <c r="D97" s="172" t="s">
        <v>2137</v>
      </c>
      <c r="E97" s="226" t="s">
        <v>2138</v>
      </c>
      <c r="F97" s="174" t="s">
        <v>2139</v>
      </c>
      <c r="G97" s="227">
        <v>4321</v>
      </c>
      <c r="H97" s="144">
        <v>0.8</v>
      </c>
      <c r="I97" s="171">
        <v>3900000</v>
      </c>
      <c r="J97" s="228" t="s">
        <v>1986</v>
      </c>
      <c r="K97" s="228" t="s">
        <v>2140</v>
      </c>
      <c r="L97" s="177">
        <v>0.4</v>
      </c>
      <c r="M97" s="1265" t="s">
        <v>1981</v>
      </c>
      <c r="N97" s="171">
        <v>3967655.3</v>
      </c>
      <c r="O97" s="171">
        <v>3900000</v>
      </c>
      <c r="P97" s="171">
        <f t="shared" si="5"/>
        <v>3120000</v>
      </c>
      <c r="Q97" s="171">
        <v>3174124.24</v>
      </c>
      <c r="R97" s="1266" t="s">
        <v>2027</v>
      </c>
      <c r="S97" s="171">
        <v>1587062.12</v>
      </c>
      <c r="T97" s="150" t="s">
        <v>2035</v>
      </c>
      <c r="U97" s="1260" t="s">
        <v>2028</v>
      </c>
      <c r="V97" s="186">
        <v>780000</v>
      </c>
      <c r="W97" s="184" t="s">
        <v>2029</v>
      </c>
      <c r="X97" s="191">
        <v>780000</v>
      </c>
      <c r="Y97" s="154"/>
    </row>
    <row r="98" s="85" customFormat="1" ht="37.5" customHeight="1" spans="1:25">
      <c r="A98" s="192">
        <f t="shared" si="4"/>
        <v>91</v>
      </c>
      <c r="B98" s="209">
        <v>2022</v>
      </c>
      <c r="C98" s="210" t="s">
        <v>37</v>
      </c>
      <c r="D98" s="211" t="s">
        <v>2141</v>
      </c>
      <c r="E98" s="212" t="s">
        <v>2142</v>
      </c>
      <c r="F98" s="213" t="s">
        <v>2073</v>
      </c>
      <c r="G98" s="214" t="s">
        <v>1610</v>
      </c>
      <c r="H98" s="198">
        <v>0.8</v>
      </c>
      <c r="I98" s="216">
        <v>49600</v>
      </c>
      <c r="J98" s="217" t="s">
        <v>2074</v>
      </c>
      <c r="K98" s="217" t="s">
        <v>2075</v>
      </c>
      <c r="L98" s="218">
        <v>0.4</v>
      </c>
      <c r="M98" s="1267" t="s">
        <v>2143</v>
      </c>
      <c r="N98" s="216">
        <v>3066.6875</v>
      </c>
      <c r="O98" s="216">
        <v>3066.6875</v>
      </c>
      <c r="P98" s="216">
        <f t="shared" si="5"/>
        <v>2453.35</v>
      </c>
      <c r="Q98" s="216">
        <v>2453.35</v>
      </c>
      <c r="R98" s="1264" t="s">
        <v>2027</v>
      </c>
      <c r="S98" s="216">
        <v>1226.675</v>
      </c>
      <c r="T98" s="204" t="s">
        <v>2062</v>
      </c>
      <c r="U98" s="1262" t="s">
        <v>2144</v>
      </c>
      <c r="V98" s="205"/>
      <c r="W98" s="203"/>
      <c r="X98" s="206"/>
      <c r="Y98" s="197" t="s">
        <v>2145</v>
      </c>
    </row>
    <row r="99" ht="37.5" customHeight="1" spans="1:25">
      <c r="A99" s="192">
        <f t="shared" si="4"/>
        <v>92</v>
      </c>
      <c r="B99" s="209">
        <v>2022</v>
      </c>
      <c r="C99" s="210" t="s">
        <v>37</v>
      </c>
      <c r="D99" s="211" t="s">
        <v>2146</v>
      </c>
      <c r="E99" s="212" t="s">
        <v>2147</v>
      </c>
      <c r="F99" s="213" t="s">
        <v>2073</v>
      </c>
      <c r="G99" s="214" t="s">
        <v>1610</v>
      </c>
      <c r="H99" s="198">
        <v>0.8</v>
      </c>
      <c r="I99" s="199">
        <v>49360</v>
      </c>
      <c r="J99" s="200" t="s">
        <v>1843</v>
      </c>
      <c r="K99" s="200" t="s">
        <v>2148</v>
      </c>
      <c r="L99" s="201">
        <v>0.4</v>
      </c>
      <c r="M99" s="1268" t="s">
        <v>2149</v>
      </c>
      <c r="N99" s="199">
        <v>9984.5</v>
      </c>
      <c r="O99" s="199">
        <v>9984.5</v>
      </c>
      <c r="P99" s="199">
        <f t="shared" si="5"/>
        <v>7987.6</v>
      </c>
      <c r="Q99" s="199">
        <v>7987.6</v>
      </c>
      <c r="R99" s="1262" t="s">
        <v>2027</v>
      </c>
      <c r="S99" s="199">
        <v>3993.8</v>
      </c>
      <c r="T99" s="204" t="s">
        <v>2062</v>
      </c>
      <c r="U99" s="1262" t="s">
        <v>2144</v>
      </c>
      <c r="V99" s="205"/>
      <c r="W99" s="203"/>
      <c r="X99" s="206"/>
      <c r="Y99" s="197" t="s">
        <v>2145</v>
      </c>
    </row>
    <row r="100" ht="37.5" customHeight="1" spans="1:25">
      <c r="A100" s="192">
        <f t="shared" si="4"/>
        <v>93</v>
      </c>
      <c r="B100" s="209">
        <v>2022</v>
      </c>
      <c r="C100" s="210" t="s">
        <v>37</v>
      </c>
      <c r="D100" s="211" t="s">
        <v>2150</v>
      </c>
      <c r="E100" s="212" t="s">
        <v>2151</v>
      </c>
      <c r="F100" s="213" t="s">
        <v>2073</v>
      </c>
      <c r="G100" s="214" t="s">
        <v>1610</v>
      </c>
      <c r="H100" s="198">
        <v>0.8</v>
      </c>
      <c r="I100" s="199">
        <v>10000</v>
      </c>
      <c r="J100" s="200" t="s">
        <v>2079</v>
      </c>
      <c r="K100" s="200" t="s">
        <v>2080</v>
      </c>
      <c r="L100" s="201">
        <v>0.4</v>
      </c>
      <c r="M100" s="1268" t="s">
        <v>2152</v>
      </c>
      <c r="N100" s="199">
        <v>5666.7</v>
      </c>
      <c r="O100" s="199">
        <v>5666.7</v>
      </c>
      <c r="P100" s="199">
        <f t="shared" si="5"/>
        <v>4533.36</v>
      </c>
      <c r="Q100" s="199">
        <v>4533.36</v>
      </c>
      <c r="R100" s="1262" t="s">
        <v>2027</v>
      </c>
      <c r="S100" s="199">
        <v>2266.68</v>
      </c>
      <c r="T100" s="204" t="s">
        <v>2062</v>
      </c>
      <c r="U100" s="1262" t="s">
        <v>2144</v>
      </c>
      <c r="V100" s="205"/>
      <c r="W100" s="203"/>
      <c r="X100" s="206"/>
      <c r="Y100" s="197" t="s">
        <v>2145</v>
      </c>
    </row>
    <row r="101" ht="37.5" customHeight="1" spans="1:25">
      <c r="A101" s="192">
        <f t="shared" si="4"/>
        <v>94</v>
      </c>
      <c r="B101" s="209">
        <v>2022</v>
      </c>
      <c r="C101" s="210" t="s">
        <v>37</v>
      </c>
      <c r="D101" s="211" t="s">
        <v>2153</v>
      </c>
      <c r="E101" s="212" t="s">
        <v>2154</v>
      </c>
      <c r="F101" s="213" t="s">
        <v>2073</v>
      </c>
      <c r="G101" s="214" t="s">
        <v>1610</v>
      </c>
      <c r="H101" s="198">
        <v>0.8</v>
      </c>
      <c r="I101" s="199">
        <v>35000</v>
      </c>
      <c r="J101" s="200" t="s">
        <v>2083</v>
      </c>
      <c r="K101" s="200" t="s">
        <v>2084</v>
      </c>
      <c r="L101" s="201">
        <v>0.4</v>
      </c>
      <c r="M101" s="1268" t="s">
        <v>2087</v>
      </c>
      <c r="N101" s="199">
        <v>18708.3375</v>
      </c>
      <c r="O101" s="199">
        <v>18708.3375</v>
      </c>
      <c r="P101" s="199">
        <f t="shared" si="5"/>
        <v>14966.67</v>
      </c>
      <c r="Q101" s="199">
        <v>14966.67</v>
      </c>
      <c r="R101" s="1262" t="s">
        <v>2027</v>
      </c>
      <c r="S101" s="199">
        <v>7483.335</v>
      </c>
      <c r="T101" s="204" t="s">
        <v>2062</v>
      </c>
      <c r="U101" s="1262" t="s">
        <v>2144</v>
      </c>
      <c r="V101" s="205"/>
      <c r="W101" s="203"/>
      <c r="X101" s="206"/>
      <c r="Y101" s="197" t="s">
        <v>2145</v>
      </c>
    </row>
    <row r="102" ht="37.5" customHeight="1" spans="1:25">
      <c r="A102" s="192">
        <f t="shared" si="4"/>
        <v>95</v>
      </c>
      <c r="B102" s="208">
        <v>2022</v>
      </c>
      <c r="C102" s="193" t="s">
        <v>37</v>
      </c>
      <c r="D102" s="194" t="s">
        <v>2155</v>
      </c>
      <c r="E102" s="195" t="s">
        <v>2156</v>
      </c>
      <c r="F102" s="196" t="s">
        <v>2073</v>
      </c>
      <c r="G102" s="197" t="s">
        <v>1610</v>
      </c>
      <c r="H102" s="198">
        <v>0.8</v>
      </c>
      <c r="I102" s="199">
        <v>400000</v>
      </c>
      <c r="J102" s="200" t="s">
        <v>2083</v>
      </c>
      <c r="K102" s="200" t="s">
        <v>2084</v>
      </c>
      <c r="L102" s="201">
        <v>0.4</v>
      </c>
      <c r="M102" s="1268" t="s">
        <v>1965</v>
      </c>
      <c r="N102" s="199">
        <v>64500.0125</v>
      </c>
      <c r="O102" s="199">
        <v>64500.0125</v>
      </c>
      <c r="P102" s="199">
        <f t="shared" si="5"/>
        <v>51600.01</v>
      </c>
      <c r="Q102" s="199">
        <v>51600.01</v>
      </c>
      <c r="R102" s="1262" t="s">
        <v>2027</v>
      </c>
      <c r="S102" s="199">
        <v>25800.005</v>
      </c>
      <c r="T102" s="204" t="s">
        <v>2062</v>
      </c>
      <c r="U102" s="1262" t="s">
        <v>2144</v>
      </c>
      <c r="V102" s="205"/>
      <c r="W102" s="203"/>
      <c r="X102" s="206"/>
      <c r="Y102" s="197" t="s">
        <v>2145</v>
      </c>
    </row>
    <row r="103" ht="37.5" customHeight="1" spans="1:25">
      <c r="A103" s="192">
        <f t="shared" si="4"/>
        <v>96</v>
      </c>
      <c r="B103" s="208">
        <v>2022</v>
      </c>
      <c r="C103" s="193" t="s">
        <v>37</v>
      </c>
      <c r="D103" s="194" t="s">
        <v>2157</v>
      </c>
      <c r="E103" s="195" t="s">
        <v>2158</v>
      </c>
      <c r="F103" s="196" t="s">
        <v>2073</v>
      </c>
      <c r="G103" s="197" t="s">
        <v>1610</v>
      </c>
      <c r="H103" s="198">
        <v>0.8</v>
      </c>
      <c r="I103" s="199">
        <v>180110</v>
      </c>
      <c r="J103" s="200" t="s">
        <v>1815</v>
      </c>
      <c r="K103" s="200" t="s">
        <v>2159</v>
      </c>
      <c r="L103" s="201">
        <v>0.4</v>
      </c>
      <c r="M103" s="1268" t="s">
        <v>2087</v>
      </c>
      <c r="N103" s="199">
        <v>9083.3</v>
      </c>
      <c r="O103" s="199">
        <v>9083.3</v>
      </c>
      <c r="P103" s="199">
        <f t="shared" si="5"/>
        <v>7266.64</v>
      </c>
      <c r="Q103" s="199">
        <v>7266.64</v>
      </c>
      <c r="R103" s="1262" t="s">
        <v>2027</v>
      </c>
      <c r="S103" s="199">
        <v>3633.32</v>
      </c>
      <c r="T103" s="204" t="s">
        <v>2062</v>
      </c>
      <c r="U103" s="1262" t="s">
        <v>2144</v>
      </c>
      <c r="V103" s="205"/>
      <c r="W103" s="203"/>
      <c r="X103" s="206"/>
      <c r="Y103" s="197" t="s">
        <v>2145</v>
      </c>
    </row>
    <row r="104" ht="37.5" customHeight="1" spans="1:25">
      <c r="A104" s="192">
        <f t="shared" si="4"/>
        <v>97</v>
      </c>
      <c r="B104" s="208">
        <v>2022</v>
      </c>
      <c r="C104" s="193" t="s">
        <v>37</v>
      </c>
      <c r="D104" s="194" t="s">
        <v>2160</v>
      </c>
      <c r="E104" s="195" t="s">
        <v>2161</v>
      </c>
      <c r="F104" s="196" t="s">
        <v>2073</v>
      </c>
      <c r="G104" s="197" t="s">
        <v>1610</v>
      </c>
      <c r="H104" s="198">
        <v>0.8</v>
      </c>
      <c r="I104" s="199">
        <v>55000</v>
      </c>
      <c r="J104" s="200" t="s">
        <v>2095</v>
      </c>
      <c r="K104" s="200" t="s">
        <v>2096</v>
      </c>
      <c r="L104" s="201">
        <v>0.4</v>
      </c>
      <c r="M104" s="1268" t="s">
        <v>2039</v>
      </c>
      <c r="N104" s="199">
        <v>54816.625</v>
      </c>
      <c r="O104" s="199">
        <v>54816.625</v>
      </c>
      <c r="P104" s="199">
        <f t="shared" si="5"/>
        <v>43853.3</v>
      </c>
      <c r="Q104" s="199">
        <v>43853.3</v>
      </c>
      <c r="R104" s="1262" t="s">
        <v>2027</v>
      </c>
      <c r="S104" s="199">
        <v>21926.65</v>
      </c>
      <c r="T104" s="204" t="s">
        <v>2062</v>
      </c>
      <c r="U104" s="1262" t="s">
        <v>2144</v>
      </c>
      <c r="V104" s="205"/>
      <c r="W104" s="203"/>
      <c r="X104" s="206"/>
      <c r="Y104" s="197" t="s">
        <v>2145</v>
      </c>
    </row>
    <row r="105" ht="37.5" customHeight="1" spans="1:25">
      <c r="A105" s="192">
        <f t="shared" si="4"/>
        <v>98</v>
      </c>
      <c r="B105" s="208">
        <v>2022</v>
      </c>
      <c r="C105" s="193" t="s">
        <v>37</v>
      </c>
      <c r="D105" s="194" t="s">
        <v>2162</v>
      </c>
      <c r="E105" s="195" t="s">
        <v>2163</v>
      </c>
      <c r="F105" s="196" t="s">
        <v>2073</v>
      </c>
      <c r="G105" s="197" t="s">
        <v>1610</v>
      </c>
      <c r="H105" s="198">
        <v>0.8</v>
      </c>
      <c r="I105" s="199">
        <v>80000</v>
      </c>
      <c r="J105" s="200" t="s">
        <v>1824</v>
      </c>
      <c r="K105" s="200" t="s">
        <v>2102</v>
      </c>
      <c r="L105" s="201">
        <v>0.4</v>
      </c>
      <c r="M105" s="1268" t="s">
        <v>2164</v>
      </c>
      <c r="N105" s="199">
        <v>16349.875</v>
      </c>
      <c r="O105" s="199">
        <v>16349.875</v>
      </c>
      <c r="P105" s="199">
        <f t="shared" si="5"/>
        <v>13079.9</v>
      </c>
      <c r="Q105" s="199">
        <v>13079.9</v>
      </c>
      <c r="R105" s="1262" t="s">
        <v>2027</v>
      </c>
      <c r="S105" s="199">
        <v>6539.95</v>
      </c>
      <c r="T105" s="204" t="s">
        <v>2062</v>
      </c>
      <c r="U105" s="1262" t="s">
        <v>2144</v>
      </c>
      <c r="V105" s="205"/>
      <c r="W105" s="203"/>
      <c r="X105" s="206"/>
      <c r="Y105" s="197" t="s">
        <v>2145</v>
      </c>
    </row>
    <row r="106" ht="37.5" customHeight="1" spans="1:25">
      <c r="A106" s="192">
        <f t="shared" si="4"/>
        <v>99</v>
      </c>
      <c r="B106" s="208">
        <v>2022</v>
      </c>
      <c r="C106" s="193" t="s">
        <v>37</v>
      </c>
      <c r="D106" s="194" t="s">
        <v>2165</v>
      </c>
      <c r="E106" s="195" t="s">
        <v>2166</v>
      </c>
      <c r="F106" s="196" t="s">
        <v>2073</v>
      </c>
      <c r="G106" s="197" t="s">
        <v>1610</v>
      </c>
      <c r="H106" s="198">
        <v>0.8</v>
      </c>
      <c r="I106" s="199">
        <v>167010</v>
      </c>
      <c r="J106" s="200" t="s">
        <v>2106</v>
      </c>
      <c r="K106" s="200" t="s">
        <v>2107</v>
      </c>
      <c r="L106" s="201">
        <v>0.4</v>
      </c>
      <c r="M106" s="1268" t="s">
        <v>2167</v>
      </c>
      <c r="N106" s="199">
        <v>138583.35</v>
      </c>
      <c r="O106" s="199">
        <v>138583.35</v>
      </c>
      <c r="P106" s="199">
        <f t="shared" si="5"/>
        <v>110866.68</v>
      </c>
      <c r="Q106" s="199">
        <v>110866.68</v>
      </c>
      <c r="R106" s="1262" t="s">
        <v>2027</v>
      </c>
      <c r="S106" s="199">
        <v>55433.34</v>
      </c>
      <c r="T106" s="204" t="s">
        <v>2062</v>
      </c>
      <c r="U106" s="1262" t="s">
        <v>2144</v>
      </c>
      <c r="V106" s="205"/>
      <c r="W106" s="203"/>
      <c r="X106" s="206"/>
      <c r="Y106" s="197" t="s">
        <v>2145</v>
      </c>
    </row>
    <row r="107" ht="37.5" customHeight="1" spans="1:25">
      <c r="A107" s="192">
        <f t="shared" si="4"/>
        <v>100</v>
      </c>
      <c r="B107" s="208">
        <v>2022</v>
      </c>
      <c r="C107" s="193" t="s">
        <v>37</v>
      </c>
      <c r="D107" s="194" t="s">
        <v>2109</v>
      </c>
      <c r="E107" s="195" t="s">
        <v>2168</v>
      </c>
      <c r="F107" s="196" t="s">
        <v>2073</v>
      </c>
      <c r="G107" s="197" t="s">
        <v>1610</v>
      </c>
      <c r="H107" s="198">
        <v>0.8</v>
      </c>
      <c r="I107" s="199">
        <v>29711</v>
      </c>
      <c r="J107" s="200" t="s">
        <v>1825</v>
      </c>
      <c r="K107" s="200" t="s">
        <v>2169</v>
      </c>
      <c r="L107" s="201">
        <v>0.4</v>
      </c>
      <c r="M107" s="1268" t="s">
        <v>2113</v>
      </c>
      <c r="N107" s="199">
        <v>3746.6</v>
      </c>
      <c r="O107" s="199">
        <v>3746.6</v>
      </c>
      <c r="P107" s="199">
        <f t="shared" si="5"/>
        <v>2997.28</v>
      </c>
      <c r="Q107" s="199">
        <v>2997.28</v>
      </c>
      <c r="R107" s="1262" t="s">
        <v>2027</v>
      </c>
      <c r="S107" s="199">
        <v>1498.64</v>
      </c>
      <c r="T107" s="204" t="s">
        <v>2062</v>
      </c>
      <c r="U107" s="1262" t="s">
        <v>2144</v>
      </c>
      <c r="V107" s="205"/>
      <c r="W107" s="203"/>
      <c r="X107" s="206"/>
      <c r="Y107" s="197" t="s">
        <v>2145</v>
      </c>
    </row>
    <row r="108" ht="37.5" customHeight="1" spans="1:25">
      <c r="A108" s="192">
        <f t="shared" si="4"/>
        <v>101</v>
      </c>
      <c r="B108" s="208">
        <v>2022</v>
      </c>
      <c r="C108" s="193" t="s">
        <v>37</v>
      </c>
      <c r="D108" s="194" t="s">
        <v>2170</v>
      </c>
      <c r="E108" s="195" t="s">
        <v>2171</v>
      </c>
      <c r="F108" s="196" t="s">
        <v>2073</v>
      </c>
      <c r="G108" s="197" t="s">
        <v>1610</v>
      </c>
      <c r="H108" s="198">
        <v>0.8</v>
      </c>
      <c r="I108" s="199">
        <v>200000</v>
      </c>
      <c r="J108" s="200" t="s">
        <v>2172</v>
      </c>
      <c r="K108" s="200" t="s">
        <v>2173</v>
      </c>
      <c r="L108" s="201">
        <v>0.4</v>
      </c>
      <c r="M108" s="1268" t="s">
        <v>2117</v>
      </c>
      <c r="N108" s="199">
        <v>35608.3125</v>
      </c>
      <c r="O108" s="199">
        <v>35608.3125</v>
      </c>
      <c r="P108" s="199">
        <f t="shared" si="5"/>
        <v>28486.65</v>
      </c>
      <c r="Q108" s="199">
        <v>28486.65</v>
      </c>
      <c r="R108" s="1262" t="s">
        <v>2027</v>
      </c>
      <c r="S108" s="199">
        <v>14243.325</v>
      </c>
      <c r="T108" s="204" t="s">
        <v>2062</v>
      </c>
      <c r="U108" s="1262" t="s">
        <v>2144</v>
      </c>
      <c r="V108" s="205"/>
      <c r="W108" s="203"/>
      <c r="X108" s="206"/>
      <c r="Y108" s="197" t="s">
        <v>2145</v>
      </c>
    </row>
    <row r="109" ht="37.5" customHeight="1" spans="1:25">
      <c r="A109" s="192">
        <f t="shared" si="4"/>
        <v>102</v>
      </c>
      <c r="B109" s="208">
        <v>2022</v>
      </c>
      <c r="C109" s="193" t="s">
        <v>37</v>
      </c>
      <c r="D109" s="194" t="s">
        <v>2174</v>
      </c>
      <c r="E109" s="195" t="s">
        <v>2175</v>
      </c>
      <c r="F109" s="196" t="s">
        <v>2073</v>
      </c>
      <c r="G109" s="197" t="s">
        <v>1610</v>
      </c>
      <c r="H109" s="198">
        <v>0.8</v>
      </c>
      <c r="I109" s="199">
        <v>120000</v>
      </c>
      <c r="J109" s="200" t="s">
        <v>2176</v>
      </c>
      <c r="K109" s="200" t="s">
        <v>2177</v>
      </c>
      <c r="L109" s="201">
        <v>0.4</v>
      </c>
      <c r="M109" s="1268" t="s">
        <v>2178</v>
      </c>
      <c r="N109" s="199">
        <v>7291.675</v>
      </c>
      <c r="O109" s="199">
        <v>7291.675</v>
      </c>
      <c r="P109" s="199">
        <f t="shared" si="5"/>
        <v>5833.34</v>
      </c>
      <c r="Q109" s="199">
        <v>5833.34</v>
      </c>
      <c r="R109" s="1262" t="s">
        <v>2027</v>
      </c>
      <c r="S109" s="199">
        <v>2916.67</v>
      </c>
      <c r="T109" s="204" t="s">
        <v>2062</v>
      </c>
      <c r="U109" s="1262" t="s">
        <v>2144</v>
      </c>
      <c r="V109" s="205"/>
      <c r="W109" s="203"/>
      <c r="X109" s="206"/>
      <c r="Y109" s="197" t="s">
        <v>2145</v>
      </c>
    </row>
    <row r="110" ht="37.5" customHeight="1" spans="1:25">
      <c r="A110" s="192">
        <f t="shared" si="4"/>
        <v>103</v>
      </c>
      <c r="B110" s="208">
        <v>2022</v>
      </c>
      <c r="C110" s="193" t="s">
        <v>37</v>
      </c>
      <c r="D110" s="194" t="s">
        <v>2179</v>
      </c>
      <c r="E110" s="195" t="s">
        <v>2180</v>
      </c>
      <c r="F110" s="196" t="s">
        <v>2073</v>
      </c>
      <c r="G110" s="197" t="s">
        <v>1610</v>
      </c>
      <c r="H110" s="198">
        <v>0.8</v>
      </c>
      <c r="I110" s="199">
        <v>251000</v>
      </c>
      <c r="J110" s="200" t="s">
        <v>2176</v>
      </c>
      <c r="K110" s="200" t="s">
        <v>2177</v>
      </c>
      <c r="L110" s="201">
        <v>0.4</v>
      </c>
      <c r="M110" s="1268" t="s">
        <v>2181</v>
      </c>
      <c r="N110" s="199">
        <v>163323.875</v>
      </c>
      <c r="O110" s="199">
        <v>163323.875</v>
      </c>
      <c r="P110" s="199">
        <f t="shared" si="5"/>
        <v>130659.1</v>
      </c>
      <c r="Q110" s="199">
        <v>130659.1</v>
      </c>
      <c r="R110" s="1262" t="s">
        <v>2027</v>
      </c>
      <c r="S110" s="199">
        <v>65329.55</v>
      </c>
      <c r="T110" s="204" t="s">
        <v>2062</v>
      </c>
      <c r="U110" s="1262" t="s">
        <v>2144</v>
      </c>
      <c r="V110" s="205"/>
      <c r="W110" s="203"/>
      <c r="X110" s="206"/>
      <c r="Y110" s="197" t="s">
        <v>2145</v>
      </c>
    </row>
    <row r="111" ht="37.5" customHeight="1" spans="1:25">
      <c r="A111" s="192">
        <f t="shared" si="4"/>
        <v>104</v>
      </c>
      <c r="B111" s="208">
        <v>2022</v>
      </c>
      <c r="C111" s="193" t="s">
        <v>37</v>
      </c>
      <c r="D111" s="194" t="s">
        <v>2182</v>
      </c>
      <c r="E111" s="195" t="s">
        <v>2183</v>
      </c>
      <c r="F111" s="196" t="s">
        <v>2073</v>
      </c>
      <c r="G111" s="197" t="s">
        <v>1610</v>
      </c>
      <c r="H111" s="198">
        <v>0.8</v>
      </c>
      <c r="I111" s="199">
        <v>505010</v>
      </c>
      <c r="J111" s="200" t="s">
        <v>2123</v>
      </c>
      <c r="K111" s="200" t="s">
        <v>2124</v>
      </c>
      <c r="L111" s="201">
        <v>0.4</v>
      </c>
      <c r="M111" s="1268" t="s">
        <v>1932</v>
      </c>
      <c r="N111" s="199">
        <v>11133.3625</v>
      </c>
      <c r="O111" s="199">
        <v>11133.3625</v>
      </c>
      <c r="P111" s="199">
        <f t="shared" si="5"/>
        <v>8906.69</v>
      </c>
      <c r="Q111" s="199">
        <v>8906.69</v>
      </c>
      <c r="R111" s="1262" t="s">
        <v>2027</v>
      </c>
      <c r="S111" s="199">
        <v>4453.345</v>
      </c>
      <c r="T111" s="204" t="s">
        <v>2062</v>
      </c>
      <c r="U111" s="1262" t="s">
        <v>2144</v>
      </c>
      <c r="V111" s="205"/>
      <c r="W111" s="203"/>
      <c r="X111" s="206"/>
      <c r="Y111" s="197" t="s">
        <v>2145</v>
      </c>
    </row>
    <row r="112" ht="37.5" customHeight="1" spans="1:25">
      <c r="A112" s="192">
        <f t="shared" si="4"/>
        <v>105</v>
      </c>
      <c r="B112" s="208">
        <v>2022</v>
      </c>
      <c r="C112" s="193" t="s">
        <v>37</v>
      </c>
      <c r="D112" s="194" t="s">
        <v>2184</v>
      </c>
      <c r="E112" s="195" t="s">
        <v>2185</v>
      </c>
      <c r="F112" s="196" t="s">
        <v>2073</v>
      </c>
      <c r="G112" s="197" t="s">
        <v>1610</v>
      </c>
      <c r="H112" s="198">
        <v>0.8</v>
      </c>
      <c r="I112" s="199">
        <v>45000</v>
      </c>
      <c r="J112" s="200" t="s">
        <v>1825</v>
      </c>
      <c r="K112" s="200" t="s">
        <v>2169</v>
      </c>
      <c r="L112" s="201">
        <v>0.4</v>
      </c>
      <c r="M112" s="1268" t="s">
        <v>2186</v>
      </c>
      <c r="N112" s="199">
        <v>4153.975</v>
      </c>
      <c r="O112" s="199">
        <v>4153.975</v>
      </c>
      <c r="P112" s="199">
        <f t="shared" si="5"/>
        <v>3323.18</v>
      </c>
      <c r="Q112" s="199">
        <v>3323.18</v>
      </c>
      <c r="R112" s="1262" t="s">
        <v>2027</v>
      </c>
      <c r="S112" s="199">
        <v>1661.59</v>
      </c>
      <c r="T112" s="204" t="s">
        <v>2062</v>
      </c>
      <c r="U112" s="1262" t="s">
        <v>2144</v>
      </c>
      <c r="V112" s="205"/>
      <c r="W112" s="203"/>
      <c r="X112" s="206"/>
      <c r="Y112" s="197" t="s">
        <v>2145</v>
      </c>
    </row>
    <row r="113" ht="37.5" customHeight="1" spans="1:25">
      <c r="A113" s="192">
        <f t="shared" si="4"/>
        <v>106</v>
      </c>
      <c r="B113" s="208">
        <v>2022</v>
      </c>
      <c r="C113" s="193" t="s">
        <v>37</v>
      </c>
      <c r="D113" s="194" t="s">
        <v>2187</v>
      </c>
      <c r="E113" s="195" t="s">
        <v>2188</v>
      </c>
      <c r="F113" s="196" t="s">
        <v>2073</v>
      </c>
      <c r="G113" s="197" t="s">
        <v>1610</v>
      </c>
      <c r="H113" s="198">
        <v>0.8</v>
      </c>
      <c r="I113" s="199">
        <v>62020</v>
      </c>
      <c r="J113" s="200" t="s">
        <v>2132</v>
      </c>
      <c r="K113" s="200" t="s">
        <v>2133</v>
      </c>
      <c r="L113" s="201">
        <v>0.4</v>
      </c>
      <c r="M113" s="1268" t="s">
        <v>2181</v>
      </c>
      <c r="N113" s="199">
        <v>25833.35</v>
      </c>
      <c r="O113" s="199">
        <v>25833.35</v>
      </c>
      <c r="P113" s="199">
        <f t="shared" si="5"/>
        <v>20666.68</v>
      </c>
      <c r="Q113" s="199">
        <v>20666.68</v>
      </c>
      <c r="R113" s="1262" t="s">
        <v>2027</v>
      </c>
      <c r="S113" s="199">
        <v>10333.34</v>
      </c>
      <c r="T113" s="204" t="s">
        <v>2062</v>
      </c>
      <c r="U113" s="1262" t="s">
        <v>2144</v>
      </c>
      <c r="V113" s="205"/>
      <c r="W113" s="203"/>
      <c r="X113" s="206"/>
      <c r="Y113" s="197" t="s">
        <v>2145</v>
      </c>
    </row>
    <row r="114" ht="37.5" customHeight="1" spans="1:25">
      <c r="A114" s="192">
        <f t="shared" si="4"/>
        <v>107</v>
      </c>
      <c r="B114" s="208">
        <v>2022</v>
      </c>
      <c r="C114" s="193" t="s">
        <v>37</v>
      </c>
      <c r="D114" s="194" t="s">
        <v>2189</v>
      </c>
      <c r="E114" s="195" t="s">
        <v>2190</v>
      </c>
      <c r="F114" s="196" t="s">
        <v>2073</v>
      </c>
      <c r="G114" s="197" t="s">
        <v>1610</v>
      </c>
      <c r="H114" s="198">
        <v>0.8</v>
      </c>
      <c r="I114" s="199">
        <v>120500</v>
      </c>
      <c r="J114" s="200" t="s">
        <v>2191</v>
      </c>
      <c r="K114" s="200" t="s">
        <v>2192</v>
      </c>
      <c r="L114" s="201">
        <v>0.4</v>
      </c>
      <c r="M114" s="1268" t="s">
        <v>1987</v>
      </c>
      <c r="N114" s="199">
        <v>24478.325</v>
      </c>
      <c r="O114" s="199">
        <v>24478.325</v>
      </c>
      <c r="P114" s="199">
        <f t="shared" si="5"/>
        <v>19582.66</v>
      </c>
      <c r="Q114" s="199">
        <v>19582.66</v>
      </c>
      <c r="R114" s="1262" t="s">
        <v>2027</v>
      </c>
      <c r="S114" s="199">
        <v>9791.33</v>
      </c>
      <c r="T114" s="204" t="s">
        <v>2062</v>
      </c>
      <c r="U114" s="1262" t="s">
        <v>2144</v>
      </c>
      <c r="V114" s="205"/>
      <c r="W114" s="203"/>
      <c r="X114" s="206"/>
      <c r="Y114" s="197" t="s">
        <v>2145</v>
      </c>
    </row>
    <row r="115" ht="37.5" customHeight="1" spans="1:25">
      <c r="A115" s="192">
        <f t="shared" si="4"/>
        <v>108</v>
      </c>
      <c r="B115" s="208">
        <v>2022</v>
      </c>
      <c r="C115" s="193" t="s">
        <v>37</v>
      </c>
      <c r="D115" s="194" t="s">
        <v>2193</v>
      </c>
      <c r="E115" s="195" t="s">
        <v>2194</v>
      </c>
      <c r="F115" s="196" t="s">
        <v>2073</v>
      </c>
      <c r="G115" s="197" t="s">
        <v>1610</v>
      </c>
      <c r="H115" s="198">
        <v>0.8</v>
      </c>
      <c r="I115" s="199">
        <v>90100</v>
      </c>
      <c r="J115" s="200" t="s">
        <v>2195</v>
      </c>
      <c r="K115" s="200" t="s">
        <v>2196</v>
      </c>
      <c r="L115" s="201">
        <v>0.4</v>
      </c>
      <c r="M115" s="1268" t="s">
        <v>2197</v>
      </c>
      <c r="N115" s="199">
        <v>3900</v>
      </c>
      <c r="O115" s="199">
        <v>3900</v>
      </c>
      <c r="P115" s="199">
        <f t="shared" si="5"/>
        <v>3120</v>
      </c>
      <c r="Q115" s="199">
        <v>3120</v>
      </c>
      <c r="R115" s="1262" t="s">
        <v>2027</v>
      </c>
      <c r="S115" s="199">
        <v>1560</v>
      </c>
      <c r="T115" s="204" t="s">
        <v>2062</v>
      </c>
      <c r="U115" s="1262" t="s">
        <v>2144</v>
      </c>
      <c r="V115" s="205"/>
      <c r="W115" s="203"/>
      <c r="X115" s="206"/>
      <c r="Y115" s="197" t="s">
        <v>2145</v>
      </c>
    </row>
    <row r="116" ht="37.5" customHeight="1" spans="1:25">
      <c r="A116" s="192">
        <f t="shared" si="4"/>
        <v>109</v>
      </c>
      <c r="B116" s="208">
        <v>2022</v>
      </c>
      <c r="C116" s="193" t="s">
        <v>37</v>
      </c>
      <c r="D116" s="194" t="s">
        <v>2198</v>
      </c>
      <c r="E116" s="195" t="s">
        <v>2199</v>
      </c>
      <c r="F116" s="196" t="s">
        <v>2073</v>
      </c>
      <c r="G116" s="197" t="s">
        <v>1610</v>
      </c>
      <c r="H116" s="198">
        <v>0.8</v>
      </c>
      <c r="I116" s="199">
        <v>51060</v>
      </c>
      <c r="J116" s="200" t="s">
        <v>1928</v>
      </c>
      <c r="K116" s="200" t="s">
        <v>2136</v>
      </c>
      <c r="L116" s="201">
        <v>0.4</v>
      </c>
      <c r="M116" s="1268" t="s">
        <v>2200</v>
      </c>
      <c r="N116" s="199">
        <v>44670.925</v>
      </c>
      <c r="O116" s="199">
        <v>44670.925</v>
      </c>
      <c r="P116" s="199">
        <f t="shared" si="5"/>
        <v>35736.74</v>
      </c>
      <c r="Q116" s="199">
        <v>35736.74</v>
      </c>
      <c r="R116" s="1262" t="s">
        <v>2027</v>
      </c>
      <c r="S116" s="199">
        <v>17868.37</v>
      </c>
      <c r="T116" s="204" t="s">
        <v>2062</v>
      </c>
      <c r="U116" s="1262" t="s">
        <v>2144</v>
      </c>
      <c r="V116" s="205"/>
      <c r="W116" s="203"/>
      <c r="X116" s="206"/>
      <c r="Y116" s="197" t="s">
        <v>2145</v>
      </c>
    </row>
    <row r="117" ht="37.5" customHeight="1" spans="1:25">
      <c r="A117" s="192">
        <f t="shared" si="4"/>
        <v>110</v>
      </c>
      <c r="B117" s="208">
        <v>2022</v>
      </c>
      <c r="C117" s="193" t="s">
        <v>37</v>
      </c>
      <c r="D117" s="194" t="s">
        <v>2201</v>
      </c>
      <c r="E117" s="195" t="s">
        <v>2202</v>
      </c>
      <c r="F117" s="196" t="s">
        <v>2073</v>
      </c>
      <c r="G117" s="197" t="s">
        <v>1610</v>
      </c>
      <c r="H117" s="198">
        <v>0.8</v>
      </c>
      <c r="I117" s="199">
        <v>1000000</v>
      </c>
      <c r="J117" s="200" t="s">
        <v>2203</v>
      </c>
      <c r="K117" s="200" t="s">
        <v>2204</v>
      </c>
      <c r="L117" s="201">
        <v>0.4</v>
      </c>
      <c r="M117" s="1268" t="s">
        <v>2087</v>
      </c>
      <c r="N117" s="199">
        <v>150833.3625</v>
      </c>
      <c r="O117" s="199">
        <v>150833.3625</v>
      </c>
      <c r="P117" s="199">
        <f t="shared" si="5"/>
        <v>120666.69</v>
      </c>
      <c r="Q117" s="199">
        <v>120666.69</v>
      </c>
      <c r="R117" s="1262" t="s">
        <v>2027</v>
      </c>
      <c r="S117" s="199">
        <v>60333.345</v>
      </c>
      <c r="T117" s="204" t="s">
        <v>2062</v>
      </c>
      <c r="U117" s="1262" t="s">
        <v>2144</v>
      </c>
      <c r="V117" s="205"/>
      <c r="W117" s="203"/>
      <c r="X117" s="206"/>
      <c r="Y117" s="197" t="s">
        <v>2145</v>
      </c>
    </row>
    <row r="118" ht="37.5" customHeight="1" spans="1:25">
      <c r="A118" s="192">
        <f t="shared" si="4"/>
        <v>111</v>
      </c>
      <c r="B118" s="208">
        <v>2022</v>
      </c>
      <c r="C118" s="193" t="s">
        <v>37</v>
      </c>
      <c r="D118" s="194" t="s">
        <v>2205</v>
      </c>
      <c r="E118" s="195" t="s">
        <v>2206</v>
      </c>
      <c r="F118" s="196" t="s">
        <v>2073</v>
      </c>
      <c r="G118" s="197" t="s">
        <v>1610</v>
      </c>
      <c r="H118" s="198">
        <v>0.8</v>
      </c>
      <c r="I118" s="199">
        <v>25000</v>
      </c>
      <c r="J118" s="200" t="s">
        <v>2207</v>
      </c>
      <c r="K118" s="200" t="s">
        <v>2208</v>
      </c>
      <c r="L118" s="201">
        <v>0.4</v>
      </c>
      <c r="M118" s="1268" t="s">
        <v>2209</v>
      </c>
      <c r="N118" s="199">
        <v>2566.725</v>
      </c>
      <c r="O118" s="199">
        <v>2566.725</v>
      </c>
      <c r="P118" s="199">
        <f t="shared" si="5"/>
        <v>2053.38</v>
      </c>
      <c r="Q118" s="199">
        <v>2053.38</v>
      </c>
      <c r="R118" s="1262" t="s">
        <v>2027</v>
      </c>
      <c r="S118" s="199">
        <v>1026.69</v>
      </c>
      <c r="T118" s="204" t="s">
        <v>2062</v>
      </c>
      <c r="U118" s="1262" t="s">
        <v>2144</v>
      </c>
      <c r="V118" s="205"/>
      <c r="W118" s="203"/>
      <c r="X118" s="206"/>
      <c r="Y118" s="197" t="s">
        <v>2145</v>
      </c>
    </row>
    <row r="119" ht="37.5" customHeight="1" spans="1:25">
      <c r="A119" s="192">
        <f t="shared" si="4"/>
        <v>112</v>
      </c>
      <c r="B119" s="208">
        <v>2022</v>
      </c>
      <c r="C119" s="193" t="s">
        <v>37</v>
      </c>
      <c r="D119" s="194" t="s">
        <v>2210</v>
      </c>
      <c r="E119" s="195" t="s">
        <v>2211</v>
      </c>
      <c r="F119" s="196" t="s">
        <v>2073</v>
      </c>
      <c r="G119" s="197" t="s">
        <v>1610</v>
      </c>
      <c r="H119" s="198">
        <v>0.8</v>
      </c>
      <c r="I119" s="199">
        <v>231000</v>
      </c>
      <c r="J119" s="200" t="s">
        <v>2207</v>
      </c>
      <c r="K119" s="200" t="s">
        <v>2208</v>
      </c>
      <c r="L119" s="201">
        <v>0.4</v>
      </c>
      <c r="M119" s="1268" t="s">
        <v>2212</v>
      </c>
      <c r="N119" s="199">
        <v>1333.3375</v>
      </c>
      <c r="O119" s="199">
        <v>1333.3375</v>
      </c>
      <c r="P119" s="199">
        <f t="shared" si="5"/>
        <v>1066.67</v>
      </c>
      <c r="Q119" s="199">
        <v>1066.67</v>
      </c>
      <c r="R119" s="1262" t="s">
        <v>2027</v>
      </c>
      <c r="S119" s="199">
        <v>533.335</v>
      </c>
      <c r="T119" s="204" t="s">
        <v>2062</v>
      </c>
      <c r="U119" s="1262" t="s">
        <v>2144</v>
      </c>
      <c r="V119" s="205"/>
      <c r="W119" s="203"/>
      <c r="X119" s="206"/>
      <c r="Y119" s="197" t="s">
        <v>2145</v>
      </c>
    </row>
    <row r="120" ht="37.5" customHeight="1" spans="1:25">
      <c r="A120" s="192">
        <f t="shared" ref="A120:A183" si="6">ROW()-7</f>
        <v>113</v>
      </c>
      <c r="B120" s="208">
        <v>2022</v>
      </c>
      <c r="C120" s="193" t="s">
        <v>37</v>
      </c>
      <c r="D120" s="194" t="s">
        <v>2213</v>
      </c>
      <c r="E120" s="195" t="s">
        <v>2214</v>
      </c>
      <c r="F120" s="196" t="s">
        <v>2073</v>
      </c>
      <c r="G120" s="197" t="s">
        <v>1610</v>
      </c>
      <c r="H120" s="198">
        <v>0.8</v>
      </c>
      <c r="I120" s="199">
        <v>200000</v>
      </c>
      <c r="J120" s="200" t="s">
        <v>2215</v>
      </c>
      <c r="K120" s="200" t="s">
        <v>2216</v>
      </c>
      <c r="L120" s="201">
        <v>0.4</v>
      </c>
      <c r="M120" s="1268" t="s">
        <v>2217</v>
      </c>
      <c r="N120" s="199">
        <v>26450.025</v>
      </c>
      <c r="O120" s="199">
        <v>26450.025</v>
      </c>
      <c r="P120" s="199">
        <f t="shared" si="5"/>
        <v>21160.02</v>
      </c>
      <c r="Q120" s="199">
        <v>21160.02</v>
      </c>
      <c r="R120" s="1262" t="s">
        <v>2027</v>
      </c>
      <c r="S120" s="199">
        <v>10580.01</v>
      </c>
      <c r="T120" s="204" t="s">
        <v>2062</v>
      </c>
      <c r="U120" s="1262" t="s">
        <v>2144</v>
      </c>
      <c r="V120" s="205"/>
      <c r="W120" s="203"/>
      <c r="X120" s="206"/>
      <c r="Y120" s="197" t="s">
        <v>2145</v>
      </c>
    </row>
    <row r="121" ht="37.5" customHeight="1" spans="1:25">
      <c r="A121" s="192">
        <f t="shared" si="6"/>
        <v>114</v>
      </c>
      <c r="B121" s="208">
        <v>2022</v>
      </c>
      <c r="C121" s="193" t="s">
        <v>37</v>
      </c>
      <c r="D121" s="194" t="s">
        <v>2218</v>
      </c>
      <c r="E121" s="195" t="s">
        <v>2219</v>
      </c>
      <c r="F121" s="196" t="s">
        <v>2073</v>
      </c>
      <c r="G121" s="197" t="s">
        <v>1610</v>
      </c>
      <c r="H121" s="198">
        <v>0.8</v>
      </c>
      <c r="I121" s="199">
        <v>15000</v>
      </c>
      <c r="J121" s="200" t="s">
        <v>2220</v>
      </c>
      <c r="K121" s="200" t="s">
        <v>2221</v>
      </c>
      <c r="L121" s="201">
        <v>0.4</v>
      </c>
      <c r="M121" s="1268" t="s">
        <v>2178</v>
      </c>
      <c r="N121" s="199">
        <v>916.675</v>
      </c>
      <c r="O121" s="199">
        <v>916.675</v>
      </c>
      <c r="P121" s="199">
        <f t="shared" si="5"/>
        <v>733.34</v>
      </c>
      <c r="Q121" s="199">
        <v>733.34</v>
      </c>
      <c r="R121" s="1262" t="s">
        <v>2027</v>
      </c>
      <c r="S121" s="199">
        <v>366.67</v>
      </c>
      <c r="T121" s="204" t="s">
        <v>2062</v>
      </c>
      <c r="U121" s="1262" t="s">
        <v>2144</v>
      </c>
      <c r="V121" s="205"/>
      <c r="W121" s="203"/>
      <c r="X121" s="206"/>
      <c r="Y121" s="197" t="s">
        <v>2145</v>
      </c>
    </row>
    <row r="122" ht="37.5" customHeight="1" spans="1:25">
      <c r="A122" s="192">
        <f t="shared" si="6"/>
        <v>115</v>
      </c>
      <c r="B122" s="208">
        <v>2022</v>
      </c>
      <c r="C122" s="193" t="s">
        <v>37</v>
      </c>
      <c r="D122" s="194" t="s">
        <v>2222</v>
      </c>
      <c r="E122" s="195" t="s">
        <v>2223</v>
      </c>
      <c r="F122" s="196" t="s">
        <v>2073</v>
      </c>
      <c r="G122" s="197" t="s">
        <v>1610</v>
      </c>
      <c r="H122" s="198">
        <v>0.8</v>
      </c>
      <c r="I122" s="199">
        <v>36085.86</v>
      </c>
      <c r="J122" s="200" t="s">
        <v>1825</v>
      </c>
      <c r="K122" s="200" t="s">
        <v>2169</v>
      </c>
      <c r="L122" s="201">
        <v>0.4</v>
      </c>
      <c r="M122" s="1268" t="s">
        <v>2224</v>
      </c>
      <c r="N122" s="199">
        <v>13650.0375</v>
      </c>
      <c r="O122" s="199">
        <v>13650.0375</v>
      </c>
      <c r="P122" s="199">
        <f t="shared" si="5"/>
        <v>10920.03</v>
      </c>
      <c r="Q122" s="199">
        <v>10920.03</v>
      </c>
      <c r="R122" s="1262" t="s">
        <v>2027</v>
      </c>
      <c r="S122" s="199">
        <v>5460.015</v>
      </c>
      <c r="T122" s="204" t="s">
        <v>2062</v>
      </c>
      <c r="U122" s="1262" t="s">
        <v>2144</v>
      </c>
      <c r="V122" s="205"/>
      <c r="W122" s="203"/>
      <c r="X122" s="206"/>
      <c r="Y122" s="197" t="s">
        <v>2145</v>
      </c>
    </row>
    <row r="123" ht="37.5" customHeight="1" spans="1:25">
      <c r="A123" s="192">
        <f t="shared" si="6"/>
        <v>116</v>
      </c>
      <c r="B123" s="208">
        <v>2022</v>
      </c>
      <c r="C123" s="193" t="s">
        <v>37</v>
      </c>
      <c r="D123" s="194" t="s">
        <v>2225</v>
      </c>
      <c r="E123" s="195" t="s">
        <v>2226</v>
      </c>
      <c r="F123" s="196" t="s">
        <v>2073</v>
      </c>
      <c r="G123" s="197" t="s">
        <v>1610</v>
      </c>
      <c r="H123" s="198">
        <v>0.8</v>
      </c>
      <c r="I123" s="199">
        <v>10000</v>
      </c>
      <c r="J123" s="200" t="s">
        <v>2227</v>
      </c>
      <c r="K123" s="200" t="s">
        <v>2228</v>
      </c>
      <c r="L123" s="201">
        <v>0.4</v>
      </c>
      <c r="M123" s="1268" t="s">
        <v>2229</v>
      </c>
      <c r="N123" s="199">
        <v>3500.0125</v>
      </c>
      <c r="O123" s="199">
        <v>3500.0125</v>
      </c>
      <c r="P123" s="199">
        <f t="shared" si="5"/>
        <v>2800.01</v>
      </c>
      <c r="Q123" s="199">
        <v>2800.01</v>
      </c>
      <c r="R123" s="1262" t="s">
        <v>2027</v>
      </c>
      <c r="S123" s="199">
        <v>1400.005</v>
      </c>
      <c r="T123" s="204" t="s">
        <v>2062</v>
      </c>
      <c r="U123" s="1262" t="s">
        <v>2144</v>
      </c>
      <c r="V123" s="205"/>
      <c r="W123" s="203"/>
      <c r="X123" s="206"/>
      <c r="Y123" s="197" t="s">
        <v>2145</v>
      </c>
    </row>
    <row r="124" ht="37.5" customHeight="1" spans="1:25">
      <c r="A124" s="192">
        <f t="shared" si="6"/>
        <v>117</v>
      </c>
      <c r="B124" s="208">
        <v>2022</v>
      </c>
      <c r="C124" s="193" t="s">
        <v>37</v>
      </c>
      <c r="D124" s="194" t="s">
        <v>2230</v>
      </c>
      <c r="E124" s="195" t="s">
        <v>2231</v>
      </c>
      <c r="F124" s="196" t="s">
        <v>2073</v>
      </c>
      <c r="G124" s="197" t="s">
        <v>1610</v>
      </c>
      <c r="H124" s="198">
        <v>0.8</v>
      </c>
      <c r="I124" s="199">
        <v>13000</v>
      </c>
      <c r="J124" s="200" t="s">
        <v>1931</v>
      </c>
      <c r="K124" s="200" t="s">
        <v>2232</v>
      </c>
      <c r="L124" s="201">
        <v>0.4</v>
      </c>
      <c r="M124" s="1268" t="s">
        <v>2097</v>
      </c>
      <c r="N124" s="199">
        <v>440</v>
      </c>
      <c r="O124" s="199">
        <v>440</v>
      </c>
      <c r="P124" s="199">
        <f t="shared" si="5"/>
        <v>352</v>
      </c>
      <c r="Q124" s="199">
        <v>352</v>
      </c>
      <c r="R124" s="1262" t="s">
        <v>2027</v>
      </c>
      <c r="S124" s="199">
        <v>176</v>
      </c>
      <c r="T124" s="204" t="s">
        <v>2062</v>
      </c>
      <c r="U124" s="1262" t="s">
        <v>2144</v>
      </c>
      <c r="V124" s="205"/>
      <c r="W124" s="203"/>
      <c r="X124" s="206"/>
      <c r="Y124" s="197" t="s">
        <v>2145</v>
      </c>
    </row>
    <row r="125" ht="37.5" customHeight="1" spans="1:25">
      <c r="A125" s="192">
        <f t="shared" si="6"/>
        <v>118</v>
      </c>
      <c r="B125" s="208">
        <v>2022</v>
      </c>
      <c r="C125" s="193" t="s">
        <v>37</v>
      </c>
      <c r="D125" s="194" t="s">
        <v>2233</v>
      </c>
      <c r="E125" s="195" t="s">
        <v>2234</v>
      </c>
      <c r="F125" s="196" t="s">
        <v>2073</v>
      </c>
      <c r="G125" s="197" t="s">
        <v>1610</v>
      </c>
      <c r="H125" s="198">
        <v>0.8</v>
      </c>
      <c r="I125" s="199">
        <v>40010</v>
      </c>
      <c r="J125" s="200" t="s">
        <v>1931</v>
      </c>
      <c r="K125" s="200" t="s">
        <v>2232</v>
      </c>
      <c r="L125" s="201">
        <v>0.4</v>
      </c>
      <c r="M125" s="1268" t="s">
        <v>2235</v>
      </c>
      <c r="N125" s="199">
        <v>6700</v>
      </c>
      <c r="O125" s="199">
        <v>6700</v>
      </c>
      <c r="P125" s="199">
        <f t="shared" si="5"/>
        <v>5360</v>
      </c>
      <c r="Q125" s="199">
        <v>5360</v>
      </c>
      <c r="R125" s="1262" t="s">
        <v>2027</v>
      </c>
      <c r="S125" s="199">
        <v>2680</v>
      </c>
      <c r="T125" s="204" t="s">
        <v>2062</v>
      </c>
      <c r="U125" s="1262" t="s">
        <v>2144</v>
      </c>
      <c r="V125" s="205"/>
      <c r="W125" s="203"/>
      <c r="X125" s="206"/>
      <c r="Y125" s="197" t="s">
        <v>2145</v>
      </c>
    </row>
    <row r="126" ht="37.5" customHeight="1" spans="1:25">
      <c r="A126" s="192">
        <f t="shared" si="6"/>
        <v>119</v>
      </c>
      <c r="B126" s="208">
        <v>2022</v>
      </c>
      <c r="C126" s="193" t="s">
        <v>37</v>
      </c>
      <c r="D126" s="194" t="s">
        <v>2236</v>
      </c>
      <c r="E126" s="195" t="s">
        <v>2237</v>
      </c>
      <c r="F126" s="196" t="s">
        <v>2073</v>
      </c>
      <c r="G126" s="197" t="s">
        <v>1610</v>
      </c>
      <c r="H126" s="198">
        <v>0.8</v>
      </c>
      <c r="I126" s="199">
        <v>10000</v>
      </c>
      <c r="J126" s="200" t="s">
        <v>1951</v>
      </c>
      <c r="K126" s="200" t="s">
        <v>2238</v>
      </c>
      <c r="L126" s="201">
        <v>0.4</v>
      </c>
      <c r="M126" s="1268" t="s">
        <v>2224</v>
      </c>
      <c r="N126" s="199">
        <v>5991.5125</v>
      </c>
      <c r="O126" s="199">
        <v>5991.5125</v>
      </c>
      <c r="P126" s="199">
        <f t="shared" si="5"/>
        <v>4793.21</v>
      </c>
      <c r="Q126" s="199">
        <v>4793.21</v>
      </c>
      <c r="R126" s="1262" t="s">
        <v>2027</v>
      </c>
      <c r="S126" s="199">
        <v>2396.605</v>
      </c>
      <c r="T126" s="204" t="s">
        <v>2062</v>
      </c>
      <c r="U126" s="1262" t="s">
        <v>2144</v>
      </c>
      <c r="V126" s="205"/>
      <c r="W126" s="203"/>
      <c r="X126" s="206"/>
      <c r="Y126" s="197" t="s">
        <v>2145</v>
      </c>
    </row>
    <row r="127" ht="37.5" customHeight="1" spans="1:25">
      <c r="A127" s="192">
        <f t="shared" si="6"/>
        <v>120</v>
      </c>
      <c r="B127" s="208">
        <v>2022</v>
      </c>
      <c r="C127" s="193" t="s">
        <v>37</v>
      </c>
      <c r="D127" s="194" t="s">
        <v>2239</v>
      </c>
      <c r="E127" s="195" t="s">
        <v>2240</v>
      </c>
      <c r="F127" s="196" t="s">
        <v>2073</v>
      </c>
      <c r="G127" s="197" t="s">
        <v>1610</v>
      </c>
      <c r="H127" s="198">
        <v>0.8</v>
      </c>
      <c r="I127" s="199">
        <v>13000</v>
      </c>
      <c r="J127" s="200" t="s">
        <v>1939</v>
      </c>
      <c r="K127" s="200" t="s">
        <v>2241</v>
      </c>
      <c r="L127" s="201">
        <v>0.4</v>
      </c>
      <c r="M127" s="1268" t="s">
        <v>2242</v>
      </c>
      <c r="N127" s="199">
        <v>13000</v>
      </c>
      <c r="O127" s="199">
        <v>13000</v>
      </c>
      <c r="P127" s="199">
        <f t="shared" si="5"/>
        <v>10400</v>
      </c>
      <c r="Q127" s="199">
        <v>10400</v>
      </c>
      <c r="R127" s="1262" t="s">
        <v>2027</v>
      </c>
      <c r="S127" s="199">
        <v>5200</v>
      </c>
      <c r="T127" s="204" t="s">
        <v>2062</v>
      </c>
      <c r="U127" s="1262" t="s">
        <v>2144</v>
      </c>
      <c r="V127" s="205"/>
      <c r="W127" s="203"/>
      <c r="X127" s="206"/>
      <c r="Y127" s="197" t="s">
        <v>2145</v>
      </c>
    </row>
    <row r="128" ht="37.5" customHeight="1" spans="1:25">
      <c r="A128" s="192">
        <f t="shared" si="6"/>
        <v>121</v>
      </c>
      <c r="B128" s="208">
        <v>2022</v>
      </c>
      <c r="C128" s="193" t="s">
        <v>37</v>
      </c>
      <c r="D128" s="194" t="s">
        <v>2243</v>
      </c>
      <c r="E128" s="195" t="s">
        <v>2244</v>
      </c>
      <c r="F128" s="196" t="s">
        <v>2073</v>
      </c>
      <c r="G128" s="197" t="s">
        <v>1610</v>
      </c>
      <c r="H128" s="198">
        <v>0.8</v>
      </c>
      <c r="I128" s="199">
        <v>50000</v>
      </c>
      <c r="J128" s="200" t="s">
        <v>1970</v>
      </c>
      <c r="K128" s="200" t="s">
        <v>2245</v>
      </c>
      <c r="L128" s="201">
        <v>0.4</v>
      </c>
      <c r="M128" s="1268" t="s">
        <v>2224</v>
      </c>
      <c r="N128" s="199">
        <v>9775</v>
      </c>
      <c r="O128" s="199">
        <v>9775</v>
      </c>
      <c r="P128" s="199">
        <f t="shared" ref="P128:P191" si="7">O128*H128</f>
        <v>7820</v>
      </c>
      <c r="Q128" s="199">
        <v>7820</v>
      </c>
      <c r="R128" s="1262" t="s">
        <v>2027</v>
      </c>
      <c r="S128" s="199">
        <v>3910</v>
      </c>
      <c r="T128" s="204" t="s">
        <v>2062</v>
      </c>
      <c r="U128" s="1262" t="s">
        <v>2144</v>
      </c>
      <c r="V128" s="205"/>
      <c r="W128" s="203"/>
      <c r="X128" s="206"/>
      <c r="Y128" s="197" t="s">
        <v>2145</v>
      </c>
    </row>
    <row r="129" ht="37.5" customHeight="1" spans="1:25">
      <c r="A129" s="192">
        <f t="shared" si="6"/>
        <v>122</v>
      </c>
      <c r="B129" s="208">
        <v>2022</v>
      </c>
      <c r="C129" s="193" t="s">
        <v>37</v>
      </c>
      <c r="D129" s="194" t="s">
        <v>2246</v>
      </c>
      <c r="E129" s="195" t="s">
        <v>2247</v>
      </c>
      <c r="F129" s="196" t="s">
        <v>2073</v>
      </c>
      <c r="G129" s="197" t="s">
        <v>1610</v>
      </c>
      <c r="H129" s="198">
        <v>0.8</v>
      </c>
      <c r="I129" s="199">
        <v>61340</v>
      </c>
      <c r="J129" s="200" t="s">
        <v>2248</v>
      </c>
      <c r="K129" s="200" t="s">
        <v>2249</v>
      </c>
      <c r="L129" s="201">
        <v>0.4</v>
      </c>
      <c r="M129" s="1268" t="s">
        <v>2242</v>
      </c>
      <c r="N129" s="199">
        <v>4923.8625</v>
      </c>
      <c r="O129" s="199">
        <v>4923.8625</v>
      </c>
      <c r="P129" s="199">
        <f t="shared" si="7"/>
        <v>3939.09</v>
      </c>
      <c r="Q129" s="199">
        <v>3939.09</v>
      </c>
      <c r="R129" s="1262" t="s">
        <v>2027</v>
      </c>
      <c r="S129" s="199">
        <v>1969.545</v>
      </c>
      <c r="T129" s="204" t="s">
        <v>2062</v>
      </c>
      <c r="U129" s="1262" t="s">
        <v>2144</v>
      </c>
      <c r="V129" s="205"/>
      <c r="W129" s="203"/>
      <c r="X129" s="206"/>
      <c r="Y129" s="197" t="s">
        <v>2145</v>
      </c>
    </row>
    <row r="130" ht="37.5" customHeight="1" spans="1:25">
      <c r="A130" s="192">
        <f t="shared" si="6"/>
        <v>123</v>
      </c>
      <c r="B130" s="208">
        <v>2022</v>
      </c>
      <c r="C130" s="193" t="s">
        <v>37</v>
      </c>
      <c r="D130" s="194" t="s">
        <v>2250</v>
      </c>
      <c r="E130" s="195" t="s">
        <v>2251</v>
      </c>
      <c r="F130" s="196" t="s">
        <v>2073</v>
      </c>
      <c r="G130" s="197" t="s">
        <v>1610</v>
      </c>
      <c r="H130" s="198">
        <v>0.8</v>
      </c>
      <c r="I130" s="199">
        <v>300000</v>
      </c>
      <c r="J130" s="200" t="s">
        <v>2252</v>
      </c>
      <c r="K130" s="200" t="s">
        <v>2253</v>
      </c>
      <c r="L130" s="201">
        <v>0.4</v>
      </c>
      <c r="M130" s="1268" t="s">
        <v>2254</v>
      </c>
      <c r="N130" s="199">
        <v>69500</v>
      </c>
      <c r="O130" s="199">
        <v>69500</v>
      </c>
      <c r="P130" s="199">
        <f t="shared" si="7"/>
        <v>55600</v>
      </c>
      <c r="Q130" s="199">
        <v>55600</v>
      </c>
      <c r="R130" s="1262" t="s">
        <v>2027</v>
      </c>
      <c r="S130" s="199">
        <v>27800</v>
      </c>
      <c r="T130" s="204" t="s">
        <v>2062</v>
      </c>
      <c r="U130" s="1262" t="s">
        <v>2144</v>
      </c>
      <c r="V130" s="205"/>
      <c r="W130" s="203"/>
      <c r="X130" s="206"/>
      <c r="Y130" s="197" t="s">
        <v>2145</v>
      </c>
    </row>
    <row r="131" ht="37.5" customHeight="1" spans="1:25">
      <c r="A131" s="192">
        <f t="shared" si="6"/>
        <v>124</v>
      </c>
      <c r="B131" s="208">
        <v>2022</v>
      </c>
      <c r="C131" s="193" t="s">
        <v>37</v>
      </c>
      <c r="D131" s="194" t="s">
        <v>2255</v>
      </c>
      <c r="E131" s="195" t="s">
        <v>2256</v>
      </c>
      <c r="F131" s="196" t="s">
        <v>2073</v>
      </c>
      <c r="G131" s="197" t="s">
        <v>1610</v>
      </c>
      <c r="H131" s="198">
        <v>0.8</v>
      </c>
      <c r="I131" s="199">
        <v>10000</v>
      </c>
      <c r="J131" s="200" t="s">
        <v>1845</v>
      </c>
      <c r="K131" s="200" t="s">
        <v>2257</v>
      </c>
      <c r="L131" s="201">
        <v>0.4</v>
      </c>
      <c r="M131" s="1268" t="s">
        <v>2164</v>
      </c>
      <c r="N131" s="199">
        <v>8866.6</v>
      </c>
      <c r="O131" s="199">
        <v>8866.6</v>
      </c>
      <c r="P131" s="199">
        <f t="shared" si="7"/>
        <v>7093.28</v>
      </c>
      <c r="Q131" s="199">
        <v>7093.28</v>
      </c>
      <c r="R131" s="1262" t="s">
        <v>2027</v>
      </c>
      <c r="S131" s="199">
        <v>3546.64</v>
      </c>
      <c r="T131" s="204" t="s">
        <v>2062</v>
      </c>
      <c r="U131" s="1262" t="s">
        <v>2144</v>
      </c>
      <c r="V131" s="232"/>
      <c r="W131" s="203"/>
      <c r="X131" s="233"/>
      <c r="Y131" s="197" t="s">
        <v>2145</v>
      </c>
    </row>
    <row r="132" ht="37.5" customHeight="1" spans="1:25">
      <c r="A132" s="192">
        <f t="shared" si="6"/>
        <v>125</v>
      </c>
      <c r="B132" s="208">
        <v>2022</v>
      </c>
      <c r="C132" s="193" t="s">
        <v>37</v>
      </c>
      <c r="D132" s="194" t="s">
        <v>2258</v>
      </c>
      <c r="E132" s="195" t="s">
        <v>2259</v>
      </c>
      <c r="F132" s="196" t="s">
        <v>2073</v>
      </c>
      <c r="G132" s="197" t="s">
        <v>1610</v>
      </c>
      <c r="H132" s="198">
        <v>0.8</v>
      </c>
      <c r="I132" s="199">
        <v>14000</v>
      </c>
      <c r="J132" s="200" t="s">
        <v>1957</v>
      </c>
      <c r="K132" s="200" t="s">
        <v>2260</v>
      </c>
      <c r="L132" s="201">
        <v>0.4</v>
      </c>
      <c r="M132" s="1268" t="s">
        <v>2261</v>
      </c>
      <c r="N132" s="199">
        <v>1700</v>
      </c>
      <c r="O132" s="199">
        <v>1700</v>
      </c>
      <c r="P132" s="199">
        <f t="shared" si="7"/>
        <v>1360</v>
      </c>
      <c r="Q132" s="199">
        <v>1360</v>
      </c>
      <c r="R132" s="1262" t="s">
        <v>2027</v>
      </c>
      <c r="S132" s="199">
        <v>680</v>
      </c>
      <c r="T132" s="204" t="s">
        <v>2062</v>
      </c>
      <c r="U132" s="1262" t="s">
        <v>2144</v>
      </c>
      <c r="V132" s="232"/>
      <c r="W132" s="203"/>
      <c r="X132" s="233"/>
      <c r="Y132" s="197" t="s">
        <v>2145</v>
      </c>
    </row>
    <row r="133" ht="37.5" customHeight="1" spans="1:25">
      <c r="A133" s="192">
        <f t="shared" si="6"/>
        <v>126</v>
      </c>
      <c r="B133" s="208">
        <v>2022</v>
      </c>
      <c r="C133" s="193" t="s">
        <v>37</v>
      </c>
      <c r="D133" s="194" t="s">
        <v>2262</v>
      </c>
      <c r="E133" s="195" t="s">
        <v>2263</v>
      </c>
      <c r="F133" s="196" t="s">
        <v>2073</v>
      </c>
      <c r="G133" s="197" t="s">
        <v>1610</v>
      </c>
      <c r="H133" s="198">
        <v>0.8</v>
      </c>
      <c r="I133" s="199">
        <v>26000</v>
      </c>
      <c r="J133" s="200" t="s">
        <v>2264</v>
      </c>
      <c r="K133" s="200" t="s">
        <v>2265</v>
      </c>
      <c r="L133" s="201">
        <v>0.4</v>
      </c>
      <c r="M133" s="1268" t="s">
        <v>2197</v>
      </c>
      <c r="N133" s="199">
        <v>1272</v>
      </c>
      <c r="O133" s="199">
        <v>1272</v>
      </c>
      <c r="P133" s="199">
        <f t="shared" si="7"/>
        <v>1017.6</v>
      </c>
      <c r="Q133" s="199">
        <v>1017.6</v>
      </c>
      <c r="R133" s="1262" t="s">
        <v>2027</v>
      </c>
      <c r="S133" s="199">
        <v>508.8</v>
      </c>
      <c r="T133" s="204" t="s">
        <v>2062</v>
      </c>
      <c r="U133" s="1262" t="s">
        <v>2144</v>
      </c>
      <c r="V133" s="232"/>
      <c r="W133" s="203"/>
      <c r="X133" s="233"/>
      <c r="Y133" s="197" t="s">
        <v>2145</v>
      </c>
    </row>
    <row r="134" ht="37.5" customHeight="1" spans="1:25">
      <c r="A134" s="192">
        <f t="shared" si="6"/>
        <v>127</v>
      </c>
      <c r="B134" s="208">
        <v>2022</v>
      </c>
      <c r="C134" s="193" t="s">
        <v>37</v>
      </c>
      <c r="D134" s="194" t="s">
        <v>2266</v>
      </c>
      <c r="E134" s="195" t="s">
        <v>2267</v>
      </c>
      <c r="F134" s="196" t="s">
        <v>2073</v>
      </c>
      <c r="G134" s="197" t="s">
        <v>1610</v>
      </c>
      <c r="H134" s="198">
        <v>0.8</v>
      </c>
      <c r="I134" s="199">
        <v>20000</v>
      </c>
      <c r="J134" s="200" t="s">
        <v>2268</v>
      </c>
      <c r="K134" s="200" t="s">
        <v>2269</v>
      </c>
      <c r="L134" s="201">
        <v>0.4</v>
      </c>
      <c r="M134" s="1268" t="s">
        <v>2229</v>
      </c>
      <c r="N134" s="199">
        <v>10481</v>
      </c>
      <c r="O134" s="199">
        <v>10481</v>
      </c>
      <c r="P134" s="199">
        <f t="shared" si="7"/>
        <v>8384.8</v>
      </c>
      <c r="Q134" s="199">
        <v>8384.8</v>
      </c>
      <c r="R134" s="1262" t="s">
        <v>2027</v>
      </c>
      <c r="S134" s="199">
        <v>4192.4</v>
      </c>
      <c r="T134" s="204" t="s">
        <v>2062</v>
      </c>
      <c r="U134" s="1262" t="s">
        <v>2144</v>
      </c>
      <c r="V134" s="232"/>
      <c r="W134" s="203"/>
      <c r="X134" s="233"/>
      <c r="Y134" s="197" t="s">
        <v>2145</v>
      </c>
    </row>
    <row r="135" ht="37.5" customHeight="1" spans="1:25">
      <c r="A135" s="192">
        <f t="shared" si="6"/>
        <v>128</v>
      </c>
      <c r="B135" s="208">
        <v>2022</v>
      </c>
      <c r="C135" s="193" t="s">
        <v>37</v>
      </c>
      <c r="D135" s="194" t="s">
        <v>2270</v>
      </c>
      <c r="E135" s="195" t="s">
        <v>2271</v>
      </c>
      <c r="F135" s="196" t="s">
        <v>2073</v>
      </c>
      <c r="G135" s="197" t="s">
        <v>1610</v>
      </c>
      <c r="H135" s="198">
        <v>0.8</v>
      </c>
      <c r="I135" s="199">
        <v>23010</v>
      </c>
      <c r="J135" s="200" t="s">
        <v>2272</v>
      </c>
      <c r="K135" s="200" t="s">
        <v>2273</v>
      </c>
      <c r="L135" s="201">
        <v>0.4</v>
      </c>
      <c r="M135" s="1268" t="s">
        <v>2149</v>
      </c>
      <c r="N135" s="199">
        <v>21092.5</v>
      </c>
      <c r="O135" s="199">
        <v>21092.5</v>
      </c>
      <c r="P135" s="199">
        <f t="shared" si="7"/>
        <v>16874</v>
      </c>
      <c r="Q135" s="199">
        <v>16874</v>
      </c>
      <c r="R135" s="1262" t="s">
        <v>2027</v>
      </c>
      <c r="S135" s="199">
        <v>8437</v>
      </c>
      <c r="T135" s="204" t="s">
        <v>2062</v>
      </c>
      <c r="U135" s="1262" t="s">
        <v>2144</v>
      </c>
      <c r="V135" s="232"/>
      <c r="W135" s="203"/>
      <c r="X135" s="233"/>
      <c r="Y135" s="197" t="s">
        <v>2145</v>
      </c>
    </row>
    <row r="136" s="80" customFormat="1" ht="37.5" customHeight="1" spans="1:25">
      <c r="A136" s="138">
        <f t="shared" si="6"/>
        <v>129</v>
      </c>
      <c r="B136" s="139">
        <v>2022</v>
      </c>
      <c r="C136" s="189" t="s">
        <v>147</v>
      </c>
      <c r="D136" s="140" t="s">
        <v>2274</v>
      </c>
      <c r="E136" s="190" t="s">
        <v>2275</v>
      </c>
      <c r="F136" s="142" t="s">
        <v>2276</v>
      </c>
      <c r="G136" s="143" t="s">
        <v>1610</v>
      </c>
      <c r="H136" s="144">
        <v>1</v>
      </c>
      <c r="I136" s="145">
        <v>6500000</v>
      </c>
      <c r="J136" s="185" t="s">
        <v>1783</v>
      </c>
      <c r="K136" s="185" t="s">
        <v>1958</v>
      </c>
      <c r="L136" s="147">
        <v>0.4</v>
      </c>
      <c r="M136" s="1259" t="s">
        <v>1933</v>
      </c>
      <c r="N136" s="145">
        <v>6500000</v>
      </c>
      <c r="O136" s="145">
        <v>6500000</v>
      </c>
      <c r="P136" s="145">
        <f t="shared" si="7"/>
        <v>6500000</v>
      </c>
      <c r="Q136" s="145">
        <v>6500000</v>
      </c>
      <c r="R136" s="1260" t="s">
        <v>2027</v>
      </c>
      <c r="S136" s="145">
        <v>2600000</v>
      </c>
      <c r="T136" s="150" t="s">
        <v>2035</v>
      </c>
      <c r="U136" s="1260" t="s">
        <v>2028</v>
      </c>
      <c r="V136" s="234">
        <v>1300000</v>
      </c>
      <c r="W136" s="184" t="s">
        <v>2029</v>
      </c>
      <c r="X136" s="235">
        <v>1300000</v>
      </c>
      <c r="Y136" s="138"/>
    </row>
    <row r="137" s="80" customFormat="1" ht="37.5" customHeight="1" spans="1:25">
      <c r="A137" s="138">
        <f t="shared" si="6"/>
        <v>130</v>
      </c>
      <c r="B137" s="139">
        <v>2022</v>
      </c>
      <c r="C137" s="189" t="s">
        <v>22</v>
      </c>
      <c r="D137" s="140" t="s">
        <v>2277</v>
      </c>
      <c r="E137" s="190" t="s">
        <v>2278</v>
      </c>
      <c r="F137" s="142" t="s">
        <v>1936</v>
      </c>
      <c r="G137" s="143" t="s">
        <v>1610</v>
      </c>
      <c r="H137" s="144">
        <v>1</v>
      </c>
      <c r="I137" s="145">
        <v>4800000</v>
      </c>
      <c r="J137" s="185" t="s">
        <v>2279</v>
      </c>
      <c r="K137" s="185" t="s">
        <v>2203</v>
      </c>
      <c r="L137" s="147">
        <v>0.5</v>
      </c>
      <c r="M137" s="1259" t="s">
        <v>2039</v>
      </c>
      <c r="N137" s="145">
        <v>4881765.55</v>
      </c>
      <c r="O137" s="145">
        <v>4798792.11</v>
      </c>
      <c r="P137" s="145">
        <f t="shared" si="7"/>
        <v>4798792.11</v>
      </c>
      <c r="Q137" s="145">
        <v>4798792.11</v>
      </c>
      <c r="R137" s="1260" t="s">
        <v>2280</v>
      </c>
      <c r="S137" s="145">
        <v>2440882.78</v>
      </c>
      <c r="T137" s="150" t="s">
        <v>2281</v>
      </c>
      <c r="U137" s="1260" t="s">
        <v>2282</v>
      </c>
      <c r="V137" s="234">
        <v>1439637.63</v>
      </c>
      <c r="W137" s="184" t="s">
        <v>2029</v>
      </c>
      <c r="X137" s="235">
        <v>1439637.63</v>
      </c>
      <c r="Y137" s="138"/>
    </row>
    <row r="138" s="86" customFormat="1" ht="37.5" customHeight="1" spans="1:25">
      <c r="A138" s="236">
        <f t="shared" si="6"/>
        <v>131</v>
      </c>
      <c r="B138" s="237">
        <v>2022</v>
      </c>
      <c r="C138" s="238" t="s">
        <v>22</v>
      </c>
      <c r="D138" s="239" t="s">
        <v>2277</v>
      </c>
      <c r="E138" s="240" t="s">
        <v>2283</v>
      </c>
      <c r="F138" s="241" t="s">
        <v>1936</v>
      </c>
      <c r="G138" s="242" t="s">
        <v>1610</v>
      </c>
      <c r="H138" s="243">
        <v>1</v>
      </c>
      <c r="I138" s="244">
        <v>4800000</v>
      </c>
      <c r="J138" s="245" t="s">
        <v>2284</v>
      </c>
      <c r="K138" s="245" t="s">
        <v>2285</v>
      </c>
      <c r="L138" s="246">
        <v>0.4</v>
      </c>
      <c r="M138" s="1269" t="s">
        <v>2039</v>
      </c>
      <c r="N138" s="244">
        <v>4902596.81</v>
      </c>
      <c r="O138" s="244">
        <v>4800000</v>
      </c>
      <c r="P138" s="244">
        <f t="shared" si="7"/>
        <v>4800000</v>
      </c>
      <c r="Q138" s="244">
        <v>4902596.81</v>
      </c>
      <c r="R138" s="1270" t="s">
        <v>2280</v>
      </c>
      <c r="S138" s="244">
        <v>1961038.72</v>
      </c>
      <c r="T138" s="249" t="s">
        <v>2281</v>
      </c>
      <c r="U138" s="1270" t="s">
        <v>2282</v>
      </c>
      <c r="V138" s="250"/>
      <c r="W138" s="248"/>
      <c r="X138" s="251"/>
      <c r="Y138" s="252" t="s">
        <v>2286</v>
      </c>
    </row>
    <row r="139" ht="37.5" customHeight="1" spans="1:25">
      <c r="A139" s="192">
        <f t="shared" si="6"/>
        <v>132</v>
      </c>
      <c r="B139" s="208">
        <v>2022</v>
      </c>
      <c r="C139" s="193" t="s">
        <v>37</v>
      </c>
      <c r="D139" s="253" t="s">
        <v>2287</v>
      </c>
      <c r="E139" s="195" t="s">
        <v>2288</v>
      </c>
      <c r="F139" s="196" t="s">
        <v>2073</v>
      </c>
      <c r="G139" s="197" t="s">
        <v>1610</v>
      </c>
      <c r="H139" s="198">
        <v>0.8</v>
      </c>
      <c r="I139" s="199">
        <v>1000000</v>
      </c>
      <c r="J139" s="200" t="s">
        <v>2079</v>
      </c>
      <c r="K139" s="200" t="s">
        <v>2080</v>
      </c>
      <c r="L139" s="201">
        <v>0.4</v>
      </c>
      <c r="M139" s="1261" t="s">
        <v>2289</v>
      </c>
      <c r="N139" s="254">
        <v>217500.03</v>
      </c>
      <c r="O139" s="254">
        <v>217500.03</v>
      </c>
      <c r="P139" s="199">
        <f t="shared" si="7"/>
        <v>174000.024</v>
      </c>
      <c r="Q139" s="254">
        <v>174000.02</v>
      </c>
      <c r="R139" s="1262" t="s">
        <v>2290</v>
      </c>
      <c r="S139" s="199">
        <v>87000.01</v>
      </c>
      <c r="T139" s="204" t="s">
        <v>2291</v>
      </c>
      <c r="U139" s="1262" t="s">
        <v>2291</v>
      </c>
      <c r="V139" s="232">
        <v>43500.006</v>
      </c>
      <c r="W139" s="203" t="s">
        <v>2292</v>
      </c>
      <c r="X139" s="255">
        <v>43500.006</v>
      </c>
      <c r="Y139" s="192"/>
    </row>
    <row r="140" ht="37.5" customHeight="1" spans="1:25">
      <c r="A140" s="192">
        <f t="shared" si="6"/>
        <v>133</v>
      </c>
      <c r="B140" s="208">
        <v>2022</v>
      </c>
      <c r="C140" s="193" t="s">
        <v>37</v>
      </c>
      <c r="D140" s="253" t="s">
        <v>2293</v>
      </c>
      <c r="E140" s="195" t="s">
        <v>2294</v>
      </c>
      <c r="F140" s="196" t="s">
        <v>2073</v>
      </c>
      <c r="G140" s="197" t="s">
        <v>1610</v>
      </c>
      <c r="H140" s="198">
        <v>0.8</v>
      </c>
      <c r="I140" s="199">
        <v>75000</v>
      </c>
      <c r="J140" s="200" t="s">
        <v>2295</v>
      </c>
      <c r="K140" s="200" t="s">
        <v>2296</v>
      </c>
      <c r="L140" s="201">
        <v>0.4</v>
      </c>
      <c r="M140" s="1261" t="s">
        <v>2297</v>
      </c>
      <c r="N140" s="254">
        <v>9635.09</v>
      </c>
      <c r="O140" s="254">
        <v>9635.09</v>
      </c>
      <c r="P140" s="199">
        <f t="shared" si="7"/>
        <v>7708.072</v>
      </c>
      <c r="Q140" s="254">
        <v>7708.07</v>
      </c>
      <c r="R140" s="1262" t="s">
        <v>2290</v>
      </c>
      <c r="S140" s="199">
        <v>3854.04</v>
      </c>
      <c r="T140" s="204" t="s">
        <v>2291</v>
      </c>
      <c r="U140" s="1262" t="s">
        <v>2291</v>
      </c>
      <c r="V140" s="232">
        <v>1927.018</v>
      </c>
      <c r="W140" s="203" t="s">
        <v>2063</v>
      </c>
      <c r="X140" s="256">
        <v>1927.018</v>
      </c>
      <c r="Y140" s="192"/>
    </row>
    <row r="141" ht="37.5" customHeight="1" spans="1:25">
      <c r="A141" s="192">
        <f t="shared" si="6"/>
        <v>134</v>
      </c>
      <c r="B141" s="208">
        <v>2022</v>
      </c>
      <c r="C141" s="193" t="s">
        <v>37</v>
      </c>
      <c r="D141" s="253" t="s">
        <v>2298</v>
      </c>
      <c r="E141" s="195" t="s">
        <v>2299</v>
      </c>
      <c r="F141" s="196" t="s">
        <v>2073</v>
      </c>
      <c r="G141" s="197" t="s">
        <v>1610</v>
      </c>
      <c r="H141" s="198">
        <v>0.8</v>
      </c>
      <c r="I141" s="199">
        <v>26910</v>
      </c>
      <c r="J141" s="200" t="s">
        <v>2106</v>
      </c>
      <c r="K141" s="200" t="s">
        <v>2107</v>
      </c>
      <c r="L141" s="201">
        <v>0.4</v>
      </c>
      <c r="M141" s="1261" t="s">
        <v>2224</v>
      </c>
      <c r="N141" s="254">
        <v>3483.29</v>
      </c>
      <c r="O141" s="254">
        <v>3483.29</v>
      </c>
      <c r="P141" s="199">
        <f t="shared" si="7"/>
        <v>2786.632</v>
      </c>
      <c r="Q141" s="254">
        <v>2786.63</v>
      </c>
      <c r="R141" s="1262" t="s">
        <v>2290</v>
      </c>
      <c r="S141" s="199">
        <v>1393.32</v>
      </c>
      <c r="T141" s="204" t="s">
        <v>2291</v>
      </c>
      <c r="U141" s="1262" t="s">
        <v>2291</v>
      </c>
      <c r="V141" s="205">
        <v>696.658</v>
      </c>
      <c r="W141" s="1262" t="s">
        <v>2063</v>
      </c>
      <c r="X141" s="257">
        <v>696.658</v>
      </c>
      <c r="Y141" s="192"/>
    </row>
    <row r="142" ht="37.5" customHeight="1" spans="1:25">
      <c r="A142" s="192">
        <f t="shared" si="6"/>
        <v>135</v>
      </c>
      <c r="B142" s="208">
        <v>2022</v>
      </c>
      <c r="C142" s="193" t="s">
        <v>37</v>
      </c>
      <c r="D142" s="253" t="s">
        <v>2300</v>
      </c>
      <c r="E142" s="195" t="s">
        <v>2301</v>
      </c>
      <c r="F142" s="196" t="s">
        <v>2073</v>
      </c>
      <c r="G142" s="197" t="s">
        <v>1610</v>
      </c>
      <c r="H142" s="198">
        <v>0.8</v>
      </c>
      <c r="I142" s="199">
        <v>10000</v>
      </c>
      <c r="J142" s="200" t="s">
        <v>2302</v>
      </c>
      <c r="K142" s="200" t="s">
        <v>2303</v>
      </c>
      <c r="L142" s="201">
        <v>0.4</v>
      </c>
      <c r="M142" s="1261" t="s">
        <v>2304</v>
      </c>
      <c r="N142" s="254">
        <v>6583.34</v>
      </c>
      <c r="O142" s="254">
        <v>6583.34</v>
      </c>
      <c r="P142" s="199">
        <f t="shared" si="7"/>
        <v>5266.672</v>
      </c>
      <c r="Q142" s="254">
        <v>5266.67</v>
      </c>
      <c r="R142" s="1262" t="s">
        <v>2290</v>
      </c>
      <c r="S142" s="199">
        <v>2633.34</v>
      </c>
      <c r="T142" s="204" t="s">
        <v>2291</v>
      </c>
      <c r="U142" s="1262" t="s">
        <v>2291</v>
      </c>
      <c r="V142" s="205">
        <v>1316.668</v>
      </c>
      <c r="W142" s="1262" t="s">
        <v>2063</v>
      </c>
      <c r="X142" s="257">
        <v>1316.668</v>
      </c>
      <c r="Y142" s="192"/>
    </row>
    <row r="143" ht="37.5" customHeight="1" spans="1:25">
      <c r="A143" s="192">
        <f t="shared" si="6"/>
        <v>136</v>
      </c>
      <c r="B143" s="208">
        <v>2022</v>
      </c>
      <c r="C143" s="193" t="s">
        <v>37</v>
      </c>
      <c r="D143" s="253" t="s">
        <v>2305</v>
      </c>
      <c r="E143" s="195" t="s">
        <v>2306</v>
      </c>
      <c r="F143" s="196" t="s">
        <v>2073</v>
      </c>
      <c r="G143" s="197" t="s">
        <v>1610</v>
      </c>
      <c r="H143" s="198">
        <v>0.8</v>
      </c>
      <c r="I143" s="199">
        <v>100000</v>
      </c>
      <c r="J143" s="200" t="s">
        <v>2095</v>
      </c>
      <c r="K143" s="200" t="s">
        <v>2096</v>
      </c>
      <c r="L143" s="201">
        <v>0.4</v>
      </c>
      <c r="M143" s="1261" t="s">
        <v>2307</v>
      </c>
      <c r="N143" s="254">
        <v>9433.35</v>
      </c>
      <c r="O143" s="254">
        <v>9433.35</v>
      </c>
      <c r="P143" s="199">
        <f t="shared" si="7"/>
        <v>7546.68</v>
      </c>
      <c r="Q143" s="254">
        <v>7546.68</v>
      </c>
      <c r="R143" s="1262" t="s">
        <v>2290</v>
      </c>
      <c r="S143" s="199">
        <v>3773.34</v>
      </c>
      <c r="T143" s="204" t="s">
        <v>2291</v>
      </c>
      <c r="U143" s="1262" t="s">
        <v>2291</v>
      </c>
      <c r="V143" s="205">
        <v>1886.67</v>
      </c>
      <c r="W143" s="1262" t="s">
        <v>2063</v>
      </c>
      <c r="X143" s="257">
        <v>1886.67</v>
      </c>
      <c r="Y143" s="192"/>
    </row>
    <row r="144" ht="37.5" customHeight="1" spans="1:25">
      <c r="A144" s="192">
        <f t="shared" si="6"/>
        <v>137</v>
      </c>
      <c r="B144" s="208">
        <v>2022</v>
      </c>
      <c r="C144" s="193" t="s">
        <v>37</v>
      </c>
      <c r="D144" s="253" t="s">
        <v>2308</v>
      </c>
      <c r="E144" s="195" t="s">
        <v>2309</v>
      </c>
      <c r="F144" s="196" t="s">
        <v>2073</v>
      </c>
      <c r="G144" s="197" t="s">
        <v>1610</v>
      </c>
      <c r="H144" s="198">
        <v>0.8</v>
      </c>
      <c r="I144" s="199">
        <v>644000</v>
      </c>
      <c r="J144" s="200" t="s">
        <v>1816</v>
      </c>
      <c r="K144" s="200" t="s">
        <v>2310</v>
      </c>
      <c r="L144" s="201">
        <v>0.4</v>
      </c>
      <c r="M144" s="1261" t="s">
        <v>2311</v>
      </c>
      <c r="N144" s="254">
        <v>13333.34</v>
      </c>
      <c r="O144" s="254">
        <v>13333.34</v>
      </c>
      <c r="P144" s="199">
        <f t="shared" si="7"/>
        <v>10666.672</v>
      </c>
      <c r="Q144" s="254">
        <v>10666.67</v>
      </c>
      <c r="R144" s="1262" t="s">
        <v>2290</v>
      </c>
      <c r="S144" s="199">
        <v>5333.34</v>
      </c>
      <c r="T144" s="204" t="s">
        <v>2291</v>
      </c>
      <c r="U144" s="1262" t="s">
        <v>2291</v>
      </c>
      <c r="V144" s="205">
        <v>2666.668</v>
      </c>
      <c r="W144" s="1262" t="s">
        <v>2292</v>
      </c>
      <c r="X144" s="258">
        <v>2666.668</v>
      </c>
      <c r="Y144" s="192"/>
    </row>
    <row r="145" ht="37.5" customHeight="1" spans="1:25">
      <c r="A145" s="192">
        <f t="shared" si="6"/>
        <v>138</v>
      </c>
      <c r="B145" s="208">
        <v>2022</v>
      </c>
      <c r="C145" s="193" t="s">
        <v>37</v>
      </c>
      <c r="D145" s="253" t="s">
        <v>2312</v>
      </c>
      <c r="E145" s="195" t="s">
        <v>2313</v>
      </c>
      <c r="F145" s="196" t="s">
        <v>2073</v>
      </c>
      <c r="G145" s="197" t="s">
        <v>1610</v>
      </c>
      <c r="H145" s="198">
        <v>0.8</v>
      </c>
      <c r="I145" s="199">
        <v>71310</v>
      </c>
      <c r="J145" s="200" t="s">
        <v>2272</v>
      </c>
      <c r="K145" s="200" t="s">
        <v>2273</v>
      </c>
      <c r="L145" s="201">
        <v>0.4</v>
      </c>
      <c r="M145" s="1261" t="s">
        <v>2314</v>
      </c>
      <c r="N145" s="254">
        <v>12750.03</v>
      </c>
      <c r="O145" s="254">
        <v>12750.03</v>
      </c>
      <c r="P145" s="199">
        <f t="shared" si="7"/>
        <v>10200.024</v>
      </c>
      <c r="Q145" s="254">
        <v>10200.02</v>
      </c>
      <c r="R145" s="1262" t="s">
        <v>2290</v>
      </c>
      <c r="S145" s="199">
        <v>5100.01</v>
      </c>
      <c r="T145" s="204" t="s">
        <v>2291</v>
      </c>
      <c r="U145" s="1262" t="s">
        <v>2291</v>
      </c>
      <c r="V145" s="205">
        <v>2550.006</v>
      </c>
      <c r="W145" s="1262" t="s">
        <v>2063</v>
      </c>
      <c r="X145" s="257">
        <v>2550.006</v>
      </c>
      <c r="Y145" s="192"/>
    </row>
    <row r="146" ht="37.5" customHeight="1" spans="1:25">
      <c r="A146" s="192">
        <f t="shared" si="6"/>
        <v>139</v>
      </c>
      <c r="B146" s="208">
        <v>2022</v>
      </c>
      <c r="C146" s="193" t="s">
        <v>37</v>
      </c>
      <c r="D146" s="253" t="s">
        <v>2315</v>
      </c>
      <c r="E146" s="195" t="s">
        <v>2316</v>
      </c>
      <c r="F146" s="196" t="s">
        <v>2073</v>
      </c>
      <c r="G146" s="197" t="s">
        <v>1610</v>
      </c>
      <c r="H146" s="198">
        <v>0.8</v>
      </c>
      <c r="I146" s="199">
        <v>36200</v>
      </c>
      <c r="J146" s="200" t="s">
        <v>2317</v>
      </c>
      <c r="K146" s="200" t="s">
        <v>2318</v>
      </c>
      <c r="L146" s="201">
        <v>0.4</v>
      </c>
      <c r="M146" s="1261" t="s">
        <v>2319</v>
      </c>
      <c r="N146" s="254">
        <v>8087.54</v>
      </c>
      <c r="O146" s="254">
        <v>8087.54</v>
      </c>
      <c r="P146" s="199">
        <f t="shared" si="7"/>
        <v>6470.032</v>
      </c>
      <c r="Q146" s="254">
        <v>6470.03</v>
      </c>
      <c r="R146" s="1262" t="s">
        <v>2290</v>
      </c>
      <c r="S146" s="199">
        <v>3235.02</v>
      </c>
      <c r="T146" s="204" t="s">
        <v>2291</v>
      </c>
      <c r="U146" s="1262" t="s">
        <v>2291</v>
      </c>
      <c r="V146" s="205">
        <v>1617.508</v>
      </c>
      <c r="W146" s="1262" t="s">
        <v>2063</v>
      </c>
      <c r="X146" s="257">
        <v>1617.508</v>
      </c>
      <c r="Y146" s="192"/>
    </row>
    <row r="147" ht="37.5" customHeight="1" spans="1:25">
      <c r="A147" s="192">
        <f t="shared" si="6"/>
        <v>140</v>
      </c>
      <c r="B147" s="208">
        <v>2022</v>
      </c>
      <c r="C147" s="193" t="s">
        <v>37</v>
      </c>
      <c r="D147" s="253" t="s">
        <v>2320</v>
      </c>
      <c r="E147" s="195" t="s">
        <v>2321</v>
      </c>
      <c r="F147" s="196" t="s">
        <v>2073</v>
      </c>
      <c r="G147" s="197" t="s">
        <v>1610</v>
      </c>
      <c r="H147" s="198">
        <v>0.8</v>
      </c>
      <c r="I147" s="199">
        <v>30000</v>
      </c>
      <c r="J147" s="200" t="s">
        <v>2322</v>
      </c>
      <c r="K147" s="200" t="s">
        <v>2323</v>
      </c>
      <c r="L147" s="201">
        <v>0.4</v>
      </c>
      <c r="M147" s="1261" t="s">
        <v>2307</v>
      </c>
      <c r="N147" s="254">
        <v>902.5</v>
      </c>
      <c r="O147" s="254">
        <v>902.5</v>
      </c>
      <c r="P147" s="199">
        <f t="shared" si="7"/>
        <v>722</v>
      </c>
      <c r="Q147" s="254">
        <v>722</v>
      </c>
      <c r="R147" s="1262" t="s">
        <v>2290</v>
      </c>
      <c r="S147" s="199">
        <v>361</v>
      </c>
      <c r="T147" s="204" t="s">
        <v>2291</v>
      </c>
      <c r="U147" s="1262" t="s">
        <v>2291</v>
      </c>
      <c r="V147" s="205">
        <v>180.5</v>
      </c>
      <c r="W147" s="1262" t="s">
        <v>2063</v>
      </c>
      <c r="X147" s="257">
        <v>180.5</v>
      </c>
      <c r="Y147" s="192"/>
    </row>
    <row r="148" ht="37.5" customHeight="1" spans="1:25">
      <c r="A148" s="192">
        <f t="shared" si="6"/>
        <v>141</v>
      </c>
      <c r="B148" s="208">
        <v>2022</v>
      </c>
      <c r="C148" s="193" t="s">
        <v>37</v>
      </c>
      <c r="D148" s="253" t="s">
        <v>2324</v>
      </c>
      <c r="E148" s="195" t="s">
        <v>2325</v>
      </c>
      <c r="F148" s="196" t="s">
        <v>2073</v>
      </c>
      <c r="G148" s="197" t="s">
        <v>1610</v>
      </c>
      <c r="H148" s="198">
        <v>0.8</v>
      </c>
      <c r="I148" s="199">
        <v>251030</v>
      </c>
      <c r="J148" s="200" t="s">
        <v>2302</v>
      </c>
      <c r="K148" s="200" t="s">
        <v>2303</v>
      </c>
      <c r="L148" s="201">
        <v>0.4</v>
      </c>
      <c r="M148" s="1261" t="s">
        <v>2326</v>
      </c>
      <c r="N148" s="254">
        <v>30603.18</v>
      </c>
      <c r="O148" s="254">
        <v>30603.18</v>
      </c>
      <c r="P148" s="199">
        <f t="shared" si="7"/>
        <v>24482.544</v>
      </c>
      <c r="Q148" s="254">
        <v>24482.54</v>
      </c>
      <c r="R148" s="1262" t="s">
        <v>2290</v>
      </c>
      <c r="S148" s="199">
        <v>12241.27</v>
      </c>
      <c r="T148" s="204" t="s">
        <v>2291</v>
      </c>
      <c r="U148" s="1262" t="s">
        <v>2291</v>
      </c>
      <c r="V148" s="205">
        <v>6120.636</v>
      </c>
      <c r="W148" s="1262" t="s">
        <v>2063</v>
      </c>
      <c r="X148" s="257">
        <v>6120.636</v>
      </c>
      <c r="Y148" s="192"/>
    </row>
    <row r="149" ht="37.5" customHeight="1" spans="1:25">
      <c r="A149" s="192">
        <f t="shared" si="6"/>
        <v>142</v>
      </c>
      <c r="B149" s="208">
        <v>2022</v>
      </c>
      <c r="C149" s="193" t="s">
        <v>37</v>
      </c>
      <c r="D149" s="253" t="s">
        <v>2327</v>
      </c>
      <c r="E149" s="195" t="s">
        <v>2328</v>
      </c>
      <c r="F149" s="196" t="s">
        <v>2073</v>
      </c>
      <c r="G149" s="197" t="s">
        <v>1610</v>
      </c>
      <c r="H149" s="198">
        <v>0.8</v>
      </c>
      <c r="I149" s="199">
        <v>50000</v>
      </c>
      <c r="J149" s="200" t="s">
        <v>2329</v>
      </c>
      <c r="K149" s="200" t="s">
        <v>2330</v>
      </c>
      <c r="L149" s="201">
        <v>0.4</v>
      </c>
      <c r="M149" s="1261" t="s">
        <v>2331</v>
      </c>
      <c r="N149" s="254">
        <v>3375</v>
      </c>
      <c r="O149" s="254">
        <v>3375</v>
      </c>
      <c r="P149" s="199">
        <f t="shared" si="7"/>
        <v>2700</v>
      </c>
      <c r="Q149" s="254">
        <v>2700</v>
      </c>
      <c r="R149" s="1262" t="s">
        <v>2290</v>
      </c>
      <c r="S149" s="199">
        <v>1350</v>
      </c>
      <c r="T149" s="204" t="s">
        <v>2291</v>
      </c>
      <c r="U149" s="1262" t="s">
        <v>2291</v>
      </c>
      <c r="V149" s="205">
        <v>675</v>
      </c>
      <c r="W149" s="1262" t="s">
        <v>2063</v>
      </c>
      <c r="X149" s="257">
        <v>675</v>
      </c>
      <c r="Y149" s="192"/>
    </row>
    <row r="150" ht="37.5" customHeight="1" spans="1:25">
      <c r="A150" s="192">
        <f t="shared" si="6"/>
        <v>143</v>
      </c>
      <c r="B150" s="208">
        <v>2022</v>
      </c>
      <c r="C150" s="193" t="s">
        <v>37</v>
      </c>
      <c r="D150" s="253" t="s">
        <v>2332</v>
      </c>
      <c r="E150" s="195" t="s">
        <v>2333</v>
      </c>
      <c r="F150" s="196" t="s">
        <v>2073</v>
      </c>
      <c r="G150" s="197" t="s">
        <v>1610</v>
      </c>
      <c r="H150" s="198">
        <v>0.8</v>
      </c>
      <c r="I150" s="199">
        <v>400000</v>
      </c>
      <c r="J150" s="200" t="s">
        <v>1815</v>
      </c>
      <c r="K150" s="200" t="s">
        <v>2159</v>
      </c>
      <c r="L150" s="201">
        <v>0.4</v>
      </c>
      <c r="M150" s="1261" t="s">
        <v>2304</v>
      </c>
      <c r="N150" s="254">
        <v>15000.03</v>
      </c>
      <c r="O150" s="254">
        <v>15000.03</v>
      </c>
      <c r="P150" s="199">
        <f t="shared" si="7"/>
        <v>12000.024</v>
      </c>
      <c r="Q150" s="254">
        <v>12000.02</v>
      </c>
      <c r="R150" s="1262" t="s">
        <v>2290</v>
      </c>
      <c r="S150" s="199">
        <v>6000.01</v>
      </c>
      <c r="T150" s="204" t="s">
        <v>2291</v>
      </c>
      <c r="U150" s="1262" t="s">
        <v>2291</v>
      </c>
      <c r="V150" s="205">
        <v>3000.006</v>
      </c>
      <c r="W150" s="1262" t="s">
        <v>2063</v>
      </c>
      <c r="X150" s="257">
        <v>3000.006</v>
      </c>
      <c r="Y150" s="192"/>
    </row>
    <row r="151" ht="37.5" customHeight="1" spans="1:25">
      <c r="A151" s="192">
        <f t="shared" si="6"/>
        <v>144</v>
      </c>
      <c r="B151" s="208">
        <v>2022</v>
      </c>
      <c r="C151" s="193" t="s">
        <v>37</v>
      </c>
      <c r="D151" s="253" t="s">
        <v>2334</v>
      </c>
      <c r="E151" s="195" t="s">
        <v>2335</v>
      </c>
      <c r="F151" s="196" t="s">
        <v>2073</v>
      </c>
      <c r="G151" s="197" t="s">
        <v>1610</v>
      </c>
      <c r="H151" s="198">
        <v>0.8</v>
      </c>
      <c r="I151" s="199">
        <v>110000</v>
      </c>
      <c r="J151" s="200" t="s">
        <v>2227</v>
      </c>
      <c r="K151" s="200" t="s">
        <v>2228</v>
      </c>
      <c r="L151" s="201">
        <v>0.4</v>
      </c>
      <c r="M151" s="1261" t="s">
        <v>2224</v>
      </c>
      <c r="N151" s="254">
        <v>15833.34</v>
      </c>
      <c r="O151" s="254">
        <v>15833.34</v>
      </c>
      <c r="P151" s="199">
        <f t="shared" si="7"/>
        <v>12666.672</v>
      </c>
      <c r="Q151" s="254">
        <v>12666.67</v>
      </c>
      <c r="R151" s="1262" t="s">
        <v>2290</v>
      </c>
      <c r="S151" s="199">
        <v>6333.34</v>
      </c>
      <c r="T151" s="204" t="s">
        <v>2291</v>
      </c>
      <c r="U151" s="1262" t="s">
        <v>2291</v>
      </c>
      <c r="V151" s="205">
        <v>3166.668</v>
      </c>
      <c r="W151" s="1262" t="s">
        <v>2063</v>
      </c>
      <c r="X151" s="257">
        <v>3166.668</v>
      </c>
      <c r="Y151" s="192"/>
    </row>
    <row r="152" ht="37.5" customHeight="1" spans="1:25">
      <c r="A152" s="192">
        <f t="shared" si="6"/>
        <v>145</v>
      </c>
      <c r="B152" s="208">
        <v>2022</v>
      </c>
      <c r="C152" s="193" t="s">
        <v>37</v>
      </c>
      <c r="D152" s="253" t="s">
        <v>2336</v>
      </c>
      <c r="E152" s="195" t="s">
        <v>2337</v>
      </c>
      <c r="F152" s="196" t="s">
        <v>2073</v>
      </c>
      <c r="G152" s="197" t="s">
        <v>1610</v>
      </c>
      <c r="H152" s="198">
        <v>0.8</v>
      </c>
      <c r="I152" s="199">
        <v>70020</v>
      </c>
      <c r="J152" s="200" t="s">
        <v>1843</v>
      </c>
      <c r="K152" s="200" t="s">
        <v>2148</v>
      </c>
      <c r="L152" s="201">
        <v>0.4</v>
      </c>
      <c r="M152" s="1261" t="s">
        <v>2338</v>
      </c>
      <c r="N152" s="254">
        <v>12000.05</v>
      </c>
      <c r="O152" s="254">
        <v>12000.05</v>
      </c>
      <c r="P152" s="199">
        <f t="shared" si="7"/>
        <v>9600.04</v>
      </c>
      <c r="Q152" s="254">
        <v>9600.04</v>
      </c>
      <c r="R152" s="1262" t="s">
        <v>2290</v>
      </c>
      <c r="S152" s="199">
        <v>4800.02</v>
      </c>
      <c r="T152" s="204" t="s">
        <v>2291</v>
      </c>
      <c r="U152" s="1262" t="s">
        <v>2291</v>
      </c>
      <c r="V152" s="205">
        <v>2400.01</v>
      </c>
      <c r="W152" s="1262" t="s">
        <v>2063</v>
      </c>
      <c r="X152" s="257">
        <v>2400.01</v>
      </c>
      <c r="Y152" s="192"/>
    </row>
    <row r="153" ht="37.5" customHeight="1" spans="1:25">
      <c r="A153" s="192">
        <f t="shared" si="6"/>
        <v>146</v>
      </c>
      <c r="B153" s="208">
        <v>2022</v>
      </c>
      <c r="C153" s="193" t="s">
        <v>37</v>
      </c>
      <c r="D153" s="253" t="s">
        <v>2339</v>
      </c>
      <c r="E153" s="195" t="s">
        <v>2340</v>
      </c>
      <c r="F153" s="196" t="s">
        <v>2073</v>
      </c>
      <c r="G153" s="197" t="s">
        <v>1610</v>
      </c>
      <c r="H153" s="198">
        <v>0.8</v>
      </c>
      <c r="I153" s="199">
        <v>250020</v>
      </c>
      <c r="J153" s="200" t="s">
        <v>2106</v>
      </c>
      <c r="K153" s="200" t="s">
        <v>2107</v>
      </c>
      <c r="L153" s="201">
        <v>0.4</v>
      </c>
      <c r="M153" s="1261" t="s">
        <v>2254</v>
      </c>
      <c r="N153" s="254">
        <v>32938.55</v>
      </c>
      <c r="O153" s="254">
        <v>32938.55</v>
      </c>
      <c r="P153" s="199">
        <f t="shared" si="7"/>
        <v>26350.84</v>
      </c>
      <c r="Q153" s="254">
        <v>26350.84</v>
      </c>
      <c r="R153" s="1262" t="s">
        <v>2290</v>
      </c>
      <c r="S153" s="199">
        <v>13175.42</v>
      </c>
      <c r="T153" s="204" t="s">
        <v>2291</v>
      </c>
      <c r="U153" s="1262" t="s">
        <v>2291</v>
      </c>
      <c r="V153" s="205">
        <v>6587.71</v>
      </c>
      <c r="W153" s="1262" t="s">
        <v>2063</v>
      </c>
      <c r="X153" s="257">
        <v>6587.71</v>
      </c>
      <c r="Y153" s="192"/>
    </row>
    <row r="154" ht="37.5" customHeight="1" spans="1:25">
      <c r="A154" s="192">
        <f t="shared" si="6"/>
        <v>147</v>
      </c>
      <c r="B154" s="208">
        <v>2022</v>
      </c>
      <c r="C154" s="193" t="s">
        <v>37</v>
      </c>
      <c r="D154" s="253" t="s">
        <v>2341</v>
      </c>
      <c r="E154" s="195" t="s">
        <v>2342</v>
      </c>
      <c r="F154" s="196" t="s">
        <v>2073</v>
      </c>
      <c r="G154" s="197" t="s">
        <v>1610</v>
      </c>
      <c r="H154" s="198">
        <v>0.8</v>
      </c>
      <c r="I154" s="199">
        <v>55600</v>
      </c>
      <c r="J154" s="200" t="s">
        <v>2329</v>
      </c>
      <c r="K154" s="200" t="s">
        <v>2330</v>
      </c>
      <c r="L154" s="201">
        <v>0.4</v>
      </c>
      <c r="M154" s="1261" t="s">
        <v>2060</v>
      </c>
      <c r="N154" s="254">
        <v>6000.03</v>
      </c>
      <c r="O154" s="254">
        <v>6000.03</v>
      </c>
      <c r="P154" s="199">
        <f t="shared" si="7"/>
        <v>4800.024</v>
      </c>
      <c r="Q154" s="254">
        <v>4800.02</v>
      </c>
      <c r="R154" s="1262" t="s">
        <v>2290</v>
      </c>
      <c r="S154" s="199">
        <v>2400.01</v>
      </c>
      <c r="T154" s="204" t="s">
        <v>2291</v>
      </c>
      <c r="U154" s="1262" t="s">
        <v>2291</v>
      </c>
      <c r="V154" s="205">
        <v>1200.006</v>
      </c>
      <c r="W154" s="1262" t="s">
        <v>2063</v>
      </c>
      <c r="X154" s="257">
        <v>1200.006</v>
      </c>
      <c r="Y154" s="192"/>
    </row>
    <row r="155" ht="37.5" customHeight="1" spans="1:25">
      <c r="A155" s="192">
        <f t="shared" si="6"/>
        <v>148</v>
      </c>
      <c r="B155" s="208">
        <v>2022</v>
      </c>
      <c r="C155" s="193" t="s">
        <v>37</v>
      </c>
      <c r="D155" s="253" t="s">
        <v>2343</v>
      </c>
      <c r="E155" s="195" t="s">
        <v>2344</v>
      </c>
      <c r="F155" s="196" t="s">
        <v>2073</v>
      </c>
      <c r="G155" s="197" t="s">
        <v>1610</v>
      </c>
      <c r="H155" s="198">
        <v>0.8</v>
      </c>
      <c r="I155" s="199">
        <v>55000</v>
      </c>
      <c r="J155" s="200" t="s">
        <v>2345</v>
      </c>
      <c r="K155" s="200" t="s">
        <v>2346</v>
      </c>
      <c r="L155" s="201">
        <v>0.4</v>
      </c>
      <c r="M155" s="1261" t="s">
        <v>2297</v>
      </c>
      <c r="N155" s="254">
        <v>5000</v>
      </c>
      <c r="O155" s="254">
        <v>5000</v>
      </c>
      <c r="P155" s="199">
        <f t="shared" si="7"/>
        <v>4000</v>
      </c>
      <c r="Q155" s="254">
        <v>4000</v>
      </c>
      <c r="R155" s="1262" t="s">
        <v>2290</v>
      </c>
      <c r="S155" s="199">
        <v>2000</v>
      </c>
      <c r="T155" s="204" t="s">
        <v>2291</v>
      </c>
      <c r="U155" s="1262" t="s">
        <v>2291</v>
      </c>
      <c r="V155" s="205">
        <v>1000</v>
      </c>
      <c r="W155" s="1262" t="s">
        <v>2063</v>
      </c>
      <c r="X155" s="257">
        <v>1000</v>
      </c>
      <c r="Y155" s="192"/>
    </row>
    <row r="156" ht="37.5" customHeight="1" spans="1:25">
      <c r="A156" s="192">
        <f t="shared" si="6"/>
        <v>149</v>
      </c>
      <c r="B156" s="208">
        <v>2022</v>
      </c>
      <c r="C156" s="193" t="s">
        <v>37</v>
      </c>
      <c r="D156" s="253" t="s">
        <v>2347</v>
      </c>
      <c r="E156" s="195" t="s">
        <v>2348</v>
      </c>
      <c r="F156" s="196" t="s">
        <v>2073</v>
      </c>
      <c r="G156" s="197" t="s">
        <v>1610</v>
      </c>
      <c r="H156" s="198">
        <v>0.8</v>
      </c>
      <c r="I156" s="199">
        <v>22000</v>
      </c>
      <c r="J156" s="200" t="s">
        <v>2349</v>
      </c>
      <c r="K156" s="200" t="s">
        <v>2350</v>
      </c>
      <c r="L156" s="201">
        <v>0.4</v>
      </c>
      <c r="M156" s="1261" t="s">
        <v>2351</v>
      </c>
      <c r="N156" s="254">
        <v>2833.34</v>
      </c>
      <c r="O156" s="254">
        <v>2833.34</v>
      </c>
      <c r="P156" s="199">
        <f t="shared" si="7"/>
        <v>2266.672</v>
      </c>
      <c r="Q156" s="254">
        <v>2266.67</v>
      </c>
      <c r="R156" s="1262" t="s">
        <v>2290</v>
      </c>
      <c r="S156" s="199">
        <v>1133.34</v>
      </c>
      <c r="T156" s="204" t="s">
        <v>2291</v>
      </c>
      <c r="U156" s="1262" t="s">
        <v>2291</v>
      </c>
      <c r="V156" s="205">
        <v>566.668</v>
      </c>
      <c r="W156" s="1262" t="s">
        <v>2063</v>
      </c>
      <c r="X156" s="257">
        <v>566.668</v>
      </c>
      <c r="Y156" s="192"/>
    </row>
    <row r="157" ht="37.5" customHeight="1" spans="1:25">
      <c r="A157" s="192">
        <f t="shared" si="6"/>
        <v>150</v>
      </c>
      <c r="B157" s="208">
        <v>2022</v>
      </c>
      <c r="C157" s="193" t="s">
        <v>37</v>
      </c>
      <c r="D157" s="253" t="s">
        <v>2352</v>
      </c>
      <c r="E157" s="195" t="s">
        <v>2353</v>
      </c>
      <c r="F157" s="196" t="s">
        <v>2073</v>
      </c>
      <c r="G157" s="197" t="s">
        <v>1610</v>
      </c>
      <c r="H157" s="198">
        <v>0.8</v>
      </c>
      <c r="I157" s="199">
        <v>122000</v>
      </c>
      <c r="J157" s="200" t="s">
        <v>2354</v>
      </c>
      <c r="K157" s="200" t="s">
        <v>2355</v>
      </c>
      <c r="L157" s="201">
        <v>0.4</v>
      </c>
      <c r="M157" s="1261" t="s">
        <v>2304</v>
      </c>
      <c r="N157" s="254">
        <v>13750</v>
      </c>
      <c r="O157" s="254">
        <v>13750</v>
      </c>
      <c r="P157" s="199">
        <f t="shared" si="7"/>
        <v>11000</v>
      </c>
      <c r="Q157" s="254">
        <v>11000</v>
      </c>
      <c r="R157" s="1262" t="s">
        <v>2290</v>
      </c>
      <c r="S157" s="199">
        <v>5500</v>
      </c>
      <c r="T157" s="204" t="s">
        <v>2291</v>
      </c>
      <c r="U157" s="1262" t="s">
        <v>2291</v>
      </c>
      <c r="V157" s="205">
        <v>2750</v>
      </c>
      <c r="W157" s="1262" t="s">
        <v>2063</v>
      </c>
      <c r="X157" s="257">
        <v>2750</v>
      </c>
      <c r="Y157" s="192"/>
    </row>
    <row r="158" ht="37.5" customHeight="1" spans="1:25">
      <c r="A158" s="192">
        <f t="shared" si="6"/>
        <v>151</v>
      </c>
      <c r="B158" s="208">
        <v>2022</v>
      </c>
      <c r="C158" s="193" t="s">
        <v>37</v>
      </c>
      <c r="D158" s="253" t="s">
        <v>2356</v>
      </c>
      <c r="E158" s="195" t="s">
        <v>2357</v>
      </c>
      <c r="F158" s="196" t="s">
        <v>2073</v>
      </c>
      <c r="G158" s="197" t="s">
        <v>1610</v>
      </c>
      <c r="H158" s="198">
        <v>0.8</v>
      </c>
      <c r="I158" s="199">
        <v>11000</v>
      </c>
      <c r="J158" s="200" t="s">
        <v>2176</v>
      </c>
      <c r="K158" s="200" t="s">
        <v>2177</v>
      </c>
      <c r="L158" s="201">
        <v>0.4</v>
      </c>
      <c r="M158" s="1261" t="s">
        <v>2002</v>
      </c>
      <c r="N158" s="254">
        <v>900</v>
      </c>
      <c r="O158" s="254">
        <v>900</v>
      </c>
      <c r="P158" s="199">
        <f t="shared" si="7"/>
        <v>720</v>
      </c>
      <c r="Q158" s="254">
        <v>720</v>
      </c>
      <c r="R158" s="1262" t="s">
        <v>2290</v>
      </c>
      <c r="S158" s="199">
        <v>360</v>
      </c>
      <c r="T158" s="204" t="s">
        <v>2291</v>
      </c>
      <c r="U158" s="1262" t="s">
        <v>2291</v>
      </c>
      <c r="V158" s="205">
        <v>180</v>
      </c>
      <c r="W158" s="1262" t="s">
        <v>2063</v>
      </c>
      <c r="X158" s="257">
        <v>180</v>
      </c>
      <c r="Y158" s="192"/>
    </row>
    <row r="159" ht="37.5" customHeight="1" spans="1:25">
      <c r="A159" s="192">
        <f t="shared" si="6"/>
        <v>152</v>
      </c>
      <c r="B159" s="208">
        <v>2022</v>
      </c>
      <c r="C159" s="193" t="s">
        <v>37</v>
      </c>
      <c r="D159" s="253" t="s">
        <v>2358</v>
      </c>
      <c r="E159" s="195" t="s">
        <v>2359</v>
      </c>
      <c r="F159" s="196" t="s">
        <v>2073</v>
      </c>
      <c r="G159" s="197" t="s">
        <v>1610</v>
      </c>
      <c r="H159" s="198">
        <v>0.8</v>
      </c>
      <c r="I159" s="199">
        <v>45000</v>
      </c>
      <c r="J159" s="200" t="s">
        <v>1958</v>
      </c>
      <c r="K159" s="200" t="s">
        <v>2360</v>
      </c>
      <c r="L159" s="201">
        <v>0.4</v>
      </c>
      <c r="M159" s="1261" t="s">
        <v>2351</v>
      </c>
      <c r="N159" s="254">
        <v>5550</v>
      </c>
      <c r="O159" s="254">
        <v>5550</v>
      </c>
      <c r="P159" s="199">
        <f t="shared" si="7"/>
        <v>4440</v>
      </c>
      <c r="Q159" s="254">
        <v>4440</v>
      </c>
      <c r="R159" s="1262" t="s">
        <v>2290</v>
      </c>
      <c r="S159" s="199">
        <v>2220</v>
      </c>
      <c r="T159" s="204" t="s">
        <v>2291</v>
      </c>
      <c r="U159" s="1262" t="s">
        <v>2291</v>
      </c>
      <c r="V159" s="205">
        <v>1110</v>
      </c>
      <c r="W159" s="1262" t="s">
        <v>2063</v>
      </c>
      <c r="X159" s="257">
        <v>1110</v>
      </c>
      <c r="Y159" s="192"/>
    </row>
    <row r="160" ht="37.5" customHeight="1" spans="1:25">
      <c r="A160" s="192">
        <f t="shared" si="6"/>
        <v>153</v>
      </c>
      <c r="B160" s="208">
        <v>2022</v>
      </c>
      <c r="C160" s="193" t="s">
        <v>37</v>
      </c>
      <c r="D160" s="253" t="s">
        <v>2361</v>
      </c>
      <c r="E160" s="195" t="s">
        <v>2362</v>
      </c>
      <c r="F160" s="196" t="s">
        <v>2073</v>
      </c>
      <c r="G160" s="197" t="s">
        <v>1610</v>
      </c>
      <c r="H160" s="198">
        <v>0.8</v>
      </c>
      <c r="I160" s="199">
        <v>134920</v>
      </c>
      <c r="J160" s="200" t="s">
        <v>2363</v>
      </c>
      <c r="K160" s="200" t="s">
        <v>2364</v>
      </c>
      <c r="L160" s="201">
        <v>0.4</v>
      </c>
      <c r="M160" s="1261" t="s">
        <v>2254</v>
      </c>
      <c r="N160" s="254">
        <v>74446.01</v>
      </c>
      <c r="O160" s="254">
        <v>74446.01</v>
      </c>
      <c r="P160" s="199">
        <f t="shared" si="7"/>
        <v>59556.808</v>
      </c>
      <c r="Q160" s="254">
        <v>59556.81</v>
      </c>
      <c r="R160" s="1262" t="s">
        <v>2290</v>
      </c>
      <c r="S160" s="199">
        <v>29778.41</v>
      </c>
      <c r="T160" s="204" t="s">
        <v>2291</v>
      </c>
      <c r="U160" s="1262" t="s">
        <v>2291</v>
      </c>
      <c r="V160" s="205">
        <v>14889.202</v>
      </c>
      <c r="W160" s="1262" t="s">
        <v>2063</v>
      </c>
      <c r="X160" s="257">
        <v>14889.202</v>
      </c>
      <c r="Y160" s="192"/>
    </row>
    <row r="161" ht="37.5" customHeight="1" spans="1:25">
      <c r="A161" s="192">
        <f t="shared" si="6"/>
        <v>154</v>
      </c>
      <c r="B161" s="208">
        <v>2022</v>
      </c>
      <c r="C161" s="193" t="s">
        <v>37</v>
      </c>
      <c r="D161" s="253" t="s">
        <v>2365</v>
      </c>
      <c r="E161" s="195" t="s">
        <v>2366</v>
      </c>
      <c r="F161" s="196" t="s">
        <v>2073</v>
      </c>
      <c r="G161" s="197" t="s">
        <v>1610</v>
      </c>
      <c r="H161" s="198">
        <v>0.8</v>
      </c>
      <c r="I161" s="199">
        <v>24255</v>
      </c>
      <c r="J161" s="200" t="s">
        <v>1817</v>
      </c>
      <c r="K161" s="200" t="s">
        <v>2367</v>
      </c>
      <c r="L161" s="201">
        <v>0.4</v>
      </c>
      <c r="M161" s="1261" t="s">
        <v>2368</v>
      </c>
      <c r="N161" s="254">
        <v>3333.34</v>
      </c>
      <c r="O161" s="254">
        <v>3333.34</v>
      </c>
      <c r="P161" s="199">
        <f t="shared" si="7"/>
        <v>2666.672</v>
      </c>
      <c r="Q161" s="254">
        <v>2666.67</v>
      </c>
      <c r="R161" s="1262" t="s">
        <v>2290</v>
      </c>
      <c r="S161" s="199">
        <v>1333.34</v>
      </c>
      <c r="T161" s="204" t="s">
        <v>2291</v>
      </c>
      <c r="U161" s="1262" t="s">
        <v>2291</v>
      </c>
      <c r="V161" s="205">
        <v>666.668</v>
      </c>
      <c r="W161" s="1262" t="s">
        <v>2063</v>
      </c>
      <c r="X161" s="257">
        <v>666.668</v>
      </c>
      <c r="Y161" s="192"/>
    </row>
    <row r="162" ht="37.5" customHeight="1" spans="1:25">
      <c r="A162" s="192">
        <f t="shared" si="6"/>
        <v>155</v>
      </c>
      <c r="B162" s="208">
        <v>2022</v>
      </c>
      <c r="C162" s="193" t="s">
        <v>37</v>
      </c>
      <c r="D162" s="253" t="s">
        <v>2365</v>
      </c>
      <c r="E162" s="195" t="s">
        <v>2369</v>
      </c>
      <c r="F162" s="196" t="s">
        <v>2073</v>
      </c>
      <c r="G162" s="197" t="s">
        <v>1610</v>
      </c>
      <c r="H162" s="198">
        <v>0.8</v>
      </c>
      <c r="I162" s="199">
        <v>15000</v>
      </c>
      <c r="J162" s="200" t="s">
        <v>2095</v>
      </c>
      <c r="K162" s="200" t="s">
        <v>2096</v>
      </c>
      <c r="L162" s="201">
        <v>0.4</v>
      </c>
      <c r="M162" s="1261" t="s">
        <v>2368</v>
      </c>
      <c r="N162" s="254">
        <v>7791.68</v>
      </c>
      <c r="O162" s="254">
        <v>7791.68</v>
      </c>
      <c r="P162" s="199">
        <f t="shared" si="7"/>
        <v>6233.344</v>
      </c>
      <c r="Q162" s="254">
        <v>6233.34</v>
      </c>
      <c r="R162" s="1262" t="s">
        <v>2290</v>
      </c>
      <c r="S162" s="199">
        <v>3116.67</v>
      </c>
      <c r="T162" s="204" t="s">
        <v>2291</v>
      </c>
      <c r="U162" s="1262" t="s">
        <v>2291</v>
      </c>
      <c r="V162" s="205">
        <v>1558.336</v>
      </c>
      <c r="W162" s="1262" t="s">
        <v>2063</v>
      </c>
      <c r="X162" s="257">
        <v>1558.336</v>
      </c>
      <c r="Y162" s="192"/>
    </row>
    <row r="163" ht="37.5" customHeight="1" spans="1:25">
      <c r="A163" s="192">
        <f t="shared" si="6"/>
        <v>156</v>
      </c>
      <c r="B163" s="208">
        <v>2022</v>
      </c>
      <c r="C163" s="193" t="s">
        <v>37</v>
      </c>
      <c r="D163" s="253" t="s">
        <v>2370</v>
      </c>
      <c r="E163" s="195" t="s">
        <v>2371</v>
      </c>
      <c r="F163" s="196" t="s">
        <v>2073</v>
      </c>
      <c r="G163" s="197" t="s">
        <v>1610</v>
      </c>
      <c r="H163" s="198">
        <v>0.8</v>
      </c>
      <c r="I163" s="199">
        <v>83000</v>
      </c>
      <c r="J163" s="200" t="s">
        <v>2372</v>
      </c>
      <c r="K163" s="200" t="s">
        <v>2373</v>
      </c>
      <c r="L163" s="201">
        <v>0.4</v>
      </c>
      <c r="M163" s="1261" t="s">
        <v>2060</v>
      </c>
      <c r="N163" s="254">
        <v>6000</v>
      </c>
      <c r="O163" s="254">
        <v>6000</v>
      </c>
      <c r="P163" s="199">
        <f t="shared" si="7"/>
        <v>4800</v>
      </c>
      <c r="Q163" s="254">
        <v>4800</v>
      </c>
      <c r="R163" s="1262" t="s">
        <v>2290</v>
      </c>
      <c r="S163" s="199">
        <v>2400</v>
      </c>
      <c r="T163" s="204" t="s">
        <v>2291</v>
      </c>
      <c r="U163" s="1262" t="s">
        <v>2291</v>
      </c>
      <c r="V163" s="205">
        <v>1200</v>
      </c>
      <c r="W163" s="1262" t="s">
        <v>2063</v>
      </c>
      <c r="X163" s="257">
        <v>1200</v>
      </c>
      <c r="Y163" s="192"/>
    </row>
    <row r="164" ht="37.5" customHeight="1" spans="1:25">
      <c r="A164" s="192">
        <f t="shared" si="6"/>
        <v>157</v>
      </c>
      <c r="B164" s="208">
        <v>2022</v>
      </c>
      <c r="C164" s="193" t="s">
        <v>37</v>
      </c>
      <c r="D164" s="253" t="s">
        <v>2374</v>
      </c>
      <c r="E164" s="195" t="s">
        <v>2375</v>
      </c>
      <c r="F164" s="196" t="s">
        <v>2073</v>
      </c>
      <c r="G164" s="197" t="s">
        <v>1610</v>
      </c>
      <c r="H164" s="198">
        <v>0.8</v>
      </c>
      <c r="I164" s="199">
        <v>18000</v>
      </c>
      <c r="J164" s="200" t="s">
        <v>2322</v>
      </c>
      <c r="K164" s="200" t="s">
        <v>2323</v>
      </c>
      <c r="L164" s="201">
        <v>0.4</v>
      </c>
      <c r="M164" s="1261" t="s">
        <v>2376</v>
      </c>
      <c r="N164" s="254">
        <v>1480.85</v>
      </c>
      <c r="O164" s="254">
        <v>1480.85</v>
      </c>
      <c r="P164" s="199">
        <f t="shared" si="7"/>
        <v>1184.68</v>
      </c>
      <c r="Q164" s="254">
        <v>1184.68</v>
      </c>
      <c r="R164" s="1262" t="s">
        <v>2290</v>
      </c>
      <c r="S164" s="199">
        <v>592.34</v>
      </c>
      <c r="T164" s="204" t="s">
        <v>2291</v>
      </c>
      <c r="U164" s="1262" t="s">
        <v>2291</v>
      </c>
      <c r="V164" s="205">
        <v>296.17</v>
      </c>
      <c r="W164" s="1262" t="s">
        <v>2063</v>
      </c>
      <c r="X164" s="257">
        <v>296.17</v>
      </c>
      <c r="Y164" s="192"/>
    </row>
    <row r="165" ht="37.5" customHeight="1" spans="1:25">
      <c r="A165" s="192">
        <f t="shared" si="6"/>
        <v>158</v>
      </c>
      <c r="B165" s="208">
        <v>2022</v>
      </c>
      <c r="C165" s="193" t="s">
        <v>37</v>
      </c>
      <c r="D165" s="253" t="s">
        <v>2377</v>
      </c>
      <c r="E165" s="195" t="s">
        <v>2378</v>
      </c>
      <c r="F165" s="196" t="s">
        <v>2073</v>
      </c>
      <c r="G165" s="197" t="s">
        <v>1610</v>
      </c>
      <c r="H165" s="198">
        <v>0.8</v>
      </c>
      <c r="I165" s="199">
        <v>29000</v>
      </c>
      <c r="J165" s="200" t="s">
        <v>2268</v>
      </c>
      <c r="K165" s="200" t="s">
        <v>2269</v>
      </c>
      <c r="L165" s="201">
        <v>0.4</v>
      </c>
      <c r="M165" s="1261" t="s">
        <v>2379</v>
      </c>
      <c r="N165" s="254">
        <v>1400</v>
      </c>
      <c r="O165" s="254">
        <v>1400</v>
      </c>
      <c r="P165" s="199">
        <f t="shared" si="7"/>
        <v>1120</v>
      </c>
      <c r="Q165" s="254">
        <v>1120</v>
      </c>
      <c r="R165" s="1262" t="s">
        <v>2290</v>
      </c>
      <c r="S165" s="199">
        <v>560</v>
      </c>
      <c r="T165" s="204" t="s">
        <v>2291</v>
      </c>
      <c r="U165" s="1262" t="s">
        <v>2291</v>
      </c>
      <c r="V165" s="205">
        <v>280</v>
      </c>
      <c r="W165" s="1262" t="s">
        <v>2063</v>
      </c>
      <c r="X165" s="257">
        <v>280</v>
      </c>
      <c r="Y165" s="192"/>
    </row>
    <row r="166" ht="37.5" customHeight="1" spans="1:25">
      <c r="A166" s="192">
        <f t="shared" si="6"/>
        <v>159</v>
      </c>
      <c r="B166" s="208">
        <v>2022</v>
      </c>
      <c r="C166" s="193" t="s">
        <v>37</v>
      </c>
      <c r="D166" s="253" t="s">
        <v>2380</v>
      </c>
      <c r="E166" s="195" t="s">
        <v>2381</v>
      </c>
      <c r="F166" s="196" t="s">
        <v>2073</v>
      </c>
      <c r="G166" s="197" t="s">
        <v>1610</v>
      </c>
      <c r="H166" s="198">
        <v>0.8</v>
      </c>
      <c r="I166" s="199">
        <v>51380</v>
      </c>
      <c r="J166" s="200" t="s">
        <v>1893</v>
      </c>
      <c r="K166" s="200" t="s">
        <v>2382</v>
      </c>
      <c r="L166" s="201">
        <v>0.4</v>
      </c>
      <c r="M166" s="1261" t="s">
        <v>2311</v>
      </c>
      <c r="N166" s="254">
        <v>16675</v>
      </c>
      <c r="O166" s="254">
        <v>16675</v>
      </c>
      <c r="P166" s="199">
        <f t="shared" si="7"/>
        <v>13340</v>
      </c>
      <c r="Q166" s="254">
        <v>13340</v>
      </c>
      <c r="R166" s="1262" t="s">
        <v>2290</v>
      </c>
      <c r="S166" s="199">
        <v>6670</v>
      </c>
      <c r="T166" s="204" t="s">
        <v>2291</v>
      </c>
      <c r="U166" s="1262" t="s">
        <v>2291</v>
      </c>
      <c r="V166" s="205">
        <v>3335</v>
      </c>
      <c r="W166" s="1262" t="s">
        <v>2063</v>
      </c>
      <c r="X166" s="257">
        <v>3335</v>
      </c>
      <c r="Y166" s="192"/>
    </row>
    <row r="167" ht="37.5" customHeight="1" spans="1:25">
      <c r="A167" s="192">
        <f t="shared" si="6"/>
        <v>160</v>
      </c>
      <c r="B167" s="208">
        <v>2022</v>
      </c>
      <c r="C167" s="193" t="s">
        <v>37</v>
      </c>
      <c r="D167" s="253" t="s">
        <v>2383</v>
      </c>
      <c r="E167" s="195" t="s">
        <v>2384</v>
      </c>
      <c r="F167" s="196" t="s">
        <v>2073</v>
      </c>
      <c r="G167" s="197" t="s">
        <v>1610</v>
      </c>
      <c r="H167" s="198">
        <v>0.8</v>
      </c>
      <c r="I167" s="199">
        <v>10000</v>
      </c>
      <c r="J167" s="200" t="s">
        <v>2272</v>
      </c>
      <c r="K167" s="200" t="s">
        <v>2273</v>
      </c>
      <c r="L167" s="201">
        <v>0.4</v>
      </c>
      <c r="M167" s="1261" t="s">
        <v>2311</v>
      </c>
      <c r="N167" s="254">
        <v>4291.68</v>
      </c>
      <c r="O167" s="254">
        <v>4291.68</v>
      </c>
      <c r="P167" s="199">
        <f t="shared" si="7"/>
        <v>3433.344</v>
      </c>
      <c r="Q167" s="254">
        <v>3433.34</v>
      </c>
      <c r="R167" s="1262" t="s">
        <v>2290</v>
      </c>
      <c r="S167" s="199">
        <v>1716.67</v>
      </c>
      <c r="T167" s="204" t="s">
        <v>2291</v>
      </c>
      <c r="U167" s="1262" t="s">
        <v>2291</v>
      </c>
      <c r="V167" s="205">
        <v>858.336</v>
      </c>
      <c r="W167" s="1262" t="s">
        <v>2063</v>
      </c>
      <c r="X167" s="257">
        <v>858.336</v>
      </c>
      <c r="Y167" s="192"/>
    </row>
    <row r="168" ht="37.5" customHeight="1" spans="1:25">
      <c r="A168" s="192">
        <f t="shared" si="6"/>
        <v>161</v>
      </c>
      <c r="B168" s="208">
        <v>2022</v>
      </c>
      <c r="C168" s="193" t="s">
        <v>37</v>
      </c>
      <c r="D168" s="253" t="s">
        <v>2385</v>
      </c>
      <c r="E168" s="195" t="s">
        <v>2386</v>
      </c>
      <c r="F168" s="196" t="s">
        <v>2073</v>
      </c>
      <c r="G168" s="197" t="s">
        <v>1610</v>
      </c>
      <c r="H168" s="198">
        <v>0.8</v>
      </c>
      <c r="I168" s="199">
        <v>14000</v>
      </c>
      <c r="J168" s="200" t="s">
        <v>2354</v>
      </c>
      <c r="K168" s="200" t="s">
        <v>2355</v>
      </c>
      <c r="L168" s="201">
        <v>0.4</v>
      </c>
      <c r="M168" s="1261" t="s">
        <v>2387</v>
      </c>
      <c r="N168" s="254">
        <v>3378.05</v>
      </c>
      <c r="O168" s="254">
        <v>3378.05</v>
      </c>
      <c r="P168" s="199">
        <f t="shared" si="7"/>
        <v>2702.44</v>
      </c>
      <c r="Q168" s="254">
        <v>2702.44</v>
      </c>
      <c r="R168" s="1262" t="s">
        <v>2290</v>
      </c>
      <c r="S168" s="199">
        <v>1351.22</v>
      </c>
      <c r="T168" s="204" t="s">
        <v>2291</v>
      </c>
      <c r="U168" s="1262" t="s">
        <v>2291</v>
      </c>
      <c r="V168" s="205">
        <v>675.61</v>
      </c>
      <c r="W168" s="1262" t="s">
        <v>2063</v>
      </c>
      <c r="X168" s="257">
        <v>675.61</v>
      </c>
      <c r="Y168" s="192"/>
    </row>
    <row r="169" ht="37.5" customHeight="1" spans="1:25">
      <c r="A169" s="192">
        <f t="shared" si="6"/>
        <v>162</v>
      </c>
      <c r="B169" s="208">
        <v>2022</v>
      </c>
      <c r="C169" s="193" t="s">
        <v>37</v>
      </c>
      <c r="D169" s="253" t="s">
        <v>2388</v>
      </c>
      <c r="E169" s="195" t="s">
        <v>2389</v>
      </c>
      <c r="F169" s="196" t="s">
        <v>2073</v>
      </c>
      <c r="G169" s="197" t="s">
        <v>1610</v>
      </c>
      <c r="H169" s="198">
        <v>0.8</v>
      </c>
      <c r="I169" s="199">
        <v>43000</v>
      </c>
      <c r="J169" s="200" t="s">
        <v>1957</v>
      </c>
      <c r="K169" s="1271" t="s">
        <v>2289</v>
      </c>
      <c r="L169" s="201">
        <v>0.4</v>
      </c>
      <c r="M169" s="1261" t="s">
        <v>2390</v>
      </c>
      <c r="N169" s="254">
        <v>4000.01</v>
      </c>
      <c r="O169" s="254">
        <v>4000.01</v>
      </c>
      <c r="P169" s="199">
        <f t="shared" si="7"/>
        <v>3200.008</v>
      </c>
      <c r="Q169" s="254">
        <v>3200.01</v>
      </c>
      <c r="R169" s="1262" t="s">
        <v>2290</v>
      </c>
      <c r="S169" s="199">
        <v>1600.01</v>
      </c>
      <c r="T169" s="204" t="s">
        <v>2291</v>
      </c>
      <c r="U169" s="1262" t="s">
        <v>2291</v>
      </c>
      <c r="V169" s="205">
        <v>800.002</v>
      </c>
      <c r="W169" s="1262" t="s">
        <v>2391</v>
      </c>
      <c r="X169" s="258">
        <v>800.002</v>
      </c>
      <c r="Y169" s="192"/>
    </row>
    <row r="170" ht="37.5" customHeight="1" spans="1:25">
      <c r="A170" s="192">
        <f t="shared" si="6"/>
        <v>163</v>
      </c>
      <c r="B170" s="208">
        <v>2022</v>
      </c>
      <c r="C170" s="193" t="s">
        <v>37</v>
      </c>
      <c r="D170" s="253" t="s">
        <v>2392</v>
      </c>
      <c r="E170" s="195" t="s">
        <v>2393</v>
      </c>
      <c r="F170" s="196" t="s">
        <v>2073</v>
      </c>
      <c r="G170" s="197" t="s">
        <v>1610</v>
      </c>
      <c r="H170" s="198">
        <v>0.8</v>
      </c>
      <c r="I170" s="199">
        <v>104870</v>
      </c>
      <c r="J170" s="200" t="s">
        <v>2394</v>
      </c>
      <c r="K170" s="1271" t="s">
        <v>2297</v>
      </c>
      <c r="L170" s="201">
        <v>0.4</v>
      </c>
      <c r="M170" s="1261" t="s">
        <v>2181</v>
      </c>
      <c r="N170" s="254">
        <v>29648.34</v>
      </c>
      <c r="O170" s="254">
        <v>29648.34</v>
      </c>
      <c r="P170" s="199">
        <f t="shared" si="7"/>
        <v>23718.672</v>
      </c>
      <c r="Q170" s="254">
        <v>23718.67</v>
      </c>
      <c r="R170" s="1262" t="s">
        <v>2290</v>
      </c>
      <c r="S170" s="199">
        <v>11859.34</v>
      </c>
      <c r="T170" s="204" t="s">
        <v>2291</v>
      </c>
      <c r="U170" s="1262" t="s">
        <v>2291</v>
      </c>
      <c r="V170" s="205">
        <v>5929.668</v>
      </c>
      <c r="W170" s="1262" t="s">
        <v>2391</v>
      </c>
      <c r="X170" s="258">
        <v>5929.668</v>
      </c>
      <c r="Y170" s="192"/>
    </row>
    <row r="171" ht="37.5" customHeight="1" spans="1:25">
      <c r="A171" s="192">
        <f t="shared" si="6"/>
        <v>164</v>
      </c>
      <c r="B171" s="208">
        <v>2022</v>
      </c>
      <c r="C171" s="193" t="s">
        <v>37</v>
      </c>
      <c r="D171" s="253" t="s">
        <v>2395</v>
      </c>
      <c r="E171" s="195" t="s">
        <v>2396</v>
      </c>
      <c r="F171" s="196" t="s">
        <v>2073</v>
      </c>
      <c r="G171" s="197" t="s">
        <v>1610</v>
      </c>
      <c r="H171" s="198">
        <v>0.8</v>
      </c>
      <c r="I171" s="199">
        <v>22000</v>
      </c>
      <c r="J171" s="200" t="s">
        <v>2252</v>
      </c>
      <c r="K171" s="1271" t="s">
        <v>2224</v>
      </c>
      <c r="L171" s="201">
        <v>0.4</v>
      </c>
      <c r="M171" s="1261" t="s">
        <v>2351</v>
      </c>
      <c r="N171" s="254">
        <v>9100</v>
      </c>
      <c r="O171" s="254">
        <v>9100</v>
      </c>
      <c r="P171" s="199">
        <f t="shared" si="7"/>
        <v>7280</v>
      </c>
      <c r="Q171" s="254">
        <v>7280</v>
      </c>
      <c r="R171" s="1262" t="s">
        <v>2290</v>
      </c>
      <c r="S171" s="199">
        <v>3640</v>
      </c>
      <c r="T171" s="204" t="s">
        <v>2291</v>
      </c>
      <c r="U171" s="1262" t="s">
        <v>2291</v>
      </c>
      <c r="V171" s="205">
        <v>1820</v>
      </c>
      <c r="W171" s="1262" t="s">
        <v>2391</v>
      </c>
      <c r="X171" s="258">
        <v>1820</v>
      </c>
      <c r="Y171" s="192"/>
    </row>
    <row r="172" ht="37.5" customHeight="1" spans="1:25">
      <c r="A172" s="192">
        <f t="shared" si="6"/>
        <v>165</v>
      </c>
      <c r="B172" s="208">
        <v>2022</v>
      </c>
      <c r="C172" s="193" t="s">
        <v>37</v>
      </c>
      <c r="D172" s="253" t="s">
        <v>2397</v>
      </c>
      <c r="E172" s="195" t="s">
        <v>2398</v>
      </c>
      <c r="F172" s="196" t="s">
        <v>2073</v>
      </c>
      <c r="G172" s="197" t="s">
        <v>1610</v>
      </c>
      <c r="H172" s="198">
        <v>0.8</v>
      </c>
      <c r="I172" s="199">
        <v>121000</v>
      </c>
      <c r="J172" s="200" t="s">
        <v>2317</v>
      </c>
      <c r="K172" s="1271" t="s">
        <v>2304</v>
      </c>
      <c r="L172" s="201">
        <v>0.4</v>
      </c>
      <c r="M172" s="1261" t="s">
        <v>2399</v>
      </c>
      <c r="N172" s="254">
        <v>10000.01</v>
      </c>
      <c r="O172" s="254">
        <v>10000.01</v>
      </c>
      <c r="P172" s="199">
        <f t="shared" si="7"/>
        <v>8000.008</v>
      </c>
      <c r="Q172" s="254">
        <v>8000.01</v>
      </c>
      <c r="R172" s="1262" t="s">
        <v>2290</v>
      </c>
      <c r="S172" s="199">
        <v>4000.01</v>
      </c>
      <c r="T172" s="204" t="s">
        <v>2291</v>
      </c>
      <c r="U172" s="1262" t="s">
        <v>2291</v>
      </c>
      <c r="V172" s="205">
        <v>2000.002</v>
      </c>
      <c r="W172" s="1262" t="s">
        <v>2391</v>
      </c>
      <c r="X172" s="258">
        <v>2000.002</v>
      </c>
      <c r="Y172" s="192"/>
    </row>
    <row r="173" ht="37.5" customHeight="1" spans="1:25">
      <c r="A173" s="192">
        <f t="shared" si="6"/>
        <v>166</v>
      </c>
      <c r="B173" s="208">
        <v>2022</v>
      </c>
      <c r="C173" s="193" t="s">
        <v>37</v>
      </c>
      <c r="D173" s="253" t="s">
        <v>2400</v>
      </c>
      <c r="E173" s="195" t="s">
        <v>2401</v>
      </c>
      <c r="F173" s="196" t="s">
        <v>2073</v>
      </c>
      <c r="G173" s="197" t="s">
        <v>1610</v>
      </c>
      <c r="H173" s="198">
        <v>0.8</v>
      </c>
      <c r="I173" s="199">
        <v>69000</v>
      </c>
      <c r="J173" s="200" t="s">
        <v>2207</v>
      </c>
      <c r="K173" s="1271" t="s">
        <v>2307</v>
      </c>
      <c r="L173" s="201">
        <v>0.4</v>
      </c>
      <c r="M173" s="1261" t="s">
        <v>2402</v>
      </c>
      <c r="N173" s="254">
        <v>9866.73</v>
      </c>
      <c r="O173" s="254">
        <v>9866.73</v>
      </c>
      <c r="P173" s="199">
        <f t="shared" si="7"/>
        <v>7893.384</v>
      </c>
      <c r="Q173" s="254">
        <v>7893.38</v>
      </c>
      <c r="R173" s="1262" t="s">
        <v>2290</v>
      </c>
      <c r="S173" s="254">
        <v>3946.69</v>
      </c>
      <c r="T173" s="204" t="s">
        <v>2291</v>
      </c>
      <c r="U173" s="1262" t="s">
        <v>2291</v>
      </c>
      <c r="V173" s="205">
        <v>1973.346</v>
      </c>
      <c r="W173" s="1262" t="s">
        <v>2391</v>
      </c>
      <c r="X173" s="258">
        <v>1973.346</v>
      </c>
      <c r="Y173" s="192"/>
    </row>
    <row r="174" ht="37.5" customHeight="1" spans="1:25">
      <c r="A174" s="192">
        <f t="shared" si="6"/>
        <v>167</v>
      </c>
      <c r="B174" s="208">
        <v>2022</v>
      </c>
      <c r="C174" s="193" t="s">
        <v>37</v>
      </c>
      <c r="D174" s="253" t="s">
        <v>2403</v>
      </c>
      <c r="E174" s="195" t="s">
        <v>2404</v>
      </c>
      <c r="F174" s="196" t="s">
        <v>2073</v>
      </c>
      <c r="G174" s="197" t="s">
        <v>1610</v>
      </c>
      <c r="H174" s="198">
        <v>0.8</v>
      </c>
      <c r="I174" s="199">
        <v>13755</v>
      </c>
      <c r="J174" s="200" t="s">
        <v>2405</v>
      </c>
      <c r="K174" s="1271" t="s">
        <v>2311</v>
      </c>
      <c r="L174" s="201">
        <v>0.4</v>
      </c>
      <c r="M174" s="1261" t="s">
        <v>2200</v>
      </c>
      <c r="N174" s="254">
        <v>5032.34</v>
      </c>
      <c r="O174" s="254">
        <v>5032.34</v>
      </c>
      <c r="P174" s="199">
        <f t="shared" si="7"/>
        <v>4025.872</v>
      </c>
      <c r="Q174" s="254">
        <v>4025.87</v>
      </c>
      <c r="R174" s="1262" t="s">
        <v>2290</v>
      </c>
      <c r="S174" s="254">
        <v>2012.94</v>
      </c>
      <c r="T174" s="204" t="s">
        <v>2291</v>
      </c>
      <c r="U174" s="1262" t="s">
        <v>2291</v>
      </c>
      <c r="V174" s="205">
        <v>1006.468</v>
      </c>
      <c r="W174" s="1262" t="s">
        <v>2391</v>
      </c>
      <c r="X174" s="258">
        <v>1006.468</v>
      </c>
      <c r="Y174" s="192"/>
    </row>
    <row r="175" ht="37.5" customHeight="1" spans="1:25">
      <c r="A175" s="192">
        <f t="shared" si="6"/>
        <v>168</v>
      </c>
      <c r="B175" s="208">
        <v>2022</v>
      </c>
      <c r="C175" s="193" t="s">
        <v>37</v>
      </c>
      <c r="D175" s="253" t="s">
        <v>2406</v>
      </c>
      <c r="E175" s="195" t="s">
        <v>2407</v>
      </c>
      <c r="F175" s="196" t="s">
        <v>2073</v>
      </c>
      <c r="G175" s="197" t="s">
        <v>1610</v>
      </c>
      <c r="H175" s="198">
        <v>0.8</v>
      </c>
      <c r="I175" s="199">
        <v>180400</v>
      </c>
      <c r="J175" s="200" t="s">
        <v>2408</v>
      </c>
      <c r="K175" s="1271" t="s">
        <v>2314</v>
      </c>
      <c r="L175" s="201">
        <v>0.4</v>
      </c>
      <c r="M175" s="1261" t="s">
        <v>2338</v>
      </c>
      <c r="N175" s="254">
        <v>22277.98</v>
      </c>
      <c r="O175" s="254">
        <v>22277.98</v>
      </c>
      <c r="P175" s="199">
        <f t="shared" si="7"/>
        <v>17822.384</v>
      </c>
      <c r="Q175" s="254">
        <v>17822.38</v>
      </c>
      <c r="R175" s="1262" t="s">
        <v>2290</v>
      </c>
      <c r="S175" s="254">
        <v>8911.19</v>
      </c>
      <c r="T175" s="204" t="s">
        <v>2291</v>
      </c>
      <c r="U175" s="1262" t="s">
        <v>2291</v>
      </c>
      <c r="V175" s="205">
        <v>4455.596</v>
      </c>
      <c r="W175" s="1262" t="s">
        <v>2391</v>
      </c>
      <c r="X175" s="258">
        <v>4455.596</v>
      </c>
      <c r="Y175" s="192"/>
    </row>
    <row r="176" ht="37.5" customHeight="1" spans="1:25">
      <c r="A176" s="192">
        <f t="shared" si="6"/>
        <v>169</v>
      </c>
      <c r="B176" s="208">
        <v>2022</v>
      </c>
      <c r="C176" s="193" t="s">
        <v>37</v>
      </c>
      <c r="D176" s="253" t="s">
        <v>2409</v>
      </c>
      <c r="E176" s="195" t="s">
        <v>2410</v>
      </c>
      <c r="F176" s="196" t="s">
        <v>2073</v>
      </c>
      <c r="G176" s="197" t="s">
        <v>1610</v>
      </c>
      <c r="H176" s="198">
        <v>0.8</v>
      </c>
      <c r="I176" s="199">
        <v>10000</v>
      </c>
      <c r="J176" s="200" t="s">
        <v>2354</v>
      </c>
      <c r="K176" s="1271" t="s">
        <v>2319</v>
      </c>
      <c r="L176" s="201">
        <v>0.4</v>
      </c>
      <c r="M176" s="1261" t="s">
        <v>2387</v>
      </c>
      <c r="N176" s="254">
        <v>424.18</v>
      </c>
      <c r="O176" s="254">
        <v>424.18</v>
      </c>
      <c r="P176" s="199">
        <f t="shared" si="7"/>
        <v>339.344</v>
      </c>
      <c r="Q176" s="254">
        <v>339.34</v>
      </c>
      <c r="R176" s="1262" t="s">
        <v>2290</v>
      </c>
      <c r="S176" s="254">
        <v>169.67</v>
      </c>
      <c r="T176" s="204" t="s">
        <v>2291</v>
      </c>
      <c r="U176" s="1262" t="s">
        <v>2291</v>
      </c>
      <c r="V176" s="205">
        <v>84.836</v>
      </c>
      <c r="W176" s="1262" t="s">
        <v>2391</v>
      </c>
      <c r="X176" s="258">
        <v>84.836</v>
      </c>
      <c r="Y176" s="192"/>
    </row>
    <row r="177" ht="37.5" customHeight="1" spans="1:25">
      <c r="A177" s="192">
        <f t="shared" si="6"/>
        <v>170</v>
      </c>
      <c r="B177" s="208">
        <v>2022</v>
      </c>
      <c r="C177" s="193" t="s">
        <v>37</v>
      </c>
      <c r="D177" s="253" t="s">
        <v>2411</v>
      </c>
      <c r="E177" s="195" t="s">
        <v>2412</v>
      </c>
      <c r="F177" s="196" t="s">
        <v>2073</v>
      </c>
      <c r="G177" s="197" t="s">
        <v>1610</v>
      </c>
      <c r="H177" s="198">
        <v>0.8</v>
      </c>
      <c r="I177" s="199">
        <v>37000</v>
      </c>
      <c r="J177" s="200" t="s">
        <v>2248</v>
      </c>
      <c r="K177" s="1271" t="s">
        <v>2307</v>
      </c>
      <c r="L177" s="201">
        <v>0.4</v>
      </c>
      <c r="M177" s="1261" t="s">
        <v>2413</v>
      </c>
      <c r="N177" s="254">
        <v>7502.5</v>
      </c>
      <c r="O177" s="254">
        <v>7502.5</v>
      </c>
      <c r="P177" s="199">
        <f t="shared" si="7"/>
        <v>6002</v>
      </c>
      <c r="Q177" s="254">
        <v>6002</v>
      </c>
      <c r="R177" s="1262" t="s">
        <v>2290</v>
      </c>
      <c r="S177" s="254">
        <v>3001</v>
      </c>
      <c r="T177" s="204" t="s">
        <v>2291</v>
      </c>
      <c r="U177" s="1262" t="s">
        <v>2291</v>
      </c>
      <c r="V177" s="205">
        <v>1500.5</v>
      </c>
      <c r="W177" s="1262" t="s">
        <v>2391</v>
      </c>
      <c r="X177" s="206">
        <v>1500.5</v>
      </c>
      <c r="Y177" s="192"/>
    </row>
    <row r="178" ht="37.5" customHeight="1" spans="1:25">
      <c r="A178" s="192">
        <f t="shared" si="6"/>
        <v>171</v>
      </c>
      <c r="B178" s="208">
        <v>2022</v>
      </c>
      <c r="C178" s="193" t="s">
        <v>37</v>
      </c>
      <c r="D178" s="253" t="s">
        <v>2414</v>
      </c>
      <c r="E178" s="195" t="s">
        <v>2415</v>
      </c>
      <c r="F178" s="196" t="s">
        <v>2073</v>
      </c>
      <c r="G178" s="197" t="s">
        <v>1610</v>
      </c>
      <c r="H178" s="198">
        <v>0.8</v>
      </c>
      <c r="I178" s="199">
        <v>321510</v>
      </c>
      <c r="J178" s="200" t="s">
        <v>2195</v>
      </c>
      <c r="K178" s="1271" t="s">
        <v>2326</v>
      </c>
      <c r="L178" s="201">
        <v>0.4</v>
      </c>
      <c r="M178" s="1261" t="s">
        <v>2060</v>
      </c>
      <c r="N178" s="254">
        <v>23333.35</v>
      </c>
      <c r="O178" s="254">
        <v>23333.35</v>
      </c>
      <c r="P178" s="199">
        <f t="shared" si="7"/>
        <v>18666.68</v>
      </c>
      <c r="Q178" s="254">
        <v>18666.68</v>
      </c>
      <c r="R178" s="1262" t="s">
        <v>2290</v>
      </c>
      <c r="S178" s="254">
        <v>9333.34</v>
      </c>
      <c r="T178" s="204" t="s">
        <v>2291</v>
      </c>
      <c r="U178" s="1262" t="s">
        <v>2291</v>
      </c>
      <c r="V178" s="205">
        <v>4666.67</v>
      </c>
      <c r="W178" s="1262" t="s">
        <v>2391</v>
      </c>
      <c r="X178" s="258">
        <v>4666.67</v>
      </c>
      <c r="Y178" s="192"/>
    </row>
    <row r="179" ht="37.5" customHeight="1" spans="1:25">
      <c r="A179" s="192">
        <f t="shared" si="6"/>
        <v>172</v>
      </c>
      <c r="B179" s="208">
        <v>2022</v>
      </c>
      <c r="C179" s="193" t="s">
        <v>37</v>
      </c>
      <c r="D179" s="253" t="s">
        <v>2416</v>
      </c>
      <c r="E179" s="195" t="s">
        <v>2417</v>
      </c>
      <c r="F179" s="196" t="s">
        <v>2073</v>
      </c>
      <c r="G179" s="197" t="s">
        <v>1610</v>
      </c>
      <c r="H179" s="198">
        <v>0.8</v>
      </c>
      <c r="I179" s="199">
        <v>20010</v>
      </c>
      <c r="J179" s="200" t="s">
        <v>2418</v>
      </c>
      <c r="K179" s="1271" t="s">
        <v>2331</v>
      </c>
      <c r="L179" s="201">
        <v>0.4</v>
      </c>
      <c r="M179" s="1261" t="s">
        <v>2338</v>
      </c>
      <c r="N179" s="254">
        <v>2291.68</v>
      </c>
      <c r="O179" s="254">
        <v>2291.68</v>
      </c>
      <c r="P179" s="199">
        <f t="shared" si="7"/>
        <v>1833.344</v>
      </c>
      <c r="Q179" s="254">
        <v>1833.34</v>
      </c>
      <c r="R179" s="1262" t="s">
        <v>2290</v>
      </c>
      <c r="S179" s="254">
        <v>916.67</v>
      </c>
      <c r="T179" s="204" t="s">
        <v>2291</v>
      </c>
      <c r="U179" s="1262" t="s">
        <v>2291</v>
      </c>
      <c r="V179" s="205">
        <v>458.336</v>
      </c>
      <c r="W179" s="1262" t="s">
        <v>2391</v>
      </c>
      <c r="X179" s="258">
        <v>458.336</v>
      </c>
      <c r="Y179" s="192"/>
    </row>
    <row r="180" ht="37.5" customHeight="1" spans="1:25">
      <c r="A180" s="192">
        <f t="shared" si="6"/>
        <v>173</v>
      </c>
      <c r="B180" s="208">
        <v>2022</v>
      </c>
      <c r="C180" s="193" t="s">
        <v>37</v>
      </c>
      <c r="D180" s="253" t="s">
        <v>2419</v>
      </c>
      <c r="E180" s="195" t="s">
        <v>2420</v>
      </c>
      <c r="F180" s="196" t="s">
        <v>2073</v>
      </c>
      <c r="G180" s="197" t="s">
        <v>1610</v>
      </c>
      <c r="H180" s="198">
        <v>0.8</v>
      </c>
      <c r="I180" s="199">
        <v>16010</v>
      </c>
      <c r="J180" s="200" t="s">
        <v>2354</v>
      </c>
      <c r="K180" s="1271" t="s">
        <v>2304</v>
      </c>
      <c r="L180" s="201">
        <v>0.4</v>
      </c>
      <c r="M180" s="1261" t="s">
        <v>2217</v>
      </c>
      <c r="N180" s="254">
        <v>2500</v>
      </c>
      <c r="O180" s="254">
        <v>2500</v>
      </c>
      <c r="P180" s="199">
        <f t="shared" si="7"/>
        <v>2000</v>
      </c>
      <c r="Q180" s="254">
        <v>2000</v>
      </c>
      <c r="R180" s="1262" t="s">
        <v>2290</v>
      </c>
      <c r="S180" s="254">
        <v>1000</v>
      </c>
      <c r="T180" s="204" t="s">
        <v>2291</v>
      </c>
      <c r="U180" s="1262" t="s">
        <v>2291</v>
      </c>
      <c r="V180" s="205">
        <v>500</v>
      </c>
      <c r="W180" s="1262" t="s">
        <v>2391</v>
      </c>
      <c r="X180" s="258">
        <v>500</v>
      </c>
      <c r="Y180" s="192"/>
    </row>
    <row r="181" ht="37.5" customHeight="1" spans="1:25">
      <c r="A181" s="192">
        <f t="shared" si="6"/>
        <v>174</v>
      </c>
      <c r="B181" s="208">
        <v>2022</v>
      </c>
      <c r="C181" s="193" t="s">
        <v>37</v>
      </c>
      <c r="D181" s="253" t="s">
        <v>2421</v>
      </c>
      <c r="E181" s="195" t="s">
        <v>2422</v>
      </c>
      <c r="F181" s="196" t="s">
        <v>2073</v>
      </c>
      <c r="G181" s="197" t="s">
        <v>1610</v>
      </c>
      <c r="H181" s="198">
        <v>0.8</v>
      </c>
      <c r="I181" s="199">
        <v>42000</v>
      </c>
      <c r="J181" s="200" t="s">
        <v>2111</v>
      </c>
      <c r="K181" s="1271" t="s">
        <v>2224</v>
      </c>
      <c r="L181" s="201">
        <v>0.4</v>
      </c>
      <c r="M181" s="1261" t="s">
        <v>2423</v>
      </c>
      <c r="N181" s="254">
        <v>34424.75</v>
      </c>
      <c r="O181" s="254">
        <v>34424.75</v>
      </c>
      <c r="P181" s="199">
        <f t="shared" si="7"/>
        <v>27539.8</v>
      </c>
      <c r="Q181" s="254">
        <v>27539.8</v>
      </c>
      <c r="R181" s="200">
        <v>44830</v>
      </c>
      <c r="S181" s="254">
        <v>13769.9</v>
      </c>
      <c r="T181" s="204" t="s">
        <v>2291</v>
      </c>
      <c r="U181" s="1262" t="s">
        <v>2291</v>
      </c>
      <c r="V181" s="205">
        <v>6884.95</v>
      </c>
      <c r="W181" s="1262" t="s">
        <v>2391</v>
      </c>
      <c r="X181" s="206">
        <v>6884.95</v>
      </c>
      <c r="Y181" s="192"/>
    </row>
    <row r="182" ht="37.5" customHeight="1" spans="1:25">
      <c r="A182" s="192">
        <f t="shared" si="6"/>
        <v>175</v>
      </c>
      <c r="B182" s="208">
        <v>2022</v>
      </c>
      <c r="C182" s="193" t="s">
        <v>37</v>
      </c>
      <c r="D182" s="253" t="s">
        <v>2424</v>
      </c>
      <c r="E182" s="195" t="s">
        <v>2425</v>
      </c>
      <c r="F182" s="196" t="s">
        <v>2073</v>
      </c>
      <c r="G182" s="197" t="s">
        <v>1610</v>
      </c>
      <c r="H182" s="198">
        <v>0.8</v>
      </c>
      <c r="I182" s="199">
        <v>300080</v>
      </c>
      <c r="J182" s="200" t="s">
        <v>2349</v>
      </c>
      <c r="K182" s="1271" t="s">
        <v>2338</v>
      </c>
      <c r="L182" s="201">
        <v>0.4</v>
      </c>
      <c r="M182" s="1261" t="s">
        <v>2181</v>
      </c>
      <c r="N182" s="254">
        <v>89916.69</v>
      </c>
      <c r="O182" s="254">
        <v>89916.69</v>
      </c>
      <c r="P182" s="199">
        <f t="shared" si="7"/>
        <v>71933.352</v>
      </c>
      <c r="Q182" s="254">
        <v>71933.35</v>
      </c>
      <c r="R182" s="200">
        <v>44830</v>
      </c>
      <c r="S182" s="254">
        <v>35966.68</v>
      </c>
      <c r="T182" s="204" t="s">
        <v>2291</v>
      </c>
      <c r="U182" s="1262" t="s">
        <v>2291</v>
      </c>
      <c r="V182" s="205">
        <v>17983.338</v>
      </c>
      <c r="W182" s="1262" t="s">
        <v>2391</v>
      </c>
      <c r="X182" s="258">
        <v>17983.338</v>
      </c>
      <c r="Y182" s="192"/>
    </row>
    <row r="183" ht="37.5" customHeight="1" spans="1:25">
      <c r="A183" s="192">
        <f t="shared" si="6"/>
        <v>176</v>
      </c>
      <c r="B183" s="208">
        <v>2022</v>
      </c>
      <c r="C183" s="193" t="s">
        <v>37</v>
      </c>
      <c r="D183" s="253" t="s">
        <v>2426</v>
      </c>
      <c r="E183" s="195" t="s">
        <v>2427</v>
      </c>
      <c r="F183" s="196" t="s">
        <v>2073</v>
      </c>
      <c r="G183" s="197" t="s">
        <v>1610</v>
      </c>
      <c r="H183" s="198">
        <v>0.8</v>
      </c>
      <c r="I183" s="199">
        <v>130150</v>
      </c>
      <c r="J183" s="200" t="s">
        <v>1927</v>
      </c>
      <c r="K183" s="1271" t="s">
        <v>2254</v>
      </c>
      <c r="L183" s="201">
        <v>0.4</v>
      </c>
      <c r="M183" s="1261" t="s">
        <v>2002</v>
      </c>
      <c r="N183" s="254">
        <v>42255.48</v>
      </c>
      <c r="O183" s="254">
        <v>42255.48</v>
      </c>
      <c r="P183" s="199">
        <f t="shared" si="7"/>
        <v>33804.384</v>
      </c>
      <c r="Q183" s="254">
        <v>33804.38</v>
      </c>
      <c r="R183" s="200">
        <v>44830</v>
      </c>
      <c r="S183" s="254">
        <v>16902.19</v>
      </c>
      <c r="T183" s="204" t="s">
        <v>2291</v>
      </c>
      <c r="U183" s="1262" t="s">
        <v>2291</v>
      </c>
      <c r="V183" s="205">
        <v>8451.096</v>
      </c>
      <c r="W183" s="1262" t="s">
        <v>2391</v>
      </c>
      <c r="X183" s="258">
        <v>8451.096</v>
      </c>
      <c r="Y183" s="192"/>
    </row>
    <row r="184" ht="37.5" customHeight="1" spans="1:25">
      <c r="A184" s="192">
        <f t="shared" ref="A184:A247" si="8">ROW()-7</f>
        <v>177</v>
      </c>
      <c r="B184" s="208">
        <v>2022</v>
      </c>
      <c r="C184" s="193" t="s">
        <v>37</v>
      </c>
      <c r="D184" s="253" t="s">
        <v>2426</v>
      </c>
      <c r="E184" s="195" t="s">
        <v>2428</v>
      </c>
      <c r="F184" s="196" t="s">
        <v>2073</v>
      </c>
      <c r="G184" s="197" t="s">
        <v>1610</v>
      </c>
      <c r="H184" s="198">
        <v>0.8</v>
      </c>
      <c r="I184" s="199">
        <v>15924.53</v>
      </c>
      <c r="J184" s="200" t="s">
        <v>2429</v>
      </c>
      <c r="K184" s="1271" t="s">
        <v>2060</v>
      </c>
      <c r="L184" s="201">
        <v>0.4</v>
      </c>
      <c r="M184" s="1261" t="s">
        <v>2002</v>
      </c>
      <c r="N184" s="254">
        <v>1500</v>
      </c>
      <c r="O184" s="254">
        <v>1500</v>
      </c>
      <c r="P184" s="199">
        <f t="shared" si="7"/>
        <v>1200</v>
      </c>
      <c r="Q184" s="254">
        <v>1200</v>
      </c>
      <c r="R184" s="200">
        <v>44830</v>
      </c>
      <c r="S184" s="254">
        <v>600</v>
      </c>
      <c r="T184" s="204" t="s">
        <v>2291</v>
      </c>
      <c r="U184" s="1262" t="s">
        <v>2291</v>
      </c>
      <c r="V184" s="205">
        <v>300</v>
      </c>
      <c r="W184" s="1262" t="s">
        <v>2391</v>
      </c>
      <c r="X184" s="258">
        <v>300</v>
      </c>
      <c r="Y184" s="192"/>
    </row>
    <row r="185" ht="37.5" customHeight="1" spans="1:25">
      <c r="A185" s="192">
        <f t="shared" si="8"/>
        <v>178</v>
      </c>
      <c r="B185" s="208">
        <v>2022</v>
      </c>
      <c r="C185" s="193" t="s">
        <v>37</v>
      </c>
      <c r="D185" s="253" t="s">
        <v>2430</v>
      </c>
      <c r="E185" s="195" t="s">
        <v>2431</v>
      </c>
      <c r="F185" s="196" t="s">
        <v>2073</v>
      </c>
      <c r="G185" s="197" t="s">
        <v>1610</v>
      </c>
      <c r="H185" s="198">
        <v>0.8</v>
      </c>
      <c r="I185" s="199">
        <v>31000</v>
      </c>
      <c r="J185" s="200" t="s">
        <v>2111</v>
      </c>
      <c r="K185" s="1271" t="s">
        <v>2297</v>
      </c>
      <c r="L185" s="201">
        <v>0.4</v>
      </c>
      <c r="M185" s="1261" t="s">
        <v>2413</v>
      </c>
      <c r="N185" s="254">
        <v>3750.04</v>
      </c>
      <c r="O185" s="254">
        <v>3750.04</v>
      </c>
      <c r="P185" s="199">
        <f t="shared" si="7"/>
        <v>3000.032</v>
      </c>
      <c r="Q185" s="254">
        <v>3000.03</v>
      </c>
      <c r="R185" s="200">
        <v>44830</v>
      </c>
      <c r="S185" s="254">
        <v>1500.02</v>
      </c>
      <c r="T185" s="204" t="s">
        <v>2291</v>
      </c>
      <c r="U185" s="1262" t="s">
        <v>2291</v>
      </c>
      <c r="V185" s="205">
        <v>750.008</v>
      </c>
      <c r="W185" s="1262" t="s">
        <v>2391</v>
      </c>
      <c r="X185" s="258">
        <v>750.008</v>
      </c>
      <c r="Y185" s="192"/>
    </row>
    <row r="186" ht="37.5" customHeight="1" spans="1:25">
      <c r="A186" s="192">
        <f t="shared" si="8"/>
        <v>179</v>
      </c>
      <c r="B186" s="208">
        <v>2022</v>
      </c>
      <c r="C186" s="193" t="s">
        <v>37</v>
      </c>
      <c r="D186" s="253" t="s">
        <v>2432</v>
      </c>
      <c r="E186" s="195" t="s">
        <v>2433</v>
      </c>
      <c r="F186" s="196" t="s">
        <v>2073</v>
      </c>
      <c r="G186" s="197" t="s">
        <v>1610</v>
      </c>
      <c r="H186" s="198">
        <v>0.8</v>
      </c>
      <c r="I186" s="199">
        <v>23000</v>
      </c>
      <c r="J186" s="200" t="s">
        <v>2191</v>
      </c>
      <c r="K186" s="1271" t="s">
        <v>2351</v>
      </c>
      <c r="L186" s="201">
        <v>0.4</v>
      </c>
      <c r="M186" s="1261" t="s">
        <v>2002</v>
      </c>
      <c r="N186" s="254">
        <v>2850.03</v>
      </c>
      <c r="O186" s="254">
        <v>2850.03</v>
      </c>
      <c r="P186" s="199">
        <f t="shared" si="7"/>
        <v>2280.024</v>
      </c>
      <c r="Q186" s="254">
        <v>2280.02</v>
      </c>
      <c r="R186" s="200">
        <v>44830</v>
      </c>
      <c r="S186" s="254">
        <v>1140.01</v>
      </c>
      <c r="T186" s="204" t="s">
        <v>2291</v>
      </c>
      <c r="U186" s="1262" t="s">
        <v>2291</v>
      </c>
      <c r="V186" s="205">
        <v>570.006</v>
      </c>
      <c r="W186" s="1262" t="s">
        <v>2391</v>
      </c>
      <c r="X186" s="258">
        <v>570.006</v>
      </c>
      <c r="Y186" s="192"/>
    </row>
    <row r="187" ht="37.5" customHeight="1" spans="1:25">
      <c r="A187" s="192">
        <f t="shared" si="8"/>
        <v>180</v>
      </c>
      <c r="B187" s="208">
        <v>2022</v>
      </c>
      <c r="C187" s="193" t="s">
        <v>37</v>
      </c>
      <c r="D187" s="253" t="s">
        <v>2434</v>
      </c>
      <c r="E187" s="195" t="s">
        <v>2435</v>
      </c>
      <c r="F187" s="196" t="s">
        <v>2073</v>
      </c>
      <c r="G187" s="197" t="s">
        <v>1610</v>
      </c>
      <c r="H187" s="198">
        <v>0.8</v>
      </c>
      <c r="I187" s="199">
        <v>30400</v>
      </c>
      <c r="J187" s="200" t="s">
        <v>1892</v>
      </c>
      <c r="K187" s="1271" t="s">
        <v>2304</v>
      </c>
      <c r="L187" s="201">
        <v>0.4</v>
      </c>
      <c r="M187" s="1261" t="s">
        <v>2167</v>
      </c>
      <c r="N187" s="254">
        <v>15000.03</v>
      </c>
      <c r="O187" s="254">
        <v>15000.03</v>
      </c>
      <c r="P187" s="199">
        <f t="shared" si="7"/>
        <v>12000.024</v>
      </c>
      <c r="Q187" s="254">
        <v>12000.02</v>
      </c>
      <c r="R187" s="200">
        <v>44830</v>
      </c>
      <c r="S187" s="254">
        <v>6000.01</v>
      </c>
      <c r="T187" s="204" t="s">
        <v>2291</v>
      </c>
      <c r="U187" s="1262" t="s">
        <v>2291</v>
      </c>
      <c r="V187" s="205">
        <v>3000.006</v>
      </c>
      <c r="W187" s="1262" t="s">
        <v>2391</v>
      </c>
      <c r="X187" s="258">
        <v>3000.006</v>
      </c>
      <c r="Y187" s="192"/>
    </row>
    <row r="188" ht="37.5" customHeight="1" spans="1:25">
      <c r="A188" s="192">
        <f t="shared" si="8"/>
        <v>181</v>
      </c>
      <c r="B188" s="208">
        <v>2022</v>
      </c>
      <c r="C188" s="193" t="s">
        <v>37</v>
      </c>
      <c r="D188" s="253" t="s">
        <v>2436</v>
      </c>
      <c r="E188" s="195" t="s">
        <v>2437</v>
      </c>
      <c r="F188" s="196" t="s">
        <v>2073</v>
      </c>
      <c r="G188" s="197" t="s">
        <v>1610</v>
      </c>
      <c r="H188" s="198">
        <v>0.8</v>
      </c>
      <c r="I188" s="199">
        <v>30000</v>
      </c>
      <c r="J188" s="200" t="s">
        <v>2418</v>
      </c>
      <c r="K188" s="1271" t="s">
        <v>2002</v>
      </c>
      <c r="L188" s="201">
        <v>0.4</v>
      </c>
      <c r="M188" s="1261" t="s">
        <v>2181</v>
      </c>
      <c r="N188" s="254">
        <v>7975</v>
      </c>
      <c r="O188" s="254">
        <v>7975</v>
      </c>
      <c r="P188" s="199">
        <f t="shared" si="7"/>
        <v>6380</v>
      </c>
      <c r="Q188" s="254">
        <v>6380</v>
      </c>
      <c r="R188" s="200">
        <v>44830</v>
      </c>
      <c r="S188" s="254">
        <v>3190</v>
      </c>
      <c r="T188" s="204" t="s">
        <v>2291</v>
      </c>
      <c r="U188" s="1262" t="s">
        <v>2291</v>
      </c>
      <c r="V188" s="205">
        <v>1595</v>
      </c>
      <c r="W188" s="1262" t="s">
        <v>2391</v>
      </c>
      <c r="X188" s="258">
        <v>1595</v>
      </c>
      <c r="Y188" s="192"/>
    </row>
    <row r="189" ht="37.5" customHeight="1" spans="1:25">
      <c r="A189" s="192">
        <f t="shared" si="8"/>
        <v>182</v>
      </c>
      <c r="B189" s="208">
        <v>2022</v>
      </c>
      <c r="C189" s="193" t="s">
        <v>37</v>
      </c>
      <c r="D189" s="259" t="s">
        <v>2438</v>
      </c>
      <c r="E189" s="212" t="s">
        <v>2439</v>
      </c>
      <c r="F189" s="196" t="s">
        <v>2073</v>
      </c>
      <c r="G189" s="197" t="s">
        <v>1610</v>
      </c>
      <c r="H189" s="198">
        <v>0.8</v>
      </c>
      <c r="I189" s="199">
        <v>73000</v>
      </c>
      <c r="J189" s="200" t="s">
        <v>1844</v>
      </c>
      <c r="K189" s="1271" t="s">
        <v>2351</v>
      </c>
      <c r="L189" s="201">
        <v>0.4</v>
      </c>
      <c r="M189" s="1261" t="s">
        <v>2413</v>
      </c>
      <c r="N189" s="260">
        <v>12275.01</v>
      </c>
      <c r="O189" s="260">
        <v>12275.01</v>
      </c>
      <c r="P189" s="199">
        <f t="shared" si="7"/>
        <v>9820.008</v>
      </c>
      <c r="Q189" s="260">
        <v>9820.01</v>
      </c>
      <c r="R189" s="200">
        <v>44830</v>
      </c>
      <c r="S189" s="254">
        <v>4910.01</v>
      </c>
      <c r="T189" s="204" t="s">
        <v>2291</v>
      </c>
      <c r="U189" s="1262" t="s">
        <v>2291</v>
      </c>
      <c r="V189" s="205">
        <v>2455.002</v>
      </c>
      <c r="W189" s="1262" t="s">
        <v>2391</v>
      </c>
      <c r="X189" s="258">
        <v>2455.002</v>
      </c>
      <c r="Y189" s="192"/>
    </row>
    <row r="190" ht="37.5" customHeight="1" spans="1:25">
      <c r="A190" s="192">
        <f t="shared" si="8"/>
        <v>183</v>
      </c>
      <c r="B190" s="208">
        <v>2022</v>
      </c>
      <c r="C190" s="193" t="s">
        <v>37</v>
      </c>
      <c r="D190" s="253" t="s">
        <v>2440</v>
      </c>
      <c r="E190" s="195" t="s">
        <v>2441</v>
      </c>
      <c r="F190" s="196" t="s">
        <v>2073</v>
      </c>
      <c r="G190" s="197" t="s">
        <v>1610</v>
      </c>
      <c r="H190" s="198">
        <v>0.8</v>
      </c>
      <c r="I190" s="199">
        <v>150000</v>
      </c>
      <c r="J190" s="200" t="s">
        <v>2079</v>
      </c>
      <c r="K190" s="1271" t="s">
        <v>2254</v>
      </c>
      <c r="L190" s="201">
        <v>0.4</v>
      </c>
      <c r="M190" s="1261" t="s">
        <v>2326</v>
      </c>
      <c r="N190" s="254">
        <v>104853.35</v>
      </c>
      <c r="O190" s="254">
        <v>104853.35</v>
      </c>
      <c r="P190" s="199">
        <f t="shared" si="7"/>
        <v>83882.68</v>
      </c>
      <c r="Q190" s="254">
        <v>83882.68</v>
      </c>
      <c r="R190" s="200">
        <v>44830</v>
      </c>
      <c r="S190" s="254">
        <v>41941.34</v>
      </c>
      <c r="T190" s="204" t="s">
        <v>2291</v>
      </c>
      <c r="U190" s="1262" t="s">
        <v>2291</v>
      </c>
      <c r="V190" s="205">
        <v>20970.67</v>
      </c>
      <c r="W190" s="1262" t="s">
        <v>2391</v>
      </c>
      <c r="X190" s="258">
        <v>20970.67</v>
      </c>
      <c r="Y190" s="192"/>
    </row>
    <row r="191" ht="37.5" customHeight="1" spans="1:25">
      <c r="A191" s="192">
        <f t="shared" si="8"/>
        <v>184</v>
      </c>
      <c r="B191" s="208">
        <v>2022</v>
      </c>
      <c r="C191" s="193" t="s">
        <v>37</v>
      </c>
      <c r="D191" s="253" t="s">
        <v>2442</v>
      </c>
      <c r="E191" s="195" t="s">
        <v>2443</v>
      </c>
      <c r="F191" s="196" t="s">
        <v>2073</v>
      </c>
      <c r="G191" s="197" t="s">
        <v>1610</v>
      </c>
      <c r="H191" s="198">
        <v>0.8</v>
      </c>
      <c r="I191" s="199">
        <v>120740</v>
      </c>
      <c r="J191" s="200" t="s">
        <v>2203</v>
      </c>
      <c r="K191" s="1271" t="s">
        <v>2368</v>
      </c>
      <c r="L191" s="201">
        <v>0.4</v>
      </c>
      <c r="M191" s="1261" t="s">
        <v>2399</v>
      </c>
      <c r="N191" s="254">
        <v>12074.18</v>
      </c>
      <c r="O191" s="254">
        <v>12074.18</v>
      </c>
      <c r="P191" s="199">
        <f t="shared" si="7"/>
        <v>9659.344</v>
      </c>
      <c r="Q191" s="254">
        <v>9659.34</v>
      </c>
      <c r="R191" s="1262" t="s">
        <v>2290</v>
      </c>
      <c r="S191" s="254">
        <v>4829.67</v>
      </c>
      <c r="T191" s="204" t="s">
        <v>2291</v>
      </c>
      <c r="U191" s="1262" t="s">
        <v>2291</v>
      </c>
      <c r="V191" s="205">
        <v>2414.836</v>
      </c>
      <c r="W191" s="1262" t="s">
        <v>2391</v>
      </c>
      <c r="X191" s="258">
        <v>2414.836</v>
      </c>
      <c r="Y191" s="192"/>
    </row>
    <row r="192" ht="37.5" customHeight="1" spans="1:25">
      <c r="A192" s="192">
        <f t="shared" si="8"/>
        <v>185</v>
      </c>
      <c r="B192" s="208">
        <v>2022</v>
      </c>
      <c r="C192" s="193" t="s">
        <v>37</v>
      </c>
      <c r="D192" s="253" t="s">
        <v>2444</v>
      </c>
      <c r="E192" s="261" t="s">
        <v>2445</v>
      </c>
      <c r="F192" s="196" t="s">
        <v>2073</v>
      </c>
      <c r="G192" s="197" t="s">
        <v>1610</v>
      </c>
      <c r="H192" s="198">
        <v>0.8</v>
      </c>
      <c r="I192" s="199">
        <v>150020</v>
      </c>
      <c r="J192" s="1271" t="s">
        <v>2079</v>
      </c>
      <c r="K192" s="1271" t="s">
        <v>2379</v>
      </c>
      <c r="L192" s="201">
        <v>0.4</v>
      </c>
      <c r="M192" s="231" t="s">
        <v>2011</v>
      </c>
      <c r="N192" s="254">
        <v>1750</v>
      </c>
      <c r="O192" s="254">
        <v>1750</v>
      </c>
      <c r="P192" s="199">
        <f t="shared" ref="P192:P255" si="9">O192*H192</f>
        <v>1400</v>
      </c>
      <c r="Q192" s="254">
        <v>1400</v>
      </c>
      <c r="R192" s="1262" t="s">
        <v>2446</v>
      </c>
      <c r="S192" s="254">
        <v>700</v>
      </c>
      <c r="T192" s="204" t="s">
        <v>2447</v>
      </c>
      <c r="U192" s="1262" t="s">
        <v>2448</v>
      </c>
      <c r="V192" s="205">
        <v>350</v>
      </c>
      <c r="W192" s="1262" t="s">
        <v>2391</v>
      </c>
      <c r="X192" s="258">
        <v>350</v>
      </c>
      <c r="Y192" s="192"/>
    </row>
    <row r="193" ht="37.5" customHeight="1" spans="1:25">
      <c r="A193" s="192">
        <f t="shared" si="8"/>
        <v>186</v>
      </c>
      <c r="B193" s="208">
        <v>2022</v>
      </c>
      <c r="C193" s="193" t="s">
        <v>37</v>
      </c>
      <c r="D193" s="253" t="s">
        <v>2449</v>
      </c>
      <c r="E193" s="261" t="s">
        <v>2450</v>
      </c>
      <c r="F193" s="196" t="s">
        <v>2073</v>
      </c>
      <c r="G193" s="197" t="s">
        <v>1610</v>
      </c>
      <c r="H193" s="198">
        <v>0.8</v>
      </c>
      <c r="I193" s="199">
        <v>51080</v>
      </c>
      <c r="J193" s="1271" t="s">
        <v>2284</v>
      </c>
      <c r="K193" s="1271" t="s">
        <v>2311</v>
      </c>
      <c r="L193" s="201">
        <v>0.4</v>
      </c>
      <c r="M193" s="231" t="s">
        <v>2011</v>
      </c>
      <c r="N193" s="254">
        <v>8055.85</v>
      </c>
      <c r="O193" s="254">
        <v>8055.85</v>
      </c>
      <c r="P193" s="199">
        <f t="shared" si="9"/>
        <v>6444.68</v>
      </c>
      <c r="Q193" s="254">
        <v>6444.68</v>
      </c>
      <c r="R193" s="1262" t="s">
        <v>2446</v>
      </c>
      <c r="S193" s="254">
        <v>3222.34</v>
      </c>
      <c r="T193" s="204" t="s">
        <v>2447</v>
      </c>
      <c r="U193" s="1262" t="s">
        <v>2448</v>
      </c>
      <c r="V193" s="205">
        <v>1611.17</v>
      </c>
      <c r="W193" s="1262" t="s">
        <v>2391</v>
      </c>
      <c r="X193" s="258">
        <v>1611.17</v>
      </c>
      <c r="Y193" s="192"/>
    </row>
    <row r="194" ht="37.5" customHeight="1" spans="1:25">
      <c r="A194" s="192">
        <f t="shared" si="8"/>
        <v>187</v>
      </c>
      <c r="B194" s="208">
        <v>2022</v>
      </c>
      <c r="C194" s="193" t="s">
        <v>37</v>
      </c>
      <c r="D194" s="253" t="s">
        <v>2451</v>
      </c>
      <c r="E194" s="261" t="s">
        <v>2452</v>
      </c>
      <c r="F194" s="196" t="s">
        <v>2073</v>
      </c>
      <c r="G194" s="197" t="s">
        <v>1610</v>
      </c>
      <c r="H194" s="198">
        <v>0.8</v>
      </c>
      <c r="I194" s="199">
        <v>27000</v>
      </c>
      <c r="J194" s="1271" t="s">
        <v>2453</v>
      </c>
      <c r="K194" s="1271" t="s">
        <v>2311</v>
      </c>
      <c r="L194" s="201">
        <v>0.4</v>
      </c>
      <c r="M194" s="231" t="s">
        <v>2454</v>
      </c>
      <c r="N194" s="254">
        <v>415.84</v>
      </c>
      <c r="O194" s="254">
        <v>415.84</v>
      </c>
      <c r="P194" s="199">
        <f t="shared" si="9"/>
        <v>332.672</v>
      </c>
      <c r="Q194" s="254">
        <v>332.67</v>
      </c>
      <c r="R194" s="1262" t="s">
        <v>2446</v>
      </c>
      <c r="S194" s="254">
        <v>166.34</v>
      </c>
      <c r="T194" s="204" t="s">
        <v>2447</v>
      </c>
      <c r="U194" s="1262" t="s">
        <v>2448</v>
      </c>
      <c r="V194" s="205">
        <v>83.17</v>
      </c>
      <c r="W194" s="1262" t="s">
        <v>2391</v>
      </c>
      <c r="X194" s="258">
        <v>83.17</v>
      </c>
      <c r="Y194" s="192"/>
    </row>
    <row r="195" ht="37.5" customHeight="1" spans="1:25">
      <c r="A195" s="192">
        <f t="shared" si="8"/>
        <v>188</v>
      </c>
      <c r="B195" s="208">
        <v>2022</v>
      </c>
      <c r="C195" s="193" t="s">
        <v>37</v>
      </c>
      <c r="D195" s="253" t="s">
        <v>2455</v>
      </c>
      <c r="E195" s="261" t="s">
        <v>2456</v>
      </c>
      <c r="F195" s="196" t="s">
        <v>2073</v>
      </c>
      <c r="G195" s="197" t="s">
        <v>1610</v>
      </c>
      <c r="H195" s="198">
        <v>0.8</v>
      </c>
      <c r="I195" s="199">
        <v>39000</v>
      </c>
      <c r="J195" s="1271" t="s">
        <v>1865</v>
      </c>
      <c r="K195" s="1271" t="s">
        <v>2387</v>
      </c>
      <c r="L195" s="201">
        <v>0.4</v>
      </c>
      <c r="M195" s="231" t="s">
        <v>2457</v>
      </c>
      <c r="N195" s="254">
        <v>916.68</v>
      </c>
      <c r="O195" s="254">
        <v>916.68</v>
      </c>
      <c r="P195" s="199">
        <f t="shared" si="9"/>
        <v>733.344</v>
      </c>
      <c r="Q195" s="254">
        <v>733.34</v>
      </c>
      <c r="R195" s="1262" t="s">
        <v>2446</v>
      </c>
      <c r="S195" s="254">
        <v>366.67</v>
      </c>
      <c r="T195" s="204" t="s">
        <v>2447</v>
      </c>
      <c r="U195" s="1262" t="s">
        <v>2448</v>
      </c>
      <c r="V195" s="205">
        <v>183.34</v>
      </c>
      <c r="W195" s="1262" t="s">
        <v>2391</v>
      </c>
      <c r="X195" s="258">
        <v>183.34</v>
      </c>
      <c r="Y195" s="192"/>
    </row>
    <row r="196" ht="37.5" customHeight="1" spans="1:25">
      <c r="A196" s="192">
        <f t="shared" si="8"/>
        <v>189</v>
      </c>
      <c r="B196" s="208">
        <v>2022</v>
      </c>
      <c r="C196" s="193" t="s">
        <v>37</v>
      </c>
      <c r="D196" s="253" t="s">
        <v>2458</v>
      </c>
      <c r="E196" s="261" t="s">
        <v>2459</v>
      </c>
      <c r="F196" s="196" t="s">
        <v>2073</v>
      </c>
      <c r="G196" s="197" t="s">
        <v>1610</v>
      </c>
      <c r="H196" s="198">
        <v>0.8</v>
      </c>
      <c r="I196" s="199">
        <v>14540</v>
      </c>
      <c r="J196" s="1271" t="s">
        <v>1975</v>
      </c>
      <c r="K196" s="1271" t="s">
        <v>2096</v>
      </c>
      <c r="L196" s="201">
        <v>0.4</v>
      </c>
      <c r="M196" s="231" t="s">
        <v>2457</v>
      </c>
      <c r="N196" s="254">
        <v>3879.54</v>
      </c>
      <c r="O196" s="254">
        <v>3879.54</v>
      </c>
      <c r="P196" s="199">
        <f t="shared" si="9"/>
        <v>3103.632</v>
      </c>
      <c r="Q196" s="254">
        <v>3103.63</v>
      </c>
      <c r="R196" s="1262" t="s">
        <v>2446</v>
      </c>
      <c r="S196" s="254">
        <v>1551.82</v>
      </c>
      <c r="T196" s="204" t="s">
        <v>2447</v>
      </c>
      <c r="U196" s="1262" t="s">
        <v>2448</v>
      </c>
      <c r="V196" s="205">
        <v>775.91</v>
      </c>
      <c r="W196" s="1262" t="s">
        <v>2391</v>
      </c>
      <c r="X196" s="258">
        <v>775.91</v>
      </c>
      <c r="Y196" s="192"/>
    </row>
    <row r="197" ht="37.5" customHeight="1" spans="1:25">
      <c r="A197" s="192">
        <f t="shared" si="8"/>
        <v>190</v>
      </c>
      <c r="B197" s="208">
        <v>2022</v>
      </c>
      <c r="C197" s="193" t="s">
        <v>37</v>
      </c>
      <c r="D197" s="253" t="s">
        <v>2460</v>
      </c>
      <c r="E197" s="261" t="s">
        <v>2461</v>
      </c>
      <c r="F197" s="196" t="s">
        <v>2073</v>
      </c>
      <c r="G197" s="197" t="s">
        <v>1610</v>
      </c>
      <c r="H197" s="198">
        <v>0.8</v>
      </c>
      <c r="I197" s="199">
        <v>90000</v>
      </c>
      <c r="J197" s="1271" t="s">
        <v>2248</v>
      </c>
      <c r="K197" s="1271" t="s">
        <v>2462</v>
      </c>
      <c r="L197" s="201">
        <v>0.4</v>
      </c>
      <c r="M197" s="231" t="s">
        <v>2463</v>
      </c>
      <c r="N197" s="254">
        <v>15000.03</v>
      </c>
      <c r="O197" s="254">
        <v>15000.03</v>
      </c>
      <c r="P197" s="199">
        <f t="shared" si="9"/>
        <v>12000.024</v>
      </c>
      <c r="Q197" s="254">
        <v>12000.02</v>
      </c>
      <c r="R197" s="1262" t="s">
        <v>2446</v>
      </c>
      <c r="S197" s="254">
        <v>6000.01</v>
      </c>
      <c r="T197" s="204" t="s">
        <v>2447</v>
      </c>
      <c r="U197" s="1262" t="s">
        <v>2448</v>
      </c>
      <c r="V197" s="205">
        <v>3000.01</v>
      </c>
      <c r="W197" s="1262" t="s">
        <v>2391</v>
      </c>
      <c r="X197" s="258">
        <v>3000.01</v>
      </c>
      <c r="Y197" s="192"/>
    </row>
    <row r="198" ht="37.5" customHeight="1" spans="1:25">
      <c r="A198" s="192">
        <f t="shared" si="8"/>
        <v>191</v>
      </c>
      <c r="B198" s="208">
        <v>2022</v>
      </c>
      <c r="C198" s="193" t="s">
        <v>37</v>
      </c>
      <c r="D198" s="253" t="s">
        <v>2464</v>
      </c>
      <c r="E198" s="195" t="s">
        <v>2465</v>
      </c>
      <c r="F198" s="196" t="s">
        <v>2073</v>
      </c>
      <c r="G198" s="197" t="s">
        <v>1610</v>
      </c>
      <c r="H198" s="198">
        <v>0.8</v>
      </c>
      <c r="I198" s="199">
        <v>1000000</v>
      </c>
      <c r="J198" s="1271" t="s">
        <v>2079</v>
      </c>
      <c r="K198" s="1271" t="s">
        <v>2102</v>
      </c>
      <c r="L198" s="201">
        <v>0.4</v>
      </c>
      <c r="M198" s="231" t="s">
        <v>2466</v>
      </c>
      <c r="N198" s="254">
        <v>66666.68</v>
      </c>
      <c r="O198" s="254">
        <v>66666.68</v>
      </c>
      <c r="P198" s="199">
        <f t="shared" si="9"/>
        <v>53333.344</v>
      </c>
      <c r="Q198" s="254">
        <v>53333.34</v>
      </c>
      <c r="R198" s="1262" t="s">
        <v>2446</v>
      </c>
      <c r="S198" s="254">
        <v>26666.67</v>
      </c>
      <c r="T198" s="204" t="s">
        <v>2447</v>
      </c>
      <c r="U198" s="1262" t="s">
        <v>2448</v>
      </c>
      <c r="V198" s="205">
        <v>13333.34</v>
      </c>
      <c r="W198" s="1262" t="s">
        <v>2391</v>
      </c>
      <c r="X198" s="206">
        <v>13333.34</v>
      </c>
      <c r="Y198" s="192"/>
    </row>
    <row r="199" ht="37.5" customHeight="1" spans="1:25">
      <c r="A199" s="192">
        <f t="shared" si="8"/>
        <v>192</v>
      </c>
      <c r="B199" s="208">
        <v>2022</v>
      </c>
      <c r="C199" s="193" t="s">
        <v>37</v>
      </c>
      <c r="D199" s="253" t="s">
        <v>2467</v>
      </c>
      <c r="E199" s="261" t="s">
        <v>2468</v>
      </c>
      <c r="F199" s="196" t="s">
        <v>2073</v>
      </c>
      <c r="G199" s="197" t="s">
        <v>1610</v>
      </c>
      <c r="H199" s="198">
        <v>0.8</v>
      </c>
      <c r="I199" s="199">
        <v>50166.47</v>
      </c>
      <c r="J199" s="1271" t="s">
        <v>2284</v>
      </c>
      <c r="K199" s="1271" t="s">
        <v>2107</v>
      </c>
      <c r="L199" s="201">
        <v>0.4</v>
      </c>
      <c r="M199" s="231" t="s">
        <v>2469</v>
      </c>
      <c r="N199" s="254">
        <v>12358.38</v>
      </c>
      <c r="O199" s="254">
        <v>12358.38</v>
      </c>
      <c r="P199" s="199">
        <f t="shared" si="9"/>
        <v>9886.704</v>
      </c>
      <c r="Q199" s="254">
        <v>9886.7</v>
      </c>
      <c r="R199" s="1262" t="s">
        <v>2446</v>
      </c>
      <c r="S199" s="254">
        <v>4943.35</v>
      </c>
      <c r="T199" s="204" t="s">
        <v>2447</v>
      </c>
      <c r="U199" s="1262" t="s">
        <v>2448</v>
      </c>
      <c r="V199" s="205">
        <v>2471.68</v>
      </c>
      <c r="W199" s="1262" t="s">
        <v>2391</v>
      </c>
      <c r="X199" s="258">
        <v>2471.68</v>
      </c>
      <c r="Y199" s="192"/>
    </row>
    <row r="200" ht="37.5" customHeight="1" spans="1:25">
      <c r="A200" s="192">
        <f t="shared" si="8"/>
        <v>193</v>
      </c>
      <c r="B200" s="208">
        <v>2022</v>
      </c>
      <c r="C200" s="193" t="s">
        <v>37</v>
      </c>
      <c r="D200" s="253" t="s">
        <v>2470</v>
      </c>
      <c r="E200" s="261" t="s">
        <v>2471</v>
      </c>
      <c r="F200" s="196" t="s">
        <v>2073</v>
      </c>
      <c r="G200" s="197" t="s">
        <v>1610</v>
      </c>
      <c r="H200" s="198">
        <v>0.8</v>
      </c>
      <c r="I200" s="199">
        <v>159000</v>
      </c>
      <c r="J200" s="1271" t="s">
        <v>2453</v>
      </c>
      <c r="K200" s="1271" t="s">
        <v>2112</v>
      </c>
      <c r="L200" s="201">
        <v>0.4</v>
      </c>
      <c r="M200" s="231" t="s">
        <v>2046</v>
      </c>
      <c r="N200" s="254">
        <v>64250.06</v>
      </c>
      <c r="O200" s="254">
        <v>64250.06</v>
      </c>
      <c r="P200" s="199">
        <f t="shared" si="9"/>
        <v>51400.048</v>
      </c>
      <c r="Q200" s="254">
        <v>51400.05</v>
      </c>
      <c r="R200" s="1262" t="s">
        <v>2446</v>
      </c>
      <c r="S200" s="254">
        <v>25700.02</v>
      </c>
      <c r="T200" s="204" t="s">
        <v>2447</v>
      </c>
      <c r="U200" s="1262" t="s">
        <v>2448</v>
      </c>
      <c r="V200" s="205">
        <v>12850.01</v>
      </c>
      <c r="W200" s="1262" t="s">
        <v>2391</v>
      </c>
      <c r="X200" s="258">
        <v>12850.01</v>
      </c>
      <c r="Y200" s="192"/>
    </row>
    <row r="201" ht="37.5" customHeight="1" spans="1:25">
      <c r="A201" s="192">
        <f t="shared" si="8"/>
        <v>194</v>
      </c>
      <c r="B201" s="208">
        <v>2022</v>
      </c>
      <c r="C201" s="193" t="s">
        <v>37</v>
      </c>
      <c r="D201" s="253" t="s">
        <v>2470</v>
      </c>
      <c r="E201" s="261" t="s">
        <v>2472</v>
      </c>
      <c r="F201" s="196" t="s">
        <v>2073</v>
      </c>
      <c r="G201" s="197" t="s">
        <v>1610</v>
      </c>
      <c r="H201" s="198">
        <v>0.8</v>
      </c>
      <c r="I201" s="199">
        <v>23300</v>
      </c>
      <c r="J201" s="1271" t="s">
        <v>1865</v>
      </c>
      <c r="K201" s="1271" t="s">
        <v>2330</v>
      </c>
      <c r="L201" s="201">
        <v>0.4</v>
      </c>
      <c r="M201" s="231" t="s">
        <v>2457</v>
      </c>
      <c r="N201" s="254">
        <v>23300</v>
      </c>
      <c r="O201" s="254">
        <v>23300</v>
      </c>
      <c r="P201" s="199">
        <f t="shared" si="9"/>
        <v>18640</v>
      </c>
      <c r="Q201" s="254">
        <v>18640</v>
      </c>
      <c r="R201" s="1262" t="s">
        <v>2446</v>
      </c>
      <c r="S201" s="254">
        <v>9320</v>
      </c>
      <c r="T201" s="204" t="s">
        <v>2447</v>
      </c>
      <c r="U201" s="1262" t="s">
        <v>2448</v>
      </c>
      <c r="V201" s="205">
        <v>4660</v>
      </c>
      <c r="W201" s="1262" t="s">
        <v>2391</v>
      </c>
      <c r="X201" s="258">
        <v>4660</v>
      </c>
      <c r="Y201" s="192"/>
    </row>
    <row r="202" ht="37.5" customHeight="1" spans="1:25">
      <c r="A202" s="192">
        <f t="shared" si="8"/>
        <v>195</v>
      </c>
      <c r="B202" s="208">
        <v>2022</v>
      </c>
      <c r="C202" s="193" t="s">
        <v>37</v>
      </c>
      <c r="D202" s="253" t="s">
        <v>2473</v>
      </c>
      <c r="E202" s="261" t="s">
        <v>2474</v>
      </c>
      <c r="F202" s="196" t="s">
        <v>2073</v>
      </c>
      <c r="G202" s="197" t="s">
        <v>1610</v>
      </c>
      <c r="H202" s="198">
        <v>0.8</v>
      </c>
      <c r="I202" s="199">
        <v>15000</v>
      </c>
      <c r="J202" s="1271" t="s">
        <v>1975</v>
      </c>
      <c r="K202" s="1271" t="s">
        <v>2216</v>
      </c>
      <c r="L202" s="201">
        <v>0.4</v>
      </c>
      <c r="M202" s="231" t="s">
        <v>2475</v>
      </c>
      <c r="N202" s="254">
        <v>7423.26</v>
      </c>
      <c r="O202" s="254">
        <v>7423.26</v>
      </c>
      <c r="P202" s="199">
        <f t="shared" si="9"/>
        <v>5938.608</v>
      </c>
      <c r="Q202" s="254">
        <v>5938.61</v>
      </c>
      <c r="R202" s="1262" t="s">
        <v>2446</v>
      </c>
      <c r="S202" s="254">
        <v>2969.3</v>
      </c>
      <c r="T202" s="204" t="s">
        <v>2447</v>
      </c>
      <c r="U202" s="1262" t="s">
        <v>2448</v>
      </c>
      <c r="V202" s="205">
        <v>1484.65</v>
      </c>
      <c r="W202" s="1262" t="s">
        <v>2391</v>
      </c>
      <c r="X202" s="258">
        <v>1484.65</v>
      </c>
      <c r="Y202" s="192"/>
    </row>
    <row r="203" ht="37.5" customHeight="1" spans="1:25">
      <c r="A203" s="192">
        <f t="shared" si="8"/>
        <v>196</v>
      </c>
      <c r="B203" s="208">
        <v>2022</v>
      </c>
      <c r="C203" s="193" t="s">
        <v>37</v>
      </c>
      <c r="D203" s="253" t="s">
        <v>2473</v>
      </c>
      <c r="E203" s="195" t="s">
        <v>2476</v>
      </c>
      <c r="F203" s="196" t="s">
        <v>2073</v>
      </c>
      <c r="G203" s="197" t="s">
        <v>1610</v>
      </c>
      <c r="H203" s="198">
        <v>0.8</v>
      </c>
      <c r="I203" s="199">
        <v>16332.46</v>
      </c>
      <c r="J203" s="1271" t="s">
        <v>2248</v>
      </c>
      <c r="K203" s="1271" t="s">
        <v>2173</v>
      </c>
      <c r="L203" s="201">
        <v>0.4</v>
      </c>
      <c r="M203" s="231" t="s">
        <v>2477</v>
      </c>
      <c r="N203" s="254">
        <v>803.93</v>
      </c>
      <c r="O203" s="254">
        <v>803.93</v>
      </c>
      <c r="P203" s="199">
        <f t="shared" si="9"/>
        <v>643.144</v>
      </c>
      <c r="Q203" s="254">
        <v>643.14</v>
      </c>
      <c r="R203" s="1262" t="s">
        <v>2446</v>
      </c>
      <c r="S203" s="254">
        <v>321.57</v>
      </c>
      <c r="T203" s="204" t="s">
        <v>2447</v>
      </c>
      <c r="U203" s="1262" t="s">
        <v>2448</v>
      </c>
      <c r="V203" s="205">
        <v>160.79</v>
      </c>
      <c r="W203" s="1262" t="s">
        <v>2391</v>
      </c>
      <c r="X203" s="258">
        <v>160.79</v>
      </c>
      <c r="Y203" s="192"/>
    </row>
    <row r="204" ht="37.5" customHeight="1" spans="1:25">
      <c r="A204" s="192">
        <f t="shared" si="8"/>
        <v>197</v>
      </c>
      <c r="B204" s="208">
        <v>2022</v>
      </c>
      <c r="C204" s="193" t="s">
        <v>37</v>
      </c>
      <c r="D204" s="253" t="s">
        <v>2478</v>
      </c>
      <c r="E204" s="261" t="s">
        <v>2479</v>
      </c>
      <c r="F204" s="196" t="s">
        <v>2073</v>
      </c>
      <c r="G204" s="197" t="s">
        <v>1610</v>
      </c>
      <c r="H204" s="198">
        <v>0.8</v>
      </c>
      <c r="I204" s="199">
        <v>12000</v>
      </c>
      <c r="J204" s="1271" t="s">
        <v>2079</v>
      </c>
      <c r="K204" s="1271" t="s">
        <v>2480</v>
      </c>
      <c r="L204" s="201">
        <v>0.4</v>
      </c>
      <c r="M204" s="231" t="s">
        <v>2481</v>
      </c>
      <c r="N204" s="254">
        <v>865.36</v>
      </c>
      <c r="O204" s="254">
        <v>865.36</v>
      </c>
      <c r="P204" s="199">
        <f t="shared" si="9"/>
        <v>692.288</v>
      </c>
      <c r="Q204" s="254">
        <v>692.29</v>
      </c>
      <c r="R204" s="1262" t="s">
        <v>2446</v>
      </c>
      <c r="S204" s="254">
        <v>346.14</v>
      </c>
      <c r="T204" s="204" t="s">
        <v>2447</v>
      </c>
      <c r="U204" s="1262" t="s">
        <v>2448</v>
      </c>
      <c r="V204" s="205">
        <v>173.07</v>
      </c>
      <c r="W204" s="1262" t="s">
        <v>2391</v>
      </c>
      <c r="X204" s="258">
        <v>173.07</v>
      </c>
      <c r="Y204" s="192"/>
    </row>
    <row r="205" ht="37.5" customHeight="1" spans="1:25">
      <c r="A205" s="192">
        <f t="shared" si="8"/>
        <v>198</v>
      </c>
      <c r="B205" s="208">
        <v>2022</v>
      </c>
      <c r="C205" s="193" t="s">
        <v>37</v>
      </c>
      <c r="D205" s="253" t="s">
        <v>2482</v>
      </c>
      <c r="E205" s="261" t="s">
        <v>2483</v>
      </c>
      <c r="F205" s="196" t="s">
        <v>2073</v>
      </c>
      <c r="G205" s="197" t="s">
        <v>1610</v>
      </c>
      <c r="H205" s="198">
        <v>0.8</v>
      </c>
      <c r="I205" s="199">
        <v>13000</v>
      </c>
      <c r="J205" s="1271" t="s">
        <v>2284</v>
      </c>
      <c r="K205" s="1271" t="s">
        <v>2116</v>
      </c>
      <c r="L205" s="201">
        <v>0.4</v>
      </c>
      <c r="M205" s="231" t="s">
        <v>2484</v>
      </c>
      <c r="N205" s="254">
        <v>9166.68</v>
      </c>
      <c r="O205" s="254">
        <v>9166.68</v>
      </c>
      <c r="P205" s="199">
        <f t="shared" si="9"/>
        <v>7333.344</v>
      </c>
      <c r="Q205" s="254">
        <v>7333.34</v>
      </c>
      <c r="R205" s="1262" t="s">
        <v>2446</v>
      </c>
      <c r="S205" s="254">
        <v>3666.67</v>
      </c>
      <c r="T205" s="204" t="s">
        <v>2447</v>
      </c>
      <c r="U205" s="1262" t="s">
        <v>2448</v>
      </c>
      <c r="V205" s="205">
        <v>1833.34</v>
      </c>
      <c r="W205" s="1262" t="s">
        <v>2391</v>
      </c>
      <c r="X205" s="258">
        <v>1833.34</v>
      </c>
      <c r="Y205" s="192"/>
    </row>
    <row r="206" ht="37.5" customHeight="1" spans="1:25">
      <c r="A206" s="192">
        <f t="shared" si="8"/>
        <v>199</v>
      </c>
      <c r="B206" s="208">
        <v>2022</v>
      </c>
      <c r="C206" s="193" t="s">
        <v>37</v>
      </c>
      <c r="D206" s="253" t="s">
        <v>2485</v>
      </c>
      <c r="E206" s="261" t="s">
        <v>2486</v>
      </c>
      <c r="F206" s="196" t="s">
        <v>2073</v>
      </c>
      <c r="G206" s="197" t="s">
        <v>1610</v>
      </c>
      <c r="H206" s="198">
        <v>0.8</v>
      </c>
      <c r="I206" s="199">
        <v>38000</v>
      </c>
      <c r="J206" s="1271" t="s">
        <v>2453</v>
      </c>
      <c r="K206" s="1271" t="s">
        <v>2136</v>
      </c>
      <c r="L206" s="201">
        <v>0.4</v>
      </c>
      <c r="M206" s="231" t="s">
        <v>2457</v>
      </c>
      <c r="N206" s="254">
        <v>27275.01</v>
      </c>
      <c r="O206" s="254">
        <v>27275.01</v>
      </c>
      <c r="P206" s="199">
        <f t="shared" si="9"/>
        <v>21820.008</v>
      </c>
      <c r="Q206" s="254">
        <v>21820.01</v>
      </c>
      <c r="R206" s="1262" t="s">
        <v>2446</v>
      </c>
      <c r="S206" s="254">
        <v>10910</v>
      </c>
      <c r="T206" s="204" t="s">
        <v>2447</v>
      </c>
      <c r="U206" s="1262" t="s">
        <v>2448</v>
      </c>
      <c r="V206" s="205">
        <v>5455</v>
      </c>
      <c r="W206" s="1262" t="s">
        <v>2391</v>
      </c>
      <c r="X206" s="258">
        <v>5455</v>
      </c>
      <c r="Y206" s="192"/>
    </row>
    <row r="207" ht="37.5" customHeight="1" spans="1:25">
      <c r="A207" s="192">
        <f t="shared" si="8"/>
        <v>200</v>
      </c>
      <c r="B207" s="208">
        <v>2022</v>
      </c>
      <c r="C207" s="193" t="s">
        <v>37</v>
      </c>
      <c r="D207" s="253" t="s">
        <v>2485</v>
      </c>
      <c r="E207" s="261" t="s">
        <v>2487</v>
      </c>
      <c r="F207" s="196" t="s">
        <v>2073</v>
      </c>
      <c r="G207" s="197" t="s">
        <v>1610</v>
      </c>
      <c r="H207" s="198">
        <v>0.8</v>
      </c>
      <c r="I207" s="199">
        <v>12469.82</v>
      </c>
      <c r="J207" s="1271" t="s">
        <v>1865</v>
      </c>
      <c r="K207" s="1271" t="s">
        <v>2177</v>
      </c>
      <c r="L207" s="201">
        <v>0.4</v>
      </c>
      <c r="M207" s="231" t="s">
        <v>2457</v>
      </c>
      <c r="N207" s="254">
        <v>2500</v>
      </c>
      <c r="O207" s="254">
        <v>2500</v>
      </c>
      <c r="P207" s="199">
        <f t="shared" si="9"/>
        <v>2000</v>
      </c>
      <c r="Q207" s="254">
        <v>2000</v>
      </c>
      <c r="R207" s="1262" t="s">
        <v>2446</v>
      </c>
      <c r="S207" s="254">
        <v>1000</v>
      </c>
      <c r="T207" s="204" t="s">
        <v>2447</v>
      </c>
      <c r="U207" s="1262" t="s">
        <v>2448</v>
      </c>
      <c r="V207" s="205">
        <v>500</v>
      </c>
      <c r="W207" s="1262" t="s">
        <v>2391</v>
      </c>
      <c r="X207" s="258">
        <v>500</v>
      </c>
      <c r="Y207" s="192"/>
    </row>
    <row r="208" ht="37.5" customHeight="1" spans="1:25">
      <c r="A208" s="192">
        <f t="shared" si="8"/>
        <v>201</v>
      </c>
      <c r="B208" s="208">
        <v>2022</v>
      </c>
      <c r="C208" s="193" t="s">
        <v>37</v>
      </c>
      <c r="D208" s="253" t="s">
        <v>2488</v>
      </c>
      <c r="E208" s="261" t="s">
        <v>2489</v>
      </c>
      <c r="F208" s="196" t="s">
        <v>2073</v>
      </c>
      <c r="G208" s="197" t="s">
        <v>1610</v>
      </c>
      <c r="H208" s="198">
        <v>0.8</v>
      </c>
      <c r="I208" s="199">
        <v>15009.99</v>
      </c>
      <c r="J208" s="1271" t="s">
        <v>1975</v>
      </c>
      <c r="K208" s="1271" t="s">
        <v>2124</v>
      </c>
      <c r="L208" s="201">
        <v>0.4</v>
      </c>
      <c r="M208" s="231" t="s">
        <v>2011</v>
      </c>
      <c r="N208" s="254">
        <v>2000</v>
      </c>
      <c r="O208" s="254">
        <v>2000</v>
      </c>
      <c r="P208" s="199">
        <f t="shared" si="9"/>
        <v>1600</v>
      </c>
      <c r="Q208" s="254">
        <v>1600</v>
      </c>
      <c r="R208" s="1262" t="s">
        <v>2446</v>
      </c>
      <c r="S208" s="254">
        <v>800</v>
      </c>
      <c r="T208" s="204" t="s">
        <v>2447</v>
      </c>
      <c r="U208" s="1262" t="s">
        <v>2448</v>
      </c>
      <c r="V208" s="205">
        <v>400</v>
      </c>
      <c r="W208" s="1262" t="s">
        <v>2391</v>
      </c>
      <c r="X208" s="258">
        <v>400</v>
      </c>
      <c r="Y208" s="192"/>
    </row>
    <row r="209" ht="37.5" customHeight="1" spans="1:25">
      <c r="A209" s="192">
        <f t="shared" si="8"/>
        <v>202</v>
      </c>
      <c r="B209" s="208">
        <v>2022</v>
      </c>
      <c r="C209" s="193" t="s">
        <v>37</v>
      </c>
      <c r="D209" s="253" t="s">
        <v>2490</v>
      </c>
      <c r="E209" s="261" t="s">
        <v>2491</v>
      </c>
      <c r="F209" s="196" t="s">
        <v>2073</v>
      </c>
      <c r="G209" s="197" t="s">
        <v>1610</v>
      </c>
      <c r="H209" s="198">
        <v>0.8</v>
      </c>
      <c r="I209" s="199">
        <v>46000</v>
      </c>
      <c r="J209" s="1271" t="s">
        <v>2248</v>
      </c>
      <c r="K209" s="1271" t="s">
        <v>2364</v>
      </c>
      <c r="L209" s="201">
        <v>0.4</v>
      </c>
      <c r="M209" s="231" t="s">
        <v>2492</v>
      </c>
      <c r="N209" s="254">
        <v>21666.7</v>
      </c>
      <c r="O209" s="254">
        <v>21666.7</v>
      </c>
      <c r="P209" s="199">
        <f t="shared" si="9"/>
        <v>17333.36</v>
      </c>
      <c r="Q209" s="254">
        <v>17333.36</v>
      </c>
      <c r="R209" s="1262" t="s">
        <v>2446</v>
      </c>
      <c r="S209" s="254">
        <v>8666.68</v>
      </c>
      <c r="T209" s="204" t="s">
        <v>2447</v>
      </c>
      <c r="U209" s="1262" t="s">
        <v>2448</v>
      </c>
      <c r="V209" s="205">
        <v>4333.34</v>
      </c>
      <c r="W209" s="1262" t="s">
        <v>2391</v>
      </c>
      <c r="X209" s="258">
        <v>4333.34</v>
      </c>
      <c r="Y209" s="192"/>
    </row>
    <row r="210" ht="37.5" customHeight="1" spans="1:25">
      <c r="A210" s="192">
        <f t="shared" si="8"/>
        <v>203</v>
      </c>
      <c r="B210" s="208">
        <v>2022</v>
      </c>
      <c r="C210" s="193" t="s">
        <v>37</v>
      </c>
      <c r="D210" s="253" t="s">
        <v>2493</v>
      </c>
      <c r="E210" s="261" t="s">
        <v>2494</v>
      </c>
      <c r="F210" s="196" t="s">
        <v>2073</v>
      </c>
      <c r="G210" s="197" t="s">
        <v>1610</v>
      </c>
      <c r="H210" s="198">
        <v>0.8</v>
      </c>
      <c r="I210" s="199">
        <v>55560</v>
      </c>
      <c r="J210" s="1271" t="s">
        <v>2079</v>
      </c>
      <c r="K210" s="1271" t="s">
        <v>2169</v>
      </c>
      <c r="L210" s="201">
        <v>0.4</v>
      </c>
      <c r="M210" s="231" t="s">
        <v>2463</v>
      </c>
      <c r="N210" s="254">
        <v>8366.44</v>
      </c>
      <c r="O210" s="254">
        <v>8366.44</v>
      </c>
      <c r="P210" s="199">
        <f t="shared" si="9"/>
        <v>6693.152</v>
      </c>
      <c r="Q210" s="254">
        <v>6693.15</v>
      </c>
      <c r="R210" s="1262" t="s">
        <v>2446</v>
      </c>
      <c r="S210" s="254">
        <v>3346.58</v>
      </c>
      <c r="T210" s="204" t="s">
        <v>2447</v>
      </c>
      <c r="U210" s="1262" t="s">
        <v>2448</v>
      </c>
      <c r="V210" s="205">
        <v>1673.29</v>
      </c>
      <c r="W210" s="1262" t="s">
        <v>2391</v>
      </c>
      <c r="X210" s="258">
        <v>1673.29</v>
      </c>
      <c r="Y210" s="192"/>
    </row>
    <row r="211" ht="37.5" customHeight="1" spans="1:25">
      <c r="A211" s="262">
        <f t="shared" si="8"/>
        <v>204</v>
      </c>
      <c r="B211" s="209">
        <v>2022</v>
      </c>
      <c r="C211" s="210" t="s">
        <v>37</v>
      </c>
      <c r="D211" s="259" t="s">
        <v>2495</v>
      </c>
      <c r="E211" s="263" t="s">
        <v>2496</v>
      </c>
      <c r="F211" s="213" t="s">
        <v>2073</v>
      </c>
      <c r="G211" s="214" t="s">
        <v>1610</v>
      </c>
      <c r="H211" s="215">
        <v>0.8</v>
      </c>
      <c r="I211" s="216">
        <v>140030</v>
      </c>
      <c r="J211" s="1272" t="s">
        <v>2284</v>
      </c>
      <c r="K211" s="1272" t="s">
        <v>2497</v>
      </c>
      <c r="L211" s="218">
        <v>0.4</v>
      </c>
      <c r="M211" s="230" t="s">
        <v>2498</v>
      </c>
      <c r="N211" s="260">
        <v>40272.03</v>
      </c>
      <c r="O211" s="260">
        <v>40272.03</v>
      </c>
      <c r="P211" s="216">
        <f t="shared" si="9"/>
        <v>32217.624</v>
      </c>
      <c r="Q211" s="260">
        <v>32217.62</v>
      </c>
      <c r="R211" s="1264" t="s">
        <v>2446</v>
      </c>
      <c r="S211" s="260">
        <v>16108.81</v>
      </c>
      <c r="T211" s="204" t="s">
        <v>2447</v>
      </c>
      <c r="U211" s="1264" t="s">
        <v>2448</v>
      </c>
      <c r="V211" s="221">
        <v>8054.41</v>
      </c>
      <c r="W211" s="1264" t="s">
        <v>2391</v>
      </c>
      <c r="X211" s="264">
        <v>8054.41</v>
      </c>
      <c r="Y211" s="262"/>
    </row>
    <row r="212" ht="37.5" customHeight="1" spans="1:25">
      <c r="A212" s="262">
        <f t="shared" si="8"/>
        <v>205</v>
      </c>
      <c r="B212" s="209">
        <v>2022</v>
      </c>
      <c r="C212" s="210" t="s">
        <v>37</v>
      </c>
      <c r="D212" s="259" t="s">
        <v>2499</v>
      </c>
      <c r="E212" s="263" t="s">
        <v>2500</v>
      </c>
      <c r="F212" s="213" t="s">
        <v>2073</v>
      </c>
      <c r="G212" s="214" t="s">
        <v>1610</v>
      </c>
      <c r="H212" s="215">
        <v>0.8</v>
      </c>
      <c r="I212" s="216">
        <v>260170</v>
      </c>
      <c r="J212" s="1272" t="s">
        <v>2453</v>
      </c>
      <c r="K212" s="1272" t="s">
        <v>2133</v>
      </c>
      <c r="L212" s="218">
        <v>0.4</v>
      </c>
      <c r="M212" s="230" t="s">
        <v>2314</v>
      </c>
      <c r="N212" s="260">
        <v>24000</v>
      </c>
      <c r="O212" s="260">
        <v>24000</v>
      </c>
      <c r="P212" s="216">
        <f t="shared" si="9"/>
        <v>19200</v>
      </c>
      <c r="Q212" s="260">
        <v>19200</v>
      </c>
      <c r="R212" s="1264" t="s">
        <v>2446</v>
      </c>
      <c r="S212" s="260">
        <v>9600</v>
      </c>
      <c r="T212" s="204" t="s">
        <v>2447</v>
      </c>
      <c r="U212" s="1264" t="s">
        <v>2448</v>
      </c>
      <c r="V212" s="221">
        <v>4800</v>
      </c>
      <c r="W212" s="1264" t="s">
        <v>2391</v>
      </c>
      <c r="X212" s="264">
        <v>4800</v>
      </c>
      <c r="Y212" s="262"/>
    </row>
    <row r="213" ht="37.5" customHeight="1" spans="1:25">
      <c r="A213" s="262">
        <f t="shared" si="8"/>
        <v>206</v>
      </c>
      <c r="B213" s="209">
        <v>2022</v>
      </c>
      <c r="C213" s="210" t="s">
        <v>37</v>
      </c>
      <c r="D213" s="259" t="s">
        <v>2501</v>
      </c>
      <c r="E213" s="263" t="s">
        <v>2502</v>
      </c>
      <c r="F213" s="213" t="s">
        <v>2073</v>
      </c>
      <c r="G213" s="214" t="s">
        <v>1610</v>
      </c>
      <c r="H213" s="215">
        <v>0.8</v>
      </c>
      <c r="I213" s="216">
        <v>90160</v>
      </c>
      <c r="J213" s="1272" t="s">
        <v>1865</v>
      </c>
      <c r="K213" s="1272" t="s">
        <v>2192</v>
      </c>
      <c r="L213" s="218">
        <v>0.4</v>
      </c>
      <c r="M213" s="230" t="s">
        <v>2314</v>
      </c>
      <c r="N213" s="260">
        <v>45000.06</v>
      </c>
      <c r="O213" s="260">
        <v>45000.06</v>
      </c>
      <c r="P213" s="216">
        <f t="shared" si="9"/>
        <v>36000.048</v>
      </c>
      <c r="Q213" s="260">
        <v>36000.05</v>
      </c>
      <c r="R213" s="1264" t="s">
        <v>2446</v>
      </c>
      <c r="S213" s="260">
        <v>18000.02</v>
      </c>
      <c r="T213" s="204" t="s">
        <v>2447</v>
      </c>
      <c r="U213" s="1264" t="s">
        <v>2448</v>
      </c>
      <c r="V213" s="221">
        <v>9000.01</v>
      </c>
      <c r="W213" s="1264" t="s">
        <v>2391</v>
      </c>
      <c r="X213" s="264">
        <v>9000.01</v>
      </c>
      <c r="Y213" s="262"/>
    </row>
    <row r="214" ht="37.5" customHeight="1" spans="1:25">
      <c r="A214" s="262">
        <f t="shared" si="8"/>
        <v>207</v>
      </c>
      <c r="B214" s="209">
        <v>2022</v>
      </c>
      <c r="C214" s="210" t="s">
        <v>37</v>
      </c>
      <c r="D214" s="259" t="s">
        <v>2503</v>
      </c>
      <c r="E214" s="263" t="s">
        <v>2504</v>
      </c>
      <c r="F214" s="213" t="s">
        <v>2073</v>
      </c>
      <c r="G214" s="214" t="s">
        <v>1610</v>
      </c>
      <c r="H214" s="215">
        <v>0.8</v>
      </c>
      <c r="I214" s="216">
        <v>291790</v>
      </c>
      <c r="J214" s="1272" t="s">
        <v>1975</v>
      </c>
      <c r="K214" s="1272" t="s">
        <v>2323</v>
      </c>
      <c r="L214" s="218">
        <v>0.4</v>
      </c>
      <c r="M214" s="230" t="s">
        <v>2498</v>
      </c>
      <c r="N214" s="260">
        <v>73810.36</v>
      </c>
      <c r="O214" s="260">
        <v>73810.36</v>
      </c>
      <c r="P214" s="216">
        <f t="shared" si="9"/>
        <v>59048.288</v>
      </c>
      <c r="Q214" s="260">
        <v>59048.29</v>
      </c>
      <c r="R214" s="1264" t="s">
        <v>2446</v>
      </c>
      <c r="S214" s="260">
        <v>29524.14</v>
      </c>
      <c r="T214" s="204" t="s">
        <v>2447</v>
      </c>
      <c r="U214" s="1264" t="s">
        <v>2448</v>
      </c>
      <c r="V214" s="221">
        <v>14762.07</v>
      </c>
      <c r="W214" s="1264" t="s">
        <v>2391</v>
      </c>
      <c r="X214" s="264">
        <v>14762.07</v>
      </c>
      <c r="Y214" s="262"/>
    </row>
    <row r="215" ht="37.5" customHeight="1" spans="1:25">
      <c r="A215" s="262">
        <f t="shared" si="8"/>
        <v>208</v>
      </c>
      <c r="B215" s="209">
        <v>2022</v>
      </c>
      <c r="C215" s="210" t="s">
        <v>37</v>
      </c>
      <c r="D215" s="259" t="s">
        <v>2505</v>
      </c>
      <c r="E215" s="263" t="s">
        <v>2506</v>
      </c>
      <c r="F215" s="213" t="s">
        <v>2073</v>
      </c>
      <c r="G215" s="214" t="s">
        <v>1610</v>
      </c>
      <c r="H215" s="215">
        <v>0.8</v>
      </c>
      <c r="I215" s="216">
        <v>51000</v>
      </c>
      <c r="J215" s="1272" t="s">
        <v>2248</v>
      </c>
      <c r="K215" s="1272" t="s">
        <v>2507</v>
      </c>
      <c r="L215" s="218">
        <v>0.4</v>
      </c>
      <c r="M215" s="230" t="s">
        <v>2457</v>
      </c>
      <c r="N215" s="260">
        <v>5266.69</v>
      </c>
      <c r="O215" s="260">
        <v>5266.69</v>
      </c>
      <c r="P215" s="216">
        <f t="shared" si="9"/>
        <v>4213.352</v>
      </c>
      <c r="Q215" s="260">
        <v>4213.35</v>
      </c>
      <c r="R215" s="1264" t="s">
        <v>2446</v>
      </c>
      <c r="S215" s="260">
        <v>2106.68</v>
      </c>
      <c r="T215" s="204" t="s">
        <v>2447</v>
      </c>
      <c r="U215" s="1264" t="s">
        <v>2448</v>
      </c>
      <c r="V215" s="221">
        <v>1053.34</v>
      </c>
      <c r="W215" s="1264" t="s">
        <v>2391</v>
      </c>
      <c r="X215" s="264">
        <v>1053.34</v>
      </c>
      <c r="Y215" s="262"/>
    </row>
    <row r="216" ht="37.5" customHeight="1" spans="1:25">
      <c r="A216" s="262">
        <f t="shared" si="8"/>
        <v>209</v>
      </c>
      <c r="B216" s="209">
        <v>2022</v>
      </c>
      <c r="C216" s="210" t="s">
        <v>37</v>
      </c>
      <c r="D216" s="259" t="s">
        <v>2508</v>
      </c>
      <c r="E216" s="263" t="s">
        <v>2509</v>
      </c>
      <c r="F216" s="213" t="s">
        <v>2073</v>
      </c>
      <c r="G216" s="214" t="s">
        <v>1610</v>
      </c>
      <c r="H216" s="215">
        <v>0.8</v>
      </c>
      <c r="I216" s="216">
        <v>120000</v>
      </c>
      <c r="J216" s="1272" t="s">
        <v>2079</v>
      </c>
      <c r="K216" s="1272" t="s">
        <v>2196</v>
      </c>
      <c r="L216" s="218">
        <v>0.4</v>
      </c>
      <c r="M216" s="230" t="s">
        <v>2454</v>
      </c>
      <c r="N216" s="260">
        <v>8333.34</v>
      </c>
      <c r="O216" s="260">
        <v>8333.34</v>
      </c>
      <c r="P216" s="216">
        <f t="shared" si="9"/>
        <v>6666.672</v>
      </c>
      <c r="Q216" s="260">
        <v>6666.67</v>
      </c>
      <c r="R216" s="1264" t="s">
        <v>2446</v>
      </c>
      <c r="S216" s="260">
        <v>3333.34</v>
      </c>
      <c r="T216" s="204" t="s">
        <v>2447</v>
      </c>
      <c r="U216" s="1264" t="s">
        <v>2448</v>
      </c>
      <c r="V216" s="221">
        <v>1666.67</v>
      </c>
      <c r="W216" s="1264" t="s">
        <v>2391</v>
      </c>
      <c r="X216" s="264">
        <v>1666.67</v>
      </c>
      <c r="Y216" s="262"/>
    </row>
    <row r="217" ht="37.5" customHeight="1" spans="1:25">
      <c r="A217" s="262">
        <f t="shared" si="8"/>
        <v>210</v>
      </c>
      <c r="B217" s="209">
        <v>2022</v>
      </c>
      <c r="C217" s="210" t="s">
        <v>37</v>
      </c>
      <c r="D217" s="259" t="s">
        <v>2510</v>
      </c>
      <c r="E217" s="263" t="s">
        <v>2511</v>
      </c>
      <c r="F217" s="213" t="s">
        <v>2073</v>
      </c>
      <c r="G217" s="214" t="s">
        <v>1610</v>
      </c>
      <c r="H217" s="215">
        <v>0.8</v>
      </c>
      <c r="I217" s="216">
        <v>12588.44</v>
      </c>
      <c r="J217" s="1272" t="s">
        <v>2284</v>
      </c>
      <c r="K217" s="1272" t="s">
        <v>2273</v>
      </c>
      <c r="L217" s="218">
        <v>0.4</v>
      </c>
      <c r="M217" s="230" t="s">
        <v>2512</v>
      </c>
      <c r="N217" s="260">
        <v>3160</v>
      </c>
      <c r="O217" s="260">
        <v>3160</v>
      </c>
      <c r="P217" s="216">
        <f t="shared" si="9"/>
        <v>2528</v>
      </c>
      <c r="Q217" s="260">
        <v>2528</v>
      </c>
      <c r="R217" s="1264" t="s">
        <v>2446</v>
      </c>
      <c r="S217" s="260">
        <v>1264</v>
      </c>
      <c r="T217" s="204" t="s">
        <v>2447</v>
      </c>
      <c r="U217" s="1264" t="s">
        <v>2448</v>
      </c>
      <c r="V217" s="221">
        <v>632</v>
      </c>
      <c r="W217" s="1264" t="s">
        <v>2391</v>
      </c>
      <c r="X217" s="264">
        <v>632</v>
      </c>
      <c r="Y217" s="262"/>
    </row>
    <row r="218" ht="37.5" customHeight="1" spans="1:25">
      <c r="A218" s="262">
        <f t="shared" si="8"/>
        <v>211</v>
      </c>
      <c r="B218" s="209">
        <v>2022</v>
      </c>
      <c r="C218" s="210" t="s">
        <v>37</v>
      </c>
      <c r="D218" s="259" t="s">
        <v>2513</v>
      </c>
      <c r="E218" s="263" t="s">
        <v>2514</v>
      </c>
      <c r="F218" s="213" t="s">
        <v>2073</v>
      </c>
      <c r="G218" s="214" t="s">
        <v>1610</v>
      </c>
      <c r="H218" s="215">
        <v>0.8</v>
      </c>
      <c r="I218" s="216">
        <v>13049.59</v>
      </c>
      <c r="J218" s="1272" t="s">
        <v>2453</v>
      </c>
      <c r="K218" s="1272" t="s">
        <v>2515</v>
      </c>
      <c r="L218" s="218">
        <v>0.4</v>
      </c>
      <c r="M218" s="230" t="s">
        <v>2457</v>
      </c>
      <c r="N218" s="260">
        <v>6000</v>
      </c>
      <c r="O218" s="260">
        <v>6000</v>
      </c>
      <c r="P218" s="216">
        <f t="shared" si="9"/>
        <v>4800</v>
      </c>
      <c r="Q218" s="260">
        <v>4800</v>
      </c>
      <c r="R218" s="1264" t="s">
        <v>2446</v>
      </c>
      <c r="S218" s="260">
        <v>2400</v>
      </c>
      <c r="T218" s="204" t="s">
        <v>2447</v>
      </c>
      <c r="U218" s="1264" t="s">
        <v>2448</v>
      </c>
      <c r="V218" s="221">
        <v>1200</v>
      </c>
      <c r="W218" s="1264" t="s">
        <v>2391</v>
      </c>
      <c r="X218" s="264">
        <v>1200</v>
      </c>
      <c r="Y218" s="262"/>
    </row>
    <row r="219" s="85" customFormat="1" ht="37.5" customHeight="1" spans="1:25">
      <c r="A219" s="262">
        <f t="shared" si="8"/>
        <v>212</v>
      </c>
      <c r="B219" s="209">
        <v>2022</v>
      </c>
      <c r="C219" s="210" t="s">
        <v>37</v>
      </c>
      <c r="D219" s="259" t="s">
        <v>2516</v>
      </c>
      <c r="E219" s="263" t="s">
        <v>2517</v>
      </c>
      <c r="F219" s="213" t="s">
        <v>2073</v>
      </c>
      <c r="G219" s="214" t="s">
        <v>1610</v>
      </c>
      <c r="H219" s="215">
        <v>0.8</v>
      </c>
      <c r="I219" s="216">
        <v>406010</v>
      </c>
      <c r="J219" s="1272" t="s">
        <v>1865</v>
      </c>
      <c r="K219" s="1272" t="s">
        <v>2318</v>
      </c>
      <c r="L219" s="218">
        <v>0.4</v>
      </c>
      <c r="M219" s="230" t="s">
        <v>2457</v>
      </c>
      <c r="N219" s="260">
        <v>120000.01</v>
      </c>
      <c r="O219" s="260">
        <v>120000.01</v>
      </c>
      <c r="P219" s="216">
        <f t="shared" si="9"/>
        <v>96000.008</v>
      </c>
      <c r="Q219" s="260">
        <v>96000.01</v>
      </c>
      <c r="R219" s="1264" t="s">
        <v>2446</v>
      </c>
      <c r="S219" s="260">
        <v>48000</v>
      </c>
      <c r="T219" s="204" t="s">
        <v>2447</v>
      </c>
      <c r="U219" s="1264" t="s">
        <v>2448</v>
      </c>
      <c r="V219" s="221">
        <v>24000</v>
      </c>
      <c r="W219" s="1264" t="s">
        <v>2391</v>
      </c>
      <c r="X219" s="264">
        <v>24000</v>
      </c>
      <c r="Y219" s="262"/>
    </row>
    <row r="220" ht="37.5" customHeight="1" spans="1:25">
      <c r="A220" s="262">
        <f t="shared" si="8"/>
        <v>213</v>
      </c>
      <c r="B220" s="209">
        <v>2022</v>
      </c>
      <c r="C220" s="210" t="s">
        <v>37</v>
      </c>
      <c r="D220" s="259" t="s">
        <v>2518</v>
      </c>
      <c r="E220" s="263" t="s">
        <v>2519</v>
      </c>
      <c r="F220" s="213" t="s">
        <v>2073</v>
      </c>
      <c r="G220" s="214" t="s">
        <v>1610</v>
      </c>
      <c r="H220" s="215">
        <v>0.8</v>
      </c>
      <c r="I220" s="216">
        <v>236710</v>
      </c>
      <c r="J220" s="1272" t="s">
        <v>1975</v>
      </c>
      <c r="K220" s="1272" t="s">
        <v>2520</v>
      </c>
      <c r="L220" s="218">
        <v>0.4</v>
      </c>
      <c r="M220" s="230" t="s">
        <v>2390</v>
      </c>
      <c r="N220" s="260">
        <v>151856.73</v>
      </c>
      <c r="O220" s="260">
        <v>151856.73</v>
      </c>
      <c r="P220" s="216">
        <f t="shared" si="9"/>
        <v>121485.384</v>
      </c>
      <c r="Q220" s="260">
        <v>121485.38</v>
      </c>
      <c r="R220" s="1264" t="s">
        <v>2446</v>
      </c>
      <c r="S220" s="260">
        <v>60742.69</v>
      </c>
      <c r="T220" s="204" t="s">
        <v>2447</v>
      </c>
      <c r="U220" s="1264" t="s">
        <v>2448</v>
      </c>
      <c r="V220" s="221">
        <v>30371.35</v>
      </c>
      <c r="W220" s="1264" t="s">
        <v>2391</v>
      </c>
      <c r="X220" s="264">
        <v>30371.35</v>
      </c>
      <c r="Y220" s="262"/>
    </row>
    <row r="221" ht="37.5" customHeight="1" spans="1:25">
      <c r="A221" s="262">
        <f t="shared" si="8"/>
        <v>214</v>
      </c>
      <c r="B221" s="209">
        <v>2022</v>
      </c>
      <c r="C221" s="210" t="s">
        <v>37</v>
      </c>
      <c r="D221" s="259" t="s">
        <v>2521</v>
      </c>
      <c r="E221" s="263" t="s">
        <v>2522</v>
      </c>
      <c r="F221" s="213" t="s">
        <v>2073</v>
      </c>
      <c r="G221" s="214" t="s">
        <v>1610</v>
      </c>
      <c r="H221" s="215">
        <v>0.8</v>
      </c>
      <c r="I221" s="216">
        <v>107000</v>
      </c>
      <c r="J221" s="1272" t="s">
        <v>2248</v>
      </c>
      <c r="K221" s="1272" t="s">
        <v>2204</v>
      </c>
      <c r="L221" s="218">
        <v>0.4</v>
      </c>
      <c r="M221" s="230" t="s">
        <v>2376</v>
      </c>
      <c r="N221" s="260">
        <v>16333.39</v>
      </c>
      <c r="O221" s="260">
        <v>16333.39</v>
      </c>
      <c r="P221" s="216">
        <f t="shared" si="9"/>
        <v>13066.712</v>
      </c>
      <c r="Q221" s="260">
        <v>13066.71</v>
      </c>
      <c r="R221" s="1264" t="s">
        <v>2446</v>
      </c>
      <c r="S221" s="260">
        <v>6533.36</v>
      </c>
      <c r="T221" s="204" t="s">
        <v>2447</v>
      </c>
      <c r="U221" s="1264" t="s">
        <v>2448</v>
      </c>
      <c r="V221" s="221">
        <v>3266.68</v>
      </c>
      <c r="W221" s="1264" t="s">
        <v>2391</v>
      </c>
      <c r="X221" s="264">
        <v>3266.68</v>
      </c>
      <c r="Y221" s="262"/>
    </row>
    <row r="222" ht="37.5" customHeight="1" spans="1:25">
      <c r="A222" s="262">
        <f t="shared" si="8"/>
        <v>215</v>
      </c>
      <c r="B222" s="209">
        <v>2022</v>
      </c>
      <c r="C222" s="210" t="s">
        <v>37</v>
      </c>
      <c r="D222" s="259" t="s">
        <v>2523</v>
      </c>
      <c r="E222" s="212" t="s">
        <v>2524</v>
      </c>
      <c r="F222" s="213" t="s">
        <v>2073</v>
      </c>
      <c r="G222" s="214" t="s">
        <v>1610</v>
      </c>
      <c r="H222" s="215">
        <v>0.8</v>
      </c>
      <c r="I222" s="216">
        <v>18080</v>
      </c>
      <c r="J222" s="1272" t="s">
        <v>2079</v>
      </c>
      <c r="K222" s="1272" t="s">
        <v>2303</v>
      </c>
      <c r="L222" s="218">
        <v>0.4</v>
      </c>
      <c r="M222" s="230" t="s">
        <v>2011</v>
      </c>
      <c r="N222" s="260">
        <v>7372.91</v>
      </c>
      <c r="O222" s="260">
        <v>7372.91</v>
      </c>
      <c r="P222" s="216">
        <f t="shared" si="9"/>
        <v>5898.328</v>
      </c>
      <c r="Q222" s="260">
        <v>5898.33</v>
      </c>
      <c r="R222" s="1264" t="s">
        <v>2446</v>
      </c>
      <c r="S222" s="260">
        <v>2949.16</v>
      </c>
      <c r="T222" s="204" t="s">
        <v>2447</v>
      </c>
      <c r="U222" s="1264" t="s">
        <v>2448</v>
      </c>
      <c r="V222" s="221">
        <v>1474.58</v>
      </c>
      <c r="W222" s="1264" t="s">
        <v>2391</v>
      </c>
      <c r="X222" s="264">
        <v>1474.58</v>
      </c>
      <c r="Y222" s="262"/>
    </row>
    <row r="223" ht="37.5" customHeight="1" spans="1:25">
      <c r="A223" s="262">
        <f t="shared" si="8"/>
        <v>216</v>
      </c>
      <c r="B223" s="209">
        <v>2022</v>
      </c>
      <c r="C223" s="210" t="s">
        <v>37</v>
      </c>
      <c r="D223" s="259" t="s">
        <v>2525</v>
      </c>
      <c r="E223" s="212" t="s">
        <v>2526</v>
      </c>
      <c r="F223" s="213" t="s">
        <v>2073</v>
      </c>
      <c r="G223" s="214" t="s">
        <v>1610</v>
      </c>
      <c r="H223" s="215">
        <v>0.8</v>
      </c>
      <c r="I223" s="216">
        <v>100020</v>
      </c>
      <c r="J223" s="1272" t="s">
        <v>2284</v>
      </c>
      <c r="K223" s="1272" t="s">
        <v>2208</v>
      </c>
      <c r="L223" s="218">
        <v>0.4</v>
      </c>
      <c r="M223" s="230" t="s">
        <v>2457</v>
      </c>
      <c r="N223" s="260">
        <v>13500</v>
      </c>
      <c r="O223" s="260">
        <v>13500</v>
      </c>
      <c r="P223" s="216">
        <f t="shared" si="9"/>
        <v>10800</v>
      </c>
      <c r="Q223" s="260">
        <v>10800</v>
      </c>
      <c r="R223" s="1264" t="s">
        <v>2446</v>
      </c>
      <c r="S223" s="260">
        <v>5400</v>
      </c>
      <c r="T223" s="204" t="s">
        <v>2447</v>
      </c>
      <c r="U223" s="1264" t="s">
        <v>2448</v>
      </c>
      <c r="V223" s="221">
        <v>2700</v>
      </c>
      <c r="W223" s="1264" t="s">
        <v>2391</v>
      </c>
      <c r="X223" s="264">
        <v>2700</v>
      </c>
      <c r="Y223" s="262"/>
    </row>
    <row r="224" ht="37.5" customHeight="1" spans="1:25">
      <c r="A224" s="262">
        <f t="shared" si="8"/>
        <v>217</v>
      </c>
      <c r="B224" s="209">
        <v>2022</v>
      </c>
      <c r="C224" s="210" t="s">
        <v>37</v>
      </c>
      <c r="D224" s="259" t="s">
        <v>559</v>
      </c>
      <c r="E224" s="212" t="s">
        <v>2527</v>
      </c>
      <c r="F224" s="213" t="s">
        <v>2073</v>
      </c>
      <c r="G224" s="214" t="s">
        <v>1610</v>
      </c>
      <c r="H224" s="215">
        <v>0.8</v>
      </c>
      <c r="I224" s="216">
        <v>45070</v>
      </c>
      <c r="J224" s="1272" t="s">
        <v>2453</v>
      </c>
      <c r="K224" s="1272" t="s">
        <v>2310</v>
      </c>
      <c r="L224" s="218">
        <v>0.4</v>
      </c>
      <c r="M224" s="230" t="s">
        <v>2466</v>
      </c>
      <c r="N224" s="260">
        <v>22000.06</v>
      </c>
      <c r="O224" s="260">
        <v>22000.06</v>
      </c>
      <c r="P224" s="216">
        <f t="shared" si="9"/>
        <v>17600.048</v>
      </c>
      <c r="Q224" s="260">
        <v>17600.05</v>
      </c>
      <c r="R224" s="1264" t="s">
        <v>2446</v>
      </c>
      <c r="S224" s="260">
        <v>8800.02</v>
      </c>
      <c r="T224" s="204" t="s">
        <v>2447</v>
      </c>
      <c r="U224" s="1264" t="s">
        <v>2448</v>
      </c>
      <c r="V224" s="221">
        <v>4400.01</v>
      </c>
      <c r="W224" s="1264" t="s">
        <v>2391</v>
      </c>
      <c r="X224" s="264">
        <v>4400.01</v>
      </c>
      <c r="Y224" s="262"/>
    </row>
    <row r="225" ht="37.5" customHeight="1" spans="1:25">
      <c r="A225" s="262">
        <f t="shared" si="8"/>
        <v>218</v>
      </c>
      <c r="B225" s="209">
        <v>2022</v>
      </c>
      <c r="C225" s="210" t="s">
        <v>37</v>
      </c>
      <c r="D225" s="259" t="s">
        <v>2528</v>
      </c>
      <c r="E225" s="212" t="s">
        <v>2529</v>
      </c>
      <c r="F225" s="213" t="s">
        <v>2073</v>
      </c>
      <c r="G225" s="214" t="s">
        <v>1610</v>
      </c>
      <c r="H225" s="215">
        <v>0.8</v>
      </c>
      <c r="I225" s="216">
        <v>65620</v>
      </c>
      <c r="J225" s="1272" t="s">
        <v>1865</v>
      </c>
      <c r="K225" s="1272" t="s">
        <v>2346</v>
      </c>
      <c r="L225" s="218">
        <v>0.4</v>
      </c>
      <c r="M225" s="230" t="s">
        <v>2530</v>
      </c>
      <c r="N225" s="260">
        <v>5609.96</v>
      </c>
      <c r="O225" s="260">
        <v>5609.96</v>
      </c>
      <c r="P225" s="216">
        <f t="shared" si="9"/>
        <v>4487.968</v>
      </c>
      <c r="Q225" s="260">
        <v>4487.97</v>
      </c>
      <c r="R225" s="1264" t="s">
        <v>2446</v>
      </c>
      <c r="S225" s="260">
        <v>2243.98</v>
      </c>
      <c r="T225" s="204" t="s">
        <v>2447</v>
      </c>
      <c r="U225" s="1264" t="s">
        <v>2448</v>
      </c>
      <c r="V225" s="221">
        <v>1121.99</v>
      </c>
      <c r="W225" s="1264" t="s">
        <v>2391</v>
      </c>
      <c r="X225" s="264">
        <v>1121.99</v>
      </c>
      <c r="Y225" s="262"/>
    </row>
    <row r="226" ht="37.5" customHeight="1" spans="1:25">
      <c r="A226" s="262">
        <f t="shared" si="8"/>
        <v>219</v>
      </c>
      <c r="B226" s="209">
        <v>2022</v>
      </c>
      <c r="C226" s="210" t="s">
        <v>37</v>
      </c>
      <c r="D226" s="259" t="s">
        <v>922</v>
      </c>
      <c r="E226" s="212" t="s">
        <v>2531</v>
      </c>
      <c r="F226" s="213" t="s">
        <v>2073</v>
      </c>
      <c r="G226" s="214" t="s">
        <v>1610</v>
      </c>
      <c r="H226" s="215">
        <v>0.8</v>
      </c>
      <c r="I226" s="216">
        <v>47000</v>
      </c>
      <c r="J226" s="1272" t="s">
        <v>1975</v>
      </c>
      <c r="K226" s="1272" t="s">
        <v>2532</v>
      </c>
      <c r="L226" s="218">
        <v>0.4</v>
      </c>
      <c r="M226" s="230" t="s">
        <v>2533</v>
      </c>
      <c r="N226" s="260">
        <v>15056.68</v>
      </c>
      <c r="O226" s="260">
        <v>15056.68</v>
      </c>
      <c r="P226" s="216">
        <f t="shared" si="9"/>
        <v>12045.344</v>
      </c>
      <c r="Q226" s="260">
        <v>12045.34</v>
      </c>
      <c r="R226" s="1264" t="s">
        <v>2446</v>
      </c>
      <c r="S226" s="260">
        <v>2933.34</v>
      </c>
      <c r="T226" s="204" t="s">
        <v>2447</v>
      </c>
      <c r="U226" s="1264" t="s">
        <v>2448</v>
      </c>
      <c r="V226" s="221">
        <v>3011.34</v>
      </c>
      <c r="W226" s="1264" t="s">
        <v>2391</v>
      </c>
      <c r="X226" s="264">
        <v>3011.34</v>
      </c>
      <c r="Y226" s="262"/>
    </row>
    <row r="227" ht="37.5" customHeight="1" spans="1:25">
      <c r="A227" s="262">
        <f t="shared" si="8"/>
        <v>220</v>
      </c>
      <c r="B227" s="209">
        <v>2022</v>
      </c>
      <c r="C227" s="210" t="s">
        <v>37</v>
      </c>
      <c r="D227" s="259" t="s">
        <v>922</v>
      </c>
      <c r="E227" s="212" t="s">
        <v>2534</v>
      </c>
      <c r="F227" s="213" t="s">
        <v>2073</v>
      </c>
      <c r="G227" s="214" t="s">
        <v>1610</v>
      </c>
      <c r="H227" s="215">
        <v>0.8</v>
      </c>
      <c r="I227" s="216">
        <v>14909.18</v>
      </c>
      <c r="J227" s="1272" t="s">
        <v>2248</v>
      </c>
      <c r="K227" s="1272" t="s">
        <v>2535</v>
      </c>
      <c r="L227" s="218">
        <v>0.4</v>
      </c>
      <c r="M227" s="230" t="s">
        <v>2533</v>
      </c>
      <c r="N227" s="260">
        <v>7333.34</v>
      </c>
      <c r="O227" s="260">
        <v>7333.34</v>
      </c>
      <c r="P227" s="216">
        <f t="shared" si="9"/>
        <v>5866.672</v>
      </c>
      <c r="Q227" s="260">
        <v>5866.67</v>
      </c>
      <c r="R227" s="1264" t="s">
        <v>2446</v>
      </c>
      <c r="S227" s="260">
        <v>6022.67</v>
      </c>
      <c r="T227" s="204" t="s">
        <v>2447</v>
      </c>
      <c r="U227" s="1264" t="s">
        <v>2448</v>
      </c>
      <c r="V227" s="221">
        <v>1466.67</v>
      </c>
      <c r="W227" s="1264" t="s">
        <v>2391</v>
      </c>
      <c r="X227" s="264">
        <v>1466.67</v>
      </c>
      <c r="Y227" s="262"/>
    </row>
    <row r="228" ht="37.5" customHeight="1" spans="1:25">
      <c r="A228" s="262">
        <f t="shared" si="8"/>
        <v>221</v>
      </c>
      <c r="B228" s="209">
        <v>2022</v>
      </c>
      <c r="C228" s="210" t="s">
        <v>37</v>
      </c>
      <c r="D228" s="259" t="s">
        <v>2536</v>
      </c>
      <c r="E228" s="212" t="s">
        <v>2537</v>
      </c>
      <c r="F228" s="213" t="s">
        <v>2073</v>
      </c>
      <c r="G228" s="214" t="s">
        <v>1610</v>
      </c>
      <c r="H228" s="215">
        <v>0.8</v>
      </c>
      <c r="I228" s="216">
        <v>10000</v>
      </c>
      <c r="J228" s="1272" t="s">
        <v>2079</v>
      </c>
      <c r="K228" s="1272" t="s">
        <v>2538</v>
      </c>
      <c r="L228" s="218">
        <v>0.4</v>
      </c>
      <c r="M228" s="230" t="s">
        <v>2463</v>
      </c>
      <c r="N228" s="260">
        <v>510.75</v>
      </c>
      <c r="O228" s="260">
        <v>510.75</v>
      </c>
      <c r="P228" s="216">
        <f t="shared" si="9"/>
        <v>408.6</v>
      </c>
      <c r="Q228" s="260">
        <v>408.6</v>
      </c>
      <c r="R228" s="1264" t="s">
        <v>2446</v>
      </c>
      <c r="S228" s="260">
        <v>204.3</v>
      </c>
      <c r="T228" s="204" t="s">
        <v>2447</v>
      </c>
      <c r="U228" s="1264" t="s">
        <v>2448</v>
      </c>
      <c r="V228" s="221">
        <v>102.15</v>
      </c>
      <c r="W228" s="1264" t="s">
        <v>2391</v>
      </c>
      <c r="X228" s="264">
        <v>102.15</v>
      </c>
      <c r="Y228" s="262"/>
    </row>
    <row r="229" ht="37.5" customHeight="1" spans="1:25">
      <c r="A229" s="262">
        <f t="shared" si="8"/>
        <v>222</v>
      </c>
      <c r="B229" s="209">
        <v>2022</v>
      </c>
      <c r="C229" s="210" t="s">
        <v>37</v>
      </c>
      <c r="D229" s="259" t="s">
        <v>2539</v>
      </c>
      <c r="E229" s="212" t="s">
        <v>2540</v>
      </c>
      <c r="F229" s="213" t="s">
        <v>2073</v>
      </c>
      <c r="G229" s="214" t="s">
        <v>1610</v>
      </c>
      <c r="H229" s="215">
        <v>0.8</v>
      </c>
      <c r="I229" s="216">
        <v>103400</v>
      </c>
      <c r="J229" s="1272" t="s">
        <v>2284</v>
      </c>
      <c r="K229" s="1272" t="s">
        <v>2541</v>
      </c>
      <c r="L229" s="218">
        <v>0.4</v>
      </c>
      <c r="M229" s="230" t="s">
        <v>2542</v>
      </c>
      <c r="N229" s="260">
        <v>11500.01</v>
      </c>
      <c r="O229" s="260">
        <v>11500.01</v>
      </c>
      <c r="P229" s="216">
        <f t="shared" si="9"/>
        <v>9200.008</v>
      </c>
      <c r="Q229" s="260">
        <v>9200.01</v>
      </c>
      <c r="R229" s="1264" t="s">
        <v>2446</v>
      </c>
      <c r="S229" s="260">
        <v>4600</v>
      </c>
      <c r="T229" s="204" t="s">
        <v>2447</v>
      </c>
      <c r="U229" s="1264" t="s">
        <v>2448</v>
      </c>
      <c r="V229" s="221">
        <v>2300</v>
      </c>
      <c r="W229" s="1264" t="s">
        <v>2391</v>
      </c>
      <c r="X229" s="264">
        <v>2300</v>
      </c>
      <c r="Y229" s="262"/>
    </row>
    <row r="230" ht="37.5" customHeight="1" spans="1:25">
      <c r="A230" s="262">
        <f t="shared" si="8"/>
        <v>223</v>
      </c>
      <c r="B230" s="209">
        <v>2022</v>
      </c>
      <c r="C230" s="210" t="s">
        <v>37</v>
      </c>
      <c r="D230" s="259" t="s">
        <v>2543</v>
      </c>
      <c r="E230" s="212" t="s">
        <v>2544</v>
      </c>
      <c r="F230" s="213" t="s">
        <v>2073</v>
      </c>
      <c r="G230" s="214" t="s">
        <v>1610</v>
      </c>
      <c r="H230" s="215">
        <v>0.8</v>
      </c>
      <c r="I230" s="216">
        <v>322200</v>
      </c>
      <c r="J230" s="1272" t="s">
        <v>2453</v>
      </c>
      <c r="K230" s="1272" t="s">
        <v>2545</v>
      </c>
      <c r="L230" s="218">
        <v>0.4</v>
      </c>
      <c r="M230" s="230" t="s">
        <v>2512</v>
      </c>
      <c r="N230" s="260">
        <v>42802.01</v>
      </c>
      <c r="O230" s="260">
        <v>42802.01</v>
      </c>
      <c r="P230" s="216">
        <f t="shared" si="9"/>
        <v>34241.608</v>
      </c>
      <c r="Q230" s="260">
        <v>34241.61</v>
      </c>
      <c r="R230" s="1264" t="s">
        <v>2446</v>
      </c>
      <c r="S230" s="260">
        <v>17120.8</v>
      </c>
      <c r="T230" s="204" t="s">
        <v>2447</v>
      </c>
      <c r="U230" s="1264" t="s">
        <v>2448</v>
      </c>
      <c r="V230" s="221">
        <v>8560.4</v>
      </c>
      <c r="W230" s="1264" t="s">
        <v>2391</v>
      </c>
      <c r="X230" s="264">
        <v>8560.4</v>
      </c>
      <c r="Y230" s="262"/>
    </row>
    <row r="231" ht="37.5" customHeight="1" spans="1:25">
      <c r="A231" s="262">
        <f t="shared" si="8"/>
        <v>224</v>
      </c>
      <c r="B231" s="209">
        <v>2022</v>
      </c>
      <c r="C231" s="210" t="s">
        <v>37</v>
      </c>
      <c r="D231" s="259" t="s">
        <v>2546</v>
      </c>
      <c r="E231" s="212" t="s">
        <v>2547</v>
      </c>
      <c r="F231" s="213" t="s">
        <v>2073</v>
      </c>
      <c r="G231" s="214" t="s">
        <v>1610</v>
      </c>
      <c r="H231" s="215">
        <v>0.8</v>
      </c>
      <c r="I231" s="216">
        <v>60000</v>
      </c>
      <c r="J231" s="1272" t="s">
        <v>1865</v>
      </c>
      <c r="K231" s="1272" t="s">
        <v>2548</v>
      </c>
      <c r="L231" s="218">
        <v>0.4</v>
      </c>
      <c r="M231" s="230" t="s">
        <v>2376</v>
      </c>
      <c r="N231" s="260">
        <v>25000</v>
      </c>
      <c r="O231" s="260">
        <v>25000</v>
      </c>
      <c r="P231" s="216">
        <f t="shared" si="9"/>
        <v>20000</v>
      </c>
      <c r="Q231" s="260">
        <v>20000</v>
      </c>
      <c r="R231" s="1264" t="s">
        <v>2446</v>
      </c>
      <c r="S231" s="260">
        <v>10000</v>
      </c>
      <c r="T231" s="204" t="s">
        <v>2447</v>
      </c>
      <c r="U231" s="1264" t="s">
        <v>2448</v>
      </c>
      <c r="V231" s="221">
        <v>5000</v>
      </c>
      <c r="W231" s="1264" t="s">
        <v>2391</v>
      </c>
      <c r="X231" s="264">
        <v>5000</v>
      </c>
      <c r="Y231" s="262"/>
    </row>
    <row r="232" ht="37.5" customHeight="1" spans="1:25">
      <c r="A232" s="262">
        <f t="shared" si="8"/>
        <v>225</v>
      </c>
      <c r="B232" s="209">
        <v>2022</v>
      </c>
      <c r="C232" s="210" t="s">
        <v>37</v>
      </c>
      <c r="D232" s="259" t="s">
        <v>2546</v>
      </c>
      <c r="E232" s="212" t="s">
        <v>2549</v>
      </c>
      <c r="F232" s="213" t="s">
        <v>2073</v>
      </c>
      <c r="G232" s="214" t="s">
        <v>1610</v>
      </c>
      <c r="H232" s="215">
        <v>0.8</v>
      </c>
      <c r="I232" s="216">
        <v>240030</v>
      </c>
      <c r="J232" s="1272" t="s">
        <v>1975</v>
      </c>
      <c r="K232" s="1272" t="s">
        <v>2550</v>
      </c>
      <c r="L232" s="218">
        <v>0.4</v>
      </c>
      <c r="M232" s="230" t="s">
        <v>2376</v>
      </c>
      <c r="N232" s="260">
        <v>55000</v>
      </c>
      <c r="O232" s="260">
        <v>55000</v>
      </c>
      <c r="P232" s="216">
        <f t="shared" si="9"/>
        <v>44000</v>
      </c>
      <c r="Q232" s="260">
        <v>44000</v>
      </c>
      <c r="R232" s="1264" t="s">
        <v>2446</v>
      </c>
      <c r="S232" s="260">
        <v>22000</v>
      </c>
      <c r="T232" s="204" t="s">
        <v>2447</v>
      </c>
      <c r="U232" s="1264" t="s">
        <v>2448</v>
      </c>
      <c r="V232" s="221">
        <v>11000</v>
      </c>
      <c r="W232" s="1264" t="s">
        <v>2391</v>
      </c>
      <c r="X232" s="264">
        <v>11000</v>
      </c>
      <c r="Y232" s="262"/>
    </row>
    <row r="233" ht="37.5" customHeight="1" spans="1:25">
      <c r="A233" s="262">
        <f t="shared" si="8"/>
        <v>226</v>
      </c>
      <c r="B233" s="209">
        <v>2022</v>
      </c>
      <c r="C233" s="210" t="s">
        <v>37</v>
      </c>
      <c r="D233" s="259" t="s">
        <v>2551</v>
      </c>
      <c r="E233" s="212" t="s">
        <v>2552</v>
      </c>
      <c r="F233" s="213" t="s">
        <v>2073</v>
      </c>
      <c r="G233" s="214" t="s">
        <v>1610</v>
      </c>
      <c r="H233" s="215">
        <v>0.8</v>
      </c>
      <c r="I233" s="216">
        <v>12000</v>
      </c>
      <c r="J233" s="1272" t="s">
        <v>2248</v>
      </c>
      <c r="K233" s="1272" t="s">
        <v>2553</v>
      </c>
      <c r="L233" s="218">
        <v>0.4</v>
      </c>
      <c r="M233" s="230" t="s">
        <v>2011</v>
      </c>
      <c r="N233" s="260">
        <v>633.34</v>
      </c>
      <c r="O233" s="260">
        <v>633.34</v>
      </c>
      <c r="P233" s="216">
        <f t="shared" si="9"/>
        <v>506.672</v>
      </c>
      <c r="Q233" s="260">
        <v>506.67</v>
      </c>
      <c r="R233" s="1264" t="s">
        <v>2446</v>
      </c>
      <c r="S233" s="260">
        <v>253.34</v>
      </c>
      <c r="T233" s="204" t="s">
        <v>2447</v>
      </c>
      <c r="U233" s="1264" t="s">
        <v>2448</v>
      </c>
      <c r="V233" s="221">
        <v>126.67</v>
      </c>
      <c r="W233" s="1264" t="s">
        <v>2391</v>
      </c>
      <c r="X233" s="264">
        <v>126.67</v>
      </c>
      <c r="Y233" s="262"/>
    </row>
    <row r="234" ht="37.5" customHeight="1" spans="1:25">
      <c r="A234" s="262">
        <f t="shared" si="8"/>
        <v>227</v>
      </c>
      <c r="B234" s="209">
        <v>2022</v>
      </c>
      <c r="C234" s="210" t="s">
        <v>37</v>
      </c>
      <c r="D234" s="259" t="s">
        <v>2554</v>
      </c>
      <c r="E234" s="212" t="s">
        <v>2555</v>
      </c>
      <c r="F234" s="213" t="s">
        <v>2073</v>
      </c>
      <c r="G234" s="214" t="s">
        <v>1610</v>
      </c>
      <c r="H234" s="215">
        <v>0.8</v>
      </c>
      <c r="I234" s="216">
        <v>20020</v>
      </c>
      <c r="J234" s="1272" t="s">
        <v>2079</v>
      </c>
      <c r="K234" s="1272" t="s">
        <v>2556</v>
      </c>
      <c r="L234" s="218">
        <v>0.4</v>
      </c>
      <c r="M234" s="230" t="s">
        <v>2533</v>
      </c>
      <c r="N234" s="260">
        <v>500</v>
      </c>
      <c r="O234" s="260">
        <v>500</v>
      </c>
      <c r="P234" s="216">
        <f t="shared" si="9"/>
        <v>400</v>
      </c>
      <c r="Q234" s="260">
        <v>400</v>
      </c>
      <c r="R234" s="1264" t="s">
        <v>2446</v>
      </c>
      <c r="S234" s="260">
        <v>200</v>
      </c>
      <c r="T234" s="204" t="s">
        <v>2447</v>
      </c>
      <c r="U234" s="1264" t="s">
        <v>2448</v>
      </c>
      <c r="V234" s="221">
        <v>100</v>
      </c>
      <c r="W234" s="1264" t="s">
        <v>2391</v>
      </c>
      <c r="X234" s="264">
        <v>100</v>
      </c>
      <c r="Y234" s="262"/>
    </row>
    <row r="235" ht="37.5" customHeight="1" spans="1:25">
      <c r="A235" s="262">
        <f t="shared" si="8"/>
        <v>228</v>
      </c>
      <c r="B235" s="209">
        <v>2022</v>
      </c>
      <c r="C235" s="210" t="s">
        <v>37</v>
      </c>
      <c r="D235" s="259" t="s">
        <v>2557</v>
      </c>
      <c r="E235" s="212" t="s">
        <v>2558</v>
      </c>
      <c r="F235" s="213" t="s">
        <v>2073</v>
      </c>
      <c r="G235" s="214" t="s">
        <v>1610</v>
      </c>
      <c r="H235" s="215">
        <v>0.8</v>
      </c>
      <c r="I235" s="216">
        <v>55060</v>
      </c>
      <c r="J235" s="1272" t="s">
        <v>2284</v>
      </c>
      <c r="K235" s="1272" t="s">
        <v>2350</v>
      </c>
      <c r="L235" s="218">
        <v>0.4</v>
      </c>
      <c r="M235" s="230" t="s">
        <v>2559</v>
      </c>
      <c r="N235" s="260">
        <v>3874.8</v>
      </c>
      <c r="O235" s="260">
        <v>3874.8</v>
      </c>
      <c r="P235" s="216">
        <f t="shared" si="9"/>
        <v>3099.84</v>
      </c>
      <c r="Q235" s="260">
        <v>3099.84</v>
      </c>
      <c r="R235" s="1264" t="s">
        <v>2446</v>
      </c>
      <c r="S235" s="260">
        <v>1549.92</v>
      </c>
      <c r="T235" s="204" t="s">
        <v>2447</v>
      </c>
      <c r="U235" s="1264" t="s">
        <v>2448</v>
      </c>
      <c r="V235" s="221">
        <v>774.96</v>
      </c>
      <c r="W235" s="1264" t="s">
        <v>2391</v>
      </c>
      <c r="X235" s="264">
        <v>774.96</v>
      </c>
      <c r="Y235" s="262"/>
    </row>
    <row r="236" ht="37.5" customHeight="1" spans="1:25">
      <c r="A236" s="262">
        <f t="shared" si="8"/>
        <v>229</v>
      </c>
      <c r="B236" s="209">
        <v>2022</v>
      </c>
      <c r="C236" s="210" t="s">
        <v>37</v>
      </c>
      <c r="D236" s="259" t="s">
        <v>2560</v>
      </c>
      <c r="E236" s="212" t="s">
        <v>2561</v>
      </c>
      <c r="F236" s="213" t="s">
        <v>2073</v>
      </c>
      <c r="G236" s="214" t="s">
        <v>1610</v>
      </c>
      <c r="H236" s="215">
        <v>0.8</v>
      </c>
      <c r="I236" s="216">
        <v>41000</v>
      </c>
      <c r="J236" s="1272" t="s">
        <v>2453</v>
      </c>
      <c r="K236" s="1272" t="s">
        <v>2221</v>
      </c>
      <c r="L236" s="218">
        <v>0.4</v>
      </c>
      <c r="M236" s="230" t="s">
        <v>2376</v>
      </c>
      <c r="N236" s="260">
        <v>6158.35</v>
      </c>
      <c r="O236" s="260">
        <v>6158.35</v>
      </c>
      <c r="P236" s="216">
        <f t="shared" si="9"/>
        <v>4926.68</v>
      </c>
      <c r="Q236" s="260">
        <v>4926.68</v>
      </c>
      <c r="R236" s="1264" t="s">
        <v>2446</v>
      </c>
      <c r="S236" s="260">
        <v>2463.34</v>
      </c>
      <c r="T236" s="204" t="s">
        <v>2447</v>
      </c>
      <c r="U236" s="1264" t="s">
        <v>2448</v>
      </c>
      <c r="V236" s="221">
        <v>1231.67</v>
      </c>
      <c r="W236" s="1264" t="s">
        <v>2391</v>
      </c>
      <c r="X236" s="222">
        <v>1231.67</v>
      </c>
      <c r="Y236" s="262"/>
    </row>
    <row r="237" ht="37.5" customHeight="1" spans="1:25">
      <c r="A237" s="262">
        <f t="shared" si="8"/>
        <v>230</v>
      </c>
      <c r="B237" s="209">
        <v>2022</v>
      </c>
      <c r="C237" s="210" t="s">
        <v>37</v>
      </c>
      <c r="D237" s="259" t="s">
        <v>2562</v>
      </c>
      <c r="E237" s="212" t="s">
        <v>2563</v>
      </c>
      <c r="F237" s="213" t="s">
        <v>2073</v>
      </c>
      <c r="G237" s="214" t="s">
        <v>1610</v>
      </c>
      <c r="H237" s="215">
        <v>0.8</v>
      </c>
      <c r="I237" s="216">
        <v>80000</v>
      </c>
      <c r="J237" s="1272" t="s">
        <v>1865</v>
      </c>
      <c r="K237" s="1272" t="s">
        <v>2564</v>
      </c>
      <c r="L237" s="218">
        <v>0.4</v>
      </c>
      <c r="M237" s="230" t="s">
        <v>2200</v>
      </c>
      <c r="N237" s="260">
        <v>6593.34</v>
      </c>
      <c r="O237" s="260">
        <v>6593.34</v>
      </c>
      <c r="P237" s="216">
        <f t="shared" si="9"/>
        <v>5274.672</v>
      </c>
      <c r="Q237" s="260">
        <v>5274.67</v>
      </c>
      <c r="R237" s="1264" t="s">
        <v>2446</v>
      </c>
      <c r="S237" s="260">
        <v>2637.34</v>
      </c>
      <c r="T237" s="204" t="s">
        <v>2447</v>
      </c>
      <c r="U237" s="1264" t="s">
        <v>2448</v>
      </c>
      <c r="V237" s="221">
        <v>1318.67</v>
      </c>
      <c r="W237" s="1264" t="s">
        <v>2391</v>
      </c>
      <c r="X237" s="222">
        <v>1318.67</v>
      </c>
      <c r="Y237" s="262"/>
    </row>
    <row r="238" ht="37.5" customHeight="1" spans="1:25">
      <c r="A238" s="262">
        <f t="shared" si="8"/>
        <v>231</v>
      </c>
      <c r="B238" s="209">
        <v>2022</v>
      </c>
      <c r="C238" s="210" t="s">
        <v>37</v>
      </c>
      <c r="D238" s="259" t="s">
        <v>2565</v>
      </c>
      <c r="E238" s="212" t="s">
        <v>2566</v>
      </c>
      <c r="F238" s="213" t="s">
        <v>2073</v>
      </c>
      <c r="G238" s="214" t="s">
        <v>1610</v>
      </c>
      <c r="H238" s="215">
        <v>0.8</v>
      </c>
      <c r="I238" s="216">
        <v>10140</v>
      </c>
      <c r="J238" s="1272" t="s">
        <v>1975</v>
      </c>
      <c r="K238" s="1272" t="s">
        <v>2567</v>
      </c>
      <c r="L238" s="218">
        <v>0.4</v>
      </c>
      <c r="M238" s="230" t="s">
        <v>2011</v>
      </c>
      <c r="N238" s="260">
        <v>6416.68</v>
      </c>
      <c r="O238" s="260">
        <v>6416.68</v>
      </c>
      <c r="P238" s="216">
        <f t="shared" si="9"/>
        <v>5133.344</v>
      </c>
      <c r="Q238" s="260">
        <v>5133.34</v>
      </c>
      <c r="R238" s="1264" t="s">
        <v>2446</v>
      </c>
      <c r="S238" s="260">
        <v>2566.67</v>
      </c>
      <c r="T238" s="204" t="s">
        <v>2447</v>
      </c>
      <c r="U238" s="1264" t="s">
        <v>2448</v>
      </c>
      <c r="V238" s="221">
        <v>1283.34</v>
      </c>
      <c r="W238" s="1264" t="s">
        <v>2391</v>
      </c>
      <c r="X238" s="222">
        <v>1283.34</v>
      </c>
      <c r="Y238" s="262"/>
    </row>
    <row r="239" ht="37.5" customHeight="1" spans="1:25">
      <c r="A239" s="262">
        <f t="shared" si="8"/>
        <v>232</v>
      </c>
      <c r="B239" s="209">
        <v>2022</v>
      </c>
      <c r="C239" s="210" t="s">
        <v>37</v>
      </c>
      <c r="D239" s="259" t="s">
        <v>2568</v>
      </c>
      <c r="E239" s="212" t="s">
        <v>2569</v>
      </c>
      <c r="F239" s="213" t="s">
        <v>2073</v>
      </c>
      <c r="G239" s="214" t="s">
        <v>1610</v>
      </c>
      <c r="H239" s="215">
        <v>0.8</v>
      </c>
      <c r="I239" s="216">
        <v>34730</v>
      </c>
      <c r="J239" s="1272" t="s">
        <v>2248</v>
      </c>
      <c r="K239" s="1272" t="s">
        <v>2570</v>
      </c>
      <c r="L239" s="218">
        <v>0.4</v>
      </c>
      <c r="M239" s="230" t="s">
        <v>2390</v>
      </c>
      <c r="N239" s="260">
        <v>34730</v>
      </c>
      <c r="O239" s="260">
        <v>34730</v>
      </c>
      <c r="P239" s="216">
        <f t="shared" si="9"/>
        <v>27784</v>
      </c>
      <c r="Q239" s="260">
        <v>27784</v>
      </c>
      <c r="R239" s="1264" t="s">
        <v>2446</v>
      </c>
      <c r="S239" s="260">
        <v>13892</v>
      </c>
      <c r="T239" s="204" t="s">
        <v>2447</v>
      </c>
      <c r="U239" s="1264" t="s">
        <v>2448</v>
      </c>
      <c r="V239" s="221">
        <v>6946</v>
      </c>
      <c r="W239" s="1264" t="s">
        <v>2391</v>
      </c>
      <c r="X239" s="264">
        <v>6946</v>
      </c>
      <c r="Y239" s="262"/>
    </row>
    <row r="240" ht="37.5" customHeight="1" spans="1:25">
      <c r="A240" s="262">
        <f t="shared" si="8"/>
        <v>233</v>
      </c>
      <c r="B240" s="209">
        <v>2022</v>
      </c>
      <c r="C240" s="210" t="s">
        <v>37</v>
      </c>
      <c r="D240" s="259" t="s">
        <v>2568</v>
      </c>
      <c r="E240" s="212" t="s">
        <v>2571</v>
      </c>
      <c r="F240" s="213" t="s">
        <v>2073</v>
      </c>
      <c r="G240" s="214" t="s">
        <v>1610</v>
      </c>
      <c r="H240" s="215">
        <v>0.8</v>
      </c>
      <c r="I240" s="216">
        <v>121170</v>
      </c>
      <c r="J240" s="1272" t="s">
        <v>2079</v>
      </c>
      <c r="K240" s="1272" t="s">
        <v>2367</v>
      </c>
      <c r="L240" s="218">
        <v>0.4</v>
      </c>
      <c r="M240" s="230" t="s">
        <v>2572</v>
      </c>
      <c r="N240" s="260">
        <v>8390</v>
      </c>
      <c r="O240" s="260">
        <v>8390</v>
      </c>
      <c r="P240" s="216">
        <f t="shared" si="9"/>
        <v>6712</v>
      </c>
      <c r="Q240" s="260">
        <v>6712</v>
      </c>
      <c r="R240" s="1264" t="s">
        <v>2446</v>
      </c>
      <c r="S240" s="260">
        <v>3356</v>
      </c>
      <c r="T240" s="204" t="s">
        <v>2447</v>
      </c>
      <c r="U240" s="1264" t="s">
        <v>2448</v>
      </c>
      <c r="V240" s="221">
        <v>1678</v>
      </c>
      <c r="W240" s="1264" t="s">
        <v>2391</v>
      </c>
      <c r="X240" s="264">
        <v>1678</v>
      </c>
      <c r="Y240" s="262"/>
    </row>
    <row r="241" ht="37.5" customHeight="1" spans="1:25">
      <c r="A241" s="262">
        <f t="shared" si="8"/>
        <v>234</v>
      </c>
      <c r="B241" s="209">
        <v>2022</v>
      </c>
      <c r="C241" s="210" t="s">
        <v>37</v>
      </c>
      <c r="D241" s="259" t="s">
        <v>2573</v>
      </c>
      <c r="E241" s="212" t="s">
        <v>2574</v>
      </c>
      <c r="F241" s="213" t="s">
        <v>2073</v>
      </c>
      <c r="G241" s="214" t="s">
        <v>1610</v>
      </c>
      <c r="H241" s="215">
        <v>0.8</v>
      </c>
      <c r="I241" s="216">
        <v>163250</v>
      </c>
      <c r="J241" s="1272" t="s">
        <v>2284</v>
      </c>
      <c r="K241" s="1272" t="s">
        <v>2575</v>
      </c>
      <c r="L241" s="218">
        <v>0.4</v>
      </c>
      <c r="M241" s="230" t="s">
        <v>2011</v>
      </c>
      <c r="N241" s="260">
        <v>71250.05</v>
      </c>
      <c r="O241" s="260">
        <v>71250.05</v>
      </c>
      <c r="P241" s="216">
        <f t="shared" si="9"/>
        <v>57000.04</v>
      </c>
      <c r="Q241" s="260">
        <v>57000.04</v>
      </c>
      <c r="R241" s="1264" t="s">
        <v>2446</v>
      </c>
      <c r="S241" s="260">
        <v>28500.02</v>
      </c>
      <c r="T241" s="204" t="s">
        <v>2447</v>
      </c>
      <c r="U241" s="1264" t="s">
        <v>2448</v>
      </c>
      <c r="V241" s="221">
        <v>14250.01</v>
      </c>
      <c r="W241" s="1264" t="s">
        <v>2391</v>
      </c>
      <c r="X241" s="222">
        <v>14250.01</v>
      </c>
      <c r="Y241" s="262"/>
    </row>
    <row r="242" ht="37.5" customHeight="1" spans="1:25">
      <c r="A242" s="262">
        <f t="shared" si="8"/>
        <v>235</v>
      </c>
      <c r="B242" s="209">
        <v>2022</v>
      </c>
      <c r="C242" s="210" t="s">
        <v>37</v>
      </c>
      <c r="D242" s="259" t="s">
        <v>2576</v>
      </c>
      <c r="E242" s="212" t="s">
        <v>2577</v>
      </c>
      <c r="F242" s="213" t="s">
        <v>2073</v>
      </c>
      <c r="G242" s="214" t="s">
        <v>1610</v>
      </c>
      <c r="H242" s="215">
        <v>0.8</v>
      </c>
      <c r="I242" s="216">
        <v>21125</v>
      </c>
      <c r="J242" s="1272" t="s">
        <v>2453</v>
      </c>
      <c r="K242" s="1272" t="s">
        <v>2228</v>
      </c>
      <c r="L242" s="218">
        <v>0.4</v>
      </c>
      <c r="M242" s="230" t="s">
        <v>2578</v>
      </c>
      <c r="N242" s="260">
        <v>21125</v>
      </c>
      <c r="O242" s="260">
        <v>21125</v>
      </c>
      <c r="P242" s="216">
        <f t="shared" si="9"/>
        <v>16900</v>
      </c>
      <c r="Q242" s="260">
        <v>16900</v>
      </c>
      <c r="R242" s="1264" t="s">
        <v>2446</v>
      </c>
      <c r="S242" s="260">
        <v>8450</v>
      </c>
      <c r="T242" s="204" t="s">
        <v>2447</v>
      </c>
      <c r="U242" s="1264" t="s">
        <v>2448</v>
      </c>
      <c r="V242" s="221">
        <v>4225</v>
      </c>
      <c r="W242" s="1264" t="s">
        <v>2391</v>
      </c>
      <c r="X242" s="264">
        <v>4225</v>
      </c>
      <c r="Y242" s="262"/>
    </row>
    <row r="243" ht="37.5" customHeight="1" spans="1:25">
      <c r="A243" s="262">
        <f t="shared" si="8"/>
        <v>236</v>
      </c>
      <c r="B243" s="209">
        <v>2022</v>
      </c>
      <c r="C243" s="210" t="s">
        <v>37</v>
      </c>
      <c r="D243" s="259" t="s">
        <v>2579</v>
      </c>
      <c r="E243" s="212" t="s">
        <v>2580</v>
      </c>
      <c r="F243" s="213" t="s">
        <v>2073</v>
      </c>
      <c r="G243" s="214" t="s">
        <v>1610</v>
      </c>
      <c r="H243" s="215">
        <v>0.8</v>
      </c>
      <c r="I243" s="216">
        <v>261500</v>
      </c>
      <c r="J243" s="1272" t="s">
        <v>1865</v>
      </c>
      <c r="K243" s="1272" t="s">
        <v>2581</v>
      </c>
      <c r="L243" s="218">
        <v>0.4</v>
      </c>
      <c r="M243" s="230" t="s">
        <v>2572</v>
      </c>
      <c r="N243" s="260">
        <v>119004.16</v>
      </c>
      <c r="O243" s="260">
        <v>119004.16</v>
      </c>
      <c r="P243" s="216">
        <f t="shared" si="9"/>
        <v>95203.328</v>
      </c>
      <c r="Q243" s="260">
        <v>95203.33</v>
      </c>
      <c r="R243" s="1264" t="s">
        <v>2446</v>
      </c>
      <c r="S243" s="260">
        <v>47601.66</v>
      </c>
      <c r="T243" s="204" t="s">
        <v>2447</v>
      </c>
      <c r="U243" s="1264" t="s">
        <v>2448</v>
      </c>
      <c r="V243" s="221">
        <v>23800.83</v>
      </c>
      <c r="W243" s="1264" t="s">
        <v>2391</v>
      </c>
      <c r="X243" s="265">
        <v>23800.83</v>
      </c>
      <c r="Y243" s="262"/>
    </row>
    <row r="244" ht="37.5" customHeight="1" spans="1:25">
      <c r="A244" s="262">
        <f t="shared" si="8"/>
        <v>237</v>
      </c>
      <c r="B244" s="209">
        <v>2022</v>
      </c>
      <c r="C244" s="210" t="s">
        <v>37</v>
      </c>
      <c r="D244" s="259" t="s">
        <v>2579</v>
      </c>
      <c r="E244" s="212" t="s">
        <v>2582</v>
      </c>
      <c r="F244" s="213" t="s">
        <v>2073</v>
      </c>
      <c r="G244" s="214" t="s">
        <v>1610</v>
      </c>
      <c r="H244" s="215">
        <v>0.8</v>
      </c>
      <c r="I244" s="216">
        <v>72000</v>
      </c>
      <c r="J244" s="1272" t="s">
        <v>1975</v>
      </c>
      <c r="K244" s="1272" t="s">
        <v>2382</v>
      </c>
      <c r="L244" s="218">
        <v>0.4</v>
      </c>
      <c r="M244" s="230" t="s">
        <v>2390</v>
      </c>
      <c r="N244" s="260">
        <v>71166.68</v>
      </c>
      <c r="O244" s="260">
        <v>71166.68</v>
      </c>
      <c r="P244" s="216">
        <f t="shared" si="9"/>
        <v>56933.344</v>
      </c>
      <c r="Q244" s="260">
        <v>56933.34</v>
      </c>
      <c r="R244" s="1264" t="s">
        <v>2446</v>
      </c>
      <c r="S244" s="260">
        <v>28466.67</v>
      </c>
      <c r="T244" s="204" t="s">
        <v>2447</v>
      </c>
      <c r="U244" s="1264" t="s">
        <v>2448</v>
      </c>
      <c r="V244" s="221">
        <v>14233.34</v>
      </c>
      <c r="W244" s="1264" t="s">
        <v>2391</v>
      </c>
      <c r="X244" s="265">
        <v>14233.34</v>
      </c>
      <c r="Y244" s="262"/>
    </row>
    <row r="245" ht="37.5" customHeight="1" spans="1:25">
      <c r="A245" s="262">
        <f t="shared" si="8"/>
        <v>238</v>
      </c>
      <c r="B245" s="209">
        <v>2022</v>
      </c>
      <c r="C245" s="210" t="s">
        <v>37</v>
      </c>
      <c r="D245" s="259" t="s">
        <v>2583</v>
      </c>
      <c r="E245" s="212" t="s">
        <v>2584</v>
      </c>
      <c r="F245" s="213" t="s">
        <v>2073</v>
      </c>
      <c r="G245" s="214" t="s">
        <v>1610</v>
      </c>
      <c r="H245" s="215">
        <v>0.8</v>
      </c>
      <c r="I245" s="216">
        <v>65040</v>
      </c>
      <c r="J245" s="1272" t="s">
        <v>2248</v>
      </c>
      <c r="K245" s="1272" t="s">
        <v>2355</v>
      </c>
      <c r="L245" s="218">
        <v>0.4</v>
      </c>
      <c r="M245" s="230" t="s">
        <v>2585</v>
      </c>
      <c r="N245" s="260">
        <v>56000</v>
      </c>
      <c r="O245" s="260">
        <v>56000</v>
      </c>
      <c r="P245" s="216">
        <f t="shared" si="9"/>
        <v>44800</v>
      </c>
      <c r="Q245" s="260">
        <v>44800</v>
      </c>
      <c r="R245" s="1264" t="s">
        <v>2446</v>
      </c>
      <c r="S245" s="260">
        <v>22400</v>
      </c>
      <c r="T245" s="204" t="s">
        <v>2447</v>
      </c>
      <c r="U245" s="1264" t="s">
        <v>2448</v>
      </c>
      <c r="V245" s="221">
        <v>11200</v>
      </c>
      <c r="W245" s="1264" t="s">
        <v>2391</v>
      </c>
      <c r="X245" s="264">
        <v>11200</v>
      </c>
      <c r="Y245" s="262"/>
    </row>
    <row r="246" ht="37.5" customHeight="1" spans="1:25">
      <c r="A246" s="262">
        <f t="shared" si="8"/>
        <v>239</v>
      </c>
      <c r="B246" s="209">
        <v>2022</v>
      </c>
      <c r="C246" s="210" t="s">
        <v>37</v>
      </c>
      <c r="D246" s="259" t="s">
        <v>2586</v>
      </c>
      <c r="E246" s="212" t="s">
        <v>2587</v>
      </c>
      <c r="F246" s="213" t="s">
        <v>2073</v>
      </c>
      <c r="G246" s="214" t="s">
        <v>1610</v>
      </c>
      <c r="H246" s="215">
        <v>0.8</v>
      </c>
      <c r="I246" s="216">
        <v>42000</v>
      </c>
      <c r="J246" s="1272" t="s">
        <v>2079</v>
      </c>
      <c r="K246" s="1272" t="s">
        <v>2257</v>
      </c>
      <c r="L246" s="218">
        <v>0.4</v>
      </c>
      <c r="M246" s="230" t="s">
        <v>2376</v>
      </c>
      <c r="N246" s="260">
        <v>6000</v>
      </c>
      <c r="O246" s="260">
        <v>6000</v>
      </c>
      <c r="P246" s="216">
        <f t="shared" si="9"/>
        <v>4800</v>
      </c>
      <c r="Q246" s="260">
        <v>4800</v>
      </c>
      <c r="R246" s="1264" t="s">
        <v>2446</v>
      </c>
      <c r="S246" s="260">
        <v>2400</v>
      </c>
      <c r="T246" s="204" t="s">
        <v>2447</v>
      </c>
      <c r="U246" s="1264" t="s">
        <v>2448</v>
      </c>
      <c r="V246" s="221">
        <v>1200</v>
      </c>
      <c r="W246" s="1264" t="s">
        <v>2391</v>
      </c>
      <c r="X246" s="264">
        <v>1200</v>
      </c>
      <c r="Y246" s="262"/>
    </row>
    <row r="247" ht="37.5" customHeight="1" spans="1:25">
      <c r="A247" s="262">
        <f t="shared" si="8"/>
        <v>240</v>
      </c>
      <c r="B247" s="209">
        <v>2022</v>
      </c>
      <c r="C247" s="210" t="s">
        <v>37</v>
      </c>
      <c r="D247" s="259" t="s">
        <v>2213</v>
      </c>
      <c r="E247" s="212" t="s">
        <v>2588</v>
      </c>
      <c r="F247" s="213" t="s">
        <v>2073</v>
      </c>
      <c r="G247" s="214" t="s">
        <v>1610</v>
      </c>
      <c r="H247" s="215">
        <v>0.8</v>
      </c>
      <c r="I247" s="216">
        <v>1000000</v>
      </c>
      <c r="J247" s="1272" t="s">
        <v>2284</v>
      </c>
      <c r="K247" s="1272" t="s">
        <v>2238</v>
      </c>
      <c r="L247" s="218">
        <v>0.4</v>
      </c>
      <c r="M247" s="230" t="s">
        <v>2589</v>
      </c>
      <c r="N247" s="260">
        <v>300000</v>
      </c>
      <c r="O247" s="260">
        <v>300000</v>
      </c>
      <c r="P247" s="216">
        <f t="shared" si="9"/>
        <v>240000</v>
      </c>
      <c r="Q247" s="260">
        <v>240000</v>
      </c>
      <c r="R247" s="1264" t="s">
        <v>2446</v>
      </c>
      <c r="S247" s="260">
        <v>120000</v>
      </c>
      <c r="T247" s="204" t="s">
        <v>2447</v>
      </c>
      <c r="U247" s="1264" t="s">
        <v>2448</v>
      </c>
      <c r="V247" s="221">
        <v>60000</v>
      </c>
      <c r="W247" s="1264" t="s">
        <v>2391</v>
      </c>
      <c r="X247" s="222">
        <v>60000</v>
      </c>
      <c r="Y247" s="262"/>
    </row>
    <row r="248" ht="37.5" customHeight="1" spans="1:25">
      <c r="A248" s="262">
        <f t="shared" ref="A248:A311" si="10">ROW()-7</f>
        <v>241</v>
      </c>
      <c r="B248" s="209">
        <v>2022</v>
      </c>
      <c r="C248" s="210" t="s">
        <v>37</v>
      </c>
      <c r="D248" s="259" t="s">
        <v>2590</v>
      </c>
      <c r="E248" s="212" t="s">
        <v>2591</v>
      </c>
      <c r="F248" s="213" t="s">
        <v>2073</v>
      </c>
      <c r="G248" s="214" t="s">
        <v>1610</v>
      </c>
      <c r="H248" s="215">
        <v>0.8</v>
      </c>
      <c r="I248" s="216">
        <v>40000</v>
      </c>
      <c r="J248" s="1272" t="s">
        <v>2453</v>
      </c>
      <c r="K248" s="1272" t="s">
        <v>2232</v>
      </c>
      <c r="L248" s="218">
        <v>0.4</v>
      </c>
      <c r="M248" s="230" t="s">
        <v>2457</v>
      </c>
      <c r="N248" s="260">
        <v>0.93</v>
      </c>
      <c r="O248" s="260">
        <v>0.93</v>
      </c>
      <c r="P248" s="216">
        <f t="shared" si="9"/>
        <v>0.744</v>
      </c>
      <c r="Q248" s="260">
        <v>0.74</v>
      </c>
      <c r="R248" s="1264" t="s">
        <v>2446</v>
      </c>
      <c r="S248" s="260">
        <v>0.37</v>
      </c>
      <c r="T248" s="204" t="s">
        <v>2447</v>
      </c>
      <c r="U248" s="1264" t="s">
        <v>2448</v>
      </c>
      <c r="V248" s="221">
        <v>0.19</v>
      </c>
      <c r="W248" s="1264" t="s">
        <v>2391</v>
      </c>
      <c r="X248" s="264">
        <v>0.19</v>
      </c>
      <c r="Y248" s="262"/>
    </row>
    <row r="249" ht="37.5" customHeight="1" spans="1:25">
      <c r="A249" s="262">
        <f t="shared" si="10"/>
        <v>242</v>
      </c>
      <c r="B249" s="209">
        <v>2022</v>
      </c>
      <c r="C249" s="210" t="s">
        <v>37</v>
      </c>
      <c r="D249" s="259" t="s">
        <v>2592</v>
      </c>
      <c r="E249" s="212" t="s">
        <v>2593</v>
      </c>
      <c r="F249" s="213" t="s">
        <v>2073</v>
      </c>
      <c r="G249" s="214" t="s">
        <v>1610</v>
      </c>
      <c r="H249" s="215">
        <v>0.8</v>
      </c>
      <c r="I249" s="216">
        <v>46000</v>
      </c>
      <c r="J249" s="1272" t="s">
        <v>1865</v>
      </c>
      <c r="K249" s="1272" t="s">
        <v>2594</v>
      </c>
      <c r="L249" s="218">
        <v>0.4</v>
      </c>
      <c r="M249" s="230" t="s">
        <v>2457</v>
      </c>
      <c r="N249" s="260">
        <v>8835.76</v>
      </c>
      <c r="O249" s="260">
        <v>8835.76</v>
      </c>
      <c r="P249" s="216">
        <f t="shared" si="9"/>
        <v>7068.608</v>
      </c>
      <c r="Q249" s="260">
        <v>7068.61</v>
      </c>
      <c r="R249" s="1264" t="s">
        <v>2446</v>
      </c>
      <c r="S249" s="260">
        <v>3534.3</v>
      </c>
      <c r="T249" s="204" t="s">
        <v>2447</v>
      </c>
      <c r="U249" s="1264" t="s">
        <v>2448</v>
      </c>
      <c r="V249" s="221">
        <v>1767.15</v>
      </c>
      <c r="W249" s="1264" t="s">
        <v>2391</v>
      </c>
      <c r="X249" s="264">
        <v>1767.15</v>
      </c>
      <c r="Y249" s="262"/>
    </row>
    <row r="250" ht="37.5" customHeight="1" spans="1:25">
      <c r="A250" s="262">
        <f t="shared" si="10"/>
        <v>243</v>
      </c>
      <c r="B250" s="209">
        <v>2022</v>
      </c>
      <c r="C250" s="210" t="s">
        <v>37</v>
      </c>
      <c r="D250" s="259" t="s">
        <v>2595</v>
      </c>
      <c r="E250" s="212" t="s">
        <v>2596</v>
      </c>
      <c r="F250" s="213" t="s">
        <v>2073</v>
      </c>
      <c r="G250" s="214" t="s">
        <v>1610</v>
      </c>
      <c r="H250" s="215">
        <v>0.8</v>
      </c>
      <c r="I250" s="216">
        <v>12280.35</v>
      </c>
      <c r="J250" s="1272" t="s">
        <v>1975</v>
      </c>
      <c r="K250" s="1272" t="s">
        <v>2597</v>
      </c>
      <c r="L250" s="218">
        <v>0.4</v>
      </c>
      <c r="M250" s="230" t="s">
        <v>2598</v>
      </c>
      <c r="N250" s="260">
        <v>6598.46</v>
      </c>
      <c r="O250" s="260">
        <v>6598.46</v>
      </c>
      <c r="P250" s="216">
        <f t="shared" si="9"/>
        <v>5278.768</v>
      </c>
      <c r="Q250" s="260">
        <v>5278.77</v>
      </c>
      <c r="R250" s="1264" t="s">
        <v>2446</v>
      </c>
      <c r="S250" s="260">
        <v>2639.38</v>
      </c>
      <c r="T250" s="204" t="s">
        <v>2447</v>
      </c>
      <c r="U250" s="1264" t="s">
        <v>2448</v>
      </c>
      <c r="V250" s="221">
        <v>1319.69</v>
      </c>
      <c r="W250" s="1264" t="s">
        <v>2391</v>
      </c>
      <c r="X250" s="222">
        <v>1319.69</v>
      </c>
      <c r="Y250" s="262"/>
    </row>
    <row r="251" ht="37.5" customHeight="1" spans="1:25">
      <c r="A251" s="262">
        <f t="shared" si="10"/>
        <v>244</v>
      </c>
      <c r="B251" s="209">
        <v>2022</v>
      </c>
      <c r="C251" s="210" t="s">
        <v>37</v>
      </c>
      <c r="D251" s="259" t="s">
        <v>2595</v>
      </c>
      <c r="E251" s="212" t="s">
        <v>2599</v>
      </c>
      <c r="F251" s="213" t="s">
        <v>2073</v>
      </c>
      <c r="G251" s="214" t="s">
        <v>1610</v>
      </c>
      <c r="H251" s="215">
        <v>0.8</v>
      </c>
      <c r="I251" s="216">
        <v>45180</v>
      </c>
      <c r="J251" s="1272" t="s">
        <v>2248</v>
      </c>
      <c r="K251" s="1272" t="s">
        <v>2241</v>
      </c>
      <c r="L251" s="218">
        <v>0.4</v>
      </c>
      <c r="M251" s="230" t="s">
        <v>2598</v>
      </c>
      <c r="N251" s="260">
        <v>300</v>
      </c>
      <c r="O251" s="260">
        <v>300</v>
      </c>
      <c r="P251" s="216">
        <f t="shared" si="9"/>
        <v>240</v>
      </c>
      <c r="Q251" s="260">
        <v>240</v>
      </c>
      <c r="R251" s="1264" t="s">
        <v>2446</v>
      </c>
      <c r="S251" s="260">
        <v>120</v>
      </c>
      <c r="T251" s="204" t="s">
        <v>2447</v>
      </c>
      <c r="U251" s="1264" t="s">
        <v>2448</v>
      </c>
      <c r="V251" s="221">
        <v>60</v>
      </c>
      <c r="W251" s="1264" t="s">
        <v>2391</v>
      </c>
      <c r="X251" s="264">
        <v>60</v>
      </c>
      <c r="Y251" s="262"/>
    </row>
    <row r="252" ht="37.5" customHeight="1" spans="1:25">
      <c r="A252" s="262">
        <f t="shared" si="10"/>
        <v>245</v>
      </c>
      <c r="B252" s="209">
        <v>2022</v>
      </c>
      <c r="C252" s="210" t="s">
        <v>37</v>
      </c>
      <c r="D252" s="259" t="s">
        <v>2600</v>
      </c>
      <c r="E252" s="212" t="s">
        <v>2601</v>
      </c>
      <c r="F252" s="213" t="s">
        <v>2073</v>
      </c>
      <c r="G252" s="214" t="s">
        <v>1610</v>
      </c>
      <c r="H252" s="215">
        <v>0.8</v>
      </c>
      <c r="I252" s="216">
        <v>10000</v>
      </c>
      <c r="J252" s="1272" t="s">
        <v>2079</v>
      </c>
      <c r="K252" s="217">
        <v>45113</v>
      </c>
      <c r="L252" s="218">
        <v>0.4</v>
      </c>
      <c r="M252" s="230" t="s">
        <v>2512</v>
      </c>
      <c r="N252" s="260">
        <v>833.34</v>
      </c>
      <c r="O252" s="260">
        <v>833.34</v>
      </c>
      <c r="P252" s="216">
        <f t="shared" si="9"/>
        <v>666.672</v>
      </c>
      <c r="Q252" s="260">
        <v>666.67</v>
      </c>
      <c r="R252" s="1264" t="s">
        <v>2446</v>
      </c>
      <c r="S252" s="260">
        <v>333.34</v>
      </c>
      <c r="T252" s="204" t="s">
        <v>2447</v>
      </c>
      <c r="U252" s="1264" t="s">
        <v>2448</v>
      </c>
      <c r="V252" s="221">
        <v>166.668</v>
      </c>
      <c r="W252" s="1264" t="s">
        <v>2391</v>
      </c>
      <c r="X252" s="222">
        <v>166.67</v>
      </c>
      <c r="Y252" s="262"/>
    </row>
    <row r="253" ht="37.5" customHeight="1" spans="1:25">
      <c r="A253" s="262">
        <f t="shared" si="10"/>
        <v>246</v>
      </c>
      <c r="B253" s="209">
        <v>2022</v>
      </c>
      <c r="C253" s="210" t="s">
        <v>37</v>
      </c>
      <c r="D253" s="259" t="s">
        <v>2602</v>
      </c>
      <c r="E253" s="212" t="s">
        <v>2603</v>
      </c>
      <c r="F253" s="213" t="s">
        <v>2073</v>
      </c>
      <c r="G253" s="214" t="s">
        <v>1610</v>
      </c>
      <c r="H253" s="215">
        <v>0.8</v>
      </c>
      <c r="I253" s="216">
        <v>35000</v>
      </c>
      <c r="J253" s="1272" t="s">
        <v>2284</v>
      </c>
      <c r="K253" s="1272" t="s">
        <v>2249</v>
      </c>
      <c r="L253" s="218">
        <v>0.4</v>
      </c>
      <c r="M253" s="230" t="s">
        <v>2578</v>
      </c>
      <c r="N253" s="260">
        <v>200</v>
      </c>
      <c r="O253" s="260">
        <v>200</v>
      </c>
      <c r="P253" s="216">
        <f t="shared" si="9"/>
        <v>160</v>
      </c>
      <c r="Q253" s="260">
        <v>160</v>
      </c>
      <c r="R253" s="1264" t="s">
        <v>2446</v>
      </c>
      <c r="S253" s="260">
        <v>80</v>
      </c>
      <c r="T253" s="204" t="s">
        <v>2447</v>
      </c>
      <c r="U253" s="1264" t="s">
        <v>2448</v>
      </c>
      <c r="V253" s="221">
        <v>40</v>
      </c>
      <c r="W253" s="1264" t="s">
        <v>2391</v>
      </c>
      <c r="X253" s="222">
        <v>40</v>
      </c>
      <c r="Y253" s="262"/>
    </row>
    <row r="254" ht="37.5" customHeight="1" spans="1:25">
      <c r="A254" s="262">
        <f t="shared" si="10"/>
        <v>247</v>
      </c>
      <c r="B254" s="209">
        <v>2022</v>
      </c>
      <c r="C254" s="210" t="s">
        <v>37</v>
      </c>
      <c r="D254" s="259" t="s">
        <v>2604</v>
      </c>
      <c r="E254" s="212" t="s">
        <v>2605</v>
      </c>
      <c r="F254" s="213" t="s">
        <v>2073</v>
      </c>
      <c r="G254" s="214" t="s">
        <v>1610</v>
      </c>
      <c r="H254" s="215">
        <v>0.8</v>
      </c>
      <c r="I254" s="216">
        <v>20160</v>
      </c>
      <c r="J254" s="1272" t="s">
        <v>2453</v>
      </c>
      <c r="K254" s="1272" t="s">
        <v>2606</v>
      </c>
      <c r="L254" s="218">
        <v>0.4</v>
      </c>
      <c r="M254" s="230" t="s">
        <v>2492</v>
      </c>
      <c r="N254" s="260">
        <v>3833.35</v>
      </c>
      <c r="O254" s="260">
        <v>3833.35</v>
      </c>
      <c r="P254" s="216">
        <f t="shared" si="9"/>
        <v>3066.68</v>
      </c>
      <c r="Q254" s="260">
        <v>3066.68</v>
      </c>
      <c r="R254" s="1264" t="s">
        <v>2446</v>
      </c>
      <c r="S254" s="260">
        <v>1533.34</v>
      </c>
      <c r="T254" s="204" t="s">
        <v>2447</v>
      </c>
      <c r="U254" s="1264" t="s">
        <v>2448</v>
      </c>
      <c r="V254" s="221">
        <v>766.67</v>
      </c>
      <c r="W254" s="1264" t="s">
        <v>2391</v>
      </c>
      <c r="X254" s="222">
        <v>766.67</v>
      </c>
      <c r="Y254" s="262"/>
    </row>
    <row r="255" ht="37.5" customHeight="1" spans="1:25">
      <c r="A255" s="262">
        <f t="shared" si="10"/>
        <v>248</v>
      </c>
      <c r="B255" s="209">
        <v>2022</v>
      </c>
      <c r="C255" s="210" t="s">
        <v>37</v>
      </c>
      <c r="D255" s="259" t="s">
        <v>2607</v>
      </c>
      <c r="E255" s="212" t="s">
        <v>2608</v>
      </c>
      <c r="F255" s="213" t="s">
        <v>2073</v>
      </c>
      <c r="G255" s="214" t="s">
        <v>1610</v>
      </c>
      <c r="H255" s="215">
        <v>0.8</v>
      </c>
      <c r="I255" s="216">
        <v>300140</v>
      </c>
      <c r="J255" s="1272" t="s">
        <v>1865</v>
      </c>
      <c r="K255" s="1272" t="s">
        <v>2609</v>
      </c>
      <c r="L255" s="218">
        <v>0.4</v>
      </c>
      <c r="M255" s="230" t="s">
        <v>2314</v>
      </c>
      <c r="N255" s="260">
        <v>7500.01</v>
      </c>
      <c r="O255" s="260">
        <v>7500.01</v>
      </c>
      <c r="P255" s="216">
        <f t="shared" si="9"/>
        <v>6000.008</v>
      </c>
      <c r="Q255" s="260">
        <v>6000.01</v>
      </c>
      <c r="R255" s="1264" t="s">
        <v>2446</v>
      </c>
      <c r="S255" s="260">
        <v>3000</v>
      </c>
      <c r="T255" s="204" t="s">
        <v>2447</v>
      </c>
      <c r="U255" s="1264" t="s">
        <v>2448</v>
      </c>
      <c r="V255" s="221">
        <v>1500</v>
      </c>
      <c r="W255" s="1264" t="s">
        <v>2391</v>
      </c>
      <c r="X255" s="222">
        <v>1500</v>
      </c>
      <c r="Y255" s="262"/>
    </row>
    <row r="256" ht="37.5" customHeight="1" spans="1:25">
      <c r="A256" s="262">
        <f t="shared" si="10"/>
        <v>249</v>
      </c>
      <c r="B256" s="209">
        <v>2022</v>
      </c>
      <c r="C256" s="210" t="s">
        <v>37</v>
      </c>
      <c r="D256" s="259" t="s">
        <v>2610</v>
      </c>
      <c r="E256" s="212" t="s">
        <v>2611</v>
      </c>
      <c r="F256" s="213" t="s">
        <v>2073</v>
      </c>
      <c r="G256" s="214" t="s">
        <v>1610</v>
      </c>
      <c r="H256" s="215">
        <v>0.8</v>
      </c>
      <c r="I256" s="216">
        <v>51020</v>
      </c>
      <c r="J256" s="1272" t="s">
        <v>1975</v>
      </c>
      <c r="K256" s="1272" t="s">
        <v>2296</v>
      </c>
      <c r="L256" s="218">
        <v>0.4</v>
      </c>
      <c r="M256" s="230" t="s">
        <v>2612</v>
      </c>
      <c r="N256" s="260">
        <v>7500.01</v>
      </c>
      <c r="O256" s="260">
        <v>7500.01</v>
      </c>
      <c r="P256" s="216">
        <f t="shared" ref="P256:P319" si="11">O256*H256</f>
        <v>6000.008</v>
      </c>
      <c r="Q256" s="260">
        <v>6000.01</v>
      </c>
      <c r="R256" s="1264" t="s">
        <v>2446</v>
      </c>
      <c r="S256" s="260">
        <v>3000</v>
      </c>
      <c r="T256" s="204" t="s">
        <v>2447</v>
      </c>
      <c r="U256" s="1264" t="s">
        <v>2448</v>
      </c>
      <c r="V256" s="221">
        <v>1500</v>
      </c>
      <c r="W256" s="1264" t="s">
        <v>2391</v>
      </c>
      <c r="X256" s="222">
        <v>1500</v>
      </c>
      <c r="Y256" s="262"/>
    </row>
    <row r="257" ht="37.5" customHeight="1" spans="1:25">
      <c r="A257" s="262">
        <f t="shared" si="10"/>
        <v>250</v>
      </c>
      <c r="B257" s="209">
        <v>2022</v>
      </c>
      <c r="C257" s="210" t="s">
        <v>37</v>
      </c>
      <c r="D257" s="259" t="s">
        <v>2613</v>
      </c>
      <c r="E257" s="212" t="s">
        <v>2614</v>
      </c>
      <c r="F257" s="213" t="s">
        <v>2073</v>
      </c>
      <c r="G257" s="214" t="s">
        <v>1610</v>
      </c>
      <c r="H257" s="215">
        <v>0.8</v>
      </c>
      <c r="I257" s="216">
        <v>232770</v>
      </c>
      <c r="J257" s="1272" t="s">
        <v>2248</v>
      </c>
      <c r="K257" s="1272" t="s">
        <v>2253</v>
      </c>
      <c r="L257" s="218">
        <v>0.4</v>
      </c>
      <c r="M257" s="230" t="s">
        <v>2498</v>
      </c>
      <c r="N257" s="260">
        <v>138250.01</v>
      </c>
      <c r="O257" s="260">
        <v>138250.01</v>
      </c>
      <c r="P257" s="216">
        <f t="shared" si="11"/>
        <v>110600.008</v>
      </c>
      <c r="Q257" s="260">
        <v>110600.01</v>
      </c>
      <c r="R257" s="1264" t="s">
        <v>2446</v>
      </c>
      <c r="S257" s="260">
        <v>55300</v>
      </c>
      <c r="T257" s="204" t="s">
        <v>2447</v>
      </c>
      <c r="U257" s="1264" t="s">
        <v>2448</v>
      </c>
      <c r="V257" s="221">
        <v>27650</v>
      </c>
      <c r="W257" s="1264" t="s">
        <v>2391</v>
      </c>
      <c r="X257" s="222">
        <v>27650</v>
      </c>
      <c r="Y257" s="262"/>
    </row>
    <row r="258" ht="37.5" customHeight="1" spans="1:25">
      <c r="A258" s="262">
        <f t="shared" si="10"/>
        <v>251</v>
      </c>
      <c r="B258" s="209">
        <v>2022</v>
      </c>
      <c r="C258" s="210" t="s">
        <v>37</v>
      </c>
      <c r="D258" s="259" t="s">
        <v>2613</v>
      </c>
      <c r="E258" s="212" t="s">
        <v>2615</v>
      </c>
      <c r="F258" s="213" t="s">
        <v>2073</v>
      </c>
      <c r="G258" s="214" t="s">
        <v>1610</v>
      </c>
      <c r="H258" s="215">
        <v>0.8</v>
      </c>
      <c r="I258" s="216">
        <v>30000</v>
      </c>
      <c r="J258" s="1272" t="s">
        <v>2079</v>
      </c>
      <c r="K258" s="1272" t="s">
        <v>2616</v>
      </c>
      <c r="L258" s="218">
        <v>0.4</v>
      </c>
      <c r="M258" s="230" t="s">
        <v>2498</v>
      </c>
      <c r="N258" s="260">
        <v>29993</v>
      </c>
      <c r="O258" s="260">
        <v>29993</v>
      </c>
      <c r="P258" s="216">
        <f t="shared" si="11"/>
        <v>23994.4</v>
      </c>
      <c r="Q258" s="260">
        <v>23994.4</v>
      </c>
      <c r="R258" s="1264" t="s">
        <v>2446</v>
      </c>
      <c r="S258" s="260">
        <v>11997.2</v>
      </c>
      <c r="T258" s="204" t="s">
        <v>2447</v>
      </c>
      <c r="U258" s="1264" t="s">
        <v>2448</v>
      </c>
      <c r="V258" s="221">
        <v>5998.6</v>
      </c>
      <c r="W258" s="1264" t="s">
        <v>2391</v>
      </c>
      <c r="X258" s="222">
        <v>5998.6</v>
      </c>
      <c r="Y258" s="262"/>
    </row>
    <row r="259" ht="37.5" customHeight="1" spans="1:25">
      <c r="A259" s="262">
        <f t="shared" si="10"/>
        <v>252</v>
      </c>
      <c r="B259" s="209">
        <v>2022</v>
      </c>
      <c r="C259" s="210" t="s">
        <v>37</v>
      </c>
      <c r="D259" s="259" t="s">
        <v>2617</v>
      </c>
      <c r="E259" s="212" t="s">
        <v>2618</v>
      </c>
      <c r="F259" s="213" t="s">
        <v>2073</v>
      </c>
      <c r="G259" s="214" t="s">
        <v>1610</v>
      </c>
      <c r="H259" s="215">
        <v>0.8</v>
      </c>
      <c r="I259" s="216">
        <v>294550</v>
      </c>
      <c r="J259" s="1272" t="s">
        <v>2284</v>
      </c>
      <c r="K259" s="1272" t="s">
        <v>2619</v>
      </c>
      <c r="L259" s="218">
        <v>0.4</v>
      </c>
      <c r="M259" s="230" t="s">
        <v>2457</v>
      </c>
      <c r="N259" s="260">
        <v>7500.01</v>
      </c>
      <c r="O259" s="260">
        <v>7500.01</v>
      </c>
      <c r="P259" s="216">
        <f t="shared" si="11"/>
        <v>6000.008</v>
      </c>
      <c r="Q259" s="260">
        <v>6000.01</v>
      </c>
      <c r="R259" s="1264" t="s">
        <v>2446</v>
      </c>
      <c r="S259" s="260">
        <v>3000</v>
      </c>
      <c r="T259" s="204" t="s">
        <v>2447</v>
      </c>
      <c r="U259" s="1264" t="s">
        <v>2448</v>
      </c>
      <c r="V259" s="221">
        <v>1500</v>
      </c>
      <c r="W259" s="1264" t="s">
        <v>2391</v>
      </c>
      <c r="X259" s="222">
        <v>1500</v>
      </c>
      <c r="Y259" s="262"/>
    </row>
    <row r="260" ht="37.5" customHeight="1" spans="1:25">
      <c r="A260" s="262">
        <f t="shared" si="10"/>
        <v>253</v>
      </c>
      <c r="B260" s="209">
        <v>2022</v>
      </c>
      <c r="C260" s="210" t="s">
        <v>37</v>
      </c>
      <c r="D260" s="259" t="s">
        <v>2620</v>
      </c>
      <c r="E260" s="212" t="s">
        <v>2621</v>
      </c>
      <c r="F260" s="213" t="s">
        <v>2073</v>
      </c>
      <c r="G260" s="214" t="s">
        <v>1610</v>
      </c>
      <c r="H260" s="215">
        <v>0.8</v>
      </c>
      <c r="I260" s="216">
        <v>10000</v>
      </c>
      <c r="J260" s="1272" t="s">
        <v>2453</v>
      </c>
      <c r="K260" s="1272" t="s">
        <v>2622</v>
      </c>
      <c r="L260" s="218">
        <v>0.4</v>
      </c>
      <c r="M260" s="230" t="s">
        <v>2589</v>
      </c>
      <c r="N260" s="260">
        <v>1221.55</v>
      </c>
      <c r="O260" s="260">
        <v>1221.55</v>
      </c>
      <c r="P260" s="216">
        <f t="shared" si="11"/>
        <v>977.24</v>
      </c>
      <c r="Q260" s="260">
        <v>977.24</v>
      </c>
      <c r="R260" s="1264" t="s">
        <v>2446</v>
      </c>
      <c r="S260" s="260">
        <v>488.62</v>
      </c>
      <c r="T260" s="204" t="s">
        <v>2447</v>
      </c>
      <c r="U260" s="1264" t="s">
        <v>2448</v>
      </c>
      <c r="V260" s="221">
        <v>244.31</v>
      </c>
      <c r="W260" s="1264" t="s">
        <v>2391</v>
      </c>
      <c r="X260" s="222">
        <v>244.31</v>
      </c>
      <c r="Y260" s="262"/>
    </row>
    <row r="261" ht="37.5" customHeight="1" spans="1:25">
      <c r="A261" s="262">
        <f t="shared" si="10"/>
        <v>254</v>
      </c>
      <c r="B261" s="209">
        <v>2022</v>
      </c>
      <c r="C261" s="210" t="s">
        <v>37</v>
      </c>
      <c r="D261" s="259" t="s">
        <v>2623</v>
      </c>
      <c r="E261" s="212" t="s">
        <v>2624</v>
      </c>
      <c r="F261" s="213" t="s">
        <v>2073</v>
      </c>
      <c r="G261" s="214" t="s">
        <v>1610</v>
      </c>
      <c r="H261" s="215">
        <v>0.8</v>
      </c>
      <c r="I261" s="216">
        <v>20070</v>
      </c>
      <c r="J261" s="1272" t="s">
        <v>1865</v>
      </c>
      <c r="K261" s="1272" t="s">
        <v>2625</v>
      </c>
      <c r="L261" s="218">
        <v>0.4</v>
      </c>
      <c r="M261" s="230" t="s">
        <v>2533</v>
      </c>
      <c r="N261" s="260">
        <v>6650.68</v>
      </c>
      <c r="O261" s="260">
        <v>6650.68</v>
      </c>
      <c r="P261" s="216">
        <f t="shared" si="11"/>
        <v>5320.544</v>
      </c>
      <c r="Q261" s="260">
        <v>5320.54</v>
      </c>
      <c r="R261" s="1264" t="s">
        <v>2446</v>
      </c>
      <c r="S261" s="260">
        <v>2660.27</v>
      </c>
      <c r="T261" s="204" t="s">
        <v>2447</v>
      </c>
      <c r="U261" s="1264" t="s">
        <v>2448</v>
      </c>
      <c r="V261" s="221">
        <v>1330.14</v>
      </c>
      <c r="W261" s="1264" t="s">
        <v>2391</v>
      </c>
      <c r="X261" s="222">
        <v>1330.14</v>
      </c>
      <c r="Y261" s="262"/>
    </row>
    <row r="262" ht="37.5" customHeight="1" spans="1:25">
      <c r="A262" s="262">
        <f t="shared" si="10"/>
        <v>255</v>
      </c>
      <c r="B262" s="209">
        <v>2022</v>
      </c>
      <c r="C262" s="210" t="s">
        <v>37</v>
      </c>
      <c r="D262" s="259" t="s">
        <v>2626</v>
      </c>
      <c r="E262" s="212" t="s">
        <v>2627</v>
      </c>
      <c r="F262" s="213" t="s">
        <v>2073</v>
      </c>
      <c r="G262" s="214" t="s">
        <v>1610</v>
      </c>
      <c r="H262" s="215">
        <v>0.8</v>
      </c>
      <c r="I262" s="216">
        <v>45000</v>
      </c>
      <c r="J262" s="1272" t="s">
        <v>1975</v>
      </c>
      <c r="K262" s="1272" t="s">
        <v>2260</v>
      </c>
      <c r="L262" s="218">
        <v>0.4</v>
      </c>
      <c r="M262" s="230" t="s">
        <v>2498</v>
      </c>
      <c r="N262" s="260">
        <v>10708.35</v>
      </c>
      <c r="O262" s="260">
        <v>10708.35</v>
      </c>
      <c r="P262" s="216">
        <f t="shared" si="11"/>
        <v>8566.68</v>
      </c>
      <c r="Q262" s="260">
        <v>8566.68</v>
      </c>
      <c r="R262" s="1264" t="s">
        <v>2446</v>
      </c>
      <c r="S262" s="260">
        <v>4283.34</v>
      </c>
      <c r="T262" s="204" t="s">
        <v>2447</v>
      </c>
      <c r="U262" s="1264" t="s">
        <v>2448</v>
      </c>
      <c r="V262" s="221">
        <v>2141.67</v>
      </c>
      <c r="W262" s="1264" t="s">
        <v>2391</v>
      </c>
      <c r="X262" s="222">
        <v>2141.67</v>
      </c>
      <c r="Y262" s="262"/>
    </row>
    <row r="263" ht="37.5" customHeight="1" spans="1:25">
      <c r="A263" s="262">
        <f t="shared" si="10"/>
        <v>256</v>
      </c>
      <c r="B263" s="209">
        <v>2022</v>
      </c>
      <c r="C263" s="210" t="s">
        <v>37</v>
      </c>
      <c r="D263" s="259" t="s">
        <v>2628</v>
      </c>
      <c r="E263" s="212" t="s">
        <v>2629</v>
      </c>
      <c r="F263" s="213" t="s">
        <v>2073</v>
      </c>
      <c r="G263" s="214" t="s">
        <v>1610</v>
      </c>
      <c r="H263" s="215">
        <v>0.8</v>
      </c>
      <c r="I263" s="216">
        <v>90000</v>
      </c>
      <c r="J263" s="1272" t="s">
        <v>2248</v>
      </c>
      <c r="K263" s="1272" t="s">
        <v>2630</v>
      </c>
      <c r="L263" s="218">
        <v>0.4</v>
      </c>
      <c r="M263" s="230" t="s">
        <v>2457</v>
      </c>
      <c r="N263" s="260">
        <v>76083.34</v>
      </c>
      <c r="O263" s="260">
        <v>76083.34</v>
      </c>
      <c r="P263" s="216">
        <f t="shared" si="11"/>
        <v>60866.672</v>
      </c>
      <c r="Q263" s="260">
        <v>60866.67</v>
      </c>
      <c r="R263" s="1264" t="s">
        <v>2446</v>
      </c>
      <c r="S263" s="260">
        <v>30433.34</v>
      </c>
      <c r="T263" s="204" t="s">
        <v>2447</v>
      </c>
      <c r="U263" s="1264" t="s">
        <v>2448</v>
      </c>
      <c r="V263" s="221">
        <v>15216.67</v>
      </c>
      <c r="W263" s="1264" t="s">
        <v>2391</v>
      </c>
      <c r="X263" s="222">
        <v>15216.67</v>
      </c>
      <c r="Y263" s="262"/>
    </row>
    <row r="264" ht="37.5" customHeight="1" spans="1:25">
      <c r="A264" s="262">
        <f t="shared" si="10"/>
        <v>257</v>
      </c>
      <c r="B264" s="209">
        <v>2022</v>
      </c>
      <c r="C264" s="210" t="s">
        <v>37</v>
      </c>
      <c r="D264" s="259" t="s">
        <v>2631</v>
      </c>
      <c r="E264" s="212" t="s">
        <v>2632</v>
      </c>
      <c r="F264" s="213" t="s">
        <v>2073</v>
      </c>
      <c r="G264" s="214" t="s">
        <v>1610</v>
      </c>
      <c r="H264" s="215">
        <v>0.8</v>
      </c>
      <c r="I264" s="216">
        <v>80380</v>
      </c>
      <c r="J264" s="1272" t="s">
        <v>2079</v>
      </c>
      <c r="K264" s="1272" t="s">
        <v>2633</v>
      </c>
      <c r="L264" s="218">
        <v>0.4</v>
      </c>
      <c r="M264" s="230" t="s">
        <v>2634</v>
      </c>
      <c r="N264" s="260">
        <v>14700</v>
      </c>
      <c r="O264" s="260">
        <v>14700</v>
      </c>
      <c r="P264" s="216">
        <f t="shared" si="11"/>
        <v>11760</v>
      </c>
      <c r="Q264" s="260">
        <v>11760</v>
      </c>
      <c r="R264" s="1264" t="s">
        <v>2446</v>
      </c>
      <c r="S264" s="260">
        <v>5880</v>
      </c>
      <c r="T264" s="204" t="s">
        <v>2447</v>
      </c>
      <c r="U264" s="1264" t="s">
        <v>2448</v>
      </c>
      <c r="V264" s="221">
        <v>2940</v>
      </c>
      <c r="W264" s="1264" t="s">
        <v>2391</v>
      </c>
      <c r="X264" s="222">
        <v>2940</v>
      </c>
      <c r="Y264" s="262"/>
    </row>
    <row r="265" ht="37.5" customHeight="1" spans="1:25">
      <c r="A265" s="262">
        <f t="shared" si="10"/>
        <v>258</v>
      </c>
      <c r="B265" s="209">
        <v>2022</v>
      </c>
      <c r="C265" s="210" t="s">
        <v>37</v>
      </c>
      <c r="D265" s="259" t="s">
        <v>2635</v>
      </c>
      <c r="E265" s="212" t="s">
        <v>2636</v>
      </c>
      <c r="F265" s="213" t="s">
        <v>2073</v>
      </c>
      <c r="G265" s="214" t="s">
        <v>1610</v>
      </c>
      <c r="H265" s="215">
        <v>0.8</v>
      </c>
      <c r="I265" s="216">
        <v>29000</v>
      </c>
      <c r="J265" s="1272" t="s">
        <v>2284</v>
      </c>
      <c r="K265" s="1272" t="s">
        <v>2265</v>
      </c>
      <c r="L265" s="218">
        <v>0.4</v>
      </c>
      <c r="M265" s="230" t="s">
        <v>2457</v>
      </c>
      <c r="N265" s="260">
        <v>3333.34</v>
      </c>
      <c r="O265" s="260">
        <v>3333.34</v>
      </c>
      <c r="P265" s="216">
        <f t="shared" si="11"/>
        <v>2666.672</v>
      </c>
      <c r="Q265" s="260">
        <v>2666.67</v>
      </c>
      <c r="R265" s="1264" t="s">
        <v>2446</v>
      </c>
      <c r="S265" s="260">
        <v>1333.34</v>
      </c>
      <c r="T265" s="204" t="s">
        <v>2447</v>
      </c>
      <c r="U265" s="1264" t="s">
        <v>2448</v>
      </c>
      <c r="V265" s="221">
        <v>666.67</v>
      </c>
      <c r="W265" s="1264" t="s">
        <v>2391</v>
      </c>
      <c r="X265" s="222">
        <v>666.67</v>
      </c>
      <c r="Y265" s="262"/>
    </row>
    <row r="266" ht="37.5" customHeight="1" spans="1:25">
      <c r="A266" s="262">
        <f t="shared" si="10"/>
        <v>259</v>
      </c>
      <c r="B266" s="209">
        <v>2022</v>
      </c>
      <c r="C266" s="210" t="s">
        <v>37</v>
      </c>
      <c r="D266" s="259" t="s">
        <v>2637</v>
      </c>
      <c r="E266" s="212" t="s">
        <v>2638</v>
      </c>
      <c r="F266" s="213" t="s">
        <v>2073</v>
      </c>
      <c r="G266" s="214" t="s">
        <v>1610</v>
      </c>
      <c r="H266" s="215">
        <v>0.8</v>
      </c>
      <c r="I266" s="216">
        <v>15839.52</v>
      </c>
      <c r="J266" s="1272" t="s">
        <v>2453</v>
      </c>
      <c r="K266" s="1272" t="s">
        <v>2639</v>
      </c>
      <c r="L266" s="218">
        <v>0.4</v>
      </c>
      <c r="M266" s="230" t="s">
        <v>2542</v>
      </c>
      <c r="N266" s="260">
        <v>1000</v>
      </c>
      <c r="O266" s="260">
        <v>1000</v>
      </c>
      <c r="P266" s="216">
        <f t="shared" si="11"/>
        <v>800</v>
      </c>
      <c r="Q266" s="260">
        <v>800</v>
      </c>
      <c r="R266" s="1264" t="s">
        <v>2446</v>
      </c>
      <c r="S266" s="260">
        <v>400</v>
      </c>
      <c r="T266" s="204" t="s">
        <v>2447</v>
      </c>
      <c r="U266" s="1264" t="s">
        <v>2448</v>
      </c>
      <c r="V266" s="221">
        <v>200</v>
      </c>
      <c r="W266" s="1264" t="s">
        <v>2391</v>
      </c>
      <c r="X266" s="222">
        <v>200</v>
      </c>
      <c r="Y266" s="262"/>
    </row>
    <row r="267" ht="37.5" customHeight="1" spans="1:25">
      <c r="A267" s="262">
        <f t="shared" si="10"/>
        <v>260</v>
      </c>
      <c r="B267" s="209">
        <v>2022</v>
      </c>
      <c r="C267" s="210" t="s">
        <v>37</v>
      </c>
      <c r="D267" s="259" t="s">
        <v>2640</v>
      </c>
      <c r="E267" s="212" t="s">
        <v>2641</v>
      </c>
      <c r="F267" s="213" t="s">
        <v>2073</v>
      </c>
      <c r="G267" s="214" t="s">
        <v>1610</v>
      </c>
      <c r="H267" s="215">
        <v>0.8</v>
      </c>
      <c r="I267" s="216">
        <v>11000</v>
      </c>
      <c r="J267" s="1272" t="s">
        <v>1865</v>
      </c>
      <c r="K267" s="1272" t="s">
        <v>2360</v>
      </c>
      <c r="L267" s="218">
        <v>0.4</v>
      </c>
      <c r="M267" s="230" t="s">
        <v>2642</v>
      </c>
      <c r="N267" s="260">
        <v>3166.7</v>
      </c>
      <c r="O267" s="260">
        <v>3166.7</v>
      </c>
      <c r="P267" s="216">
        <f t="shared" si="11"/>
        <v>2533.36</v>
      </c>
      <c r="Q267" s="260">
        <v>2533.36</v>
      </c>
      <c r="R267" s="1264" t="s">
        <v>2446</v>
      </c>
      <c r="S267" s="260">
        <v>1266.68</v>
      </c>
      <c r="T267" s="204" t="s">
        <v>2447</v>
      </c>
      <c r="U267" s="1264" t="s">
        <v>2448</v>
      </c>
      <c r="V267" s="221">
        <v>633.34</v>
      </c>
      <c r="W267" s="1264" t="s">
        <v>2391</v>
      </c>
      <c r="X267" s="222">
        <v>633.34</v>
      </c>
      <c r="Y267" s="262"/>
    </row>
    <row r="268" ht="37.5" customHeight="1" spans="1:25">
      <c r="A268" s="262">
        <f t="shared" si="10"/>
        <v>261</v>
      </c>
      <c r="B268" s="209">
        <v>2022</v>
      </c>
      <c r="C268" s="210" t="s">
        <v>37</v>
      </c>
      <c r="D268" s="259" t="s">
        <v>2643</v>
      </c>
      <c r="E268" s="212" t="s">
        <v>2644</v>
      </c>
      <c r="F268" s="213" t="s">
        <v>2073</v>
      </c>
      <c r="G268" s="214" t="s">
        <v>1610</v>
      </c>
      <c r="H268" s="215">
        <v>0.8</v>
      </c>
      <c r="I268" s="216">
        <v>11000</v>
      </c>
      <c r="J268" s="1272" t="s">
        <v>1975</v>
      </c>
      <c r="K268" s="1272" t="s">
        <v>2645</v>
      </c>
      <c r="L268" s="218">
        <v>0.4</v>
      </c>
      <c r="M268" s="230" t="s">
        <v>2469</v>
      </c>
      <c r="N268" s="260">
        <v>366.68</v>
      </c>
      <c r="O268" s="260">
        <v>366.68</v>
      </c>
      <c r="P268" s="216">
        <f t="shared" si="11"/>
        <v>293.344</v>
      </c>
      <c r="Q268" s="260">
        <v>293.34</v>
      </c>
      <c r="R268" s="1264" t="s">
        <v>2446</v>
      </c>
      <c r="S268" s="260">
        <v>146.67</v>
      </c>
      <c r="T268" s="204" t="s">
        <v>2447</v>
      </c>
      <c r="U268" s="1264" t="s">
        <v>2448</v>
      </c>
      <c r="V268" s="221">
        <v>73.34</v>
      </c>
      <c r="W268" s="1264" t="s">
        <v>2391</v>
      </c>
      <c r="X268" s="222">
        <v>73.34</v>
      </c>
      <c r="Y268" s="262"/>
    </row>
    <row r="269" ht="37.5" customHeight="1" spans="1:25">
      <c r="A269" s="262">
        <f t="shared" si="10"/>
        <v>262</v>
      </c>
      <c r="B269" s="209">
        <v>2022</v>
      </c>
      <c r="C269" s="210" t="s">
        <v>37</v>
      </c>
      <c r="D269" s="259" t="s">
        <v>2646</v>
      </c>
      <c r="E269" s="212" t="s">
        <v>2647</v>
      </c>
      <c r="F269" s="213" t="s">
        <v>2073</v>
      </c>
      <c r="G269" s="214" t="s">
        <v>1610</v>
      </c>
      <c r="H269" s="215">
        <v>0.8</v>
      </c>
      <c r="I269" s="216">
        <v>45040</v>
      </c>
      <c r="J269" s="1272" t="s">
        <v>2248</v>
      </c>
      <c r="K269" s="1272" t="s">
        <v>2648</v>
      </c>
      <c r="L269" s="218">
        <v>0.4</v>
      </c>
      <c r="M269" s="230" t="s">
        <v>2376</v>
      </c>
      <c r="N269" s="260">
        <v>876.5</v>
      </c>
      <c r="O269" s="260">
        <v>876.5</v>
      </c>
      <c r="P269" s="216">
        <f t="shared" si="11"/>
        <v>701.2</v>
      </c>
      <c r="Q269" s="260">
        <v>701.2</v>
      </c>
      <c r="R269" s="1264" t="s">
        <v>2446</v>
      </c>
      <c r="S269" s="260">
        <v>350.6</v>
      </c>
      <c r="T269" s="204" t="s">
        <v>2447</v>
      </c>
      <c r="U269" s="1264" t="s">
        <v>2448</v>
      </c>
      <c r="V269" s="221">
        <v>175.3</v>
      </c>
      <c r="W269" s="1264" t="s">
        <v>2391</v>
      </c>
      <c r="X269" s="222">
        <v>175.3</v>
      </c>
      <c r="Y269" s="262"/>
    </row>
    <row r="270" s="80" customFormat="1" ht="37.5" customHeight="1" spans="1:25">
      <c r="A270" s="175">
        <f t="shared" si="10"/>
        <v>263</v>
      </c>
      <c r="B270" s="224">
        <v>2022</v>
      </c>
      <c r="C270" s="225" t="s">
        <v>28</v>
      </c>
      <c r="D270" s="266" t="s">
        <v>2649</v>
      </c>
      <c r="E270" s="226" t="s">
        <v>2650</v>
      </c>
      <c r="F270" s="174" t="s">
        <v>1978</v>
      </c>
      <c r="G270" s="227" t="s">
        <v>1610</v>
      </c>
      <c r="H270" s="267">
        <v>1</v>
      </c>
      <c r="I270" s="171">
        <v>500000</v>
      </c>
      <c r="J270" s="1273" t="s">
        <v>2651</v>
      </c>
      <c r="K270" s="1273" t="s">
        <v>2304</v>
      </c>
      <c r="L270" s="177">
        <v>0.4</v>
      </c>
      <c r="M270" s="1274" t="s">
        <v>2011</v>
      </c>
      <c r="N270" s="269">
        <v>293357.1</v>
      </c>
      <c r="O270" s="269">
        <v>290873.69</v>
      </c>
      <c r="P270" s="171">
        <f t="shared" si="11"/>
        <v>290873.69</v>
      </c>
      <c r="Q270" s="269">
        <v>290873.69</v>
      </c>
      <c r="R270" s="1266" t="s">
        <v>2652</v>
      </c>
      <c r="S270" s="269">
        <v>117342.84</v>
      </c>
      <c r="T270" s="150" t="s">
        <v>2653</v>
      </c>
      <c r="U270" s="1266" t="s">
        <v>2654</v>
      </c>
      <c r="V270" s="270">
        <v>58174.74</v>
      </c>
      <c r="W270" s="1266" t="s">
        <v>2655</v>
      </c>
      <c r="X270" s="271">
        <v>58174.74</v>
      </c>
      <c r="Y270" s="175"/>
    </row>
    <row r="271" s="80" customFormat="1" ht="37.5" customHeight="1" spans="1:25">
      <c r="A271" s="175">
        <f t="shared" si="10"/>
        <v>264</v>
      </c>
      <c r="B271" s="224">
        <v>2022</v>
      </c>
      <c r="C271" s="225" t="s">
        <v>37</v>
      </c>
      <c r="D271" s="266" t="s">
        <v>2656</v>
      </c>
      <c r="E271" s="226" t="s">
        <v>2657</v>
      </c>
      <c r="F271" s="174" t="s">
        <v>1909</v>
      </c>
      <c r="G271" s="227" t="s">
        <v>1610</v>
      </c>
      <c r="H271" s="267">
        <v>1</v>
      </c>
      <c r="I271" s="171">
        <v>10000000</v>
      </c>
      <c r="J271" s="1273" t="s">
        <v>2658</v>
      </c>
      <c r="K271" s="1273" t="s">
        <v>2659</v>
      </c>
      <c r="L271" s="177">
        <v>0.4</v>
      </c>
      <c r="M271" s="1274" t="s">
        <v>2533</v>
      </c>
      <c r="N271" s="269">
        <v>8118991.54</v>
      </c>
      <c r="O271" s="269">
        <v>7986738.47</v>
      </c>
      <c r="P271" s="171">
        <f t="shared" si="11"/>
        <v>7986738.47</v>
      </c>
      <c r="Q271" s="269">
        <v>7986738.47</v>
      </c>
      <c r="R271" s="1266" t="s">
        <v>2652</v>
      </c>
      <c r="S271" s="269">
        <v>3247596.62</v>
      </c>
      <c r="T271" s="150" t="s">
        <v>2653</v>
      </c>
      <c r="U271" s="1266" t="s">
        <v>2654</v>
      </c>
      <c r="V271" s="270">
        <v>1597347.69</v>
      </c>
      <c r="W271" s="1266" t="s">
        <v>2660</v>
      </c>
      <c r="X271" s="272">
        <v>1597347.69</v>
      </c>
      <c r="Y271" s="175"/>
    </row>
    <row r="272" ht="37.5" customHeight="1" spans="1:25">
      <c r="A272" s="262">
        <f t="shared" si="10"/>
        <v>265</v>
      </c>
      <c r="B272" s="209">
        <v>2022</v>
      </c>
      <c r="C272" s="210" t="s">
        <v>37</v>
      </c>
      <c r="D272" s="259" t="s">
        <v>2661</v>
      </c>
      <c r="E272" s="212" t="s">
        <v>2662</v>
      </c>
      <c r="F272" s="213" t="s">
        <v>2073</v>
      </c>
      <c r="G272" s="214" t="s">
        <v>2663</v>
      </c>
      <c r="H272" s="215">
        <v>0.8</v>
      </c>
      <c r="I272" s="216">
        <v>20000</v>
      </c>
      <c r="J272" s="217" t="s">
        <v>1825</v>
      </c>
      <c r="K272" s="217" t="s">
        <v>2169</v>
      </c>
      <c r="L272" s="218">
        <v>0.4</v>
      </c>
      <c r="M272" s="230" t="s">
        <v>2664</v>
      </c>
      <c r="N272" s="260">
        <v>1328.95</v>
      </c>
      <c r="O272" s="260">
        <v>1328.95</v>
      </c>
      <c r="P272" s="216">
        <f t="shared" si="11"/>
        <v>1063.16</v>
      </c>
      <c r="Q272" s="260">
        <v>1063.16</v>
      </c>
      <c r="R272" s="1264" t="s">
        <v>2665</v>
      </c>
      <c r="S272" s="260">
        <v>531.58</v>
      </c>
      <c r="T272" s="204" t="s">
        <v>2666</v>
      </c>
      <c r="U272" s="1264" t="s">
        <v>2667</v>
      </c>
      <c r="V272" s="221">
        <v>265.79</v>
      </c>
      <c r="W272" s="1264" t="s">
        <v>2668</v>
      </c>
      <c r="X272" s="222">
        <v>265.79</v>
      </c>
      <c r="Y272" s="262"/>
    </row>
    <row r="273" ht="37.5" customHeight="1" spans="1:25">
      <c r="A273" s="262">
        <f t="shared" si="10"/>
        <v>266</v>
      </c>
      <c r="B273" s="209">
        <v>2022</v>
      </c>
      <c r="C273" s="210" t="s">
        <v>37</v>
      </c>
      <c r="D273" s="259" t="s">
        <v>2669</v>
      </c>
      <c r="E273" s="212" t="s">
        <v>2670</v>
      </c>
      <c r="F273" s="213" t="s">
        <v>2073</v>
      </c>
      <c r="G273" s="214" t="s">
        <v>2663</v>
      </c>
      <c r="H273" s="215">
        <v>0.8</v>
      </c>
      <c r="I273" s="216">
        <v>30000</v>
      </c>
      <c r="J273" s="217" t="s">
        <v>1848</v>
      </c>
      <c r="K273" s="217" t="s">
        <v>2671</v>
      </c>
      <c r="L273" s="218">
        <v>0.4</v>
      </c>
      <c r="M273" s="230" t="s">
        <v>2672</v>
      </c>
      <c r="N273" s="260">
        <v>30000</v>
      </c>
      <c r="O273" s="260">
        <v>30000</v>
      </c>
      <c r="P273" s="216">
        <f t="shared" si="11"/>
        <v>24000</v>
      </c>
      <c r="Q273" s="260">
        <v>24000</v>
      </c>
      <c r="R273" s="1264" t="s">
        <v>2665</v>
      </c>
      <c r="S273" s="260">
        <v>12000</v>
      </c>
      <c r="T273" s="204" t="s">
        <v>2666</v>
      </c>
      <c r="U273" s="1264" t="s">
        <v>2667</v>
      </c>
      <c r="V273" s="221">
        <v>6000</v>
      </c>
      <c r="W273" s="1264" t="s">
        <v>2668</v>
      </c>
      <c r="X273" s="222">
        <v>6000</v>
      </c>
      <c r="Y273" s="262"/>
    </row>
    <row r="274" ht="37.5" customHeight="1" spans="1:25">
      <c r="A274" s="262">
        <f t="shared" si="10"/>
        <v>267</v>
      </c>
      <c r="B274" s="209">
        <v>2022</v>
      </c>
      <c r="C274" s="210" t="s">
        <v>37</v>
      </c>
      <c r="D274" s="259" t="s">
        <v>2673</v>
      </c>
      <c r="E274" s="212" t="s">
        <v>2674</v>
      </c>
      <c r="F274" s="213" t="s">
        <v>2073</v>
      </c>
      <c r="G274" s="214" t="s">
        <v>2663</v>
      </c>
      <c r="H274" s="215">
        <v>0.8</v>
      </c>
      <c r="I274" s="216">
        <v>400000</v>
      </c>
      <c r="J274" s="217" t="s">
        <v>2106</v>
      </c>
      <c r="K274" s="217" t="s">
        <v>2107</v>
      </c>
      <c r="L274" s="218">
        <v>0.4</v>
      </c>
      <c r="M274" s="230" t="s">
        <v>2675</v>
      </c>
      <c r="N274" s="260">
        <v>26718.09</v>
      </c>
      <c r="O274" s="260">
        <v>26718.09</v>
      </c>
      <c r="P274" s="216">
        <f t="shared" si="11"/>
        <v>21374.472</v>
      </c>
      <c r="Q274" s="260">
        <v>21374.47</v>
      </c>
      <c r="R274" s="1264" t="s">
        <v>2665</v>
      </c>
      <c r="S274" s="260">
        <v>10687.24</v>
      </c>
      <c r="T274" s="204" t="s">
        <v>2666</v>
      </c>
      <c r="U274" s="1264" t="s">
        <v>2667</v>
      </c>
      <c r="V274" s="221">
        <v>5343.62</v>
      </c>
      <c r="W274" s="1264" t="s">
        <v>2668</v>
      </c>
      <c r="X274" s="222">
        <v>5343.62</v>
      </c>
      <c r="Y274" s="262"/>
    </row>
    <row r="275" ht="37.5" customHeight="1" spans="1:25">
      <c r="A275" s="262">
        <f t="shared" si="10"/>
        <v>268</v>
      </c>
      <c r="B275" s="209">
        <v>2022</v>
      </c>
      <c r="C275" s="210" t="s">
        <v>37</v>
      </c>
      <c r="D275" s="259" t="s">
        <v>2673</v>
      </c>
      <c r="E275" s="212" t="s">
        <v>2676</v>
      </c>
      <c r="F275" s="213" t="s">
        <v>2073</v>
      </c>
      <c r="G275" s="214" t="s">
        <v>2663</v>
      </c>
      <c r="H275" s="215">
        <v>0.8</v>
      </c>
      <c r="I275" s="216">
        <v>301000</v>
      </c>
      <c r="J275" s="217" t="s">
        <v>2677</v>
      </c>
      <c r="K275" s="217" t="s">
        <v>2678</v>
      </c>
      <c r="L275" s="218">
        <v>0.4</v>
      </c>
      <c r="M275" s="230" t="s">
        <v>2572</v>
      </c>
      <c r="N275" s="260">
        <v>221127.75</v>
      </c>
      <c r="O275" s="260">
        <v>221127.75</v>
      </c>
      <c r="P275" s="216">
        <f t="shared" si="11"/>
        <v>176902.2</v>
      </c>
      <c r="Q275" s="260">
        <v>176902.2</v>
      </c>
      <c r="R275" s="1264" t="s">
        <v>2665</v>
      </c>
      <c r="S275" s="260">
        <v>88451.1</v>
      </c>
      <c r="T275" s="204" t="s">
        <v>2666</v>
      </c>
      <c r="U275" s="1264" t="s">
        <v>2667</v>
      </c>
      <c r="V275" s="221">
        <v>44225.55</v>
      </c>
      <c r="W275" s="1264" t="s">
        <v>2668</v>
      </c>
      <c r="X275" s="222">
        <v>44225.55</v>
      </c>
      <c r="Y275" s="262"/>
    </row>
    <row r="276" ht="37.5" customHeight="1" spans="1:25">
      <c r="A276" s="262">
        <f t="shared" si="10"/>
        <v>269</v>
      </c>
      <c r="B276" s="209">
        <v>2022</v>
      </c>
      <c r="C276" s="210" t="s">
        <v>37</v>
      </c>
      <c r="D276" s="259" t="s">
        <v>2679</v>
      </c>
      <c r="E276" s="212" t="s">
        <v>2680</v>
      </c>
      <c r="F276" s="213" t="s">
        <v>2073</v>
      </c>
      <c r="G276" s="214" t="s">
        <v>2663</v>
      </c>
      <c r="H276" s="215">
        <v>0.8</v>
      </c>
      <c r="I276" s="216">
        <v>124090</v>
      </c>
      <c r="J276" s="217" t="s">
        <v>2268</v>
      </c>
      <c r="K276" s="217" t="s">
        <v>2269</v>
      </c>
      <c r="L276" s="218">
        <v>0.4</v>
      </c>
      <c r="M276" s="230" t="s">
        <v>2681</v>
      </c>
      <c r="N276" s="260">
        <v>14250.01</v>
      </c>
      <c r="O276" s="260">
        <v>14250.01</v>
      </c>
      <c r="P276" s="216">
        <f t="shared" si="11"/>
        <v>11400.008</v>
      </c>
      <c r="Q276" s="260">
        <v>11400.01</v>
      </c>
      <c r="R276" s="1264" t="s">
        <v>2665</v>
      </c>
      <c r="S276" s="260">
        <v>5700.01</v>
      </c>
      <c r="T276" s="204" t="s">
        <v>2666</v>
      </c>
      <c r="U276" s="1264" t="s">
        <v>2667</v>
      </c>
      <c r="V276" s="221">
        <v>2850</v>
      </c>
      <c r="W276" s="1264" t="s">
        <v>2668</v>
      </c>
      <c r="X276" s="222">
        <v>2850</v>
      </c>
      <c r="Y276" s="262"/>
    </row>
    <row r="277" ht="37.5" customHeight="1" spans="1:25">
      <c r="A277" s="262">
        <f t="shared" si="10"/>
        <v>270</v>
      </c>
      <c r="B277" s="209">
        <v>2022</v>
      </c>
      <c r="C277" s="210" t="s">
        <v>37</v>
      </c>
      <c r="D277" s="259" t="s">
        <v>2682</v>
      </c>
      <c r="E277" s="212" t="s">
        <v>2683</v>
      </c>
      <c r="F277" s="213" t="s">
        <v>2073</v>
      </c>
      <c r="G277" s="214" t="s">
        <v>2663</v>
      </c>
      <c r="H277" s="215">
        <v>0.8</v>
      </c>
      <c r="I277" s="216">
        <v>35000</v>
      </c>
      <c r="J277" s="217" t="s">
        <v>1928</v>
      </c>
      <c r="K277" s="217" t="s">
        <v>2136</v>
      </c>
      <c r="L277" s="218">
        <v>0.4</v>
      </c>
      <c r="M277" s="230" t="s">
        <v>2664</v>
      </c>
      <c r="N277" s="260">
        <v>21583.4</v>
      </c>
      <c r="O277" s="260">
        <v>21583.4</v>
      </c>
      <c r="P277" s="216">
        <f t="shared" si="11"/>
        <v>17266.72</v>
      </c>
      <c r="Q277" s="260">
        <v>17266.72</v>
      </c>
      <c r="R277" s="1264" t="s">
        <v>2665</v>
      </c>
      <c r="S277" s="260">
        <v>8633.36</v>
      </c>
      <c r="T277" s="204" t="s">
        <v>2666</v>
      </c>
      <c r="U277" s="1264" t="s">
        <v>2667</v>
      </c>
      <c r="V277" s="221">
        <v>4316.68</v>
      </c>
      <c r="W277" s="1264" t="s">
        <v>2668</v>
      </c>
      <c r="X277" s="222">
        <v>4316.68</v>
      </c>
      <c r="Y277" s="262"/>
    </row>
    <row r="278" ht="37.5" customHeight="1" spans="1:25">
      <c r="A278" s="262">
        <f t="shared" si="10"/>
        <v>271</v>
      </c>
      <c r="B278" s="209">
        <v>2022</v>
      </c>
      <c r="C278" s="210" t="s">
        <v>37</v>
      </c>
      <c r="D278" s="259" t="s">
        <v>2684</v>
      </c>
      <c r="E278" s="212" t="s">
        <v>2685</v>
      </c>
      <c r="F278" s="213" t="s">
        <v>2073</v>
      </c>
      <c r="G278" s="214" t="s">
        <v>2663</v>
      </c>
      <c r="H278" s="215">
        <v>0.8</v>
      </c>
      <c r="I278" s="216">
        <v>390000</v>
      </c>
      <c r="J278" s="217" t="s">
        <v>2111</v>
      </c>
      <c r="K278" s="217" t="s">
        <v>2112</v>
      </c>
      <c r="L278" s="218">
        <v>0.4</v>
      </c>
      <c r="M278" s="230" t="s">
        <v>2686</v>
      </c>
      <c r="N278" s="260">
        <v>59333.36</v>
      </c>
      <c r="O278" s="260">
        <v>59333.36</v>
      </c>
      <c r="P278" s="216">
        <f t="shared" si="11"/>
        <v>47466.688</v>
      </c>
      <c r="Q278" s="260">
        <v>47466.69</v>
      </c>
      <c r="R278" s="1264" t="s">
        <v>2665</v>
      </c>
      <c r="S278" s="260">
        <v>23733.35</v>
      </c>
      <c r="T278" s="204" t="s">
        <v>2666</v>
      </c>
      <c r="U278" s="1264" t="s">
        <v>2667</v>
      </c>
      <c r="V278" s="221">
        <v>11866.67</v>
      </c>
      <c r="W278" s="1264" t="s">
        <v>2668</v>
      </c>
      <c r="X278" s="222">
        <v>11866.67</v>
      </c>
      <c r="Y278" s="262"/>
    </row>
    <row r="279" ht="37.5" customHeight="1" spans="1:25">
      <c r="A279" s="262">
        <f t="shared" si="10"/>
        <v>272</v>
      </c>
      <c r="B279" s="209">
        <v>2022</v>
      </c>
      <c r="C279" s="210" t="s">
        <v>37</v>
      </c>
      <c r="D279" s="259" t="s">
        <v>2687</v>
      </c>
      <c r="E279" s="212" t="s">
        <v>2688</v>
      </c>
      <c r="F279" s="213" t="s">
        <v>2073</v>
      </c>
      <c r="G279" s="214" t="s">
        <v>2663</v>
      </c>
      <c r="H279" s="215">
        <v>0.8</v>
      </c>
      <c r="I279" s="216">
        <v>30000</v>
      </c>
      <c r="J279" s="217" t="s">
        <v>2689</v>
      </c>
      <c r="K279" s="217" t="s">
        <v>2690</v>
      </c>
      <c r="L279" s="218">
        <v>0.4</v>
      </c>
      <c r="M279" s="230" t="s">
        <v>2691</v>
      </c>
      <c r="N279" s="260">
        <v>1458.35</v>
      </c>
      <c r="O279" s="260">
        <v>1458.35</v>
      </c>
      <c r="P279" s="216">
        <f t="shared" si="11"/>
        <v>1166.68</v>
      </c>
      <c r="Q279" s="260">
        <v>1166.68</v>
      </c>
      <c r="R279" s="1264" t="s">
        <v>2665</v>
      </c>
      <c r="S279" s="260">
        <v>583.34</v>
      </c>
      <c r="T279" s="204" t="s">
        <v>2666</v>
      </c>
      <c r="U279" s="1264" t="s">
        <v>2667</v>
      </c>
      <c r="V279" s="221">
        <v>291.67</v>
      </c>
      <c r="W279" s="1264" t="s">
        <v>2668</v>
      </c>
      <c r="X279" s="222">
        <v>291.67</v>
      </c>
      <c r="Y279" s="262"/>
    </row>
    <row r="280" ht="37.5" customHeight="1" spans="1:25">
      <c r="A280" s="262">
        <f t="shared" si="10"/>
        <v>273</v>
      </c>
      <c r="B280" s="209">
        <v>2022</v>
      </c>
      <c r="C280" s="210" t="s">
        <v>37</v>
      </c>
      <c r="D280" s="259" t="s">
        <v>2692</v>
      </c>
      <c r="E280" s="212" t="s">
        <v>2693</v>
      </c>
      <c r="F280" s="213" t="s">
        <v>2073</v>
      </c>
      <c r="G280" s="214" t="s">
        <v>2663</v>
      </c>
      <c r="H280" s="215">
        <v>0.8</v>
      </c>
      <c r="I280" s="216">
        <v>48220</v>
      </c>
      <c r="J280" s="217" t="s">
        <v>2694</v>
      </c>
      <c r="K280" s="217" t="s">
        <v>2548</v>
      </c>
      <c r="L280" s="218">
        <v>0.4</v>
      </c>
      <c r="M280" s="230" t="s">
        <v>2695</v>
      </c>
      <c r="N280" s="260">
        <v>33428.56</v>
      </c>
      <c r="O280" s="260">
        <v>33428.56</v>
      </c>
      <c r="P280" s="216">
        <f t="shared" si="11"/>
        <v>26742.848</v>
      </c>
      <c r="Q280" s="260">
        <v>26742.85</v>
      </c>
      <c r="R280" s="1264" t="s">
        <v>2665</v>
      </c>
      <c r="S280" s="260">
        <v>13371.43</v>
      </c>
      <c r="T280" s="204" t="s">
        <v>2666</v>
      </c>
      <c r="U280" s="1264" t="s">
        <v>2667</v>
      </c>
      <c r="V280" s="221">
        <v>6685.71</v>
      </c>
      <c r="W280" s="1264" t="s">
        <v>2668</v>
      </c>
      <c r="X280" s="222">
        <v>6685.71</v>
      </c>
      <c r="Y280" s="262"/>
    </row>
    <row r="281" ht="37.5" customHeight="1" spans="1:25">
      <c r="A281" s="262">
        <f t="shared" si="10"/>
        <v>274</v>
      </c>
      <c r="B281" s="209">
        <v>2022</v>
      </c>
      <c r="C281" s="210" t="s">
        <v>37</v>
      </c>
      <c r="D281" s="259" t="s">
        <v>2696</v>
      </c>
      <c r="E281" s="212" t="s">
        <v>2697</v>
      </c>
      <c r="F281" s="213" t="s">
        <v>2073</v>
      </c>
      <c r="G281" s="214" t="s">
        <v>2663</v>
      </c>
      <c r="H281" s="215">
        <v>0.8</v>
      </c>
      <c r="I281" s="216">
        <v>92500</v>
      </c>
      <c r="J281" s="217" t="s">
        <v>2020</v>
      </c>
      <c r="K281" s="217" t="s">
        <v>2698</v>
      </c>
      <c r="L281" s="218">
        <v>0.4</v>
      </c>
      <c r="M281" s="230" t="s">
        <v>2572</v>
      </c>
      <c r="N281" s="260">
        <v>13333.34</v>
      </c>
      <c r="O281" s="260">
        <v>13333.34</v>
      </c>
      <c r="P281" s="216">
        <f t="shared" si="11"/>
        <v>10666.672</v>
      </c>
      <c r="Q281" s="260">
        <v>10666.67</v>
      </c>
      <c r="R281" s="1264" t="s">
        <v>2665</v>
      </c>
      <c r="S281" s="260">
        <v>5333.34</v>
      </c>
      <c r="T281" s="204" t="s">
        <v>2666</v>
      </c>
      <c r="U281" s="1264" t="s">
        <v>2667</v>
      </c>
      <c r="V281" s="221">
        <v>2666.67</v>
      </c>
      <c r="W281" s="1264" t="s">
        <v>2668</v>
      </c>
      <c r="X281" s="222">
        <v>2666.67</v>
      </c>
      <c r="Y281" s="262"/>
    </row>
    <row r="282" s="85" customFormat="1" ht="37.5" customHeight="1" spans="1:25">
      <c r="A282" s="262">
        <f t="shared" si="10"/>
        <v>275</v>
      </c>
      <c r="B282" s="209">
        <v>2022</v>
      </c>
      <c r="C282" s="210" t="s">
        <v>37</v>
      </c>
      <c r="D282" s="259" t="s">
        <v>2699</v>
      </c>
      <c r="E282" s="212" t="s">
        <v>2700</v>
      </c>
      <c r="F282" s="213" t="s">
        <v>2073</v>
      </c>
      <c r="G282" s="214" t="s">
        <v>2663</v>
      </c>
      <c r="H282" s="215">
        <v>0.8</v>
      </c>
      <c r="I282" s="216">
        <v>95000</v>
      </c>
      <c r="J282" s="217" t="s">
        <v>1847</v>
      </c>
      <c r="K282" s="217" t="s">
        <v>2701</v>
      </c>
      <c r="L282" s="218">
        <v>0.4</v>
      </c>
      <c r="M282" s="230" t="s">
        <v>2672</v>
      </c>
      <c r="N282" s="260">
        <v>95000</v>
      </c>
      <c r="O282" s="260">
        <v>95000</v>
      </c>
      <c r="P282" s="216">
        <f t="shared" si="11"/>
        <v>76000</v>
      </c>
      <c r="Q282" s="260">
        <v>76000</v>
      </c>
      <c r="R282" s="1264" t="s">
        <v>2665</v>
      </c>
      <c r="S282" s="260">
        <v>38000</v>
      </c>
      <c r="T282" s="204" t="s">
        <v>2666</v>
      </c>
      <c r="U282" s="1264" t="s">
        <v>2667</v>
      </c>
      <c r="V282" s="221">
        <v>2666.67</v>
      </c>
      <c r="W282" s="1264" t="s">
        <v>2668</v>
      </c>
      <c r="X282" s="222">
        <v>19000</v>
      </c>
      <c r="Y282" s="262"/>
    </row>
    <row r="283" ht="37.5" customHeight="1" spans="1:25">
      <c r="A283" s="262">
        <f t="shared" si="10"/>
        <v>276</v>
      </c>
      <c r="B283" s="209">
        <v>2022</v>
      </c>
      <c r="C283" s="210" t="s">
        <v>37</v>
      </c>
      <c r="D283" s="259" t="s">
        <v>2702</v>
      </c>
      <c r="E283" s="212" t="s">
        <v>2703</v>
      </c>
      <c r="F283" s="213" t="s">
        <v>2073</v>
      </c>
      <c r="G283" s="214" t="s">
        <v>2663</v>
      </c>
      <c r="H283" s="215">
        <v>0.8</v>
      </c>
      <c r="I283" s="216">
        <v>152000</v>
      </c>
      <c r="J283" s="217" t="s">
        <v>2704</v>
      </c>
      <c r="K283" s="217" t="s">
        <v>2705</v>
      </c>
      <c r="L283" s="218">
        <v>0.4</v>
      </c>
      <c r="M283" s="230" t="s">
        <v>2706</v>
      </c>
      <c r="N283" s="260">
        <v>21472.5</v>
      </c>
      <c r="O283" s="260">
        <v>21472.5</v>
      </c>
      <c r="P283" s="216">
        <f t="shared" si="11"/>
        <v>17178</v>
      </c>
      <c r="Q283" s="260">
        <v>17178</v>
      </c>
      <c r="R283" s="1264" t="s">
        <v>2665</v>
      </c>
      <c r="S283" s="260">
        <v>8589</v>
      </c>
      <c r="T283" s="204" t="s">
        <v>2666</v>
      </c>
      <c r="U283" s="1264" t="s">
        <v>2667</v>
      </c>
      <c r="V283" s="221">
        <v>19000</v>
      </c>
      <c r="W283" s="1264" t="s">
        <v>2668</v>
      </c>
      <c r="X283" s="222">
        <v>4294.5</v>
      </c>
      <c r="Y283" s="262"/>
    </row>
    <row r="284" ht="37.5" customHeight="1" spans="1:25">
      <c r="A284" s="262">
        <f t="shared" si="10"/>
        <v>277</v>
      </c>
      <c r="B284" s="209">
        <v>2022</v>
      </c>
      <c r="C284" s="210" t="s">
        <v>37</v>
      </c>
      <c r="D284" s="259" t="s">
        <v>2707</v>
      </c>
      <c r="E284" s="212" t="s">
        <v>2708</v>
      </c>
      <c r="F284" s="213" t="s">
        <v>2073</v>
      </c>
      <c r="G284" s="214" t="s">
        <v>2663</v>
      </c>
      <c r="H284" s="215">
        <v>0.8</v>
      </c>
      <c r="I284" s="216">
        <v>15128.35</v>
      </c>
      <c r="J284" s="217" t="s">
        <v>2053</v>
      </c>
      <c r="K284" s="217" t="s">
        <v>2709</v>
      </c>
      <c r="L284" s="218">
        <v>0.4</v>
      </c>
      <c r="M284" s="230" t="s">
        <v>2710</v>
      </c>
      <c r="N284" s="260">
        <v>400</v>
      </c>
      <c r="O284" s="260">
        <v>400</v>
      </c>
      <c r="P284" s="216">
        <f t="shared" si="11"/>
        <v>320</v>
      </c>
      <c r="Q284" s="260">
        <v>320</v>
      </c>
      <c r="R284" s="1264" t="s">
        <v>2665</v>
      </c>
      <c r="S284" s="260">
        <v>160</v>
      </c>
      <c r="T284" s="204" t="s">
        <v>2666</v>
      </c>
      <c r="U284" s="1264" t="s">
        <v>2667</v>
      </c>
      <c r="V284" s="221">
        <v>4294.5</v>
      </c>
      <c r="W284" s="1264" t="s">
        <v>2668</v>
      </c>
      <c r="X284" s="222">
        <v>80</v>
      </c>
      <c r="Y284" s="262"/>
    </row>
    <row r="285" ht="37.5" customHeight="1" spans="1:25">
      <c r="A285" s="262">
        <f t="shared" si="10"/>
        <v>278</v>
      </c>
      <c r="B285" s="209">
        <v>2022</v>
      </c>
      <c r="C285" s="210" t="s">
        <v>37</v>
      </c>
      <c r="D285" s="259" t="s">
        <v>2711</v>
      </c>
      <c r="E285" s="212" t="s">
        <v>2712</v>
      </c>
      <c r="F285" s="213" t="s">
        <v>2073</v>
      </c>
      <c r="G285" s="214" t="s">
        <v>2663</v>
      </c>
      <c r="H285" s="215">
        <v>0.8</v>
      </c>
      <c r="I285" s="216">
        <v>850000</v>
      </c>
      <c r="J285" s="217" t="s">
        <v>1951</v>
      </c>
      <c r="K285" s="217" t="s">
        <v>2238</v>
      </c>
      <c r="L285" s="218">
        <v>0.4</v>
      </c>
      <c r="M285" s="230" t="s">
        <v>2713</v>
      </c>
      <c r="N285" s="260">
        <v>279999.53</v>
      </c>
      <c r="O285" s="260">
        <v>279999.53</v>
      </c>
      <c r="P285" s="216">
        <f t="shared" si="11"/>
        <v>223999.624</v>
      </c>
      <c r="Q285" s="260">
        <v>223999.62</v>
      </c>
      <c r="R285" s="1264" t="s">
        <v>2665</v>
      </c>
      <c r="S285" s="260">
        <v>111999.81</v>
      </c>
      <c r="T285" s="204" t="s">
        <v>2666</v>
      </c>
      <c r="U285" s="1264" t="s">
        <v>2714</v>
      </c>
      <c r="V285" s="221">
        <v>55999.91</v>
      </c>
      <c r="W285" s="1264" t="s">
        <v>2668</v>
      </c>
      <c r="X285" s="222">
        <v>55999.91</v>
      </c>
      <c r="Y285" s="262"/>
    </row>
    <row r="286" s="85" customFormat="1" ht="37.5" customHeight="1" spans="1:25">
      <c r="A286" s="262">
        <f t="shared" si="10"/>
        <v>279</v>
      </c>
      <c r="B286" s="209">
        <v>2022</v>
      </c>
      <c r="C286" s="210" t="s">
        <v>37</v>
      </c>
      <c r="D286" s="259" t="s">
        <v>2711</v>
      </c>
      <c r="E286" s="212" t="s">
        <v>2715</v>
      </c>
      <c r="F286" s="213" t="s">
        <v>2073</v>
      </c>
      <c r="G286" s="214" t="s">
        <v>2663</v>
      </c>
      <c r="H286" s="215">
        <v>0.8</v>
      </c>
      <c r="I286" s="216">
        <v>200000</v>
      </c>
      <c r="J286" s="217" t="s">
        <v>2716</v>
      </c>
      <c r="K286" s="217" t="s">
        <v>2717</v>
      </c>
      <c r="L286" s="218">
        <v>0.4</v>
      </c>
      <c r="M286" s="230" t="s">
        <v>2713</v>
      </c>
      <c r="N286" s="260">
        <v>183333.34</v>
      </c>
      <c r="O286" s="260">
        <v>183333.34</v>
      </c>
      <c r="P286" s="216">
        <f t="shared" si="11"/>
        <v>146666.672</v>
      </c>
      <c r="Q286" s="260">
        <v>146666.67</v>
      </c>
      <c r="R286" s="1264" t="s">
        <v>2665</v>
      </c>
      <c r="S286" s="260">
        <v>73333.34</v>
      </c>
      <c r="T286" s="204" t="s">
        <v>2666</v>
      </c>
      <c r="U286" s="1264" t="s">
        <v>2667</v>
      </c>
      <c r="V286" s="221">
        <v>36666.67</v>
      </c>
      <c r="W286" s="1264" t="s">
        <v>2668</v>
      </c>
      <c r="X286" s="222">
        <v>36666.67</v>
      </c>
      <c r="Y286" s="262"/>
    </row>
    <row r="287" ht="37.5" customHeight="1" spans="1:25">
      <c r="A287" s="262">
        <f t="shared" si="10"/>
        <v>280</v>
      </c>
      <c r="B287" s="209">
        <v>2022</v>
      </c>
      <c r="C287" s="210" t="s">
        <v>37</v>
      </c>
      <c r="D287" s="259" t="s">
        <v>2718</v>
      </c>
      <c r="E287" s="212" t="s">
        <v>2719</v>
      </c>
      <c r="F287" s="213" t="s">
        <v>2073</v>
      </c>
      <c r="G287" s="214" t="s">
        <v>2663</v>
      </c>
      <c r="H287" s="215">
        <v>0.8</v>
      </c>
      <c r="I287" s="216">
        <v>284150</v>
      </c>
      <c r="J287" s="217" t="s">
        <v>2295</v>
      </c>
      <c r="K287" s="217" t="s">
        <v>2296</v>
      </c>
      <c r="L287" s="218">
        <v>0.4</v>
      </c>
      <c r="M287" s="230" t="s">
        <v>2059</v>
      </c>
      <c r="N287" s="260">
        <v>28500.03</v>
      </c>
      <c r="O287" s="260">
        <v>28500.03</v>
      </c>
      <c r="P287" s="216">
        <f t="shared" si="11"/>
        <v>22800.024</v>
      </c>
      <c r="Q287" s="260">
        <v>22800.02</v>
      </c>
      <c r="R287" s="1264" t="s">
        <v>2665</v>
      </c>
      <c r="S287" s="260">
        <v>11400.01</v>
      </c>
      <c r="T287" s="204" t="s">
        <v>2666</v>
      </c>
      <c r="U287" s="1264" t="s">
        <v>2667</v>
      </c>
      <c r="V287" s="221">
        <v>5700.01</v>
      </c>
      <c r="W287" s="1264" t="s">
        <v>2668</v>
      </c>
      <c r="X287" s="222">
        <v>5700.01</v>
      </c>
      <c r="Y287" s="262"/>
    </row>
    <row r="288" ht="37.5" customHeight="1" spans="1:25">
      <c r="A288" s="262">
        <f t="shared" si="10"/>
        <v>281</v>
      </c>
      <c r="B288" s="209">
        <v>2022</v>
      </c>
      <c r="C288" s="210" t="s">
        <v>37</v>
      </c>
      <c r="D288" s="259" t="s">
        <v>2720</v>
      </c>
      <c r="E288" s="212" t="s">
        <v>2721</v>
      </c>
      <c r="F288" s="213" t="s">
        <v>2073</v>
      </c>
      <c r="G288" s="214" t="s">
        <v>2663</v>
      </c>
      <c r="H288" s="215">
        <v>0.8</v>
      </c>
      <c r="I288" s="216">
        <v>46000</v>
      </c>
      <c r="J288" s="217" t="s">
        <v>1815</v>
      </c>
      <c r="K288" s="217" t="s">
        <v>2159</v>
      </c>
      <c r="L288" s="218">
        <v>0.4</v>
      </c>
      <c r="M288" s="230" t="s">
        <v>2710</v>
      </c>
      <c r="N288" s="260">
        <v>7145.35</v>
      </c>
      <c r="O288" s="260">
        <v>7145.35</v>
      </c>
      <c r="P288" s="216">
        <f t="shared" si="11"/>
        <v>5716.28</v>
      </c>
      <c r="Q288" s="260">
        <v>5716.28</v>
      </c>
      <c r="R288" s="1264" t="s">
        <v>2665</v>
      </c>
      <c r="S288" s="260">
        <v>2858.14</v>
      </c>
      <c r="T288" s="204" t="s">
        <v>2666</v>
      </c>
      <c r="U288" s="1264" t="s">
        <v>2667</v>
      </c>
      <c r="V288" s="221">
        <v>1429.07</v>
      </c>
      <c r="W288" s="1264" t="s">
        <v>2668</v>
      </c>
      <c r="X288" s="222">
        <v>1429.07</v>
      </c>
      <c r="Y288" s="262"/>
    </row>
    <row r="289" ht="37.5" customHeight="1" spans="1:25">
      <c r="A289" s="262">
        <f t="shared" si="10"/>
        <v>282</v>
      </c>
      <c r="B289" s="209">
        <v>2022</v>
      </c>
      <c r="C289" s="210" t="s">
        <v>37</v>
      </c>
      <c r="D289" s="259" t="s">
        <v>2722</v>
      </c>
      <c r="E289" s="212" t="s">
        <v>2723</v>
      </c>
      <c r="F289" s="213" t="s">
        <v>2073</v>
      </c>
      <c r="G289" s="214" t="s">
        <v>2663</v>
      </c>
      <c r="H289" s="215">
        <v>0.8</v>
      </c>
      <c r="I289" s="216">
        <v>12000</v>
      </c>
      <c r="J289" s="217" t="s">
        <v>2345</v>
      </c>
      <c r="K289" s="217" t="s">
        <v>2346</v>
      </c>
      <c r="L289" s="218">
        <v>0.4</v>
      </c>
      <c r="M289" s="230" t="s">
        <v>2724</v>
      </c>
      <c r="N289" s="260">
        <v>8000</v>
      </c>
      <c r="O289" s="260">
        <v>8000</v>
      </c>
      <c r="P289" s="216">
        <f t="shared" si="11"/>
        <v>6400</v>
      </c>
      <c r="Q289" s="260">
        <v>6400</v>
      </c>
      <c r="R289" s="1264" t="s">
        <v>2665</v>
      </c>
      <c r="S289" s="260">
        <v>3200</v>
      </c>
      <c r="T289" s="204" t="s">
        <v>2666</v>
      </c>
      <c r="U289" s="1264" t="s">
        <v>2667</v>
      </c>
      <c r="V289" s="221">
        <v>1600</v>
      </c>
      <c r="W289" s="1264" t="s">
        <v>2668</v>
      </c>
      <c r="X289" s="222">
        <v>1600</v>
      </c>
      <c r="Y289" s="262"/>
    </row>
    <row r="290" ht="37.5" customHeight="1" spans="1:25">
      <c r="A290" s="262">
        <f t="shared" si="10"/>
        <v>283</v>
      </c>
      <c r="B290" s="209">
        <v>2022</v>
      </c>
      <c r="C290" s="210" t="s">
        <v>37</v>
      </c>
      <c r="D290" s="259" t="s">
        <v>2725</v>
      </c>
      <c r="E290" s="212" t="s">
        <v>2726</v>
      </c>
      <c r="F290" s="213" t="s">
        <v>2073</v>
      </c>
      <c r="G290" s="214" t="s">
        <v>2663</v>
      </c>
      <c r="H290" s="215">
        <v>0.8</v>
      </c>
      <c r="I290" s="216">
        <v>83160</v>
      </c>
      <c r="J290" s="217" t="s">
        <v>2095</v>
      </c>
      <c r="K290" s="217" t="s">
        <v>2096</v>
      </c>
      <c r="L290" s="218">
        <v>0.4</v>
      </c>
      <c r="M290" s="230" t="s">
        <v>2664</v>
      </c>
      <c r="N290" s="260">
        <v>21833.38</v>
      </c>
      <c r="O290" s="260">
        <v>21833.38</v>
      </c>
      <c r="P290" s="216">
        <f t="shared" si="11"/>
        <v>17466.704</v>
      </c>
      <c r="Q290" s="260">
        <v>17466.7</v>
      </c>
      <c r="R290" s="1264" t="s">
        <v>2665</v>
      </c>
      <c r="S290" s="260">
        <v>8733.35</v>
      </c>
      <c r="T290" s="204" t="s">
        <v>2666</v>
      </c>
      <c r="U290" s="1264" t="s">
        <v>2667</v>
      </c>
      <c r="V290" s="221">
        <v>4366.68</v>
      </c>
      <c r="W290" s="1264" t="s">
        <v>2668</v>
      </c>
      <c r="X290" s="222">
        <v>4366.68</v>
      </c>
      <c r="Y290" s="262"/>
    </row>
    <row r="291" ht="37.5" customHeight="1" spans="1:25">
      <c r="A291" s="262">
        <f t="shared" si="10"/>
        <v>284</v>
      </c>
      <c r="B291" s="209">
        <v>2022</v>
      </c>
      <c r="C291" s="210" t="s">
        <v>37</v>
      </c>
      <c r="D291" s="259" t="s">
        <v>2727</v>
      </c>
      <c r="E291" s="212" t="s">
        <v>2728</v>
      </c>
      <c r="F291" s="213" t="s">
        <v>2073</v>
      </c>
      <c r="G291" s="214" t="s">
        <v>2663</v>
      </c>
      <c r="H291" s="215">
        <v>0.8</v>
      </c>
      <c r="I291" s="216">
        <v>18000</v>
      </c>
      <c r="J291" s="217" t="s">
        <v>2729</v>
      </c>
      <c r="K291" s="217" t="s">
        <v>2507</v>
      </c>
      <c r="L291" s="218">
        <v>0.4</v>
      </c>
      <c r="M291" s="230" t="s">
        <v>2021</v>
      </c>
      <c r="N291" s="260">
        <v>1333.36</v>
      </c>
      <c r="O291" s="260">
        <v>1333.36</v>
      </c>
      <c r="P291" s="216">
        <f t="shared" si="11"/>
        <v>1066.688</v>
      </c>
      <c r="Q291" s="260">
        <v>1066.69</v>
      </c>
      <c r="R291" s="1264" t="s">
        <v>2665</v>
      </c>
      <c r="S291" s="260">
        <v>533.35</v>
      </c>
      <c r="T291" s="204" t="s">
        <v>2666</v>
      </c>
      <c r="U291" s="1264" t="s">
        <v>2667</v>
      </c>
      <c r="V291" s="221">
        <v>266.67</v>
      </c>
      <c r="W291" s="1264" t="s">
        <v>2668</v>
      </c>
      <c r="X291" s="222">
        <v>266.67</v>
      </c>
      <c r="Y291" s="262"/>
    </row>
    <row r="292" ht="37.5" customHeight="1" spans="1:25">
      <c r="A292" s="262">
        <f t="shared" si="10"/>
        <v>285</v>
      </c>
      <c r="B292" s="209">
        <v>2022</v>
      </c>
      <c r="C292" s="210" t="s">
        <v>37</v>
      </c>
      <c r="D292" s="259" t="s">
        <v>2727</v>
      </c>
      <c r="E292" s="212" t="s">
        <v>2730</v>
      </c>
      <c r="F292" s="213" t="s">
        <v>2073</v>
      </c>
      <c r="G292" s="214" t="s">
        <v>2663</v>
      </c>
      <c r="H292" s="215">
        <v>0.8</v>
      </c>
      <c r="I292" s="216">
        <v>10547.72</v>
      </c>
      <c r="J292" s="217" t="s">
        <v>2405</v>
      </c>
      <c r="K292" s="217" t="s">
        <v>2731</v>
      </c>
      <c r="L292" s="218">
        <v>0.4</v>
      </c>
      <c r="M292" s="230" t="s">
        <v>2021</v>
      </c>
      <c r="N292" s="260">
        <v>641.68</v>
      </c>
      <c r="O292" s="260">
        <v>641.68</v>
      </c>
      <c r="P292" s="216">
        <f t="shared" si="11"/>
        <v>513.344</v>
      </c>
      <c r="Q292" s="260">
        <v>513.34</v>
      </c>
      <c r="R292" s="1264" t="s">
        <v>2665</v>
      </c>
      <c r="S292" s="260">
        <v>256.67</v>
      </c>
      <c r="T292" s="204" t="s">
        <v>2666</v>
      </c>
      <c r="U292" s="1264" t="s">
        <v>2667</v>
      </c>
      <c r="V292" s="221">
        <v>128.34</v>
      </c>
      <c r="W292" s="1264" t="s">
        <v>2668</v>
      </c>
      <c r="X292" s="222">
        <v>128.34</v>
      </c>
      <c r="Y292" s="262"/>
    </row>
    <row r="293" ht="37.5" customHeight="1" spans="1:25">
      <c r="A293" s="262">
        <f t="shared" si="10"/>
        <v>286</v>
      </c>
      <c r="B293" s="209">
        <v>2022</v>
      </c>
      <c r="C293" s="210" t="s">
        <v>37</v>
      </c>
      <c r="D293" s="259" t="s">
        <v>2732</v>
      </c>
      <c r="E293" s="212" t="s">
        <v>2733</v>
      </c>
      <c r="F293" s="213" t="s">
        <v>2073</v>
      </c>
      <c r="G293" s="214" t="s">
        <v>2663</v>
      </c>
      <c r="H293" s="215">
        <v>0.8</v>
      </c>
      <c r="I293" s="216">
        <v>391000</v>
      </c>
      <c r="J293" s="217" t="s">
        <v>2123</v>
      </c>
      <c r="K293" s="217" t="s">
        <v>2124</v>
      </c>
      <c r="L293" s="218">
        <v>0.4</v>
      </c>
      <c r="M293" s="230" t="s">
        <v>2059</v>
      </c>
      <c r="N293" s="260">
        <v>107164.39</v>
      </c>
      <c r="O293" s="260">
        <v>107164.39</v>
      </c>
      <c r="P293" s="216">
        <f t="shared" si="11"/>
        <v>85731.512</v>
      </c>
      <c r="Q293" s="260">
        <v>85731.51</v>
      </c>
      <c r="R293" s="1264" t="s">
        <v>2665</v>
      </c>
      <c r="S293" s="260">
        <v>42865.76</v>
      </c>
      <c r="T293" s="204" t="s">
        <v>2666</v>
      </c>
      <c r="U293" s="1264" t="s">
        <v>2667</v>
      </c>
      <c r="V293" s="221">
        <v>21432.88</v>
      </c>
      <c r="W293" s="1264" t="s">
        <v>2668</v>
      </c>
      <c r="X293" s="222">
        <v>21432.88</v>
      </c>
      <c r="Y293" s="262"/>
    </row>
    <row r="294" ht="37.5" customHeight="1" spans="1:25">
      <c r="A294" s="262">
        <f t="shared" si="10"/>
        <v>287</v>
      </c>
      <c r="B294" s="209">
        <v>2022</v>
      </c>
      <c r="C294" s="210" t="s">
        <v>37</v>
      </c>
      <c r="D294" s="259" t="s">
        <v>2734</v>
      </c>
      <c r="E294" s="212" t="s">
        <v>2735</v>
      </c>
      <c r="F294" s="213" t="s">
        <v>2073</v>
      </c>
      <c r="G294" s="214" t="s">
        <v>2663</v>
      </c>
      <c r="H294" s="215">
        <v>0.8</v>
      </c>
      <c r="I294" s="216">
        <v>10000</v>
      </c>
      <c r="J294" s="217" t="s">
        <v>2736</v>
      </c>
      <c r="K294" s="217" t="s">
        <v>2616</v>
      </c>
      <c r="L294" s="218">
        <v>0.4</v>
      </c>
      <c r="M294" s="230" t="s">
        <v>2737</v>
      </c>
      <c r="N294" s="260">
        <v>805.03</v>
      </c>
      <c r="O294" s="260">
        <v>805.03</v>
      </c>
      <c r="P294" s="216">
        <f t="shared" si="11"/>
        <v>644.024</v>
      </c>
      <c r="Q294" s="260">
        <v>644.02</v>
      </c>
      <c r="R294" s="1264" t="s">
        <v>2665</v>
      </c>
      <c r="S294" s="260">
        <v>322.01</v>
      </c>
      <c r="T294" s="204" t="s">
        <v>2666</v>
      </c>
      <c r="U294" s="1264" t="s">
        <v>2667</v>
      </c>
      <c r="V294" s="221">
        <v>161.01</v>
      </c>
      <c r="W294" s="1264" t="s">
        <v>2668</v>
      </c>
      <c r="X294" s="222">
        <v>161.01</v>
      </c>
      <c r="Y294" s="262"/>
    </row>
    <row r="295" ht="37.5" customHeight="1" spans="1:25">
      <c r="A295" s="262">
        <f t="shared" si="10"/>
        <v>288</v>
      </c>
      <c r="B295" s="209">
        <v>2022</v>
      </c>
      <c r="C295" s="210" t="s">
        <v>37</v>
      </c>
      <c r="D295" s="259" t="s">
        <v>2738</v>
      </c>
      <c r="E295" s="212" t="s">
        <v>2739</v>
      </c>
      <c r="F295" s="213" t="s">
        <v>2073</v>
      </c>
      <c r="G295" s="214" t="s">
        <v>2663</v>
      </c>
      <c r="H295" s="215">
        <v>0.8</v>
      </c>
      <c r="I295" s="216">
        <v>11760.68</v>
      </c>
      <c r="J295" s="217" t="s">
        <v>2103</v>
      </c>
      <c r="K295" s="217" t="s">
        <v>2740</v>
      </c>
      <c r="L295" s="218">
        <v>0.4</v>
      </c>
      <c r="M295" s="230" t="s">
        <v>2710</v>
      </c>
      <c r="N295" s="260">
        <v>1583.34</v>
      </c>
      <c r="O295" s="260">
        <v>1583.34</v>
      </c>
      <c r="P295" s="216">
        <f t="shared" si="11"/>
        <v>1266.672</v>
      </c>
      <c r="Q295" s="260">
        <v>1266.67</v>
      </c>
      <c r="R295" s="1264" t="s">
        <v>2665</v>
      </c>
      <c r="S295" s="260">
        <v>633.34</v>
      </c>
      <c r="T295" s="204" t="s">
        <v>2666</v>
      </c>
      <c r="U295" s="1264" t="s">
        <v>2667</v>
      </c>
      <c r="V295" s="221">
        <v>316.67</v>
      </c>
      <c r="W295" s="1264" t="s">
        <v>2668</v>
      </c>
      <c r="X295" s="222">
        <v>316.67</v>
      </c>
      <c r="Y295" s="262"/>
    </row>
    <row r="296" ht="37.5" customHeight="1" spans="1:25">
      <c r="A296" s="262">
        <f t="shared" si="10"/>
        <v>289</v>
      </c>
      <c r="B296" s="209">
        <v>2022</v>
      </c>
      <c r="C296" s="210" t="s">
        <v>37</v>
      </c>
      <c r="D296" s="259" t="s">
        <v>2741</v>
      </c>
      <c r="E296" s="212" t="s">
        <v>2742</v>
      </c>
      <c r="F296" s="213" t="s">
        <v>2073</v>
      </c>
      <c r="G296" s="214" t="s">
        <v>2663</v>
      </c>
      <c r="H296" s="215">
        <v>0.8</v>
      </c>
      <c r="I296" s="216">
        <v>12000</v>
      </c>
      <c r="J296" s="217" t="s">
        <v>2743</v>
      </c>
      <c r="K296" s="217" t="s">
        <v>2744</v>
      </c>
      <c r="L296" s="218">
        <v>0.4</v>
      </c>
      <c r="M296" s="230" t="s">
        <v>2664</v>
      </c>
      <c r="N296" s="260">
        <v>1500</v>
      </c>
      <c r="O296" s="260">
        <v>1500</v>
      </c>
      <c r="P296" s="216">
        <f t="shared" si="11"/>
        <v>1200</v>
      </c>
      <c r="Q296" s="260">
        <v>1200</v>
      </c>
      <c r="R296" s="1264" t="s">
        <v>2665</v>
      </c>
      <c r="S296" s="260">
        <v>600</v>
      </c>
      <c r="T296" s="204" t="s">
        <v>2666</v>
      </c>
      <c r="U296" s="1264" t="s">
        <v>2667</v>
      </c>
      <c r="V296" s="221">
        <v>300</v>
      </c>
      <c r="W296" s="1264" t="s">
        <v>2668</v>
      </c>
      <c r="X296" s="222">
        <v>300</v>
      </c>
      <c r="Y296" s="262"/>
    </row>
    <row r="297" ht="37.5" customHeight="1" spans="1:25">
      <c r="A297" s="262">
        <f t="shared" si="10"/>
        <v>290</v>
      </c>
      <c r="B297" s="209">
        <v>2022</v>
      </c>
      <c r="C297" s="210" t="s">
        <v>37</v>
      </c>
      <c r="D297" s="259" t="s">
        <v>2745</v>
      </c>
      <c r="E297" s="212" t="s">
        <v>2746</v>
      </c>
      <c r="F297" s="213" t="s">
        <v>2073</v>
      </c>
      <c r="G297" s="214" t="s">
        <v>2663</v>
      </c>
      <c r="H297" s="215">
        <v>0.8</v>
      </c>
      <c r="I297" s="216">
        <v>13000</v>
      </c>
      <c r="J297" s="217" t="s">
        <v>2747</v>
      </c>
      <c r="K297" s="217" t="s">
        <v>2594</v>
      </c>
      <c r="L297" s="218">
        <v>0.4</v>
      </c>
      <c r="M297" s="230" t="s">
        <v>2059</v>
      </c>
      <c r="N297" s="260">
        <v>4728.98</v>
      </c>
      <c r="O297" s="260">
        <v>4728.98</v>
      </c>
      <c r="P297" s="216">
        <f t="shared" si="11"/>
        <v>3783.184</v>
      </c>
      <c r="Q297" s="260">
        <v>3783.18</v>
      </c>
      <c r="R297" s="1264" t="s">
        <v>2665</v>
      </c>
      <c r="S297" s="260">
        <v>1891.59</v>
      </c>
      <c r="T297" s="204" t="s">
        <v>2666</v>
      </c>
      <c r="U297" s="1264" t="s">
        <v>2667</v>
      </c>
      <c r="V297" s="221">
        <v>945.8</v>
      </c>
      <c r="W297" s="1264" t="s">
        <v>2668</v>
      </c>
      <c r="X297" s="222">
        <v>945.8</v>
      </c>
      <c r="Y297" s="262"/>
    </row>
    <row r="298" ht="37.5" customHeight="1" spans="1:25">
      <c r="A298" s="262">
        <f t="shared" si="10"/>
        <v>291</v>
      </c>
      <c r="B298" s="209">
        <v>2022</v>
      </c>
      <c r="C298" s="210" t="s">
        <v>37</v>
      </c>
      <c r="D298" s="259" t="s">
        <v>2748</v>
      </c>
      <c r="E298" s="212" t="s">
        <v>2749</v>
      </c>
      <c r="F298" s="213" t="s">
        <v>2073</v>
      </c>
      <c r="G298" s="214" t="s">
        <v>2663</v>
      </c>
      <c r="H298" s="215">
        <v>0.8</v>
      </c>
      <c r="I298" s="216">
        <v>120960</v>
      </c>
      <c r="J298" s="217" t="s">
        <v>2322</v>
      </c>
      <c r="K298" s="217" t="s">
        <v>2323</v>
      </c>
      <c r="L298" s="218">
        <v>0.4</v>
      </c>
      <c r="M298" s="230" t="s">
        <v>2750</v>
      </c>
      <c r="N298" s="260">
        <v>25758.99</v>
      </c>
      <c r="O298" s="260">
        <v>25758.99</v>
      </c>
      <c r="P298" s="216">
        <f t="shared" si="11"/>
        <v>20607.192</v>
      </c>
      <c r="Q298" s="260">
        <v>20607.19</v>
      </c>
      <c r="R298" s="1264" t="s">
        <v>2665</v>
      </c>
      <c r="S298" s="260">
        <v>10303.6</v>
      </c>
      <c r="T298" s="204" t="s">
        <v>2666</v>
      </c>
      <c r="U298" s="1264" t="s">
        <v>2667</v>
      </c>
      <c r="V298" s="221">
        <v>5151.8</v>
      </c>
      <c r="W298" s="1264" t="s">
        <v>2668</v>
      </c>
      <c r="X298" s="222">
        <v>5151.8</v>
      </c>
      <c r="Y298" s="262"/>
    </row>
    <row r="299" ht="37.5" customHeight="1" spans="1:25">
      <c r="A299" s="262">
        <f t="shared" si="10"/>
        <v>292</v>
      </c>
      <c r="B299" s="209">
        <v>2022</v>
      </c>
      <c r="C299" s="210" t="s">
        <v>37</v>
      </c>
      <c r="D299" s="259" t="s">
        <v>2751</v>
      </c>
      <c r="E299" s="212" t="s">
        <v>2752</v>
      </c>
      <c r="F299" s="213" t="s">
        <v>2073</v>
      </c>
      <c r="G299" s="214" t="s">
        <v>2663</v>
      </c>
      <c r="H299" s="215">
        <v>0.8</v>
      </c>
      <c r="I299" s="216">
        <v>18000</v>
      </c>
      <c r="J299" s="217" t="s">
        <v>1939</v>
      </c>
      <c r="K299" s="217" t="s">
        <v>2241</v>
      </c>
      <c r="L299" s="218">
        <v>0.4</v>
      </c>
      <c r="M299" s="230" t="s">
        <v>2559</v>
      </c>
      <c r="N299" s="260">
        <v>4908.38</v>
      </c>
      <c r="O299" s="260">
        <v>4908.38</v>
      </c>
      <c r="P299" s="216">
        <f t="shared" si="11"/>
        <v>3926.704</v>
      </c>
      <c r="Q299" s="260">
        <v>3926.7</v>
      </c>
      <c r="R299" s="1264" t="s">
        <v>2665</v>
      </c>
      <c r="S299" s="260">
        <v>1963.35</v>
      </c>
      <c r="T299" s="204" t="s">
        <v>2666</v>
      </c>
      <c r="U299" s="1264" t="s">
        <v>2667</v>
      </c>
      <c r="V299" s="221">
        <v>981.68</v>
      </c>
      <c r="W299" s="1264" t="s">
        <v>2668</v>
      </c>
      <c r="X299" s="222">
        <v>981.68</v>
      </c>
      <c r="Y299" s="262"/>
    </row>
    <row r="300" ht="37.5" customHeight="1" spans="1:25">
      <c r="A300" s="262">
        <f t="shared" si="10"/>
        <v>293</v>
      </c>
      <c r="B300" s="209">
        <v>2022</v>
      </c>
      <c r="C300" s="210" t="s">
        <v>37</v>
      </c>
      <c r="D300" s="259" t="s">
        <v>2753</v>
      </c>
      <c r="E300" s="212" t="s">
        <v>2754</v>
      </c>
      <c r="F300" s="213" t="s">
        <v>2073</v>
      </c>
      <c r="G300" s="214" t="s">
        <v>2663</v>
      </c>
      <c r="H300" s="215">
        <v>0.8</v>
      </c>
      <c r="I300" s="216">
        <v>18666.03</v>
      </c>
      <c r="J300" s="217" t="s">
        <v>1950</v>
      </c>
      <c r="K300" s="217" t="s">
        <v>2755</v>
      </c>
      <c r="L300" s="218">
        <v>0.4</v>
      </c>
      <c r="M300" s="230" t="s">
        <v>2664</v>
      </c>
      <c r="N300" s="260">
        <v>7108.33</v>
      </c>
      <c r="O300" s="260">
        <v>7108.33</v>
      </c>
      <c r="P300" s="216">
        <f t="shared" si="11"/>
        <v>5686.664</v>
      </c>
      <c r="Q300" s="260">
        <v>5686.66</v>
      </c>
      <c r="R300" s="1264" t="s">
        <v>2665</v>
      </c>
      <c r="S300" s="260">
        <v>2843.33</v>
      </c>
      <c r="T300" s="204" t="s">
        <v>2666</v>
      </c>
      <c r="U300" s="1264" t="s">
        <v>2667</v>
      </c>
      <c r="V300" s="221">
        <v>1421.67</v>
      </c>
      <c r="W300" s="1264" t="s">
        <v>2668</v>
      </c>
      <c r="X300" s="222">
        <v>1421.67</v>
      </c>
      <c r="Y300" s="262"/>
    </row>
    <row r="301" ht="37.5" customHeight="1" spans="1:25">
      <c r="A301" s="262">
        <f t="shared" si="10"/>
        <v>294</v>
      </c>
      <c r="B301" s="209">
        <v>2022</v>
      </c>
      <c r="C301" s="210" t="s">
        <v>37</v>
      </c>
      <c r="D301" s="259" t="s">
        <v>2756</v>
      </c>
      <c r="E301" s="212" t="s">
        <v>2757</v>
      </c>
      <c r="F301" s="213" t="s">
        <v>2073</v>
      </c>
      <c r="G301" s="214" t="s">
        <v>2663</v>
      </c>
      <c r="H301" s="215">
        <v>0.8</v>
      </c>
      <c r="I301" s="216">
        <v>91140</v>
      </c>
      <c r="J301" s="217" t="s">
        <v>2083</v>
      </c>
      <c r="K301" s="217" t="s">
        <v>2084</v>
      </c>
      <c r="L301" s="218">
        <v>0.4</v>
      </c>
      <c r="M301" s="230" t="s">
        <v>1875</v>
      </c>
      <c r="N301" s="260">
        <v>60841.71</v>
      </c>
      <c r="O301" s="260">
        <v>60841.71</v>
      </c>
      <c r="P301" s="216">
        <f t="shared" si="11"/>
        <v>48673.368</v>
      </c>
      <c r="Q301" s="260">
        <v>48673.37</v>
      </c>
      <c r="R301" s="1264" t="s">
        <v>2665</v>
      </c>
      <c r="S301" s="260">
        <v>24336.69</v>
      </c>
      <c r="T301" s="204" t="s">
        <v>2666</v>
      </c>
      <c r="U301" s="1264" t="s">
        <v>2667</v>
      </c>
      <c r="V301" s="221">
        <v>12168.34</v>
      </c>
      <c r="W301" s="1264" t="s">
        <v>2668</v>
      </c>
      <c r="X301" s="222">
        <v>12168.34</v>
      </c>
      <c r="Y301" s="262"/>
    </row>
    <row r="302" ht="37.5" customHeight="1" spans="1:25">
      <c r="A302" s="262">
        <f t="shared" si="10"/>
        <v>295</v>
      </c>
      <c r="B302" s="209">
        <v>2022</v>
      </c>
      <c r="C302" s="210" t="s">
        <v>37</v>
      </c>
      <c r="D302" s="259" t="s">
        <v>2756</v>
      </c>
      <c r="E302" s="212" t="s">
        <v>2758</v>
      </c>
      <c r="F302" s="213" t="s">
        <v>2073</v>
      </c>
      <c r="G302" s="214" t="s">
        <v>2663</v>
      </c>
      <c r="H302" s="215">
        <v>0.8</v>
      </c>
      <c r="I302" s="216">
        <v>11633</v>
      </c>
      <c r="J302" s="217" t="s">
        <v>2716</v>
      </c>
      <c r="K302" s="217" t="s">
        <v>2717</v>
      </c>
      <c r="L302" s="218">
        <v>0.4</v>
      </c>
      <c r="M302" s="230" t="s">
        <v>1875</v>
      </c>
      <c r="N302" s="260">
        <v>10663.59</v>
      </c>
      <c r="O302" s="260">
        <v>10663.59</v>
      </c>
      <c r="P302" s="216">
        <f t="shared" si="11"/>
        <v>8530.872</v>
      </c>
      <c r="Q302" s="260">
        <v>8530.87</v>
      </c>
      <c r="R302" s="1264" t="s">
        <v>2665</v>
      </c>
      <c r="S302" s="260">
        <v>4265.44</v>
      </c>
      <c r="T302" s="204" t="s">
        <v>2666</v>
      </c>
      <c r="U302" s="1264" t="s">
        <v>2667</v>
      </c>
      <c r="V302" s="221">
        <v>2132.72</v>
      </c>
      <c r="W302" s="1264" t="s">
        <v>2668</v>
      </c>
      <c r="X302" s="222">
        <v>2132.72</v>
      </c>
      <c r="Y302" s="262"/>
    </row>
    <row r="303" ht="37.5" customHeight="1" spans="1:25">
      <c r="A303" s="262">
        <f t="shared" si="10"/>
        <v>296</v>
      </c>
      <c r="B303" s="209">
        <v>2022</v>
      </c>
      <c r="C303" s="210" t="s">
        <v>37</v>
      </c>
      <c r="D303" s="259" t="s">
        <v>2759</v>
      </c>
      <c r="E303" s="212" t="s">
        <v>2760</v>
      </c>
      <c r="F303" s="213" t="s">
        <v>2073</v>
      </c>
      <c r="G303" s="214" t="s">
        <v>2663</v>
      </c>
      <c r="H303" s="215">
        <v>0.8</v>
      </c>
      <c r="I303" s="216">
        <v>20000</v>
      </c>
      <c r="J303" s="217" t="s">
        <v>2761</v>
      </c>
      <c r="K303" s="217" t="s">
        <v>2762</v>
      </c>
      <c r="L303" s="218">
        <v>0.4</v>
      </c>
      <c r="M303" s="230" t="s">
        <v>2664</v>
      </c>
      <c r="N303" s="260">
        <v>20000</v>
      </c>
      <c r="O303" s="260">
        <v>20000</v>
      </c>
      <c r="P303" s="216">
        <f t="shared" si="11"/>
        <v>16000</v>
      </c>
      <c r="Q303" s="260">
        <v>16000</v>
      </c>
      <c r="R303" s="1264" t="s">
        <v>2665</v>
      </c>
      <c r="S303" s="260">
        <v>8000</v>
      </c>
      <c r="T303" s="204" t="s">
        <v>2666</v>
      </c>
      <c r="U303" s="1264" t="s">
        <v>2667</v>
      </c>
      <c r="V303" s="221">
        <v>4000</v>
      </c>
      <c r="W303" s="1264" t="s">
        <v>2063</v>
      </c>
      <c r="X303" s="273">
        <v>4000</v>
      </c>
      <c r="Y303" s="262"/>
    </row>
    <row r="304" ht="37.5" customHeight="1" spans="1:25">
      <c r="A304" s="262">
        <f t="shared" si="10"/>
        <v>297</v>
      </c>
      <c r="B304" s="209">
        <v>2022</v>
      </c>
      <c r="C304" s="210" t="s">
        <v>37</v>
      </c>
      <c r="D304" s="259" t="s">
        <v>2763</v>
      </c>
      <c r="E304" s="212" t="s">
        <v>2764</v>
      </c>
      <c r="F304" s="213" t="s">
        <v>2073</v>
      </c>
      <c r="G304" s="214" t="s">
        <v>2663</v>
      </c>
      <c r="H304" s="215">
        <v>0.8</v>
      </c>
      <c r="I304" s="216">
        <v>40000</v>
      </c>
      <c r="J304" s="217" t="s">
        <v>1824</v>
      </c>
      <c r="K304" s="217" t="s">
        <v>2102</v>
      </c>
      <c r="L304" s="218">
        <v>0.4</v>
      </c>
      <c r="M304" s="230" t="s">
        <v>2724</v>
      </c>
      <c r="N304" s="260">
        <v>3487.18</v>
      </c>
      <c r="O304" s="260">
        <v>3487.18</v>
      </c>
      <c r="P304" s="216">
        <f t="shared" si="11"/>
        <v>2789.744</v>
      </c>
      <c r="Q304" s="260">
        <v>2789.74</v>
      </c>
      <c r="R304" s="1264" t="s">
        <v>2665</v>
      </c>
      <c r="S304" s="260">
        <v>1394.87</v>
      </c>
      <c r="T304" s="204" t="s">
        <v>2666</v>
      </c>
      <c r="U304" s="1264" t="s">
        <v>2667</v>
      </c>
      <c r="V304" s="221">
        <v>697.44</v>
      </c>
      <c r="W304" s="1264" t="s">
        <v>2063</v>
      </c>
      <c r="X304" s="273">
        <v>697.44</v>
      </c>
      <c r="Y304" s="262"/>
    </row>
    <row r="305" ht="37.5" customHeight="1" spans="1:25">
      <c r="A305" s="262">
        <f t="shared" si="10"/>
        <v>298</v>
      </c>
      <c r="B305" s="209">
        <v>2022</v>
      </c>
      <c r="C305" s="210" t="s">
        <v>37</v>
      </c>
      <c r="D305" s="259" t="s">
        <v>2765</v>
      </c>
      <c r="E305" s="212" t="s">
        <v>2766</v>
      </c>
      <c r="F305" s="213" t="s">
        <v>2073</v>
      </c>
      <c r="G305" s="214" t="s">
        <v>2663</v>
      </c>
      <c r="H305" s="215">
        <v>0.8</v>
      </c>
      <c r="I305" s="216">
        <v>12863.56</v>
      </c>
      <c r="J305" s="217" t="s">
        <v>2767</v>
      </c>
      <c r="K305" s="217" t="s">
        <v>2768</v>
      </c>
      <c r="L305" s="218">
        <v>0.4</v>
      </c>
      <c r="M305" s="230" t="s">
        <v>2706</v>
      </c>
      <c r="N305" s="260">
        <v>8250</v>
      </c>
      <c r="O305" s="260">
        <v>8250</v>
      </c>
      <c r="P305" s="216">
        <f t="shared" si="11"/>
        <v>6600</v>
      </c>
      <c r="Q305" s="260">
        <v>6600</v>
      </c>
      <c r="R305" s="1264" t="s">
        <v>2665</v>
      </c>
      <c r="S305" s="260">
        <v>3300</v>
      </c>
      <c r="T305" s="204" t="s">
        <v>2666</v>
      </c>
      <c r="U305" s="1264" t="s">
        <v>2667</v>
      </c>
      <c r="V305" s="221">
        <v>1650</v>
      </c>
      <c r="W305" s="1264" t="s">
        <v>2063</v>
      </c>
      <c r="X305" s="273">
        <v>1650</v>
      </c>
      <c r="Y305" s="262"/>
    </row>
    <row r="306" ht="37.5" customHeight="1" spans="1:25">
      <c r="A306" s="262">
        <f t="shared" si="10"/>
        <v>299</v>
      </c>
      <c r="B306" s="209">
        <v>2022</v>
      </c>
      <c r="C306" s="210" t="s">
        <v>37</v>
      </c>
      <c r="D306" s="259" t="s">
        <v>2769</v>
      </c>
      <c r="E306" s="212" t="s">
        <v>2770</v>
      </c>
      <c r="F306" s="213" t="s">
        <v>2073</v>
      </c>
      <c r="G306" s="214" t="s">
        <v>2663</v>
      </c>
      <c r="H306" s="215">
        <v>0.8</v>
      </c>
      <c r="I306" s="216">
        <v>160900</v>
      </c>
      <c r="J306" s="217" t="s">
        <v>1892</v>
      </c>
      <c r="K306" s="217" t="s">
        <v>2462</v>
      </c>
      <c r="L306" s="218">
        <v>0.4</v>
      </c>
      <c r="M306" s="230" t="s">
        <v>2737</v>
      </c>
      <c r="N306" s="260">
        <v>3906.68</v>
      </c>
      <c r="O306" s="260">
        <v>3906.68</v>
      </c>
      <c r="P306" s="216">
        <f t="shared" si="11"/>
        <v>3125.344</v>
      </c>
      <c r="Q306" s="260">
        <v>3125.34</v>
      </c>
      <c r="R306" s="1264" t="s">
        <v>2665</v>
      </c>
      <c r="S306" s="260">
        <v>1562.67</v>
      </c>
      <c r="T306" s="204" t="s">
        <v>2666</v>
      </c>
      <c r="U306" s="1264" t="s">
        <v>2667</v>
      </c>
      <c r="V306" s="221">
        <v>781.34</v>
      </c>
      <c r="W306" s="1264" t="s">
        <v>2063</v>
      </c>
      <c r="X306" s="273">
        <v>781.34</v>
      </c>
      <c r="Y306" s="262"/>
    </row>
    <row r="307" ht="37.5" customHeight="1" spans="1:25">
      <c r="A307" s="262">
        <f t="shared" si="10"/>
        <v>300</v>
      </c>
      <c r="B307" s="209">
        <v>2022</v>
      </c>
      <c r="C307" s="210" t="s">
        <v>37</v>
      </c>
      <c r="D307" s="259" t="s">
        <v>2771</v>
      </c>
      <c r="E307" s="212" t="s">
        <v>2772</v>
      </c>
      <c r="F307" s="213" t="s">
        <v>2073</v>
      </c>
      <c r="G307" s="214" t="s">
        <v>2663</v>
      </c>
      <c r="H307" s="215">
        <v>0.8</v>
      </c>
      <c r="I307" s="216">
        <v>30000</v>
      </c>
      <c r="J307" s="217" t="s">
        <v>2215</v>
      </c>
      <c r="K307" s="217" t="s">
        <v>2216</v>
      </c>
      <c r="L307" s="218">
        <v>0.4</v>
      </c>
      <c r="M307" s="230" t="s">
        <v>2773</v>
      </c>
      <c r="N307" s="260">
        <v>3933.38</v>
      </c>
      <c r="O307" s="260">
        <v>3933.38</v>
      </c>
      <c r="P307" s="216">
        <f t="shared" si="11"/>
        <v>3146.704</v>
      </c>
      <c r="Q307" s="260">
        <v>3146.7</v>
      </c>
      <c r="R307" s="1264" t="s">
        <v>2665</v>
      </c>
      <c r="S307" s="260">
        <v>1573.35</v>
      </c>
      <c r="T307" s="204" t="s">
        <v>2666</v>
      </c>
      <c r="U307" s="1264" t="s">
        <v>2667</v>
      </c>
      <c r="V307" s="221">
        <v>786.68</v>
      </c>
      <c r="W307" s="1264" t="s">
        <v>2063</v>
      </c>
      <c r="X307" s="273">
        <v>786.68</v>
      </c>
      <c r="Y307" s="262"/>
    </row>
    <row r="308" ht="37.5" customHeight="1" spans="1:25">
      <c r="A308" s="262">
        <f t="shared" si="10"/>
        <v>301</v>
      </c>
      <c r="B308" s="209">
        <v>2022</v>
      </c>
      <c r="C308" s="210" t="s">
        <v>37</v>
      </c>
      <c r="D308" s="259" t="s">
        <v>2774</v>
      </c>
      <c r="E308" s="212" t="s">
        <v>2775</v>
      </c>
      <c r="F308" s="213" t="s">
        <v>2073</v>
      </c>
      <c r="G308" s="214" t="s">
        <v>2663</v>
      </c>
      <c r="H308" s="215">
        <v>0.8</v>
      </c>
      <c r="I308" s="216">
        <v>20000</v>
      </c>
      <c r="J308" s="217" t="s">
        <v>2776</v>
      </c>
      <c r="K308" s="217" t="s">
        <v>2777</v>
      </c>
      <c r="L308" s="218">
        <v>0.4</v>
      </c>
      <c r="M308" s="230" t="s">
        <v>1875</v>
      </c>
      <c r="N308" s="260">
        <v>15916.68</v>
      </c>
      <c r="O308" s="260">
        <v>15916.68</v>
      </c>
      <c r="P308" s="216">
        <f t="shared" si="11"/>
        <v>12733.344</v>
      </c>
      <c r="Q308" s="260">
        <v>12733.34</v>
      </c>
      <c r="R308" s="1264" t="s">
        <v>2665</v>
      </c>
      <c r="S308" s="260">
        <v>6366.67</v>
      </c>
      <c r="T308" s="204" t="s">
        <v>2666</v>
      </c>
      <c r="U308" s="1264" t="s">
        <v>2667</v>
      </c>
      <c r="V308" s="221">
        <v>3183.34</v>
      </c>
      <c r="W308" s="1264" t="s">
        <v>2063</v>
      </c>
      <c r="X308" s="273">
        <v>3183.34</v>
      </c>
      <c r="Y308" s="262"/>
    </row>
    <row r="309" ht="37.5" customHeight="1" spans="1:25">
      <c r="A309" s="262">
        <f t="shared" si="10"/>
        <v>302</v>
      </c>
      <c r="B309" s="209">
        <v>2022</v>
      </c>
      <c r="C309" s="210" t="s">
        <v>37</v>
      </c>
      <c r="D309" s="259" t="s">
        <v>2778</v>
      </c>
      <c r="E309" s="212" t="s">
        <v>2779</v>
      </c>
      <c r="F309" s="213" t="s">
        <v>2073</v>
      </c>
      <c r="G309" s="214" t="s">
        <v>2663</v>
      </c>
      <c r="H309" s="215">
        <v>0.8</v>
      </c>
      <c r="I309" s="216">
        <v>10000</v>
      </c>
      <c r="J309" s="217" t="s">
        <v>1817</v>
      </c>
      <c r="K309" s="217" t="s">
        <v>2367</v>
      </c>
      <c r="L309" s="218">
        <v>0.4</v>
      </c>
      <c r="M309" s="230" t="s">
        <v>2780</v>
      </c>
      <c r="N309" s="260">
        <v>300.01</v>
      </c>
      <c r="O309" s="260">
        <v>300.01</v>
      </c>
      <c r="P309" s="216">
        <f t="shared" si="11"/>
        <v>240.008</v>
      </c>
      <c r="Q309" s="260">
        <v>240.01</v>
      </c>
      <c r="R309" s="1264" t="s">
        <v>2665</v>
      </c>
      <c r="S309" s="260">
        <v>120.01</v>
      </c>
      <c r="T309" s="204" t="s">
        <v>2666</v>
      </c>
      <c r="U309" s="1264" t="s">
        <v>2667</v>
      </c>
      <c r="V309" s="221">
        <v>60</v>
      </c>
      <c r="W309" s="1264" t="s">
        <v>2063</v>
      </c>
      <c r="X309" s="273">
        <v>60</v>
      </c>
      <c r="Y309" s="262"/>
    </row>
    <row r="310" ht="37.5" customHeight="1" spans="1:25">
      <c r="A310" s="262">
        <f t="shared" si="10"/>
        <v>303</v>
      </c>
      <c r="B310" s="209">
        <v>2022</v>
      </c>
      <c r="C310" s="210" t="s">
        <v>37</v>
      </c>
      <c r="D310" s="259" t="s">
        <v>2781</v>
      </c>
      <c r="E310" s="212" t="s">
        <v>2782</v>
      </c>
      <c r="F310" s="213" t="s">
        <v>2073</v>
      </c>
      <c r="G310" s="214" t="s">
        <v>2663</v>
      </c>
      <c r="H310" s="215">
        <v>0.8</v>
      </c>
      <c r="I310" s="216">
        <v>53010</v>
      </c>
      <c r="J310" s="217" t="s">
        <v>2195</v>
      </c>
      <c r="K310" s="217" t="s">
        <v>2196</v>
      </c>
      <c r="L310" s="218">
        <v>0.4</v>
      </c>
      <c r="M310" s="230" t="s">
        <v>2691</v>
      </c>
      <c r="N310" s="260">
        <v>2400</v>
      </c>
      <c r="O310" s="260">
        <v>2400</v>
      </c>
      <c r="P310" s="216">
        <f t="shared" si="11"/>
        <v>1920</v>
      </c>
      <c r="Q310" s="260">
        <v>1920</v>
      </c>
      <c r="R310" s="1264" t="s">
        <v>2665</v>
      </c>
      <c r="S310" s="260">
        <v>960</v>
      </c>
      <c r="T310" s="204" t="s">
        <v>2666</v>
      </c>
      <c r="U310" s="1264" t="s">
        <v>2667</v>
      </c>
      <c r="V310" s="221">
        <v>480</v>
      </c>
      <c r="W310" s="1264" t="s">
        <v>2063</v>
      </c>
      <c r="X310" s="273">
        <v>480</v>
      </c>
      <c r="Y310" s="262"/>
    </row>
    <row r="311" ht="37.5" customHeight="1" spans="1:25">
      <c r="A311" s="262">
        <f t="shared" si="10"/>
        <v>304</v>
      </c>
      <c r="B311" s="209">
        <v>2022</v>
      </c>
      <c r="C311" s="210" t="s">
        <v>37</v>
      </c>
      <c r="D311" s="259" t="s">
        <v>2783</v>
      </c>
      <c r="E311" s="212" t="s">
        <v>2784</v>
      </c>
      <c r="F311" s="213" t="s">
        <v>2073</v>
      </c>
      <c r="G311" s="214" t="s">
        <v>2663</v>
      </c>
      <c r="H311" s="215">
        <v>0.8</v>
      </c>
      <c r="I311" s="216">
        <v>16008.33</v>
      </c>
      <c r="J311" s="217" t="s">
        <v>2785</v>
      </c>
      <c r="K311" s="217" t="s">
        <v>2786</v>
      </c>
      <c r="L311" s="218">
        <v>0.4</v>
      </c>
      <c r="M311" s="230" t="s">
        <v>2046</v>
      </c>
      <c r="N311" s="260">
        <v>583.34</v>
      </c>
      <c r="O311" s="260">
        <v>583.34</v>
      </c>
      <c r="P311" s="216">
        <f t="shared" si="11"/>
        <v>466.672</v>
      </c>
      <c r="Q311" s="260">
        <v>466.67</v>
      </c>
      <c r="R311" s="1264" t="s">
        <v>2665</v>
      </c>
      <c r="S311" s="260">
        <v>233.34</v>
      </c>
      <c r="T311" s="204" t="s">
        <v>2666</v>
      </c>
      <c r="U311" s="1264" t="s">
        <v>2667</v>
      </c>
      <c r="V311" s="221">
        <v>116.67</v>
      </c>
      <c r="W311" s="1264" t="s">
        <v>2063</v>
      </c>
      <c r="X311" s="273">
        <v>116.67</v>
      </c>
      <c r="Y311" s="262"/>
    </row>
    <row r="312" ht="37.5" customHeight="1" spans="1:25">
      <c r="A312" s="262">
        <f t="shared" ref="A312:A375" si="12">ROW()-7</f>
        <v>305</v>
      </c>
      <c r="B312" s="209">
        <v>2022</v>
      </c>
      <c r="C312" s="210" t="s">
        <v>37</v>
      </c>
      <c r="D312" s="259" t="s">
        <v>2787</v>
      </c>
      <c r="E312" s="212" t="s">
        <v>2788</v>
      </c>
      <c r="F312" s="213" t="s">
        <v>2073</v>
      </c>
      <c r="G312" s="214" t="s">
        <v>2663</v>
      </c>
      <c r="H312" s="215">
        <v>0.8</v>
      </c>
      <c r="I312" s="216">
        <v>320000</v>
      </c>
      <c r="J312" s="217" t="s">
        <v>2106</v>
      </c>
      <c r="K312" s="217" t="s">
        <v>2107</v>
      </c>
      <c r="L312" s="218">
        <v>0.4</v>
      </c>
      <c r="M312" s="230" t="s">
        <v>2572</v>
      </c>
      <c r="N312" s="260">
        <v>145833.35</v>
      </c>
      <c r="O312" s="260">
        <v>145833.35</v>
      </c>
      <c r="P312" s="216">
        <f t="shared" si="11"/>
        <v>116666.68</v>
      </c>
      <c r="Q312" s="260">
        <v>116666.68</v>
      </c>
      <c r="R312" s="1264" t="s">
        <v>2665</v>
      </c>
      <c r="S312" s="260">
        <v>58333.34</v>
      </c>
      <c r="T312" s="204" t="s">
        <v>2666</v>
      </c>
      <c r="U312" s="1264" t="s">
        <v>2667</v>
      </c>
      <c r="V312" s="221">
        <v>29166.67</v>
      </c>
      <c r="W312" s="1264" t="s">
        <v>2063</v>
      </c>
      <c r="X312" s="273">
        <v>29166.67</v>
      </c>
      <c r="Y312" s="262"/>
    </row>
    <row r="313" ht="37.5" customHeight="1" spans="1:25">
      <c r="A313" s="262">
        <f t="shared" si="12"/>
        <v>306</v>
      </c>
      <c r="B313" s="209">
        <v>2022</v>
      </c>
      <c r="C313" s="210" t="s">
        <v>37</v>
      </c>
      <c r="D313" s="259" t="s">
        <v>2787</v>
      </c>
      <c r="E313" s="212" t="s">
        <v>2789</v>
      </c>
      <c r="F313" s="213" t="s">
        <v>2073</v>
      </c>
      <c r="G313" s="214" t="s">
        <v>2663</v>
      </c>
      <c r="H313" s="215">
        <v>0.8</v>
      </c>
      <c r="I313" s="216">
        <v>715000</v>
      </c>
      <c r="J313" s="217" t="s">
        <v>2176</v>
      </c>
      <c r="K313" s="217" t="s">
        <v>2177</v>
      </c>
      <c r="L313" s="218">
        <v>0.4</v>
      </c>
      <c r="M313" s="230" t="s">
        <v>2572</v>
      </c>
      <c r="N313" s="260">
        <v>233333.4</v>
      </c>
      <c r="O313" s="260">
        <v>233333.4</v>
      </c>
      <c r="P313" s="216">
        <f t="shared" si="11"/>
        <v>186666.72</v>
      </c>
      <c r="Q313" s="260">
        <v>186666.72</v>
      </c>
      <c r="R313" s="1264" t="s">
        <v>2665</v>
      </c>
      <c r="S313" s="260">
        <v>93333.36</v>
      </c>
      <c r="T313" s="204" t="s">
        <v>2666</v>
      </c>
      <c r="U313" s="1264" t="s">
        <v>2714</v>
      </c>
      <c r="V313" s="221">
        <v>46666.68</v>
      </c>
      <c r="W313" s="1264" t="s">
        <v>2668</v>
      </c>
      <c r="X313" s="222">
        <v>46666.68</v>
      </c>
      <c r="Y313" s="262"/>
    </row>
    <row r="314" ht="37.5" customHeight="1" spans="1:25">
      <c r="A314" s="262">
        <f t="shared" si="12"/>
        <v>307</v>
      </c>
      <c r="B314" s="209">
        <v>2022</v>
      </c>
      <c r="C314" s="210" t="s">
        <v>37</v>
      </c>
      <c r="D314" s="259" t="s">
        <v>2790</v>
      </c>
      <c r="E314" s="212" t="s">
        <v>2791</v>
      </c>
      <c r="F314" s="213" t="s">
        <v>2073</v>
      </c>
      <c r="G314" s="214" t="s">
        <v>2663</v>
      </c>
      <c r="H314" s="215">
        <v>0.8</v>
      </c>
      <c r="I314" s="216">
        <v>15403.7</v>
      </c>
      <c r="J314" s="217" t="s">
        <v>2792</v>
      </c>
      <c r="K314" s="217" t="s">
        <v>2793</v>
      </c>
      <c r="L314" s="218">
        <v>0.4</v>
      </c>
      <c r="M314" s="230" t="s">
        <v>2794</v>
      </c>
      <c r="N314" s="260">
        <v>1701</v>
      </c>
      <c r="O314" s="260">
        <v>1701</v>
      </c>
      <c r="P314" s="216">
        <f t="shared" si="11"/>
        <v>1360.8</v>
      </c>
      <c r="Q314" s="260">
        <v>1360.8</v>
      </c>
      <c r="R314" s="1264" t="s">
        <v>2665</v>
      </c>
      <c r="S314" s="260">
        <v>680.4</v>
      </c>
      <c r="T314" s="204" t="s">
        <v>2666</v>
      </c>
      <c r="U314" s="1264" t="s">
        <v>2667</v>
      </c>
      <c r="V314" s="221">
        <v>340.2</v>
      </c>
      <c r="W314" s="1264" t="s">
        <v>2063</v>
      </c>
      <c r="X314" s="273">
        <v>340.2</v>
      </c>
      <c r="Y314" s="262"/>
    </row>
    <row r="315" ht="37.5" customHeight="1" spans="1:25">
      <c r="A315" s="262">
        <f t="shared" si="12"/>
        <v>308</v>
      </c>
      <c r="B315" s="209">
        <v>2022</v>
      </c>
      <c r="C315" s="210" t="s">
        <v>37</v>
      </c>
      <c r="D315" s="259" t="s">
        <v>2795</v>
      </c>
      <c r="E315" s="212" t="s">
        <v>2796</v>
      </c>
      <c r="F315" s="213" t="s">
        <v>2073</v>
      </c>
      <c r="G315" s="214" t="s">
        <v>2663</v>
      </c>
      <c r="H315" s="215">
        <v>0.8</v>
      </c>
      <c r="I315" s="216">
        <v>17368.85</v>
      </c>
      <c r="J315" s="217" t="s">
        <v>2797</v>
      </c>
      <c r="K315" s="217" t="s">
        <v>2798</v>
      </c>
      <c r="L315" s="218">
        <v>0.4</v>
      </c>
      <c r="M315" s="230" t="s">
        <v>2026</v>
      </c>
      <c r="N315" s="260">
        <v>2547</v>
      </c>
      <c r="O315" s="260">
        <v>2547</v>
      </c>
      <c r="P315" s="216">
        <f t="shared" si="11"/>
        <v>2037.6</v>
      </c>
      <c r="Q315" s="260">
        <v>2037.6</v>
      </c>
      <c r="R315" s="1264" t="s">
        <v>2665</v>
      </c>
      <c r="S315" s="260">
        <v>1018.8</v>
      </c>
      <c r="T315" s="204" t="s">
        <v>2666</v>
      </c>
      <c r="U315" s="1264" t="s">
        <v>2667</v>
      </c>
      <c r="V315" s="221">
        <v>509.4</v>
      </c>
      <c r="W315" s="1264" t="s">
        <v>2668</v>
      </c>
      <c r="X315" s="273">
        <v>509.4</v>
      </c>
      <c r="Y315" s="262"/>
    </row>
    <row r="316" ht="37.5" customHeight="1" spans="1:25">
      <c r="A316" s="262">
        <f t="shared" si="12"/>
        <v>309</v>
      </c>
      <c r="B316" s="209">
        <v>2022</v>
      </c>
      <c r="C316" s="210" t="s">
        <v>37</v>
      </c>
      <c r="D316" s="259" t="s">
        <v>2795</v>
      </c>
      <c r="E316" s="212" t="s">
        <v>2799</v>
      </c>
      <c r="F316" s="213" t="s">
        <v>2073</v>
      </c>
      <c r="G316" s="214" t="s">
        <v>2663</v>
      </c>
      <c r="H316" s="215">
        <v>0.8</v>
      </c>
      <c r="I316" s="216">
        <v>17368.85</v>
      </c>
      <c r="J316" s="217" t="s">
        <v>2120</v>
      </c>
      <c r="K316" s="217" t="s">
        <v>2800</v>
      </c>
      <c r="L316" s="218">
        <v>0.4</v>
      </c>
      <c r="M316" s="230" t="s">
        <v>2691</v>
      </c>
      <c r="N316" s="260">
        <v>382</v>
      </c>
      <c r="O316" s="260">
        <v>382</v>
      </c>
      <c r="P316" s="216">
        <f t="shared" si="11"/>
        <v>305.6</v>
      </c>
      <c r="Q316" s="260">
        <v>305.6</v>
      </c>
      <c r="R316" s="1264" t="s">
        <v>2665</v>
      </c>
      <c r="S316" s="260">
        <v>152.8</v>
      </c>
      <c r="T316" s="204" t="s">
        <v>2666</v>
      </c>
      <c r="U316" s="1264" t="s">
        <v>2667</v>
      </c>
      <c r="V316" s="221">
        <v>76.4</v>
      </c>
      <c r="W316" s="1264" t="s">
        <v>2063</v>
      </c>
      <c r="X316" s="273">
        <v>76.4</v>
      </c>
      <c r="Y316" s="262"/>
    </row>
    <row r="317" ht="37.5" customHeight="1" spans="1:25">
      <c r="A317" s="262">
        <f t="shared" si="12"/>
        <v>310</v>
      </c>
      <c r="B317" s="209">
        <v>2022</v>
      </c>
      <c r="C317" s="210" t="s">
        <v>37</v>
      </c>
      <c r="D317" s="259" t="s">
        <v>2801</v>
      </c>
      <c r="E317" s="212" t="s">
        <v>2802</v>
      </c>
      <c r="F317" s="213" t="s">
        <v>2073</v>
      </c>
      <c r="G317" s="214" t="s">
        <v>2663</v>
      </c>
      <c r="H317" s="215">
        <v>0.8</v>
      </c>
      <c r="I317" s="216">
        <v>10000</v>
      </c>
      <c r="J317" s="217" t="s">
        <v>1969</v>
      </c>
      <c r="K317" s="217" t="s">
        <v>2480</v>
      </c>
      <c r="L317" s="218">
        <v>0.4</v>
      </c>
      <c r="M317" s="230" t="s">
        <v>2803</v>
      </c>
      <c r="N317" s="260">
        <v>1817.78</v>
      </c>
      <c r="O317" s="260">
        <v>1817.78</v>
      </c>
      <c r="P317" s="216">
        <f t="shared" si="11"/>
        <v>1454.224</v>
      </c>
      <c r="Q317" s="260">
        <v>1454.22</v>
      </c>
      <c r="R317" s="1264" t="s">
        <v>2665</v>
      </c>
      <c r="S317" s="260">
        <v>727.11</v>
      </c>
      <c r="T317" s="204" t="s">
        <v>2666</v>
      </c>
      <c r="U317" s="1264" t="s">
        <v>2667</v>
      </c>
      <c r="V317" s="221">
        <v>363.56</v>
      </c>
      <c r="W317" s="1264" t="s">
        <v>2063</v>
      </c>
      <c r="X317" s="273">
        <v>363.56</v>
      </c>
      <c r="Y317" s="262"/>
    </row>
    <row r="318" ht="37.5" customHeight="1" spans="1:25">
      <c r="A318" s="262">
        <f t="shared" si="12"/>
        <v>311</v>
      </c>
      <c r="B318" s="209">
        <v>2022</v>
      </c>
      <c r="C318" s="210" t="s">
        <v>37</v>
      </c>
      <c r="D318" s="259" t="s">
        <v>2804</v>
      </c>
      <c r="E318" s="212" t="s">
        <v>2805</v>
      </c>
      <c r="F318" s="213" t="s">
        <v>2073</v>
      </c>
      <c r="G318" s="214" t="s">
        <v>2663</v>
      </c>
      <c r="H318" s="215">
        <v>0.8</v>
      </c>
      <c r="I318" s="216">
        <v>18130.19</v>
      </c>
      <c r="J318" s="217" t="s">
        <v>2677</v>
      </c>
      <c r="K318" s="217" t="s">
        <v>2678</v>
      </c>
      <c r="L318" s="218">
        <v>0.4</v>
      </c>
      <c r="M318" s="230" t="s">
        <v>1875</v>
      </c>
      <c r="N318" s="260">
        <v>1858.51</v>
      </c>
      <c r="O318" s="260">
        <v>1858.51</v>
      </c>
      <c r="P318" s="216">
        <f t="shared" si="11"/>
        <v>1486.808</v>
      </c>
      <c r="Q318" s="260">
        <v>1486.81</v>
      </c>
      <c r="R318" s="1264" t="s">
        <v>2665</v>
      </c>
      <c r="S318" s="260">
        <v>743.41</v>
      </c>
      <c r="T318" s="204" t="s">
        <v>2666</v>
      </c>
      <c r="U318" s="1264" t="s">
        <v>2667</v>
      </c>
      <c r="V318" s="221">
        <v>371.7</v>
      </c>
      <c r="W318" s="1264" t="s">
        <v>2063</v>
      </c>
      <c r="X318" s="273">
        <v>371.7</v>
      </c>
      <c r="Y318" s="262"/>
    </row>
    <row r="319" ht="37.5" customHeight="1" spans="1:25">
      <c r="A319" s="262">
        <f t="shared" si="12"/>
        <v>312</v>
      </c>
      <c r="B319" s="209">
        <v>2022</v>
      </c>
      <c r="C319" s="210" t="s">
        <v>37</v>
      </c>
      <c r="D319" s="259" t="s">
        <v>2806</v>
      </c>
      <c r="E319" s="212" t="s">
        <v>2807</v>
      </c>
      <c r="F319" s="213" t="s">
        <v>2073</v>
      </c>
      <c r="G319" s="214" t="s">
        <v>2663</v>
      </c>
      <c r="H319" s="215">
        <v>0.8</v>
      </c>
      <c r="I319" s="216">
        <v>38000</v>
      </c>
      <c r="J319" s="217" t="s">
        <v>2363</v>
      </c>
      <c r="K319" s="217" t="s">
        <v>2364</v>
      </c>
      <c r="L319" s="218">
        <v>0.4</v>
      </c>
      <c r="M319" s="230" t="s">
        <v>2794</v>
      </c>
      <c r="N319" s="260">
        <v>14000</v>
      </c>
      <c r="O319" s="260">
        <v>14000</v>
      </c>
      <c r="P319" s="216">
        <f t="shared" si="11"/>
        <v>11200</v>
      </c>
      <c r="Q319" s="260">
        <v>11200</v>
      </c>
      <c r="R319" s="1264" t="s">
        <v>2665</v>
      </c>
      <c r="S319" s="260">
        <v>5600</v>
      </c>
      <c r="T319" s="204" t="s">
        <v>2666</v>
      </c>
      <c r="U319" s="1264" t="s">
        <v>2667</v>
      </c>
      <c r="V319" s="221">
        <v>2800</v>
      </c>
      <c r="W319" s="1264" t="s">
        <v>2668</v>
      </c>
      <c r="X319" s="273">
        <v>2800</v>
      </c>
      <c r="Y319" s="262"/>
    </row>
    <row r="320" ht="37.5" customHeight="1" spans="1:25">
      <c r="A320" s="262">
        <f t="shared" si="12"/>
        <v>313</v>
      </c>
      <c r="B320" s="209">
        <v>2022</v>
      </c>
      <c r="C320" s="210" t="s">
        <v>37</v>
      </c>
      <c r="D320" s="259" t="s">
        <v>2808</v>
      </c>
      <c r="E320" s="212" t="s">
        <v>2809</v>
      </c>
      <c r="F320" s="213" t="s">
        <v>2073</v>
      </c>
      <c r="G320" s="214" t="s">
        <v>2663</v>
      </c>
      <c r="H320" s="215">
        <v>0.8</v>
      </c>
      <c r="I320" s="216">
        <v>500000</v>
      </c>
      <c r="J320" s="217" t="s">
        <v>2015</v>
      </c>
      <c r="K320" s="217" t="s">
        <v>2810</v>
      </c>
      <c r="L320" s="218">
        <v>0.4</v>
      </c>
      <c r="M320" s="230" t="s">
        <v>2695</v>
      </c>
      <c r="N320" s="260">
        <v>24903.88</v>
      </c>
      <c r="O320" s="260">
        <v>24903.88</v>
      </c>
      <c r="P320" s="216">
        <f t="shared" ref="P320:P372" si="13">O320*H320</f>
        <v>19923.104</v>
      </c>
      <c r="Q320" s="260">
        <v>19923.1</v>
      </c>
      <c r="R320" s="1264" t="s">
        <v>2665</v>
      </c>
      <c r="S320" s="260">
        <v>9961.55</v>
      </c>
      <c r="T320" s="204" t="s">
        <v>2666</v>
      </c>
      <c r="U320" s="1264" t="s">
        <v>2667</v>
      </c>
      <c r="V320" s="221">
        <v>4980.78</v>
      </c>
      <c r="W320" s="1264" t="s">
        <v>2063</v>
      </c>
      <c r="X320" s="273">
        <v>4980.78</v>
      </c>
      <c r="Y320" s="262"/>
    </row>
    <row r="321" ht="37.5" customHeight="1" spans="1:25">
      <c r="A321" s="262">
        <f t="shared" si="12"/>
        <v>314</v>
      </c>
      <c r="B321" s="209">
        <v>2022</v>
      </c>
      <c r="C321" s="210" t="s">
        <v>37</v>
      </c>
      <c r="D321" s="259" t="s">
        <v>2808</v>
      </c>
      <c r="E321" s="212" t="s">
        <v>2811</v>
      </c>
      <c r="F321" s="213" t="s">
        <v>2073</v>
      </c>
      <c r="G321" s="214" t="s">
        <v>2663</v>
      </c>
      <c r="H321" s="215">
        <v>0.8</v>
      </c>
      <c r="I321" s="216">
        <v>59600</v>
      </c>
      <c r="J321" s="217" t="s">
        <v>2812</v>
      </c>
      <c r="K321" s="217" t="s">
        <v>2813</v>
      </c>
      <c r="L321" s="218">
        <v>0.4</v>
      </c>
      <c r="M321" s="230" t="s">
        <v>2695</v>
      </c>
      <c r="N321" s="260">
        <v>54633.34</v>
      </c>
      <c r="O321" s="260">
        <v>54633.34</v>
      </c>
      <c r="P321" s="216">
        <f t="shared" si="13"/>
        <v>43706.672</v>
      </c>
      <c r="Q321" s="260">
        <v>43706.67</v>
      </c>
      <c r="R321" s="1264" t="s">
        <v>2665</v>
      </c>
      <c r="S321" s="260">
        <v>21853.34</v>
      </c>
      <c r="T321" s="204" t="s">
        <v>2666</v>
      </c>
      <c r="U321" s="1264" t="s">
        <v>2667</v>
      </c>
      <c r="V321" s="221">
        <v>10926.67</v>
      </c>
      <c r="W321" s="1264" t="s">
        <v>2063</v>
      </c>
      <c r="X321" s="273">
        <v>10926.67</v>
      </c>
      <c r="Y321" s="262"/>
    </row>
    <row r="322" ht="37.5" customHeight="1" spans="1:25">
      <c r="A322" s="262">
        <f t="shared" si="12"/>
        <v>315</v>
      </c>
      <c r="B322" s="209">
        <v>2022</v>
      </c>
      <c r="C322" s="210" t="s">
        <v>37</v>
      </c>
      <c r="D322" s="259" t="s">
        <v>2814</v>
      </c>
      <c r="E322" s="212" t="s">
        <v>2815</v>
      </c>
      <c r="F322" s="213" t="s">
        <v>2073</v>
      </c>
      <c r="G322" s="214" t="s">
        <v>2663</v>
      </c>
      <c r="H322" s="215">
        <v>0.8</v>
      </c>
      <c r="I322" s="216">
        <v>120000</v>
      </c>
      <c r="J322" s="217" t="s">
        <v>2363</v>
      </c>
      <c r="K322" s="217" t="s">
        <v>2364</v>
      </c>
      <c r="L322" s="218">
        <v>0.4</v>
      </c>
      <c r="M322" s="230" t="s">
        <v>2710</v>
      </c>
      <c r="N322" s="260">
        <v>23333.35</v>
      </c>
      <c r="O322" s="260">
        <v>23333.35</v>
      </c>
      <c r="P322" s="216">
        <f t="shared" si="13"/>
        <v>18666.68</v>
      </c>
      <c r="Q322" s="260">
        <v>18666.68</v>
      </c>
      <c r="R322" s="1264" t="s">
        <v>2665</v>
      </c>
      <c r="S322" s="260">
        <v>9333.34</v>
      </c>
      <c r="T322" s="204" t="s">
        <v>2666</v>
      </c>
      <c r="U322" s="1264" t="s">
        <v>2667</v>
      </c>
      <c r="V322" s="221">
        <v>4666.67</v>
      </c>
      <c r="W322" s="1264" t="s">
        <v>2063</v>
      </c>
      <c r="X322" s="273">
        <v>4666.67</v>
      </c>
      <c r="Y322" s="262"/>
    </row>
    <row r="323" ht="37.5" customHeight="1" spans="1:25">
      <c r="A323" s="262">
        <f t="shared" si="12"/>
        <v>316</v>
      </c>
      <c r="B323" s="209">
        <v>2022</v>
      </c>
      <c r="C323" s="210" t="s">
        <v>37</v>
      </c>
      <c r="D323" s="259" t="s">
        <v>2816</v>
      </c>
      <c r="E323" s="212" t="s">
        <v>2817</v>
      </c>
      <c r="F323" s="213" t="s">
        <v>2073</v>
      </c>
      <c r="G323" s="214" t="s">
        <v>2663</v>
      </c>
      <c r="H323" s="215">
        <v>0.8</v>
      </c>
      <c r="I323" s="216">
        <v>53000</v>
      </c>
      <c r="J323" s="217" t="s">
        <v>2079</v>
      </c>
      <c r="K323" s="217" t="s">
        <v>2080</v>
      </c>
      <c r="L323" s="218">
        <v>0.4</v>
      </c>
      <c r="M323" s="230" t="s">
        <v>2780</v>
      </c>
      <c r="N323" s="260">
        <v>11666.7</v>
      </c>
      <c r="O323" s="260">
        <v>11666.7</v>
      </c>
      <c r="P323" s="216">
        <f t="shared" si="13"/>
        <v>9333.36</v>
      </c>
      <c r="Q323" s="260">
        <v>9333.36</v>
      </c>
      <c r="R323" s="1264" t="s">
        <v>2665</v>
      </c>
      <c r="S323" s="260">
        <v>4666.68</v>
      </c>
      <c r="T323" s="204" t="s">
        <v>2666</v>
      </c>
      <c r="U323" s="1264" t="s">
        <v>2667</v>
      </c>
      <c r="V323" s="221">
        <v>2333.34</v>
      </c>
      <c r="W323" s="1264" t="s">
        <v>2668</v>
      </c>
      <c r="X323" s="273">
        <v>2333.34</v>
      </c>
      <c r="Y323" s="262"/>
    </row>
    <row r="324" ht="37.5" customHeight="1" spans="1:25">
      <c r="A324" s="262">
        <f t="shared" si="12"/>
        <v>317</v>
      </c>
      <c r="B324" s="209">
        <v>2022</v>
      </c>
      <c r="C324" s="210" t="s">
        <v>37</v>
      </c>
      <c r="D324" s="259" t="s">
        <v>2818</v>
      </c>
      <c r="E324" s="212" t="s">
        <v>2819</v>
      </c>
      <c r="F324" s="213" t="s">
        <v>2073</v>
      </c>
      <c r="G324" s="214" t="s">
        <v>2663</v>
      </c>
      <c r="H324" s="215">
        <v>0.8</v>
      </c>
      <c r="I324" s="216">
        <v>33500</v>
      </c>
      <c r="J324" s="217" t="s">
        <v>2429</v>
      </c>
      <c r="K324" s="217" t="s">
        <v>2820</v>
      </c>
      <c r="L324" s="218">
        <v>0.4</v>
      </c>
      <c r="M324" s="230" t="s">
        <v>2794</v>
      </c>
      <c r="N324" s="260">
        <v>27958.36</v>
      </c>
      <c r="O324" s="260">
        <v>27958.36</v>
      </c>
      <c r="P324" s="216">
        <f t="shared" si="13"/>
        <v>22366.688</v>
      </c>
      <c r="Q324" s="260">
        <v>22366.69</v>
      </c>
      <c r="R324" s="1264" t="s">
        <v>2665</v>
      </c>
      <c r="S324" s="260">
        <v>11183.35</v>
      </c>
      <c r="T324" s="204" t="s">
        <v>2666</v>
      </c>
      <c r="U324" s="1264" t="s">
        <v>2667</v>
      </c>
      <c r="V324" s="221">
        <v>5591.67</v>
      </c>
      <c r="W324" s="1264" t="s">
        <v>2063</v>
      </c>
      <c r="X324" s="273">
        <v>5591.67</v>
      </c>
      <c r="Y324" s="262"/>
    </row>
    <row r="325" ht="37.5" customHeight="1" spans="1:25">
      <c r="A325" s="262">
        <f t="shared" si="12"/>
        <v>318</v>
      </c>
      <c r="B325" s="209">
        <v>2022</v>
      </c>
      <c r="C325" s="210" t="s">
        <v>37</v>
      </c>
      <c r="D325" s="259" t="s">
        <v>2821</v>
      </c>
      <c r="E325" s="212" t="s">
        <v>2822</v>
      </c>
      <c r="F325" s="213" t="s">
        <v>2073</v>
      </c>
      <c r="G325" s="214" t="s">
        <v>2663</v>
      </c>
      <c r="H325" s="215">
        <v>0.8</v>
      </c>
      <c r="I325" s="216">
        <v>65050</v>
      </c>
      <c r="J325" s="217" t="s">
        <v>2302</v>
      </c>
      <c r="K325" s="217" t="s">
        <v>2303</v>
      </c>
      <c r="L325" s="218">
        <v>0.4</v>
      </c>
      <c r="M325" s="230" t="s">
        <v>2823</v>
      </c>
      <c r="N325" s="260">
        <v>14716.71</v>
      </c>
      <c r="O325" s="260">
        <v>14716.71</v>
      </c>
      <c r="P325" s="216">
        <f t="shared" si="13"/>
        <v>11773.368</v>
      </c>
      <c r="Q325" s="260">
        <v>11773.37</v>
      </c>
      <c r="R325" s="1264" t="s">
        <v>2665</v>
      </c>
      <c r="S325" s="260">
        <v>5886.69</v>
      </c>
      <c r="T325" s="204" t="s">
        <v>2666</v>
      </c>
      <c r="U325" s="1264" t="s">
        <v>2667</v>
      </c>
      <c r="V325" s="221">
        <v>2943.34</v>
      </c>
      <c r="W325" s="1264" t="s">
        <v>2063</v>
      </c>
      <c r="X325" s="273">
        <v>2943.34</v>
      </c>
      <c r="Y325" s="262"/>
    </row>
    <row r="326" ht="37.5" customHeight="1" spans="1:25">
      <c r="A326" s="262">
        <f t="shared" si="12"/>
        <v>319</v>
      </c>
      <c r="B326" s="209">
        <v>2022</v>
      </c>
      <c r="C326" s="210" t="s">
        <v>37</v>
      </c>
      <c r="D326" s="259" t="s">
        <v>2821</v>
      </c>
      <c r="E326" s="212" t="s">
        <v>2824</v>
      </c>
      <c r="F326" s="213" t="s">
        <v>2073</v>
      </c>
      <c r="G326" s="214" t="s">
        <v>2663</v>
      </c>
      <c r="H326" s="215">
        <v>0.8</v>
      </c>
      <c r="I326" s="216">
        <v>19016.65</v>
      </c>
      <c r="J326" s="217" t="s">
        <v>2429</v>
      </c>
      <c r="K326" s="217" t="s">
        <v>2820</v>
      </c>
      <c r="L326" s="218">
        <v>0.4</v>
      </c>
      <c r="M326" s="230" t="s">
        <v>2681</v>
      </c>
      <c r="N326" s="260">
        <v>8333.34</v>
      </c>
      <c r="O326" s="260">
        <v>8333.34</v>
      </c>
      <c r="P326" s="216">
        <f t="shared" si="13"/>
        <v>6666.672</v>
      </c>
      <c r="Q326" s="260">
        <v>6666.67</v>
      </c>
      <c r="R326" s="1264" t="s">
        <v>2665</v>
      </c>
      <c r="S326" s="260">
        <v>3333.34</v>
      </c>
      <c r="T326" s="204" t="s">
        <v>2666</v>
      </c>
      <c r="U326" s="1264" t="s">
        <v>2667</v>
      </c>
      <c r="V326" s="221">
        <v>1666.67</v>
      </c>
      <c r="W326" s="1264" t="s">
        <v>2063</v>
      </c>
      <c r="X326" s="273">
        <v>1666.67</v>
      </c>
      <c r="Y326" s="262"/>
    </row>
    <row r="327" ht="37.5" customHeight="1" spans="1:25">
      <c r="A327" s="262">
        <f t="shared" si="12"/>
        <v>320</v>
      </c>
      <c r="B327" s="209">
        <v>2022</v>
      </c>
      <c r="C327" s="210" t="s">
        <v>37</v>
      </c>
      <c r="D327" s="259" t="s">
        <v>2825</v>
      </c>
      <c r="E327" s="212" t="s">
        <v>2826</v>
      </c>
      <c r="F327" s="213" t="s">
        <v>2073</v>
      </c>
      <c r="G327" s="214" t="s">
        <v>2663</v>
      </c>
      <c r="H327" s="215">
        <v>0.8</v>
      </c>
      <c r="I327" s="216">
        <v>10000</v>
      </c>
      <c r="J327" s="217" t="s">
        <v>1893</v>
      </c>
      <c r="K327" s="217" t="s">
        <v>2382</v>
      </c>
      <c r="L327" s="218">
        <v>0.4</v>
      </c>
      <c r="M327" s="230" t="s">
        <v>2664</v>
      </c>
      <c r="N327" s="260">
        <v>200</v>
      </c>
      <c r="O327" s="260">
        <v>200</v>
      </c>
      <c r="P327" s="216">
        <f t="shared" si="13"/>
        <v>160</v>
      </c>
      <c r="Q327" s="260">
        <v>160</v>
      </c>
      <c r="R327" s="1264" t="s">
        <v>2665</v>
      </c>
      <c r="S327" s="260">
        <v>80</v>
      </c>
      <c r="T327" s="204" t="s">
        <v>2666</v>
      </c>
      <c r="U327" s="1264" t="s">
        <v>2667</v>
      </c>
      <c r="V327" s="221">
        <v>40</v>
      </c>
      <c r="W327" s="1264" t="s">
        <v>2668</v>
      </c>
      <c r="X327" s="273">
        <v>40</v>
      </c>
      <c r="Y327" s="262"/>
    </row>
    <row r="328" ht="37.5" customHeight="1" spans="1:25">
      <c r="A328" s="262">
        <f t="shared" si="12"/>
        <v>321</v>
      </c>
      <c r="B328" s="209">
        <v>2022</v>
      </c>
      <c r="C328" s="210" t="s">
        <v>37</v>
      </c>
      <c r="D328" s="259" t="s">
        <v>2827</v>
      </c>
      <c r="E328" s="212" t="s">
        <v>2828</v>
      </c>
      <c r="F328" s="213" t="s">
        <v>2073</v>
      </c>
      <c r="G328" s="214" t="s">
        <v>2663</v>
      </c>
      <c r="H328" s="215">
        <v>0.8</v>
      </c>
      <c r="I328" s="216">
        <v>23000</v>
      </c>
      <c r="J328" s="217" t="s">
        <v>2020</v>
      </c>
      <c r="K328" s="217" t="s">
        <v>2698</v>
      </c>
      <c r="L328" s="218">
        <v>0.4</v>
      </c>
      <c r="M328" s="230" t="s">
        <v>2681</v>
      </c>
      <c r="N328" s="260">
        <v>4999</v>
      </c>
      <c r="O328" s="260">
        <v>4999</v>
      </c>
      <c r="P328" s="216">
        <f t="shared" si="13"/>
        <v>3999.2</v>
      </c>
      <c r="Q328" s="260">
        <v>3999.2</v>
      </c>
      <c r="R328" s="1264" t="s">
        <v>2665</v>
      </c>
      <c r="S328" s="260">
        <v>1999.6</v>
      </c>
      <c r="T328" s="204" t="s">
        <v>2666</v>
      </c>
      <c r="U328" s="1264" t="s">
        <v>2667</v>
      </c>
      <c r="V328" s="221">
        <v>999.8</v>
      </c>
      <c r="W328" s="1264" t="s">
        <v>2063</v>
      </c>
      <c r="X328" s="273">
        <v>999.8</v>
      </c>
      <c r="Y328" s="262"/>
    </row>
    <row r="329" ht="37.5" customHeight="1" spans="1:25">
      <c r="A329" s="262">
        <f t="shared" si="12"/>
        <v>322</v>
      </c>
      <c r="B329" s="209">
        <v>2022</v>
      </c>
      <c r="C329" s="210" t="s">
        <v>37</v>
      </c>
      <c r="D329" s="259" t="s">
        <v>2829</v>
      </c>
      <c r="E329" s="212" t="s">
        <v>2830</v>
      </c>
      <c r="F329" s="213" t="s">
        <v>2073</v>
      </c>
      <c r="G329" s="214" t="s">
        <v>2663</v>
      </c>
      <c r="H329" s="215">
        <v>0.8</v>
      </c>
      <c r="I329" s="216">
        <v>94950</v>
      </c>
      <c r="J329" s="217" t="s">
        <v>2083</v>
      </c>
      <c r="K329" s="217" t="s">
        <v>2084</v>
      </c>
      <c r="L329" s="218">
        <v>0.4</v>
      </c>
      <c r="M329" s="230" t="s">
        <v>1875</v>
      </c>
      <c r="N329" s="260">
        <v>7000</v>
      </c>
      <c r="O329" s="260">
        <v>7000</v>
      </c>
      <c r="P329" s="216">
        <f t="shared" si="13"/>
        <v>5600</v>
      </c>
      <c r="Q329" s="260">
        <v>5600</v>
      </c>
      <c r="R329" s="1264" t="s">
        <v>2665</v>
      </c>
      <c r="S329" s="260">
        <v>2800</v>
      </c>
      <c r="T329" s="204" t="s">
        <v>2666</v>
      </c>
      <c r="U329" s="1264" t="s">
        <v>2667</v>
      </c>
      <c r="V329" s="221">
        <v>1400</v>
      </c>
      <c r="W329" s="1264" t="s">
        <v>2063</v>
      </c>
      <c r="X329" s="273">
        <v>1400</v>
      </c>
      <c r="Y329" s="262"/>
    </row>
    <row r="330" ht="37.5" customHeight="1" spans="1:25">
      <c r="A330" s="262">
        <f t="shared" si="12"/>
        <v>323</v>
      </c>
      <c r="B330" s="209">
        <v>2022</v>
      </c>
      <c r="C330" s="210" t="s">
        <v>37</v>
      </c>
      <c r="D330" s="259" t="s">
        <v>2831</v>
      </c>
      <c r="E330" s="212" t="s">
        <v>2832</v>
      </c>
      <c r="F330" s="213" t="s">
        <v>2073</v>
      </c>
      <c r="G330" s="214" t="s">
        <v>2663</v>
      </c>
      <c r="H330" s="215">
        <v>0.8</v>
      </c>
      <c r="I330" s="216">
        <v>17690</v>
      </c>
      <c r="J330" s="217" t="s">
        <v>2329</v>
      </c>
      <c r="K330" s="217" t="s">
        <v>2330</v>
      </c>
      <c r="L330" s="218">
        <v>0.4</v>
      </c>
      <c r="M330" s="230" t="s">
        <v>2664</v>
      </c>
      <c r="N330" s="260">
        <v>1726.15</v>
      </c>
      <c r="O330" s="260">
        <v>1726.15</v>
      </c>
      <c r="P330" s="216">
        <f t="shared" si="13"/>
        <v>1380.92</v>
      </c>
      <c r="Q330" s="260">
        <v>1380.92</v>
      </c>
      <c r="R330" s="1264" t="s">
        <v>2665</v>
      </c>
      <c r="S330" s="260">
        <v>690.46</v>
      </c>
      <c r="T330" s="204" t="s">
        <v>2666</v>
      </c>
      <c r="U330" s="1264" t="s">
        <v>2667</v>
      </c>
      <c r="V330" s="221">
        <v>345.23</v>
      </c>
      <c r="W330" s="1264" t="s">
        <v>2063</v>
      </c>
      <c r="X330" s="273">
        <v>345.23</v>
      </c>
      <c r="Y330" s="262"/>
    </row>
    <row r="331" ht="37.5" customHeight="1" spans="1:25">
      <c r="A331" s="262">
        <f t="shared" si="12"/>
        <v>324</v>
      </c>
      <c r="B331" s="209">
        <v>2022</v>
      </c>
      <c r="C331" s="210" t="s">
        <v>37</v>
      </c>
      <c r="D331" s="259" t="s">
        <v>2833</v>
      </c>
      <c r="E331" s="212" t="s">
        <v>2834</v>
      </c>
      <c r="F331" s="213" t="s">
        <v>2073</v>
      </c>
      <c r="G331" s="214" t="s">
        <v>2663</v>
      </c>
      <c r="H331" s="215">
        <v>0.8</v>
      </c>
      <c r="I331" s="216">
        <v>600990</v>
      </c>
      <c r="J331" s="217" t="s">
        <v>1892</v>
      </c>
      <c r="K331" s="217" t="s">
        <v>2462</v>
      </c>
      <c r="L331" s="218">
        <v>0.4</v>
      </c>
      <c r="M331" s="230" t="s">
        <v>2773</v>
      </c>
      <c r="N331" s="260">
        <v>278596.13</v>
      </c>
      <c r="O331" s="260">
        <v>278596.13</v>
      </c>
      <c r="P331" s="216">
        <f t="shared" si="13"/>
        <v>222876.904</v>
      </c>
      <c r="Q331" s="260">
        <v>222876.9</v>
      </c>
      <c r="R331" s="1264" t="s">
        <v>2665</v>
      </c>
      <c r="S331" s="260">
        <v>111438.45</v>
      </c>
      <c r="T331" s="204" t="s">
        <v>2666</v>
      </c>
      <c r="U331" s="1264" t="s">
        <v>2714</v>
      </c>
      <c r="V331" s="221">
        <v>55719.23</v>
      </c>
      <c r="W331" s="1264" t="s">
        <v>2668</v>
      </c>
      <c r="X331" s="222">
        <v>55719.23</v>
      </c>
      <c r="Y331" s="262"/>
    </row>
    <row r="332" ht="37.5" customHeight="1" spans="1:25">
      <c r="A332" s="262">
        <f t="shared" si="12"/>
        <v>325</v>
      </c>
      <c r="B332" s="209">
        <v>2022</v>
      </c>
      <c r="C332" s="210" t="s">
        <v>37</v>
      </c>
      <c r="D332" s="259" t="s">
        <v>2833</v>
      </c>
      <c r="E332" s="212" t="s">
        <v>2835</v>
      </c>
      <c r="F332" s="213" t="s">
        <v>2073</v>
      </c>
      <c r="G332" s="214" t="s">
        <v>2663</v>
      </c>
      <c r="H332" s="215">
        <v>0.8</v>
      </c>
      <c r="I332" s="216">
        <v>135400</v>
      </c>
      <c r="J332" s="217" t="s">
        <v>2836</v>
      </c>
      <c r="K332" s="217" t="s">
        <v>2837</v>
      </c>
      <c r="L332" s="218">
        <v>0.4</v>
      </c>
      <c r="M332" s="230" t="s">
        <v>2049</v>
      </c>
      <c r="N332" s="260">
        <v>109800.03</v>
      </c>
      <c r="O332" s="260">
        <v>109800.03</v>
      </c>
      <c r="P332" s="216">
        <f t="shared" si="13"/>
        <v>87840.024</v>
      </c>
      <c r="Q332" s="260">
        <v>87840.02</v>
      </c>
      <c r="R332" s="1264" t="s">
        <v>2665</v>
      </c>
      <c r="S332" s="260">
        <v>43920.01</v>
      </c>
      <c r="T332" s="204" t="s">
        <v>2666</v>
      </c>
      <c r="U332" s="1264" t="s">
        <v>2667</v>
      </c>
      <c r="V332" s="221">
        <v>21960.01</v>
      </c>
      <c r="W332" s="1264" t="s">
        <v>2063</v>
      </c>
      <c r="X332" s="273">
        <v>21960.01</v>
      </c>
      <c r="Y332" s="262"/>
    </row>
    <row r="333" ht="37.5" customHeight="1" spans="1:25">
      <c r="A333" s="262">
        <f t="shared" si="12"/>
        <v>326</v>
      </c>
      <c r="B333" s="209">
        <v>2022</v>
      </c>
      <c r="C333" s="210" t="s">
        <v>37</v>
      </c>
      <c r="D333" s="259" t="s">
        <v>2838</v>
      </c>
      <c r="E333" s="212" t="s">
        <v>2839</v>
      </c>
      <c r="F333" s="213" t="s">
        <v>2073</v>
      </c>
      <c r="G333" s="214" t="s">
        <v>2663</v>
      </c>
      <c r="H333" s="215">
        <v>0.8</v>
      </c>
      <c r="I333" s="216">
        <v>10030</v>
      </c>
      <c r="J333" s="217" t="s">
        <v>2252</v>
      </c>
      <c r="K333" s="217" t="s">
        <v>2253</v>
      </c>
      <c r="L333" s="218">
        <v>0.4</v>
      </c>
      <c r="M333" s="230" t="s">
        <v>2559</v>
      </c>
      <c r="N333" s="260">
        <v>1966.69</v>
      </c>
      <c r="O333" s="260">
        <v>1966.69</v>
      </c>
      <c r="P333" s="216">
        <f t="shared" si="13"/>
        <v>1573.352</v>
      </c>
      <c r="Q333" s="260">
        <v>1573.35</v>
      </c>
      <c r="R333" s="1264" t="s">
        <v>2665</v>
      </c>
      <c r="S333" s="260">
        <v>786.68</v>
      </c>
      <c r="T333" s="204" t="s">
        <v>2666</v>
      </c>
      <c r="U333" s="1264" t="s">
        <v>2667</v>
      </c>
      <c r="V333" s="221">
        <v>393.34</v>
      </c>
      <c r="W333" s="1264" t="s">
        <v>2063</v>
      </c>
      <c r="X333" s="273">
        <v>393.34</v>
      </c>
      <c r="Y333" s="262"/>
    </row>
    <row r="334" ht="37.5" customHeight="1" spans="1:25">
      <c r="A334" s="262">
        <f t="shared" si="12"/>
        <v>327</v>
      </c>
      <c r="B334" s="209">
        <v>2022</v>
      </c>
      <c r="C334" s="210" t="s">
        <v>37</v>
      </c>
      <c r="D334" s="259" t="s">
        <v>2840</v>
      </c>
      <c r="E334" s="212" t="s">
        <v>2841</v>
      </c>
      <c r="F334" s="213" t="s">
        <v>2073</v>
      </c>
      <c r="G334" s="214" t="s">
        <v>2663</v>
      </c>
      <c r="H334" s="215">
        <v>0.8</v>
      </c>
      <c r="I334" s="216">
        <v>32000</v>
      </c>
      <c r="J334" s="217" t="s">
        <v>1931</v>
      </c>
      <c r="K334" s="217" t="s">
        <v>2232</v>
      </c>
      <c r="L334" s="218">
        <v>0.4</v>
      </c>
      <c r="M334" s="230" t="s">
        <v>2695</v>
      </c>
      <c r="N334" s="260">
        <v>6602.01</v>
      </c>
      <c r="O334" s="260">
        <v>6602.01</v>
      </c>
      <c r="P334" s="216">
        <f t="shared" si="13"/>
        <v>5281.608</v>
      </c>
      <c r="Q334" s="260">
        <v>5281.61</v>
      </c>
      <c r="R334" s="1264" t="s">
        <v>2665</v>
      </c>
      <c r="S334" s="260">
        <v>2640.81</v>
      </c>
      <c r="T334" s="204" t="s">
        <v>2666</v>
      </c>
      <c r="U334" s="1264" t="s">
        <v>2667</v>
      </c>
      <c r="V334" s="221">
        <v>1320.4</v>
      </c>
      <c r="W334" s="1264" t="s">
        <v>2063</v>
      </c>
      <c r="X334" s="222">
        <v>1320.4</v>
      </c>
      <c r="Y334" s="262"/>
    </row>
    <row r="335" ht="37.5" customHeight="1" spans="1:25">
      <c r="A335" s="262">
        <f t="shared" si="12"/>
        <v>328</v>
      </c>
      <c r="B335" s="209">
        <v>2022</v>
      </c>
      <c r="C335" s="210" t="s">
        <v>37</v>
      </c>
      <c r="D335" s="259" t="s">
        <v>2842</v>
      </c>
      <c r="E335" s="212" t="s">
        <v>2843</v>
      </c>
      <c r="F335" s="213" t="s">
        <v>2073</v>
      </c>
      <c r="G335" s="214" t="s">
        <v>2663</v>
      </c>
      <c r="H335" s="215">
        <v>0.8</v>
      </c>
      <c r="I335" s="216">
        <v>90000</v>
      </c>
      <c r="J335" s="217" t="s">
        <v>2284</v>
      </c>
      <c r="K335" s="217" t="s">
        <v>2520</v>
      </c>
      <c r="L335" s="218">
        <v>0.4</v>
      </c>
      <c r="M335" s="230" t="s">
        <v>2664</v>
      </c>
      <c r="N335" s="260">
        <v>13116.73</v>
      </c>
      <c r="O335" s="260">
        <v>13116.73</v>
      </c>
      <c r="P335" s="216">
        <f t="shared" si="13"/>
        <v>10493.384</v>
      </c>
      <c r="Q335" s="260">
        <v>10493.38</v>
      </c>
      <c r="R335" s="1264" t="s">
        <v>2665</v>
      </c>
      <c r="S335" s="260">
        <v>5246.69</v>
      </c>
      <c r="T335" s="204" t="s">
        <v>2666</v>
      </c>
      <c r="U335" s="1264" t="s">
        <v>2667</v>
      </c>
      <c r="V335" s="221">
        <v>2623.35</v>
      </c>
      <c r="W335" s="1264" t="s">
        <v>2063</v>
      </c>
      <c r="X335" s="222">
        <v>2623.35</v>
      </c>
      <c r="Y335" s="262"/>
    </row>
    <row r="336" ht="37.5" customHeight="1" spans="1:25">
      <c r="A336" s="262">
        <f t="shared" si="12"/>
        <v>329</v>
      </c>
      <c r="B336" s="209">
        <v>2022</v>
      </c>
      <c r="C336" s="210" t="s">
        <v>37</v>
      </c>
      <c r="D336" s="259" t="s">
        <v>2844</v>
      </c>
      <c r="E336" s="212" t="s">
        <v>2845</v>
      </c>
      <c r="F336" s="213" t="s">
        <v>2073</v>
      </c>
      <c r="G336" s="214" t="s">
        <v>2663</v>
      </c>
      <c r="H336" s="215">
        <v>0.8</v>
      </c>
      <c r="I336" s="216">
        <v>15019.96</v>
      </c>
      <c r="J336" s="217" t="s">
        <v>2103</v>
      </c>
      <c r="K336" s="217" t="s">
        <v>2740</v>
      </c>
      <c r="L336" s="218">
        <v>0.4</v>
      </c>
      <c r="M336" s="230" t="s">
        <v>2559</v>
      </c>
      <c r="N336" s="260">
        <v>5000</v>
      </c>
      <c r="O336" s="260">
        <v>5000</v>
      </c>
      <c r="P336" s="216">
        <f t="shared" si="13"/>
        <v>4000</v>
      </c>
      <c r="Q336" s="260">
        <v>4000</v>
      </c>
      <c r="R336" s="1264" t="s">
        <v>2665</v>
      </c>
      <c r="S336" s="260">
        <v>2000</v>
      </c>
      <c r="T336" s="204" t="s">
        <v>2666</v>
      </c>
      <c r="U336" s="1264" t="s">
        <v>2667</v>
      </c>
      <c r="V336" s="221">
        <v>1000</v>
      </c>
      <c r="W336" s="1264" t="s">
        <v>2668</v>
      </c>
      <c r="X336" s="222">
        <v>1000</v>
      </c>
      <c r="Y336" s="262"/>
    </row>
    <row r="337" ht="37.5" customHeight="1" spans="1:25">
      <c r="A337" s="262">
        <f t="shared" si="12"/>
        <v>330</v>
      </c>
      <c r="B337" s="209">
        <v>2022</v>
      </c>
      <c r="C337" s="210" t="s">
        <v>37</v>
      </c>
      <c r="D337" s="259" t="s">
        <v>2846</v>
      </c>
      <c r="E337" s="212" t="s">
        <v>2847</v>
      </c>
      <c r="F337" s="213" t="s">
        <v>2073</v>
      </c>
      <c r="G337" s="214" t="s">
        <v>2663</v>
      </c>
      <c r="H337" s="215">
        <v>0.8</v>
      </c>
      <c r="I337" s="216">
        <v>20020</v>
      </c>
      <c r="J337" s="1272" t="s">
        <v>2172</v>
      </c>
      <c r="K337" s="1272" t="s">
        <v>2173</v>
      </c>
      <c r="L337" s="218">
        <v>0.4</v>
      </c>
      <c r="M337" s="230" t="s">
        <v>2803</v>
      </c>
      <c r="N337" s="260">
        <v>6623.8</v>
      </c>
      <c r="O337" s="260">
        <v>6623.8</v>
      </c>
      <c r="P337" s="216">
        <f t="shared" si="13"/>
        <v>5299.04</v>
      </c>
      <c r="Q337" s="260">
        <v>5299.04</v>
      </c>
      <c r="R337" s="1264" t="s">
        <v>2665</v>
      </c>
      <c r="S337" s="260">
        <v>2649.52</v>
      </c>
      <c r="T337" s="204" t="s">
        <v>2666</v>
      </c>
      <c r="U337" s="1264" t="s">
        <v>2667</v>
      </c>
      <c r="V337" s="221">
        <v>1324.76</v>
      </c>
      <c r="W337" s="1264" t="s">
        <v>2063</v>
      </c>
      <c r="X337" s="222">
        <v>1324.76</v>
      </c>
      <c r="Y337" s="262"/>
    </row>
    <row r="338" ht="37.5" customHeight="1" spans="1:25">
      <c r="A338" s="262">
        <f t="shared" si="12"/>
        <v>331</v>
      </c>
      <c r="B338" s="209">
        <v>2022</v>
      </c>
      <c r="C338" s="210" t="s">
        <v>37</v>
      </c>
      <c r="D338" s="259" t="s">
        <v>2848</v>
      </c>
      <c r="E338" s="212" t="s">
        <v>2849</v>
      </c>
      <c r="F338" s="213" t="s">
        <v>2073</v>
      </c>
      <c r="G338" s="214" t="s">
        <v>2663</v>
      </c>
      <c r="H338" s="215">
        <v>0.8</v>
      </c>
      <c r="I338" s="216">
        <v>55500</v>
      </c>
      <c r="J338" s="1272" t="s">
        <v>2394</v>
      </c>
      <c r="K338" s="217" t="s">
        <v>2850</v>
      </c>
      <c r="L338" s="218">
        <v>0.4</v>
      </c>
      <c r="M338" s="230" t="s">
        <v>2851</v>
      </c>
      <c r="N338" s="260">
        <v>12316.7</v>
      </c>
      <c r="O338" s="260">
        <v>12316.7</v>
      </c>
      <c r="P338" s="216">
        <f t="shared" si="13"/>
        <v>9853.36</v>
      </c>
      <c r="Q338" s="260">
        <v>9853.36</v>
      </c>
      <c r="R338" s="1264" t="s">
        <v>2665</v>
      </c>
      <c r="S338" s="260">
        <v>4926.68</v>
      </c>
      <c r="T338" s="204" t="s">
        <v>2666</v>
      </c>
      <c r="U338" s="1264" t="s">
        <v>2667</v>
      </c>
      <c r="V338" s="221">
        <v>2463.34</v>
      </c>
      <c r="W338" s="1264" t="s">
        <v>2063</v>
      </c>
      <c r="X338" s="222">
        <v>2463.34</v>
      </c>
      <c r="Y338" s="262"/>
    </row>
    <row r="339" ht="37.5" customHeight="1" spans="1:25">
      <c r="A339" s="262">
        <f t="shared" si="12"/>
        <v>332</v>
      </c>
      <c r="B339" s="209">
        <v>2022</v>
      </c>
      <c r="C339" s="210" t="s">
        <v>37</v>
      </c>
      <c r="D339" s="259" t="s">
        <v>2852</v>
      </c>
      <c r="E339" s="212" t="s">
        <v>2853</v>
      </c>
      <c r="F339" s="213" t="s">
        <v>2073</v>
      </c>
      <c r="G339" s="214" t="s">
        <v>2663</v>
      </c>
      <c r="H339" s="215">
        <v>0.8</v>
      </c>
      <c r="I339" s="216">
        <v>16488.45</v>
      </c>
      <c r="J339" s="1272" t="s">
        <v>2053</v>
      </c>
      <c r="K339" s="217" t="s">
        <v>2709</v>
      </c>
      <c r="L339" s="218">
        <v>0.4</v>
      </c>
      <c r="M339" s="230" t="s">
        <v>2672</v>
      </c>
      <c r="N339" s="260">
        <v>2800</v>
      </c>
      <c r="O339" s="260">
        <v>2800</v>
      </c>
      <c r="P339" s="216">
        <f t="shared" si="13"/>
        <v>2240</v>
      </c>
      <c r="Q339" s="260">
        <v>2240</v>
      </c>
      <c r="R339" s="1264" t="s">
        <v>2665</v>
      </c>
      <c r="S339" s="260">
        <v>1120</v>
      </c>
      <c r="T339" s="204" t="s">
        <v>2666</v>
      </c>
      <c r="U339" s="1264" t="s">
        <v>2667</v>
      </c>
      <c r="V339" s="221">
        <v>560</v>
      </c>
      <c r="W339" s="1264" t="s">
        <v>2063</v>
      </c>
      <c r="X339" s="222">
        <v>560</v>
      </c>
      <c r="Y339" s="262"/>
    </row>
    <row r="340" ht="37.5" customHeight="1" spans="1:25">
      <c r="A340" s="262">
        <f t="shared" si="12"/>
        <v>333</v>
      </c>
      <c r="B340" s="209">
        <v>2022</v>
      </c>
      <c r="C340" s="210" t="s">
        <v>37</v>
      </c>
      <c r="D340" s="259" t="s">
        <v>2854</v>
      </c>
      <c r="E340" s="212" t="s">
        <v>2855</v>
      </c>
      <c r="F340" s="213" t="s">
        <v>2073</v>
      </c>
      <c r="G340" s="214" t="s">
        <v>2663</v>
      </c>
      <c r="H340" s="215">
        <v>0.8</v>
      </c>
      <c r="I340" s="216">
        <v>30000</v>
      </c>
      <c r="J340" s="217" t="s">
        <v>1845</v>
      </c>
      <c r="K340" s="217" t="s">
        <v>2257</v>
      </c>
      <c r="L340" s="218">
        <v>0.4</v>
      </c>
      <c r="M340" s="230" t="s">
        <v>2681</v>
      </c>
      <c r="N340" s="260">
        <v>1333.36</v>
      </c>
      <c r="O340" s="260">
        <v>1333.36</v>
      </c>
      <c r="P340" s="216">
        <f t="shared" si="13"/>
        <v>1066.688</v>
      </c>
      <c r="Q340" s="260">
        <v>1066.69</v>
      </c>
      <c r="R340" s="1264" t="s">
        <v>2665</v>
      </c>
      <c r="S340" s="260">
        <v>533.35</v>
      </c>
      <c r="T340" s="204" t="s">
        <v>2666</v>
      </c>
      <c r="U340" s="1264" t="s">
        <v>2667</v>
      </c>
      <c r="V340" s="221">
        <v>266.67</v>
      </c>
      <c r="W340" s="1264" t="s">
        <v>2063</v>
      </c>
      <c r="X340" s="222">
        <v>266.67</v>
      </c>
      <c r="Y340" s="262"/>
    </row>
    <row r="341" ht="37.5" customHeight="1" spans="1:25">
      <c r="A341" s="262">
        <f t="shared" si="12"/>
        <v>334</v>
      </c>
      <c r="B341" s="209">
        <v>2022</v>
      </c>
      <c r="C341" s="210" t="s">
        <v>37</v>
      </c>
      <c r="D341" s="259" t="s">
        <v>2856</v>
      </c>
      <c r="E341" s="212" t="s">
        <v>2857</v>
      </c>
      <c r="F341" s="213" t="s">
        <v>2073</v>
      </c>
      <c r="G341" s="214" t="s">
        <v>2663</v>
      </c>
      <c r="H341" s="215">
        <v>0.8</v>
      </c>
      <c r="I341" s="216">
        <v>66110</v>
      </c>
      <c r="J341" s="217" t="s">
        <v>2106</v>
      </c>
      <c r="K341" s="217" t="s">
        <v>2107</v>
      </c>
      <c r="L341" s="218">
        <v>0.4</v>
      </c>
      <c r="M341" s="230" t="s">
        <v>2572</v>
      </c>
      <c r="N341" s="260">
        <v>12271.68</v>
      </c>
      <c r="O341" s="260">
        <v>12271.68</v>
      </c>
      <c r="P341" s="216">
        <f t="shared" si="13"/>
        <v>9817.344</v>
      </c>
      <c r="Q341" s="260">
        <v>9817.34</v>
      </c>
      <c r="R341" s="1264" t="s">
        <v>2665</v>
      </c>
      <c r="S341" s="260">
        <v>4908.67</v>
      </c>
      <c r="T341" s="204" t="s">
        <v>2666</v>
      </c>
      <c r="U341" s="1264" t="s">
        <v>2667</v>
      </c>
      <c r="V341" s="221">
        <v>2454.34</v>
      </c>
      <c r="W341" s="1264" t="s">
        <v>2668</v>
      </c>
      <c r="X341" s="222">
        <v>2454.34</v>
      </c>
      <c r="Y341" s="262"/>
    </row>
    <row r="342" ht="37.5" customHeight="1" spans="1:25">
      <c r="A342" s="262">
        <f t="shared" si="12"/>
        <v>335</v>
      </c>
      <c r="B342" s="209">
        <v>2022</v>
      </c>
      <c r="C342" s="210" t="s">
        <v>37</v>
      </c>
      <c r="D342" s="259" t="s">
        <v>2856</v>
      </c>
      <c r="E342" s="212" t="s">
        <v>2858</v>
      </c>
      <c r="F342" s="213" t="s">
        <v>2073</v>
      </c>
      <c r="G342" s="214" t="s">
        <v>2663</v>
      </c>
      <c r="H342" s="215">
        <v>0.8</v>
      </c>
      <c r="I342" s="216">
        <v>17854.93</v>
      </c>
      <c r="J342" s="217" t="s">
        <v>2836</v>
      </c>
      <c r="K342" s="217" t="s">
        <v>2837</v>
      </c>
      <c r="L342" s="218">
        <v>0.4</v>
      </c>
      <c r="M342" s="230" t="s">
        <v>2572</v>
      </c>
      <c r="N342" s="260">
        <v>8250</v>
      </c>
      <c r="O342" s="260">
        <v>8250</v>
      </c>
      <c r="P342" s="216">
        <f t="shared" si="13"/>
        <v>6600</v>
      </c>
      <c r="Q342" s="260">
        <v>6600</v>
      </c>
      <c r="R342" s="1264" t="s">
        <v>2665</v>
      </c>
      <c r="S342" s="260">
        <v>3300</v>
      </c>
      <c r="T342" s="204" t="s">
        <v>2666</v>
      </c>
      <c r="U342" s="1264" t="s">
        <v>2667</v>
      </c>
      <c r="V342" s="221">
        <v>1650</v>
      </c>
      <c r="W342" s="1264" t="s">
        <v>2063</v>
      </c>
      <c r="X342" s="222">
        <v>1650</v>
      </c>
      <c r="Y342" s="262"/>
    </row>
    <row r="343" ht="37.5" customHeight="1" spans="1:25">
      <c r="A343" s="262">
        <f t="shared" si="12"/>
        <v>336</v>
      </c>
      <c r="B343" s="209">
        <v>2022</v>
      </c>
      <c r="C343" s="210" t="s">
        <v>37</v>
      </c>
      <c r="D343" s="259" t="s">
        <v>2859</v>
      </c>
      <c r="E343" s="212" t="s">
        <v>2860</v>
      </c>
      <c r="F343" s="213" t="s">
        <v>2073</v>
      </c>
      <c r="G343" s="214" t="s">
        <v>2663</v>
      </c>
      <c r="H343" s="215">
        <v>0.8</v>
      </c>
      <c r="I343" s="216">
        <v>13010</v>
      </c>
      <c r="J343" s="217" t="s">
        <v>2861</v>
      </c>
      <c r="K343" s="217" t="s">
        <v>2862</v>
      </c>
      <c r="L343" s="218">
        <v>0.4</v>
      </c>
      <c r="M343" s="230" t="s">
        <v>2681</v>
      </c>
      <c r="N343" s="260">
        <v>2500.01</v>
      </c>
      <c r="O343" s="260">
        <v>2500.01</v>
      </c>
      <c r="P343" s="216">
        <f t="shared" si="13"/>
        <v>2000.008</v>
      </c>
      <c r="Q343" s="260">
        <v>2000.01</v>
      </c>
      <c r="R343" s="1264" t="s">
        <v>2665</v>
      </c>
      <c r="S343" s="260">
        <v>1000.01</v>
      </c>
      <c r="T343" s="204" t="s">
        <v>2666</v>
      </c>
      <c r="U343" s="1264" t="s">
        <v>2667</v>
      </c>
      <c r="V343" s="221">
        <v>500</v>
      </c>
      <c r="W343" s="1264" t="s">
        <v>2063</v>
      </c>
      <c r="X343" s="222">
        <v>500</v>
      </c>
      <c r="Y343" s="262"/>
    </row>
    <row r="344" ht="37.5" customHeight="1" spans="1:25">
      <c r="A344" s="262">
        <f t="shared" si="12"/>
        <v>337</v>
      </c>
      <c r="B344" s="209">
        <v>2022</v>
      </c>
      <c r="C344" s="210" t="s">
        <v>37</v>
      </c>
      <c r="D344" s="259" t="s">
        <v>2863</v>
      </c>
      <c r="E344" s="212" t="s">
        <v>2864</v>
      </c>
      <c r="F344" s="213" t="s">
        <v>2073</v>
      </c>
      <c r="G344" s="214" t="s">
        <v>2663</v>
      </c>
      <c r="H344" s="215">
        <v>0.8</v>
      </c>
      <c r="I344" s="216">
        <v>350000</v>
      </c>
      <c r="J344" s="217" t="s">
        <v>2865</v>
      </c>
      <c r="K344" s="217" t="s">
        <v>2866</v>
      </c>
      <c r="L344" s="218">
        <v>0.4</v>
      </c>
      <c r="M344" s="230" t="s">
        <v>2867</v>
      </c>
      <c r="N344" s="260">
        <v>8333.34</v>
      </c>
      <c r="O344" s="260">
        <v>8333.34</v>
      </c>
      <c r="P344" s="216">
        <f t="shared" si="13"/>
        <v>6666.672</v>
      </c>
      <c r="Q344" s="260">
        <v>6666.67</v>
      </c>
      <c r="R344" s="1264" t="s">
        <v>2665</v>
      </c>
      <c r="S344" s="260">
        <v>3333.34</v>
      </c>
      <c r="T344" s="204" t="s">
        <v>2666</v>
      </c>
      <c r="U344" s="1264" t="s">
        <v>2667</v>
      </c>
      <c r="V344" s="221">
        <v>1666.67</v>
      </c>
      <c r="W344" s="1264" t="s">
        <v>2063</v>
      </c>
      <c r="X344" s="222">
        <v>1666.67</v>
      </c>
      <c r="Y344" s="262"/>
    </row>
    <row r="345" ht="37.5" customHeight="1" spans="1:25">
      <c r="A345" s="262">
        <f t="shared" si="12"/>
        <v>338</v>
      </c>
      <c r="B345" s="209">
        <v>2022</v>
      </c>
      <c r="C345" s="210" t="s">
        <v>37</v>
      </c>
      <c r="D345" s="259" t="s">
        <v>2868</v>
      </c>
      <c r="E345" s="212" t="s">
        <v>2869</v>
      </c>
      <c r="F345" s="213" t="s">
        <v>2073</v>
      </c>
      <c r="G345" s="214" t="s">
        <v>2663</v>
      </c>
      <c r="H345" s="215">
        <v>0.8</v>
      </c>
      <c r="I345" s="216">
        <v>230260</v>
      </c>
      <c r="J345" s="217" t="s">
        <v>2176</v>
      </c>
      <c r="K345" s="217" t="s">
        <v>2177</v>
      </c>
      <c r="L345" s="218">
        <v>0.4</v>
      </c>
      <c r="M345" s="230" t="s">
        <v>2870</v>
      </c>
      <c r="N345" s="260">
        <v>95143.36</v>
      </c>
      <c r="O345" s="260">
        <v>95143.36</v>
      </c>
      <c r="P345" s="216">
        <f t="shared" si="13"/>
        <v>76114.688</v>
      </c>
      <c r="Q345" s="260">
        <v>76114.69</v>
      </c>
      <c r="R345" s="1264" t="s">
        <v>2665</v>
      </c>
      <c r="S345" s="260">
        <v>38057.35</v>
      </c>
      <c r="T345" s="204" t="s">
        <v>2666</v>
      </c>
      <c r="U345" s="1264" t="s">
        <v>2667</v>
      </c>
      <c r="V345" s="221">
        <v>19028.67</v>
      </c>
      <c r="W345" s="1264" t="s">
        <v>2063</v>
      </c>
      <c r="X345" s="222">
        <v>19028.67</v>
      </c>
      <c r="Y345" s="262"/>
    </row>
    <row r="346" ht="37.5" customHeight="1" spans="1:25">
      <c r="A346" s="262">
        <f t="shared" si="12"/>
        <v>339</v>
      </c>
      <c r="B346" s="209">
        <v>2022</v>
      </c>
      <c r="C346" s="210" t="s">
        <v>37</v>
      </c>
      <c r="D346" s="259" t="s">
        <v>2871</v>
      </c>
      <c r="E346" s="212" t="s">
        <v>2872</v>
      </c>
      <c r="F346" s="213" t="s">
        <v>2073</v>
      </c>
      <c r="G346" s="214" t="s">
        <v>2663</v>
      </c>
      <c r="H346" s="215">
        <v>0.8</v>
      </c>
      <c r="I346" s="216">
        <v>80000</v>
      </c>
      <c r="J346" s="217" t="s">
        <v>2453</v>
      </c>
      <c r="K346" s="217" t="s">
        <v>2873</v>
      </c>
      <c r="L346" s="218">
        <v>0.4</v>
      </c>
      <c r="M346" s="230" t="s">
        <v>2706</v>
      </c>
      <c r="N346" s="260">
        <v>8333.34</v>
      </c>
      <c r="O346" s="260">
        <v>8333.34</v>
      </c>
      <c r="P346" s="216">
        <f t="shared" si="13"/>
        <v>6666.672</v>
      </c>
      <c r="Q346" s="260">
        <v>6666.67</v>
      </c>
      <c r="R346" s="1264" t="s">
        <v>2665</v>
      </c>
      <c r="S346" s="260">
        <v>3333.34</v>
      </c>
      <c r="T346" s="204" t="s">
        <v>2666</v>
      </c>
      <c r="U346" s="1264" t="s">
        <v>2667</v>
      </c>
      <c r="V346" s="221">
        <v>1666.67</v>
      </c>
      <c r="W346" s="1264" t="s">
        <v>2668</v>
      </c>
      <c r="X346" s="222">
        <v>1666.67</v>
      </c>
      <c r="Y346" s="262"/>
    </row>
    <row r="347" ht="37.5" customHeight="1" spans="1:25">
      <c r="A347" s="262">
        <f t="shared" si="12"/>
        <v>340</v>
      </c>
      <c r="B347" s="209">
        <v>2022</v>
      </c>
      <c r="C347" s="210" t="s">
        <v>37</v>
      </c>
      <c r="D347" s="259" t="s">
        <v>2874</v>
      </c>
      <c r="E347" s="212" t="s">
        <v>2875</v>
      </c>
      <c r="F347" s="213" t="s">
        <v>2073</v>
      </c>
      <c r="G347" s="214" t="s">
        <v>2663</v>
      </c>
      <c r="H347" s="215">
        <v>0.8</v>
      </c>
      <c r="I347" s="216">
        <v>350000</v>
      </c>
      <c r="J347" s="217" t="s">
        <v>2095</v>
      </c>
      <c r="K347" s="217" t="s">
        <v>2096</v>
      </c>
      <c r="L347" s="218">
        <v>0.4</v>
      </c>
      <c r="M347" s="230" t="s">
        <v>2681</v>
      </c>
      <c r="N347" s="260">
        <v>68291.84</v>
      </c>
      <c r="O347" s="260">
        <v>68291.84</v>
      </c>
      <c r="P347" s="216">
        <f t="shared" si="13"/>
        <v>54633.472</v>
      </c>
      <c r="Q347" s="260">
        <v>54633.47</v>
      </c>
      <c r="R347" s="1264" t="s">
        <v>2665</v>
      </c>
      <c r="S347" s="260">
        <v>27316.74</v>
      </c>
      <c r="T347" s="204" t="s">
        <v>2666</v>
      </c>
      <c r="U347" s="1264" t="s">
        <v>2667</v>
      </c>
      <c r="V347" s="221">
        <v>13658.37</v>
      </c>
      <c r="W347" s="1264" t="s">
        <v>2063</v>
      </c>
      <c r="X347" s="222">
        <v>13658.37</v>
      </c>
      <c r="Y347" s="262"/>
    </row>
    <row r="348" ht="37.5" customHeight="1" spans="1:25">
      <c r="A348" s="262">
        <f t="shared" si="12"/>
        <v>341</v>
      </c>
      <c r="B348" s="209">
        <v>2022</v>
      </c>
      <c r="C348" s="210" t="s">
        <v>37</v>
      </c>
      <c r="D348" s="259" t="s">
        <v>2874</v>
      </c>
      <c r="E348" s="212" t="s">
        <v>2876</v>
      </c>
      <c r="F348" s="213" t="s">
        <v>2073</v>
      </c>
      <c r="G348" s="214" t="s">
        <v>2663</v>
      </c>
      <c r="H348" s="215">
        <v>0.8</v>
      </c>
      <c r="I348" s="216">
        <v>15630.28</v>
      </c>
      <c r="J348" s="217" t="s">
        <v>2405</v>
      </c>
      <c r="K348" s="217" t="s">
        <v>2731</v>
      </c>
      <c r="L348" s="218">
        <v>0.4</v>
      </c>
      <c r="M348" s="230" t="s">
        <v>2681</v>
      </c>
      <c r="N348" s="260">
        <v>8666.68</v>
      </c>
      <c r="O348" s="260">
        <v>8666.68</v>
      </c>
      <c r="P348" s="216">
        <f t="shared" si="13"/>
        <v>6933.344</v>
      </c>
      <c r="Q348" s="260">
        <v>6933.34</v>
      </c>
      <c r="R348" s="1264" t="s">
        <v>2665</v>
      </c>
      <c r="S348" s="260">
        <v>3466.67</v>
      </c>
      <c r="T348" s="204" t="s">
        <v>2666</v>
      </c>
      <c r="U348" s="1264" t="s">
        <v>2667</v>
      </c>
      <c r="V348" s="221">
        <v>1733.34</v>
      </c>
      <c r="W348" s="1264" t="s">
        <v>2063</v>
      </c>
      <c r="X348" s="222">
        <v>1733.34</v>
      </c>
      <c r="Y348" s="262"/>
    </row>
    <row r="349" ht="37.5" customHeight="1" spans="1:25">
      <c r="A349" s="262">
        <f t="shared" si="12"/>
        <v>342</v>
      </c>
      <c r="B349" s="209">
        <v>2022</v>
      </c>
      <c r="C349" s="210" t="s">
        <v>37</v>
      </c>
      <c r="D349" s="259" t="s">
        <v>2877</v>
      </c>
      <c r="E349" s="212" t="s">
        <v>2878</v>
      </c>
      <c r="F349" s="213" t="s">
        <v>2073</v>
      </c>
      <c r="G349" s="214" t="s">
        <v>2663</v>
      </c>
      <c r="H349" s="215">
        <v>0.8</v>
      </c>
      <c r="I349" s="216">
        <v>50000</v>
      </c>
      <c r="J349" s="1272" t="s">
        <v>2879</v>
      </c>
      <c r="K349" s="217" t="s">
        <v>2880</v>
      </c>
      <c r="L349" s="218">
        <v>0.4</v>
      </c>
      <c r="M349" s="230" t="s">
        <v>2710</v>
      </c>
      <c r="N349" s="260">
        <v>2500</v>
      </c>
      <c r="O349" s="260">
        <v>2500</v>
      </c>
      <c r="P349" s="216">
        <f t="shared" si="13"/>
        <v>2000</v>
      </c>
      <c r="Q349" s="260">
        <v>2000</v>
      </c>
      <c r="R349" s="1264" t="s">
        <v>2665</v>
      </c>
      <c r="S349" s="260">
        <v>1000</v>
      </c>
      <c r="T349" s="204" t="s">
        <v>2666</v>
      </c>
      <c r="U349" s="1264" t="s">
        <v>2667</v>
      </c>
      <c r="V349" s="221">
        <v>500</v>
      </c>
      <c r="W349" s="1264" t="s">
        <v>2063</v>
      </c>
      <c r="X349" s="222">
        <v>500</v>
      </c>
      <c r="Y349" s="262"/>
    </row>
    <row r="350" s="80" customFormat="1" ht="37.5" customHeight="1" spans="1:25">
      <c r="A350" s="138">
        <f t="shared" si="12"/>
        <v>343</v>
      </c>
      <c r="B350" s="139">
        <v>2022</v>
      </c>
      <c r="C350" s="189" t="s">
        <v>57</v>
      </c>
      <c r="D350" s="274" t="s">
        <v>2881</v>
      </c>
      <c r="E350" s="190" t="s">
        <v>2882</v>
      </c>
      <c r="F350" s="142" t="s">
        <v>1920</v>
      </c>
      <c r="G350" s="143" t="s">
        <v>1610</v>
      </c>
      <c r="H350" s="144">
        <v>1</v>
      </c>
      <c r="I350" s="145">
        <v>4000000</v>
      </c>
      <c r="J350" s="1258" t="s">
        <v>1740</v>
      </c>
      <c r="K350" s="185" t="s">
        <v>2530</v>
      </c>
      <c r="L350" s="147">
        <v>0.4</v>
      </c>
      <c r="M350" s="1275" t="s">
        <v>1875</v>
      </c>
      <c r="N350" s="276">
        <v>4000000</v>
      </c>
      <c r="O350" s="276">
        <v>4000000</v>
      </c>
      <c r="P350" s="145">
        <f t="shared" si="13"/>
        <v>4000000</v>
      </c>
      <c r="Q350" s="276">
        <v>4000000</v>
      </c>
      <c r="R350" s="1260" t="s">
        <v>2665</v>
      </c>
      <c r="S350" s="276">
        <v>1600000</v>
      </c>
      <c r="T350" s="150" t="s">
        <v>2883</v>
      </c>
      <c r="U350" s="1260" t="s">
        <v>2714</v>
      </c>
      <c r="V350" s="186">
        <v>800000</v>
      </c>
      <c r="W350" s="1260" t="s">
        <v>2668</v>
      </c>
      <c r="X350" s="153">
        <v>800000</v>
      </c>
      <c r="Y350" s="138"/>
    </row>
    <row r="351" s="80" customFormat="1" ht="37.5" customHeight="1" spans="1:25">
      <c r="A351" s="138">
        <f t="shared" si="12"/>
        <v>344</v>
      </c>
      <c r="B351" s="139">
        <v>2022</v>
      </c>
      <c r="C351" s="189" t="s">
        <v>22</v>
      </c>
      <c r="D351" s="274" t="s">
        <v>2884</v>
      </c>
      <c r="E351" s="190" t="s">
        <v>2885</v>
      </c>
      <c r="F351" s="142" t="s">
        <v>2886</v>
      </c>
      <c r="G351" s="143" t="s">
        <v>1781</v>
      </c>
      <c r="H351" s="144">
        <v>0.8</v>
      </c>
      <c r="I351" s="145">
        <v>2000000</v>
      </c>
      <c r="J351" s="1258" t="s">
        <v>1722</v>
      </c>
      <c r="K351" s="1258" t="s">
        <v>2887</v>
      </c>
      <c r="L351" s="147">
        <v>0.5</v>
      </c>
      <c r="M351" s="1275" t="s">
        <v>2888</v>
      </c>
      <c r="N351" s="276">
        <v>1987156.25</v>
      </c>
      <c r="O351" s="276">
        <v>1900000</v>
      </c>
      <c r="P351" s="145">
        <f t="shared" si="13"/>
        <v>1520000</v>
      </c>
      <c r="Q351" s="276">
        <v>1589725</v>
      </c>
      <c r="R351" s="1260" t="s">
        <v>2292</v>
      </c>
      <c r="S351" s="276">
        <v>993578.13</v>
      </c>
      <c r="T351" s="150" t="s">
        <v>2714</v>
      </c>
      <c r="U351" s="1260" t="s">
        <v>2889</v>
      </c>
      <c r="V351" s="186">
        <v>570000</v>
      </c>
      <c r="W351" s="1260" t="s">
        <v>2668</v>
      </c>
      <c r="X351" s="153">
        <v>570000</v>
      </c>
      <c r="Y351" s="138"/>
    </row>
    <row r="352" s="80" customFormat="1" ht="37.5" customHeight="1" spans="1:25">
      <c r="A352" s="138">
        <f t="shared" si="12"/>
        <v>345</v>
      </c>
      <c r="B352" s="139">
        <v>2022</v>
      </c>
      <c r="C352" s="189" t="s">
        <v>28</v>
      </c>
      <c r="D352" s="274" t="s">
        <v>2890</v>
      </c>
      <c r="E352" s="190" t="s">
        <v>2891</v>
      </c>
      <c r="F352" s="142" t="s">
        <v>2892</v>
      </c>
      <c r="G352" s="143" t="s">
        <v>1610</v>
      </c>
      <c r="H352" s="144">
        <v>1</v>
      </c>
      <c r="I352" s="145">
        <v>500000</v>
      </c>
      <c r="J352" s="1258" t="s">
        <v>1912</v>
      </c>
      <c r="K352" s="1258" t="s">
        <v>2061</v>
      </c>
      <c r="L352" s="147">
        <v>0.4</v>
      </c>
      <c r="M352" s="1275" t="s">
        <v>2893</v>
      </c>
      <c r="N352" s="276">
        <v>507638.84</v>
      </c>
      <c r="O352" s="276">
        <v>500000</v>
      </c>
      <c r="P352" s="145">
        <f t="shared" si="13"/>
        <v>500000</v>
      </c>
      <c r="Q352" s="276">
        <v>507638.84</v>
      </c>
      <c r="R352" s="1260" t="s">
        <v>2292</v>
      </c>
      <c r="S352" s="276">
        <v>203055.54</v>
      </c>
      <c r="T352" s="150" t="s">
        <v>2714</v>
      </c>
      <c r="U352" s="1260" t="s">
        <v>2889</v>
      </c>
      <c r="V352" s="186">
        <v>100000</v>
      </c>
      <c r="W352" s="1260" t="s">
        <v>2668</v>
      </c>
      <c r="X352" s="153">
        <v>100000</v>
      </c>
      <c r="Y352" s="138"/>
    </row>
    <row r="353" ht="37.5" customHeight="1" spans="1:25">
      <c r="A353" s="192">
        <f t="shared" si="12"/>
        <v>346</v>
      </c>
      <c r="B353" s="208">
        <v>2022</v>
      </c>
      <c r="C353" s="193" t="s">
        <v>37</v>
      </c>
      <c r="D353" s="277" t="s">
        <v>2894</v>
      </c>
      <c r="E353" s="195" t="s">
        <v>2895</v>
      </c>
      <c r="F353" s="196" t="s">
        <v>2073</v>
      </c>
      <c r="G353" s="197" t="s">
        <v>2663</v>
      </c>
      <c r="H353" s="198">
        <v>0.8</v>
      </c>
      <c r="I353" s="199">
        <v>16156.3</v>
      </c>
      <c r="J353" s="200" t="s">
        <v>1950</v>
      </c>
      <c r="K353" s="1271" t="s">
        <v>2755</v>
      </c>
      <c r="L353" s="201">
        <v>0.4</v>
      </c>
      <c r="M353" s="278" t="s">
        <v>2642</v>
      </c>
      <c r="N353" s="254">
        <v>2516.52</v>
      </c>
      <c r="O353" s="254">
        <v>2516.52</v>
      </c>
      <c r="P353" s="199">
        <f t="shared" si="13"/>
        <v>2013.216</v>
      </c>
      <c r="Q353" s="254">
        <v>2013.22</v>
      </c>
      <c r="R353" s="1262" t="s">
        <v>2896</v>
      </c>
      <c r="S353" s="254">
        <v>1006.61</v>
      </c>
      <c r="T353" s="204" t="s">
        <v>2897</v>
      </c>
      <c r="U353" s="1262" t="s">
        <v>2889</v>
      </c>
      <c r="V353" s="205">
        <v>503.31</v>
      </c>
      <c r="W353" s="1262" t="s">
        <v>2898</v>
      </c>
      <c r="X353" s="206">
        <v>503.31</v>
      </c>
      <c r="Y353" s="192"/>
    </row>
    <row r="354" ht="37.5" customHeight="1" spans="1:25">
      <c r="A354" s="192">
        <f t="shared" si="12"/>
        <v>347</v>
      </c>
      <c r="B354" s="208">
        <v>2022</v>
      </c>
      <c r="C354" s="193" t="s">
        <v>37</v>
      </c>
      <c r="D354" s="277" t="s">
        <v>2894</v>
      </c>
      <c r="E354" s="195" t="s">
        <v>2899</v>
      </c>
      <c r="F354" s="196" t="s">
        <v>2073</v>
      </c>
      <c r="G354" s="197" t="s">
        <v>2663</v>
      </c>
      <c r="H354" s="198">
        <v>0.8</v>
      </c>
      <c r="I354" s="199">
        <v>80000</v>
      </c>
      <c r="J354" s="200" t="s">
        <v>2317</v>
      </c>
      <c r="K354" s="200" t="s">
        <v>2318</v>
      </c>
      <c r="L354" s="201">
        <v>0.4</v>
      </c>
      <c r="M354" s="278" t="s">
        <v>2642</v>
      </c>
      <c r="N354" s="254">
        <v>1220.56</v>
      </c>
      <c r="O354" s="254">
        <v>1220.56</v>
      </c>
      <c r="P354" s="199">
        <f t="shared" si="13"/>
        <v>976.448</v>
      </c>
      <c r="Q354" s="254">
        <v>976.45</v>
      </c>
      <c r="R354" s="1262" t="s">
        <v>2896</v>
      </c>
      <c r="S354" s="254">
        <v>488.23</v>
      </c>
      <c r="T354" s="204" t="s">
        <v>2897</v>
      </c>
      <c r="U354" s="1262" t="s">
        <v>2889</v>
      </c>
      <c r="V354" s="205">
        <v>244.11</v>
      </c>
      <c r="W354" s="1262" t="s">
        <v>2668</v>
      </c>
      <c r="X354" s="206">
        <v>244.11</v>
      </c>
      <c r="Y354" s="192"/>
    </row>
    <row r="355" ht="37.5" customHeight="1" spans="1:25">
      <c r="A355" s="192">
        <f t="shared" si="12"/>
        <v>348</v>
      </c>
      <c r="B355" s="208">
        <v>2022</v>
      </c>
      <c r="C355" s="193" t="s">
        <v>37</v>
      </c>
      <c r="D355" s="277" t="s">
        <v>2900</v>
      </c>
      <c r="E355" s="195" t="s">
        <v>2901</v>
      </c>
      <c r="F355" s="196" t="s">
        <v>2073</v>
      </c>
      <c r="G355" s="197" t="s">
        <v>2663</v>
      </c>
      <c r="H355" s="198">
        <v>0.8</v>
      </c>
      <c r="I355" s="199">
        <v>38000</v>
      </c>
      <c r="J355" s="200" t="s">
        <v>2209</v>
      </c>
      <c r="K355" s="200" t="s">
        <v>2902</v>
      </c>
      <c r="L355" s="201">
        <v>0.4</v>
      </c>
      <c r="M355" s="278" t="s">
        <v>2903</v>
      </c>
      <c r="N355" s="254">
        <v>38000</v>
      </c>
      <c r="O355" s="254">
        <v>38000</v>
      </c>
      <c r="P355" s="199">
        <f t="shared" si="13"/>
        <v>30400</v>
      </c>
      <c r="Q355" s="254">
        <v>30400</v>
      </c>
      <c r="R355" s="1262" t="s">
        <v>2896</v>
      </c>
      <c r="S355" s="254">
        <v>15200</v>
      </c>
      <c r="T355" s="204" t="s">
        <v>2897</v>
      </c>
      <c r="U355" s="1262" t="s">
        <v>2889</v>
      </c>
      <c r="V355" s="205">
        <v>7600</v>
      </c>
      <c r="W355" s="1262" t="s">
        <v>2668</v>
      </c>
      <c r="X355" s="206">
        <v>7600</v>
      </c>
      <c r="Y355" s="192"/>
    </row>
    <row r="356" ht="37.5" customHeight="1" spans="1:25">
      <c r="A356" s="192">
        <f t="shared" si="12"/>
        <v>349</v>
      </c>
      <c r="B356" s="208">
        <v>2022</v>
      </c>
      <c r="C356" s="193" t="s">
        <v>37</v>
      </c>
      <c r="D356" s="277" t="s">
        <v>2904</v>
      </c>
      <c r="E356" s="195" t="s">
        <v>2905</v>
      </c>
      <c r="F356" s="196" t="s">
        <v>2073</v>
      </c>
      <c r="G356" s="197" t="s">
        <v>2663</v>
      </c>
      <c r="H356" s="198">
        <v>0.8</v>
      </c>
      <c r="I356" s="199">
        <v>30800</v>
      </c>
      <c r="J356" s="200" t="s">
        <v>2053</v>
      </c>
      <c r="K356" s="200" t="s">
        <v>2709</v>
      </c>
      <c r="L356" s="201">
        <v>0.4</v>
      </c>
      <c r="M356" s="278" t="s">
        <v>2906</v>
      </c>
      <c r="N356" s="254">
        <v>30800</v>
      </c>
      <c r="O356" s="254">
        <v>30800</v>
      </c>
      <c r="P356" s="199">
        <f t="shared" si="13"/>
        <v>24640</v>
      </c>
      <c r="Q356" s="254">
        <v>24640</v>
      </c>
      <c r="R356" s="1262" t="s">
        <v>2896</v>
      </c>
      <c r="S356" s="254">
        <v>12320</v>
      </c>
      <c r="T356" s="204" t="s">
        <v>2897</v>
      </c>
      <c r="U356" s="1262" t="s">
        <v>2889</v>
      </c>
      <c r="V356" s="205">
        <v>6160</v>
      </c>
      <c r="W356" s="1262" t="s">
        <v>2668</v>
      </c>
      <c r="X356" s="206">
        <v>6160</v>
      </c>
      <c r="Y356" s="192"/>
    </row>
    <row r="357" ht="37.5" customHeight="1" spans="1:25">
      <c r="A357" s="192">
        <f t="shared" si="12"/>
        <v>350</v>
      </c>
      <c r="B357" s="208">
        <v>2022</v>
      </c>
      <c r="C357" s="193" t="s">
        <v>37</v>
      </c>
      <c r="D357" s="277" t="s">
        <v>2904</v>
      </c>
      <c r="E357" s="195" t="s">
        <v>2907</v>
      </c>
      <c r="F357" s="196" t="s">
        <v>2073</v>
      </c>
      <c r="G357" s="197" t="s">
        <v>2663</v>
      </c>
      <c r="H357" s="198">
        <v>0.8</v>
      </c>
      <c r="I357" s="199">
        <v>26750</v>
      </c>
      <c r="J357" s="200" t="s">
        <v>2908</v>
      </c>
      <c r="K357" s="200" t="s">
        <v>2909</v>
      </c>
      <c r="L357" s="201">
        <v>0.4</v>
      </c>
      <c r="M357" s="278" t="s">
        <v>2906</v>
      </c>
      <c r="N357" s="254">
        <v>26750</v>
      </c>
      <c r="O357" s="254">
        <v>26750</v>
      </c>
      <c r="P357" s="199">
        <f t="shared" si="13"/>
        <v>21400</v>
      </c>
      <c r="Q357" s="254">
        <v>21400</v>
      </c>
      <c r="R357" s="1262" t="s">
        <v>2896</v>
      </c>
      <c r="S357" s="254">
        <v>10700</v>
      </c>
      <c r="T357" s="204" t="s">
        <v>2897</v>
      </c>
      <c r="U357" s="1262" t="s">
        <v>2889</v>
      </c>
      <c r="V357" s="205">
        <v>5350</v>
      </c>
      <c r="W357" s="1262" t="s">
        <v>2668</v>
      </c>
      <c r="X357" s="206">
        <v>5350</v>
      </c>
      <c r="Y357" s="192"/>
    </row>
    <row r="358" ht="37.5" customHeight="1" spans="1:25">
      <c r="A358" s="192">
        <f t="shared" si="12"/>
        <v>351</v>
      </c>
      <c r="B358" s="208">
        <v>2022</v>
      </c>
      <c r="C358" s="193" t="s">
        <v>37</v>
      </c>
      <c r="D358" s="277" t="s">
        <v>2910</v>
      </c>
      <c r="E358" s="195" t="s">
        <v>2911</v>
      </c>
      <c r="F358" s="196" t="s">
        <v>2073</v>
      </c>
      <c r="G358" s="197" t="s">
        <v>2663</v>
      </c>
      <c r="H358" s="198">
        <v>0.8</v>
      </c>
      <c r="I358" s="199">
        <v>15000</v>
      </c>
      <c r="J358" s="200" t="s">
        <v>2912</v>
      </c>
      <c r="K358" s="200" t="s">
        <v>2913</v>
      </c>
      <c r="L358" s="201">
        <v>0.4</v>
      </c>
      <c r="M358" s="278" t="s">
        <v>1876</v>
      </c>
      <c r="N358" s="254">
        <v>15000</v>
      </c>
      <c r="O358" s="254">
        <v>15000</v>
      </c>
      <c r="P358" s="199">
        <f t="shared" si="13"/>
        <v>12000</v>
      </c>
      <c r="Q358" s="254">
        <v>12000</v>
      </c>
      <c r="R358" s="1262" t="s">
        <v>2896</v>
      </c>
      <c r="S358" s="254">
        <v>6000</v>
      </c>
      <c r="T358" s="204" t="s">
        <v>2897</v>
      </c>
      <c r="U358" s="1262" t="s">
        <v>2889</v>
      </c>
      <c r="V358" s="205">
        <v>3000</v>
      </c>
      <c r="W358" s="1262" t="s">
        <v>2668</v>
      </c>
      <c r="X358" s="206">
        <v>3000</v>
      </c>
      <c r="Y358" s="192"/>
    </row>
    <row r="359" ht="37.5" customHeight="1" spans="1:25">
      <c r="A359" s="192">
        <f t="shared" si="12"/>
        <v>352</v>
      </c>
      <c r="B359" s="208">
        <v>2022</v>
      </c>
      <c r="C359" s="193" t="s">
        <v>37</v>
      </c>
      <c r="D359" s="277" t="s">
        <v>2914</v>
      </c>
      <c r="E359" s="195" t="s">
        <v>2915</v>
      </c>
      <c r="F359" s="196" t="s">
        <v>2073</v>
      </c>
      <c r="G359" s="197" t="s">
        <v>2663</v>
      </c>
      <c r="H359" s="198">
        <v>0.8</v>
      </c>
      <c r="I359" s="199">
        <v>13049.59</v>
      </c>
      <c r="J359" s="200" t="s">
        <v>2767</v>
      </c>
      <c r="K359" s="200" t="s">
        <v>2768</v>
      </c>
      <c r="L359" s="201">
        <v>0.4</v>
      </c>
      <c r="M359" s="278" t="s">
        <v>2916</v>
      </c>
      <c r="N359" s="254">
        <v>1333.34</v>
      </c>
      <c r="O359" s="254">
        <v>1333.34</v>
      </c>
      <c r="P359" s="199">
        <f t="shared" si="13"/>
        <v>1066.672</v>
      </c>
      <c r="Q359" s="254">
        <v>1066.67</v>
      </c>
      <c r="R359" s="1262" t="s">
        <v>2896</v>
      </c>
      <c r="S359" s="254">
        <v>533.34</v>
      </c>
      <c r="T359" s="204" t="s">
        <v>2897</v>
      </c>
      <c r="U359" s="1262" t="s">
        <v>2889</v>
      </c>
      <c r="V359" s="205">
        <v>266.67</v>
      </c>
      <c r="W359" s="1262" t="s">
        <v>2668</v>
      </c>
      <c r="X359" s="206">
        <v>266.67</v>
      </c>
      <c r="Y359" s="192"/>
    </row>
    <row r="360" ht="37.5" customHeight="1" spans="1:25">
      <c r="A360" s="192">
        <f t="shared" si="12"/>
        <v>353</v>
      </c>
      <c r="B360" s="208">
        <v>2022</v>
      </c>
      <c r="C360" s="193" t="s">
        <v>37</v>
      </c>
      <c r="D360" s="277" t="s">
        <v>2914</v>
      </c>
      <c r="E360" s="195" t="s">
        <v>2917</v>
      </c>
      <c r="F360" s="196" t="s">
        <v>2073</v>
      </c>
      <c r="G360" s="197" t="s">
        <v>2663</v>
      </c>
      <c r="H360" s="198">
        <v>0.8</v>
      </c>
      <c r="I360" s="199">
        <v>12000</v>
      </c>
      <c r="J360" s="200" t="s">
        <v>2792</v>
      </c>
      <c r="K360" s="200" t="s">
        <v>2793</v>
      </c>
      <c r="L360" s="201">
        <v>0.4</v>
      </c>
      <c r="M360" s="278" t="s">
        <v>2916</v>
      </c>
      <c r="N360" s="254">
        <v>10000</v>
      </c>
      <c r="O360" s="254">
        <v>10000</v>
      </c>
      <c r="P360" s="199">
        <f t="shared" si="13"/>
        <v>8000</v>
      </c>
      <c r="Q360" s="254">
        <v>8000</v>
      </c>
      <c r="R360" s="1262" t="s">
        <v>2896</v>
      </c>
      <c r="S360" s="254">
        <v>4000</v>
      </c>
      <c r="T360" s="204" t="s">
        <v>2897</v>
      </c>
      <c r="U360" s="1262" t="s">
        <v>2889</v>
      </c>
      <c r="V360" s="205">
        <v>2000</v>
      </c>
      <c r="W360" s="1262" t="s">
        <v>2668</v>
      </c>
      <c r="X360" s="206">
        <v>2000</v>
      </c>
      <c r="Y360" s="192"/>
    </row>
    <row r="361" ht="37.5" customHeight="1" spans="1:25">
      <c r="A361" s="192">
        <f t="shared" si="12"/>
        <v>354</v>
      </c>
      <c r="B361" s="208">
        <v>2022</v>
      </c>
      <c r="C361" s="193" t="s">
        <v>37</v>
      </c>
      <c r="D361" s="277" t="s">
        <v>2914</v>
      </c>
      <c r="E361" s="195" t="s">
        <v>2918</v>
      </c>
      <c r="F361" s="196" t="s">
        <v>2073</v>
      </c>
      <c r="G361" s="197" t="s">
        <v>2663</v>
      </c>
      <c r="H361" s="198">
        <v>0.8</v>
      </c>
      <c r="I361" s="199">
        <v>12926</v>
      </c>
      <c r="J361" s="200" t="s">
        <v>2919</v>
      </c>
      <c r="K361" s="200" t="s">
        <v>2920</v>
      </c>
      <c r="L361" s="201">
        <v>0.4</v>
      </c>
      <c r="M361" s="278" t="s">
        <v>2916</v>
      </c>
      <c r="N361" s="254">
        <v>11848.84</v>
      </c>
      <c r="O361" s="254">
        <v>11848.84</v>
      </c>
      <c r="P361" s="199">
        <f t="shared" si="13"/>
        <v>9479.072</v>
      </c>
      <c r="Q361" s="254">
        <v>9479.07</v>
      </c>
      <c r="R361" s="1262" t="s">
        <v>2896</v>
      </c>
      <c r="S361" s="254">
        <v>4739.54</v>
      </c>
      <c r="T361" s="204" t="s">
        <v>2897</v>
      </c>
      <c r="U361" s="1262" t="s">
        <v>2889</v>
      </c>
      <c r="V361" s="205">
        <v>2369.77</v>
      </c>
      <c r="W361" s="1262" t="s">
        <v>2668</v>
      </c>
      <c r="X361" s="206">
        <v>2369.77</v>
      </c>
      <c r="Y361" s="192"/>
    </row>
    <row r="362" ht="37.5" customHeight="1" spans="1:25">
      <c r="A362" s="192">
        <f t="shared" si="12"/>
        <v>355</v>
      </c>
      <c r="B362" s="208">
        <v>2022</v>
      </c>
      <c r="C362" s="193" t="s">
        <v>37</v>
      </c>
      <c r="D362" s="277" t="s">
        <v>2921</v>
      </c>
      <c r="E362" s="195" t="s">
        <v>2922</v>
      </c>
      <c r="F362" s="196" t="s">
        <v>2073</v>
      </c>
      <c r="G362" s="197" t="s">
        <v>2663</v>
      </c>
      <c r="H362" s="198">
        <v>0.8</v>
      </c>
      <c r="I362" s="199">
        <v>98000</v>
      </c>
      <c r="J362" s="200" t="s">
        <v>2149</v>
      </c>
      <c r="K362" s="200" t="s">
        <v>2923</v>
      </c>
      <c r="L362" s="201">
        <v>0.4</v>
      </c>
      <c r="M362" s="278" t="s">
        <v>2049</v>
      </c>
      <c r="N362" s="254">
        <v>98000</v>
      </c>
      <c r="O362" s="254">
        <v>98000</v>
      </c>
      <c r="P362" s="199">
        <f t="shared" si="13"/>
        <v>78400</v>
      </c>
      <c r="Q362" s="254">
        <v>78400</v>
      </c>
      <c r="R362" s="1262" t="s">
        <v>2896</v>
      </c>
      <c r="S362" s="254">
        <v>39200</v>
      </c>
      <c r="T362" s="204" t="s">
        <v>2897</v>
      </c>
      <c r="U362" s="1262" t="s">
        <v>2889</v>
      </c>
      <c r="V362" s="205">
        <v>19600</v>
      </c>
      <c r="W362" s="1262" t="s">
        <v>2668</v>
      </c>
      <c r="X362" s="206">
        <v>19600</v>
      </c>
      <c r="Y362" s="192"/>
    </row>
    <row r="363" ht="37.5" customHeight="1" spans="1:25">
      <c r="A363" s="192">
        <f t="shared" si="12"/>
        <v>356</v>
      </c>
      <c r="B363" s="208">
        <v>2022</v>
      </c>
      <c r="C363" s="193" t="s">
        <v>37</v>
      </c>
      <c r="D363" s="277" t="s">
        <v>2924</v>
      </c>
      <c r="E363" s="195" t="s">
        <v>2925</v>
      </c>
      <c r="F363" s="196" t="s">
        <v>2073</v>
      </c>
      <c r="G363" s="197" t="s">
        <v>2663</v>
      </c>
      <c r="H363" s="198">
        <v>0.8</v>
      </c>
      <c r="I363" s="199">
        <v>63770</v>
      </c>
      <c r="J363" s="200" t="s">
        <v>2092</v>
      </c>
      <c r="K363" s="200" t="s">
        <v>2926</v>
      </c>
      <c r="L363" s="201">
        <v>0.4</v>
      </c>
      <c r="M363" s="278" t="s">
        <v>2927</v>
      </c>
      <c r="N363" s="254">
        <v>63770</v>
      </c>
      <c r="O363" s="254">
        <v>63770</v>
      </c>
      <c r="P363" s="199">
        <f t="shared" si="13"/>
        <v>51016</v>
      </c>
      <c r="Q363" s="254">
        <v>51016</v>
      </c>
      <c r="R363" s="1262" t="s">
        <v>2896</v>
      </c>
      <c r="S363" s="254">
        <v>25508</v>
      </c>
      <c r="T363" s="204" t="s">
        <v>2897</v>
      </c>
      <c r="U363" s="1262" t="s">
        <v>2889</v>
      </c>
      <c r="V363" s="205">
        <v>12754</v>
      </c>
      <c r="W363" s="1262" t="s">
        <v>2668</v>
      </c>
      <c r="X363" s="206">
        <v>12754</v>
      </c>
      <c r="Y363" s="192"/>
    </row>
    <row r="364" ht="37.5" customHeight="1" spans="1:25">
      <c r="A364" s="192">
        <f t="shared" si="12"/>
        <v>357</v>
      </c>
      <c r="B364" s="208">
        <v>2022</v>
      </c>
      <c r="C364" s="193" t="s">
        <v>37</v>
      </c>
      <c r="D364" s="277" t="s">
        <v>346</v>
      </c>
      <c r="E364" s="195" t="s">
        <v>2928</v>
      </c>
      <c r="F364" s="196" t="s">
        <v>2073</v>
      </c>
      <c r="G364" s="197" t="s">
        <v>2663</v>
      </c>
      <c r="H364" s="198">
        <v>0.8</v>
      </c>
      <c r="I364" s="199">
        <v>14929.5</v>
      </c>
      <c r="J364" s="200" t="s">
        <v>2677</v>
      </c>
      <c r="K364" s="200" t="s">
        <v>2678</v>
      </c>
      <c r="L364" s="201">
        <v>0.4</v>
      </c>
      <c r="M364" s="278" t="s">
        <v>2929</v>
      </c>
      <c r="N364" s="254">
        <v>200</v>
      </c>
      <c r="O364" s="254">
        <v>200</v>
      </c>
      <c r="P364" s="199">
        <f t="shared" si="13"/>
        <v>160</v>
      </c>
      <c r="Q364" s="254">
        <v>160</v>
      </c>
      <c r="R364" s="1262" t="s">
        <v>2896</v>
      </c>
      <c r="S364" s="254">
        <v>80</v>
      </c>
      <c r="T364" s="204" t="s">
        <v>2897</v>
      </c>
      <c r="U364" s="1262" t="s">
        <v>2889</v>
      </c>
      <c r="V364" s="205">
        <v>40</v>
      </c>
      <c r="W364" s="1262" t="s">
        <v>2668</v>
      </c>
      <c r="X364" s="206">
        <v>40</v>
      </c>
      <c r="Y364" s="192"/>
    </row>
    <row r="365" ht="37.5" customHeight="1" spans="1:25">
      <c r="A365" s="192">
        <f t="shared" si="12"/>
        <v>358</v>
      </c>
      <c r="B365" s="208">
        <v>2022</v>
      </c>
      <c r="C365" s="193" t="s">
        <v>37</v>
      </c>
      <c r="D365" s="277" t="s">
        <v>2930</v>
      </c>
      <c r="E365" s="195" t="s">
        <v>2931</v>
      </c>
      <c r="F365" s="196" t="s">
        <v>2073</v>
      </c>
      <c r="G365" s="197" t="s">
        <v>2663</v>
      </c>
      <c r="H365" s="198">
        <v>0.8</v>
      </c>
      <c r="I365" s="199">
        <v>17000</v>
      </c>
      <c r="J365" s="200" t="s">
        <v>2125</v>
      </c>
      <c r="K365" s="200" t="s">
        <v>2887</v>
      </c>
      <c r="L365" s="201">
        <v>0.4</v>
      </c>
      <c r="M365" s="278" t="s">
        <v>2932</v>
      </c>
      <c r="N365" s="254">
        <v>15583.34</v>
      </c>
      <c r="O365" s="254">
        <v>15583.34</v>
      </c>
      <c r="P365" s="199">
        <f t="shared" si="13"/>
        <v>12466.672</v>
      </c>
      <c r="Q365" s="254">
        <v>12466.67</v>
      </c>
      <c r="R365" s="1262" t="s">
        <v>2896</v>
      </c>
      <c r="S365" s="254">
        <v>6233.34</v>
      </c>
      <c r="T365" s="204" t="s">
        <v>2897</v>
      </c>
      <c r="U365" s="1262" t="s">
        <v>2889</v>
      </c>
      <c r="V365" s="205">
        <v>3116.67</v>
      </c>
      <c r="W365" s="1262" t="s">
        <v>2668</v>
      </c>
      <c r="X365" s="206">
        <v>3116.67</v>
      </c>
      <c r="Y365" s="192"/>
    </row>
    <row r="366" ht="37.5" customHeight="1" spans="1:25">
      <c r="A366" s="192">
        <f t="shared" si="12"/>
        <v>359</v>
      </c>
      <c r="B366" s="208">
        <v>2022</v>
      </c>
      <c r="C366" s="193" t="s">
        <v>37</v>
      </c>
      <c r="D366" s="277" t="s">
        <v>2930</v>
      </c>
      <c r="E366" s="195" t="s">
        <v>2933</v>
      </c>
      <c r="F366" s="196" t="s">
        <v>2073</v>
      </c>
      <c r="G366" s="197" t="s">
        <v>2663</v>
      </c>
      <c r="H366" s="198">
        <v>0.8</v>
      </c>
      <c r="I366" s="199">
        <v>380000</v>
      </c>
      <c r="J366" s="200" t="s">
        <v>1994</v>
      </c>
      <c r="K366" s="200" t="s">
        <v>2497</v>
      </c>
      <c r="L366" s="201">
        <v>0.4</v>
      </c>
      <c r="M366" s="278" t="s">
        <v>2932</v>
      </c>
      <c r="N366" s="254">
        <v>109083.43</v>
      </c>
      <c r="O366" s="254">
        <v>109083.43</v>
      </c>
      <c r="P366" s="199">
        <f t="shared" si="13"/>
        <v>87266.744</v>
      </c>
      <c r="Q366" s="254">
        <v>87266.74</v>
      </c>
      <c r="R366" s="1262" t="s">
        <v>2896</v>
      </c>
      <c r="S366" s="254">
        <v>43633.37</v>
      </c>
      <c r="T366" s="204" t="s">
        <v>2897</v>
      </c>
      <c r="U366" s="1262" t="s">
        <v>2889</v>
      </c>
      <c r="V366" s="205">
        <v>21816.69</v>
      </c>
      <c r="W366" s="1262" t="s">
        <v>2668</v>
      </c>
      <c r="X366" s="206">
        <v>21816.69</v>
      </c>
      <c r="Y366" s="192"/>
    </row>
    <row r="367" ht="37.5" customHeight="1" spans="1:25">
      <c r="A367" s="192">
        <f t="shared" si="12"/>
        <v>360</v>
      </c>
      <c r="B367" s="208">
        <v>2022</v>
      </c>
      <c r="C367" s="193" t="s">
        <v>37</v>
      </c>
      <c r="D367" s="277" t="s">
        <v>2934</v>
      </c>
      <c r="E367" s="195" t="s">
        <v>2935</v>
      </c>
      <c r="F367" s="196" t="s">
        <v>2073</v>
      </c>
      <c r="G367" s="197" t="s">
        <v>2663</v>
      </c>
      <c r="H367" s="198">
        <v>0.8</v>
      </c>
      <c r="I367" s="199">
        <v>200170</v>
      </c>
      <c r="J367" s="200" t="s">
        <v>2936</v>
      </c>
      <c r="K367" s="200" t="s">
        <v>2937</v>
      </c>
      <c r="L367" s="201">
        <v>0.4</v>
      </c>
      <c r="M367" s="278" t="s">
        <v>2938</v>
      </c>
      <c r="N367" s="254">
        <v>33333.36</v>
      </c>
      <c r="O367" s="254">
        <v>33333.36</v>
      </c>
      <c r="P367" s="199">
        <f t="shared" si="13"/>
        <v>26666.688</v>
      </c>
      <c r="Q367" s="254">
        <v>26666.69</v>
      </c>
      <c r="R367" s="1262" t="s">
        <v>2896</v>
      </c>
      <c r="S367" s="254">
        <v>13333.35</v>
      </c>
      <c r="T367" s="204" t="s">
        <v>2897</v>
      </c>
      <c r="U367" s="1262" t="s">
        <v>2889</v>
      </c>
      <c r="V367" s="205">
        <v>6666.67</v>
      </c>
      <c r="W367" s="1262" t="s">
        <v>2668</v>
      </c>
      <c r="X367" s="206">
        <v>6666.67</v>
      </c>
      <c r="Y367" s="192"/>
    </row>
    <row r="368" ht="37.5" customHeight="1" spans="1:25">
      <c r="A368" s="192">
        <f t="shared" si="12"/>
        <v>361</v>
      </c>
      <c r="B368" s="208">
        <v>2022</v>
      </c>
      <c r="C368" s="193" t="s">
        <v>37</v>
      </c>
      <c r="D368" s="277" t="s">
        <v>2934</v>
      </c>
      <c r="E368" s="195" t="s">
        <v>2939</v>
      </c>
      <c r="F368" s="196" t="s">
        <v>2073</v>
      </c>
      <c r="G368" s="197" t="s">
        <v>2663</v>
      </c>
      <c r="H368" s="198">
        <v>0.8</v>
      </c>
      <c r="I368" s="199">
        <v>120000</v>
      </c>
      <c r="J368" s="200" t="s">
        <v>2069</v>
      </c>
      <c r="K368" s="200" t="s">
        <v>2940</v>
      </c>
      <c r="L368" s="201">
        <v>0.4</v>
      </c>
      <c r="M368" s="278" t="s">
        <v>2941</v>
      </c>
      <c r="N368" s="254">
        <v>97938.98</v>
      </c>
      <c r="O368" s="254">
        <v>97938.98</v>
      </c>
      <c r="P368" s="199">
        <f t="shared" si="13"/>
        <v>78351.184</v>
      </c>
      <c r="Q368" s="254">
        <v>78351.18</v>
      </c>
      <c r="R368" s="1262" t="s">
        <v>2896</v>
      </c>
      <c r="S368" s="254">
        <v>39175.59</v>
      </c>
      <c r="T368" s="204" t="s">
        <v>2897</v>
      </c>
      <c r="U368" s="1262" t="s">
        <v>2889</v>
      </c>
      <c r="V368" s="205">
        <v>19587.8</v>
      </c>
      <c r="W368" s="1262" t="s">
        <v>2668</v>
      </c>
      <c r="X368" s="206">
        <v>19587.8</v>
      </c>
      <c r="Y368" s="192"/>
    </row>
    <row r="369" ht="37.5" customHeight="1" spans="1:25">
      <c r="A369" s="192">
        <f t="shared" si="12"/>
        <v>362</v>
      </c>
      <c r="B369" s="208">
        <v>2022</v>
      </c>
      <c r="C369" s="193" t="s">
        <v>37</v>
      </c>
      <c r="D369" s="277" t="s">
        <v>2942</v>
      </c>
      <c r="E369" s="195" t="s">
        <v>2943</v>
      </c>
      <c r="F369" s="196" t="s">
        <v>2073</v>
      </c>
      <c r="G369" s="197" t="s">
        <v>2663</v>
      </c>
      <c r="H369" s="198">
        <v>0.8</v>
      </c>
      <c r="I369" s="199">
        <v>35000</v>
      </c>
      <c r="J369" s="200" t="s">
        <v>2349</v>
      </c>
      <c r="K369" s="200" t="s">
        <v>2350</v>
      </c>
      <c r="L369" s="201">
        <v>0.4</v>
      </c>
      <c r="M369" s="278" t="s">
        <v>2944</v>
      </c>
      <c r="N369" s="254">
        <v>5930.2</v>
      </c>
      <c r="O369" s="254">
        <v>5930.2</v>
      </c>
      <c r="P369" s="199">
        <f t="shared" si="13"/>
        <v>4744.16</v>
      </c>
      <c r="Q369" s="254">
        <v>4744.16</v>
      </c>
      <c r="R369" s="1262" t="s">
        <v>2896</v>
      </c>
      <c r="S369" s="254">
        <v>2372.08</v>
      </c>
      <c r="T369" s="204" t="s">
        <v>2897</v>
      </c>
      <c r="U369" s="1262" t="s">
        <v>2889</v>
      </c>
      <c r="V369" s="205">
        <v>1186.04</v>
      </c>
      <c r="W369" s="1262" t="s">
        <v>2668</v>
      </c>
      <c r="X369" s="206">
        <v>1186.04</v>
      </c>
      <c r="Y369" s="192"/>
    </row>
    <row r="370" ht="37.5" customHeight="1" spans="1:25">
      <c r="A370" s="192">
        <f t="shared" si="12"/>
        <v>363</v>
      </c>
      <c r="B370" s="208">
        <v>2022</v>
      </c>
      <c r="C370" s="193" t="s">
        <v>37</v>
      </c>
      <c r="D370" s="277" t="s">
        <v>2945</v>
      </c>
      <c r="E370" s="195" t="s">
        <v>2946</v>
      </c>
      <c r="F370" s="196" t="s">
        <v>2073</v>
      </c>
      <c r="G370" s="197" t="s">
        <v>2663</v>
      </c>
      <c r="H370" s="198">
        <v>0.8</v>
      </c>
      <c r="I370" s="199">
        <v>137080</v>
      </c>
      <c r="J370" s="200" t="s">
        <v>2191</v>
      </c>
      <c r="K370" s="200" t="s">
        <v>2192</v>
      </c>
      <c r="L370" s="201">
        <v>0.4</v>
      </c>
      <c r="M370" s="278" t="s">
        <v>2049</v>
      </c>
      <c r="N370" s="254">
        <v>10000.04</v>
      </c>
      <c r="O370" s="254">
        <v>10000.04</v>
      </c>
      <c r="P370" s="199">
        <f t="shared" si="13"/>
        <v>8000.032</v>
      </c>
      <c r="Q370" s="254">
        <v>8000.03</v>
      </c>
      <c r="R370" s="1262" t="s">
        <v>2896</v>
      </c>
      <c r="S370" s="254">
        <v>4000.02</v>
      </c>
      <c r="T370" s="204" t="s">
        <v>2897</v>
      </c>
      <c r="U370" s="1262" t="s">
        <v>2889</v>
      </c>
      <c r="V370" s="205">
        <v>2000.01</v>
      </c>
      <c r="W370" s="1262" t="s">
        <v>2668</v>
      </c>
      <c r="X370" s="206">
        <v>2000.01</v>
      </c>
      <c r="Y370" s="192"/>
    </row>
    <row r="371" ht="37.5" customHeight="1" spans="1:25">
      <c r="A371" s="192">
        <f t="shared" si="12"/>
        <v>364</v>
      </c>
      <c r="B371" s="208">
        <v>2022</v>
      </c>
      <c r="C371" s="193" t="s">
        <v>37</v>
      </c>
      <c r="D371" s="277" t="s">
        <v>2947</v>
      </c>
      <c r="E371" s="195" t="s">
        <v>2948</v>
      </c>
      <c r="F371" s="196" t="s">
        <v>2073</v>
      </c>
      <c r="G371" s="197" t="s">
        <v>2663</v>
      </c>
      <c r="H371" s="198">
        <v>0.8</v>
      </c>
      <c r="I371" s="199">
        <v>12280.35</v>
      </c>
      <c r="J371" s="200" t="s">
        <v>2949</v>
      </c>
      <c r="K371" s="200" t="s">
        <v>2950</v>
      </c>
      <c r="L371" s="201">
        <v>0.4</v>
      </c>
      <c r="M371" s="278" t="s">
        <v>2951</v>
      </c>
      <c r="N371" s="254">
        <v>1500.03</v>
      </c>
      <c r="O371" s="254">
        <v>1500.03</v>
      </c>
      <c r="P371" s="199">
        <f t="shared" si="13"/>
        <v>1200.024</v>
      </c>
      <c r="Q371" s="254">
        <v>1200.02</v>
      </c>
      <c r="R371" s="1262" t="s">
        <v>2896</v>
      </c>
      <c r="S371" s="254">
        <v>600.01</v>
      </c>
      <c r="T371" s="204" t="s">
        <v>2897</v>
      </c>
      <c r="U371" s="1262" t="s">
        <v>2889</v>
      </c>
      <c r="V371" s="205">
        <v>300.01</v>
      </c>
      <c r="W371" s="1262" t="s">
        <v>2668</v>
      </c>
      <c r="X371" s="206">
        <v>300.01</v>
      </c>
      <c r="Y371" s="192"/>
    </row>
    <row r="372" ht="37.5" customHeight="1" spans="1:25">
      <c r="A372" s="192">
        <f t="shared" si="12"/>
        <v>365</v>
      </c>
      <c r="B372" s="208">
        <v>2022</v>
      </c>
      <c r="C372" s="193" t="s">
        <v>37</v>
      </c>
      <c r="D372" s="277" t="s">
        <v>2947</v>
      </c>
      <c r="E372" s="195" t="s">
        <v>2952</v>
      </c>
      <c r="F372" s="196" t="s">
        <v>2073</v>
      </c>
      <c r="G372" s="197" t="s">
        <v>2663</v>
      </c>
      <c r="H372" s="198">
        <v>0.8</v>
      </c>
      <c r="I372" s="199">
        <v>30000</v>
      </c>
      <c r="J372" s="200" t="s">
        <v>1970</v>
      </c>
      <c r="K372" s="200" t="s">
        <v>2245</v>
      </c>
      <c r="L372" s="201">
        <v>0.4</v>
      </c>
      <c r="M372" s="278" t="s">
        <v>2903</v>
      </c>
      <c r="N372" s="254">
        <v>8466.7</v>
      </c>
      <c r="O372" s="254">
        <v>8466.7</v>
      </c>
      <c r="P372" s="199">
        <f t="shared" si="13"/>
        <v>6773.36</v>
      </c>
      <c r="Q372" s="254">
        <v>6773.36</v>
      </c>
      <c r="R372" s="1262" t="s">
        <v>2896</v>
      </c>
      <c r="S372" s="254">
        <v>3386.68</v>
      </c>
      <c r="T372" s="204" t="s">
        <v>2897</v>
      </c>
      <c r="U372" s="1262" t="s">
        <v>2889</v>
      </c>
      <c r="V372" s="205">
        <v>1693.34</v>
      </c>
      <c r="W372" s="1262" t="s">
        <v>2668</v>
      </c>
      <c r="X372" s="206">
        <v>1693.34</v>
      </c>
      <c r="Y372" s="192"/>
    </row>
    <row r="373" s="87" customFormat="1" ht="37.5" customHeight="1" spans="1:25">
      <c r="A373" s="192">
        <f t="shared" si="12"/>
        <v>366</v>
      </c>
      <c r="B373" s="208">
        <v>2022</v>
      </c>
      <c r="C373" s="193" t="s">
        <v>37</v>
      </c>
      <c r="D373" s="277" t="s">
        <v>2953</v>
      </c>
      <c r="E373" s="195" t="s">
        <v>2954</v>
      </c>
      <c r="F373" s="196" t="s">
        <v>2073</v>
      </c>
      <c r="G373" s="197" t="s">
        <v>2663</v>
      </c>
      <c r="H373" s="198">
        <v>0.8</v>
      </c>
      <c r="I373" s="199">
        <v>18666.03</v>
      </c>
      <c r="J373" s="200" t="s">
        <v>2368</v>
      </c>
      <c r="K373" s="200" t="s">
        <v>2955</v>
      </c>
      <c r="L373" s="201">
        <v>0.4</v>
      </c>
      <c r="M373" s="278" t="s">
        <v>2956</v>
      </c>
      <c r="N373" s="254">
        <v>8600</v>
      </c>
      <c r="O373" s="254">
        <v>8600</v>
      </c>
      <c r="P373" s="254">
        <v>6880</v>
      </c>
      <c r="Q373" s="254">
        <v>6880</v>
      </c>
      <c r="R373" s="1262" t="s">
        <v>2896</v>
      </c>
      <c r="S373" s="254">
        <v>3440</v>
      </c>
      <c r="T373" s="204" t="s">
        <v>2897</v>
      </c>
      <c r="U373" s="203"/>
      <c r="V373" s="205"/>
      <c r="W373" s="203"/>
      <c r="X373" s="206"/>
      <c r="Y373" s="203" t="s">
        <v>1077</v>
      </c>
    </row>
    <row r="374" ht="37.5" customHeight="1" spans="1:25">
      <c r="A374" s="192">
        <f t="shared" si="12"/>
        <v>367</v>
      </c>
      <c r="B374" s="208">
        <v>2022</v>
      </c>
      <c r="C374" s="193" t="s">
        <v>37</v>
      </c>
      <c r="D374" s="277" t="s">
        <v>2953</v>
      </c>
      <c r="E374" s="195" t="s">
        <v>2957</v>
      </c>
      <c r="F374" s="196" t="s">
        <v>2073</v>
      </c>
      <c r="G374" s="197" t="s">
        <v>2663</v>
      </c>
      <c r="H374" s="198">
        <v>0.8</v>
      </c>
      <c r="I374" s="199">
        <v>50000</v>
      </c>
      <c r="J374" s="200" t="s">
        <v>2958</v>
      </c>
      <c r="K374" s="200" t="s">
        <v>2959</v>
      </c>
      <c r="L374" s="201">
        <v>0.4</v>
      </c>
      <c r="M374" s="278" t="s">
        <v>2956</v>
      </c>
      <c r="N374" s="254">
        <v>48000</v>
      </c>
      <c r="O374" s="254">
        <v>48000</v>
      </c>
      <c r="P374" s="199">
        <f t="shared" ref="P374:P437" si="14">O374*H374</f>
        <v>38400</v>
      </c>
      <c r="Q374" s="254">
        <v>38400</v>
      </c>
      <c r="R374" s="1262" t="s">
        <v>2896</v>
      </c>
      <c r="S374" s="254">
        <v>19200</v>
      </c>
      <c r="T374" s="204" t="s">
        <v>2897</v>
      </c>
      <c r="U374" s="1262" t="s">
        <v>2889</v>
      </c>
      <c r="V374" s="205">
        <v>9600</v>
      </c>
      <c r="W374" s="1262" t="s">
        <v>2668</v>
      </c>
      <c r="X374" s="206">
        <v>9600</v>
      </c>
      <c r="Y374" s="192"/>
    </row>
    <row r="375" ht="37.5" customHeight="1" spans="1:25">
      <c r="A375" s="192">
        <f t="shared" si="12"/>
        <v>368</v>
      </c>
      <c r="B375" s="208">
        <v>2022</v>
      </c>
      <c r="C375" s="193" t="s">
        <v>37</v>
      </c>
      <c r="D375" s="277" t="s">
        <v>2953</v>
      </c>
      <c r="E375" s="195" t="s">
        <v>2960</v>
      </c>
      <c r="F375" s="196" t="s">
        <v>2073</v>
      </c>
      <c r="G375" s="197" t="s">
        <v>2663</v>
      </c>
      <c r="H375" s="198">
        <v>0.8</v>
      </c>
      <c r="I375" s="199">
        <v>38000</v>
      </c>
      <c r="J375" s="200" t="s">
        <v>2961</v>
      </c>
      <c r="K375" s="200" t="s">
        <v>2962</v>
      </c>
      <c r="L375" s="201">
        <v>0.4</v>
      </c>
      <c r="M375" s="278" t="s">
        <v>2956</v>
      </c>
      <c r="N375" s="254">
        <v>31666.68</v>
      </c>
      <c r="O375" s="254">
        <v>31666.68</v>
      </c>
      <c r="P375" s="199">
        <f t="shared" si="14"/>
        <v>25333.344</v>
      </c>
      <c r="Q375" s="254">
        <v>25333.34</v>
      </c>
      <c r="R375" s="1262" t="s">
        <v>2896</v>
      </c>
      <c r="S375" s="254">
        <v>12666.67</v>
      </c>
      <c r="T375" s="204" t="s">
        <v>2897</v>
      </c>
      <c r="U375" s="1262" t="s">
        <v>2889</v>
      </c>
      <c r="V375" s="205">
        <v>6333.34</v>
      </c>
      <c r="W375" s="1262" t="s">
        <v>2668</v>
      </c>
      <c r="X375" s="206">
        <v>6333.34</v>
      </c>
      <c r="Y375" s="192"/>
    </row>
    <row r="376" ht="37.5" customHeight="1" spans="1:25">
      <c r="A376" s="192">
        <f t="shared" ref="A376:A439" si="15">ROW()-7</f>
        <v>369</v>
      </c>
      <c r="B376" s="208">
        <v>2022</v>
      </c>
      <c r="C376" s="193" t="s">
        <v>37</v>
      </c>
      <c r="D376" s="277" t="s">
        <v>2953</v>
      </c>
      <c r="E376" s="195" t="s">
        <v>2963</v>
      </c>
      <c r="F376" s="196" t="s">
        <v>2073</v>
      </c>
      <c r="G376" s="197" t="s">
        <v>2663</v>
      </c>
      <c r="H376" s="198">
        <v>0.8</v>
      </c>
      <c r="I376" s="199">
        <v>230000</v>
      </c>
      <c r="J376" s="200" t="s">
        <v>2964</v>
      </c>
      <c r="K376" s="200" t="s">
        <v>2965</v>
      </c>
      <c r="L376" s="201">
        <v>0.4</v>
      </c>
      <c r="M376" s="278" t="s">
        <v>2932</v>
      </c>
      <c r="N376" s="254">
        <v>197871.31</v>
      </c>
      <c r="O376" s="254">
        <v>197871.31</v>
      </c>
      <c r="P376" s="199">
        <f t="shared" si="14"/>
        <v>158297.048</v>
      </c>
      <c r="Q376" s="254">
        <v>158297.05</v>
      </c>
      <c r="R376" s="1262" t="s">
        <v>2896</v>
      </c>
      <c r="S376" s="254">
        <v>79148.53</v>
      </c>
      <c r="T376" s="204" t="s">
        <v>2897</v>
      </c>
      <c r="U376" s="1262" t="s">
        <v>2889</v>
      </c>
      <c r="V376" s="205">
        <v>39574.26</v>
      </c>
      <c r="W376" s="1262" t="s">
        <v>2668</v>
      </c>
      <c r="X376" s="206">
        <v>39574.26</v>
      </c>
      <c r="Y376" s="192"/>
    </row>
    <row r="377" ht="37.5" customHeight="1" spans="1:25">
      <c r="A377" s="192">
        <f t="shared" si="15"/>
        <v>370</v>
      </c>
      <c r="B377" s="208">
        <v>2022</v>
      </c>
      <c r="C377" s="193" t="s">
        <v>37</v>
      </c>
      <c r="D377" s="277" t="s">
        <v>2966</v>
      </c>
      <c r="E377" s="195" t="s">
        <v>2967</v>
      </c>
      <c r="F377" s="196" t="s">
        <v>2073</v>
      </c>
      <c r="G377" s="197" t="s">
        <v>2663</v>
      </c>
      <c r="H377" s="198">
        <v>0.8</v>
      </c>
      <c r="I377" s="199">
        <v>17355.27</v>
      </c>
      <c r="J377" s="200" t="s">
        <v>2092</v>
      </c>
      <c r="K377" s="200" t="s">
        <v>2926</v>
      </c>
      <c r="L377" s="201">
        <v>0.4</v>
      </c>
      <c r="M377" s="278" t="s">
        <v>2968</v>
      </c>
      <c r="N377" s="254">
        <v>4566.68</v>
      </c>
      <c r="O377" s="254">
        <v>4566.68</v>
      </c>
      <c r="P377" s="199">
        <f t="shared" si="14"/>
        <v>3653.344</v>
      </c>
      <c r="Q377" s="254">
        <v>3653.34</v>
      </c>
      <c r="R377" s="1262" t="s">
        <v>2896</v>
      </c>
      <c r="S377" s="254">
        <v>1826.67</v>
      </c>
      <c r="T377" s="204" t="s">
        <v>2897</v>
      </c>
      <c r="U377" s="1262" t="s">
        <v>2889</v>
      </c>
      <c r="V377" s="205">
        <v>913.34</v>
      </c>
      <c r="W377" s="1262" t="s">
        <v>2668</v>
      </c>
      <c r="X377" s="206">
        <v>913.34</v>
      </c>
      <c r="Y377" s="192"/>
    </row>
    <row r="378" ht="37.5" customHeight="1" spans="1:25">
      <c r="A378" s="192">
        <f t="shared" si="15"/>
        <v>371</v>
      </c>
      <c r="B378" s="208">
        <v>2022</v>
      </c>
      <c r="C378" s="193" t="s">
        <v>37</v>
      </c>
      <c r="D378" s="277" t="s">
        <v>2966</v>
      </c>
      <c r="E378" s="195" t="s">
        <v>2969</v>
      </c>
      <c r="F378" s="196" t="s">
        <v>2073</v>
      </c>
      <c r="G378" s="197" t="s">
        <v>2663</v>
      </c>
      <c r="H378" s="198">
        <v>0.8</v>
      </c>
      <c r="I378" s="199">
        <v>17355.27</v>
      </c>
      <c r="J378" s="200" t="s">
        <v>2970</v>
      </c>
      <c r="K378" s="200" t="s">
        <v>2971</v>
      </c>
      <c r="L378" s="201">
        <v>0.4</v>
      </c>
      <c r="M378" s="278" t="s">
        <v>2968</v>
      </c>
      <c r="N378" s="254">
        <v>5041.68</v>
      </c>
      <c r="O378" s="254">
        <v>5041.68</v>
      </c>
      <c r="P378" s="199">
        <f t="shared" si="14"/>
        <v>4033.344</v>
      </c>
      <c r="Q378" s="254">
        <v>4033.34</v>
      </c>
      <c r="R378" s="1262" t="s">
        <v>2896</v>
      </c>
      <c r="S378" s="254">
        <v>2016.67</v>
      </c>
      <c r="T378" s="204" t="s">
        <v>2897</v>
      </c>
      <c r="U378" s="1262" t="s">
        <v>2889</v>
      </c>
      <c r="V378" s="205">
        <v>1008.34</v>
      </c>
      <c r="W378" s="1262" t="s">
        <v>2668</v>
      </c>
      <c r="X378" s="206">
        <v>1008.34</v>
      </c>
      <c r="Y378" s="192"/>
    </row>
    <row r="379" ht="37.5" customHeight="1" spans="1:25">
      <c r="A379" s="192">
        <f t="shared" si="15"/>
        <v>372</v>
      </c>
      <c r="B379" s="208">
        <v>2022</v>
      </c>
      <c r="C379" s="193" t="s">
        <v>37</v>
      </c>
      <c r="D379" s="277" t="s">
        <v>2966</v>
      </c>
      <c r="E379" s="195" t="s">
        <v>2972</v>
      </c>
      <c r="F379" s="196" t="s">
        <v>2073</v>
      </c>
      <c r="G379" s="197" t="s">
        <v>2663</v>
      </c>
      <c r="H379" s="198">
        <v>0.8</v>
      </c>
      <c r="I379" s="199">
        <v>17355.27</v>
      </c>
      <c r="J379" s="200" t="s">
        <v>2812</v>
      </c>
      <c r="K379" s="200" t="s">
        <v>2813</v>
      </c>
      <c r="L379" s="201">
        <v>0.4</v>
      </c>
      <c r="M379" s="278" t="s">
        <v>2968</v>
      </c>
      <c r="N379" s="254">
        <v>4500</v>
      </c>
      <c r="O379" s="254">
        <v>4500</v>
      </c>
      <c r="P379" s="199">
        <f t="shared" si="14"/>
        <v>3600</v>
      </c>
      <c r="Q379" s="254">
        <v>3600</v>
      </c>
      <c r="R379" s="1262" t="s">
        <v>2896</v>
      </c>
      <c r="S379" s="254">
        <v>1800</v>
      </c>
      <c r="T379" s="204" t="s">
        <v>2897</v>
      </c>
      <c r="U379" s="1262" t="s">
        <v>2889</v>
      </c>
      <c r="V379" s="205">
        <v>900</v>
      </c>
      <c r="W379" s="1262" t="s">
        <v>2668</v>
      </c>
      <c r="X379" s="206">
        <v>900</v>
      </c>
      <c r="Y379" s="192"/>
    </row>
    <row r="380" ht="37.5" customHeight="1" spans="1:25">
      <c r="A380" s="192">
        <f t="shared" si="15"/>
        <v>373</v>
      </c>
      <c r="B380" s="208">
        <v>2022</v>
      </c>
      <c r="C380" s="193" t="s">
        <v>37</v>
      </c>
      <c r="D380" s="277" t="s">
        <v>2973</v>
      </c>
      <c r="E380" s="195" t="s">
        <v>2974</v>
      </c>
      <c r="F380" s="196" t="s">
        <v>2073</v>
      </c>
      <c r="G380" s="197" t="s">
        <v>2663</v>
      </c>
      <c r="H380" s="198">
        <v>0.8</v>
      </c>
      <c r="I380" s="199">
        <v>13178.05</v>
      </c>
      <c r="J380" s="200" t="s">
        <v>2405</v>
      </c>
      <c r="K380" s="200" t="s">
        <v>2731</v>
      </c>
      <c r="L380" s="201">
        <v>0.4</v>
      </c>
      <c r="M380" s="278" t="s">
        <v>2941</v>
      </c>
      <c r="N380" s="254">
        <v>1041.68</v>
      </c>
      <c r="O380" s="254">
        <v>1041.68</v>
      </c>
      <c r="P380" s="199">
        <f t="shared" si="14"/>
        <v>833.344</v>
      </c>
      <c r="Q380" s="254">
        <v>833.34</v>
      </c>
      <c r="R380" s="1262" t="s">
        <v>2896</v>
      </c>
      <c r="S380" s="254">
        <v>416.67</v>
      </c>
      <c r="T380" s="204" t="s">
        <v>2897</v>
      </c>
      <c r="U380" s="1262" t="s">
        <v>2889</v>
      </c>
      <c r="V380" s="205">
        <v>208.34</v>
      </c>
      <c r="W380" s="1262" t="s">
        <v>2668</v>
      </c>
      <c r="X380" s="206">
        <v>208.34</v>
      </c>
      <c r="Y380" s="192"/>
    </row>
    <row r="381" ht="37.5" customHeight="1" spans="1:25">
      <c r="A381" s="192">
        <f t="shared" si="15"/>
        <v>374</v>
      </c>
      <c r="B381" s="208">
        <v>2022</v>
      </c>
      <c r="C381" s="193" t="s">
        <v>37</v>
      </c>
      <c r="D381" s="277" t="s">
        <v>2975</v>
      </c>
      <c r="E381" s="195" t="s">
        <v>2976</v>
      </c>
      <c r="F381" s="196" t="s">
        <v>2073</v>
      </c>
      <c r="G381" s="197" t="s">
        <v>2663</v>
      </c>
      <c r="H381" s="198">
        <v>0.8</v>
      </c>
      <c r="I381" s="199">
        <v>15761.94</v>
      </c>
      <c r="J381" s="200" t="s">
        <v>2977</v>
      </c>
      <c r="K381" s="200" t="s">
        <v>2978</v>
      </c>
      <c r="L381" s="201">
        <v>0.4</v>
      </c>
      <c r="M381" s="278" t="s">
        <v>2979</v>
      </c>
      <c r="N381" s="254">
        <v>768.35</v>
      </c>
      <c r="O381" s="254">
        <v>768.35</v>
      </c>
      <c r="P381" s="199">
        <f t="shared" si="14"/>
        <v>614.68</v>
      </c>
      <c r="Q381" s="254">
        <v>614.68</v>
      </c>
      <c r="R381" s="1262" t="s">
        <v>2896</v>
      </c>
      <c r="S381" s="254">
        <v>307.34</v>
      </c>
      <c r="T381" s="204" t="s">
        <v>2897</v>
      </c>
      <c r="U381" s="1262" t="s">
        <v>2889</v>
      </c>
      <c r="V381" s="205">
        <v>153.67</v>
      </c>
      <c r="W381" s="1262" t="s">
        <v>2668</v>
      </c>
      <c r="X381" s="206">
        <v>153.67</v>
      </c>
      <c r="Y381" s="192"/>
    </row>
    <row r="382" ht="37.5" customHeight="1" spans="1:25">
      <c r="A382" s="192">
        <f t="shared" si="15"/>
        <v>375</v>
      </c>
      <c r="B382" s="208">
        <v>2022</v>
      </c>
      <c r="C382" s="193" t="s">
        <v>37</v>
      </c>
      <c r="D382" s="277" t="s">
        <v>2980</v>
      </c>
      <c r="E382" s="195" t="s">
        <v>2981</v>
      </c>
      <c r="F382" s="196" t="s">
        <v>2073</v>
      </c>
      <c r="G382" s="197" t="s">
        <v>2663</v>
      </c>
      <c r="H382" s="198">
        <v>0.8</v>
      </c>
      <c r="I382" s="199">
        <v>16016.64</v>
      </c>
      <c r="J382" s="200" t="s">
        <v>1987</v>
      </c>
      <c r="K382" s="200" t="s">
        <v>2982</v>
      </c>
      <c r="L382" s="201">
        <v>0.4</v>
      </c>
      <c r="M382" s="278" t="s">
        <v>2944</v>
      </c>
      <c r="N382" s="254">
        <v>699.18</v>
      </c>
      <c r="O382" s="254">
        <v>699.18</v>
      </c>
      <c r="P382" s="199">
        <f t="shared" si="14"/>
        <v>559.344</v>
      </c>
      <c r="Q382" s="254">
        <v>559.34</v>
      </c>
      <c r="R382" s="1262" t="s">
        <v>2896</v>
      </c>
      <c r="S382" s="254">
        <v>279.67</v>
      </c>
      <c r="T382" s="204" t="s">
        <v>2897</v>
      </c>
      <c r="U382" s="1262" t="s">
        <v>2889</v>
      </c>
      <c r="V382" s="205">
        <v>139.84</v>
      </c>
      <c r="W382" s="1262" t="s">
        <v>2668</v>
      </c>
      <c r="X382" s="206">
        <v>139.84</v>
      </c>
      <c r="Y382" s="192"/>
    </row>
    <row r="383" ht="37.5" customHeight="1" spans="1:25">
      <c r="A383" s="192">
        <f t="shared" si="15"/>
        <v>376</v>
      </c>
      <c r="B383" s="208">
        <v>2022</v>
      </c>
      <c r="C383" s="193" t="s">
        <v>37</v>
      </c>
      <c r="D383" s="277" t="s">
        <v>2980</v>
      </c>
      <c r="E383" s="195" t="s">
        <v>2983</v>
      </c>
      <c r="F383" s="196" t="s">
        <v>2073</v>
      </c>
      <c r="G383" s="197" t="s">
        <v>2663</v>
      </c>
      <c r="H383" s="198">
        <v>0.8</v>
      </c>
      <c r="I383" s="199">
        <v>16016.64</v>
      </c>
      <c r="J383" s="200" t="s">
        <v>2984</v>
      </c>
      <c r="K383" s="200" t="s">
        <v>2985</v>
      </c>
      <c r="L383" s="201">
        <v>0.4</v>
      </c>
      <c r="M383" s="278" t="s">
        <v>2944</v>
      </c>
      <c r="N383" s="254">
        <v>1466.68</v>
      </c>
      <c r="O383" s="254">
        <v>1466.68</v>
      </c>
      <c r="P383" s="199">
        <f t="shared" si="14"/>
        <v>1173.344</v>
      </c>
      <c r="Q383" s="254">
        <v>1173.34</v>
      </c>
      <c r="R383" s="1262" t="s">
        <v>2896</v>
      </c>
      <c r="S383" s="254">
        <v>586.67</v>
      </c>
      <c r="T383" s="204" t="s">
        <v>2897</v>
      </c>
      <c r="U383" s="1262" t="s">
        <v>2889</v>
      </c>
      <c r="V383" s="205">
        <v>293.34</v>
      </c>
      <c r="W383" s="1262" t="s">
        <v>2668</v>
      </c>
      <c r="X383" s="206">
        <v>293.34</v>
      </c>
      <c r="Y383" s="192"/>
    </row>
    <row r="384" ht="37.5" customHeight="1" spans="1:25">
      <c r="A384" s="192">
        <f t="shared" si="15"/>
        <v>377</v>
      </c>
      <c r="B384" s="208">
        <v>2022</v>
      </c>
      <c r="C384" s="193" t="s">
        <v>37</v>
      </c>
      <c r="D384" s="277" t="s">
        <v>2986</v>
      </c>
      <c r="E384" s="195" t="s">
        <v>2987</v>
      </c>
      <c r="F384" s="196" t="s">
        <v>2073</v>
      </c>
      <c r="G384" s="197" t="s">
        <v>2663</v>
      </c>
      <c r="H384" s="198">
        <v>0.8</v>
      </c>
      <c r="I384" s="199">
        <v>133330</v>
      </c>
      <c r="J384" s="200" t="s">
        <v>2418</v>
      </c>
      <c r="K384" s="200" t="s">
        <v>2619</v>
      </c>
      <c r="L384" s="201">
        <v>0.4</v>
      </c>
      <c r="M384" s="278" t="s">
        <v>2048</v>
      </c>
      <c r="N384" s="254">
        <v>24082.89</v>
      </c>
      <c r="O384" s="254">
        <v>24082.89</v>
      </c>
      <c r="P384" s="199">
        <f t="shared" si="14"/>
        <v>19266.312</v>
      </c>
      <c r="Q384" s="254">
        <v>19266.31</v>
      </c>
      <c r="R384" s="1262" t="s">
        <v>2896</v>
      </c>
      <c r="S384" s="254">
        <v>9633.16</v>
      </c>
      <c r="T384" s="204" t="s">
        <v>2897</v>
      </c>
      <c r="U384" s="1262" t="s">
        <v>2889</v>
      </c>
      <c r="V384" s="205">
        <v>4816.58</v>
      </c>
      <c r="W384" s="1262" t="s">
        <v>2668</v>
      </c>
      <c r="X384" s="206">
        <v>4816.58</v>
      </c>
      <c r="Y384" s="192"/>
    </row>
    <row r="385" ht="37.5" customHeight="1" spans="1:25">
      <c r="A385" s="192">
        <f t="shared" si="15"/>
        <v>378</v>
      </c>
      <c r="B385" s="208">
        <v>2022</v>
      </c>
      <c r="C385" s="193" t="s">
        <v>37</v>
      </c>
      <c r="D385" s="277" t="s">
        <v>2988</v>
      </c>
      <c r="E385" s="195" t="s">
        <v>2989</v>
      </c>
      <c r="F385" s="196" t="s">
        <v>2073</v>
      </c>
      <c r="G385" s="197" t="s">
        <v>2663</v>
      </c>
      <c r="H385" s="198">
        <v>0.8</v>
      </c>
      <c r="I385" s="199">
        <v>38527</v>
      </c>
      <c r="J385" s="200" t="s">
        <v>2117</v>
      </c>
      <c r="K385" s="200" t="s">
        <v>2990</v>
      </c>
      <c r="L385" s="201">
        <v>0.4</v>
      </c>
      <c r="M385" s="278" t="s">
        <v>2870</v>
      </c>
      <c r="N385" s="254">
        <v>32105.84</v>
      </c>
      <c r="O385" s="254">
        <v>32105.84</v>
      </c>
      <c r="P385" s="199">
        <f t="shared" si="14"/>
        <v>25684.672</v>
      </c>
      <c r="Q385" s="254">
        <v>25684.67</v>
      </c>
      <c r="R385" s="1262" t="s">
        <v>2896</v>
      </c>
      <c r="S385" s="254">
        <v>12842.34</v>
      </c>
      <c r="T385" s="204" t="s">
        <v>2897</v>
      </c>
      <c r="U385" s="1262" t="s">
        <v>2889</v>
      </c>
      <c r="V385" s="205">
        <v>6421.17</v>
      </c>
      <c r="W385" s="1262" t="s">
        <v>2668</v>
      </c>
      <c r="X385" s="206">
        <v>6421.17</v>
      </c>
      <c r="Y385" s="192"/>
    </row>
    <row r="386" ht="37.5" customHeight="1" spans="1:25">
      <c r="A386" s="192">
        <f t="shared" si="15"/>
        <v>379</v>
      </c>
      <c r="B386" s="208">
        <v>2022</v>
      </c>
      <c r="C386" s="193" t="s">
        <v>37</v>
      </c>
      <c r="D386" s="277" t="s">
        <v>2991</v>
      </c>
      <c r="E386" s="195" t="s">
        <v>2992</v>
      </c>
      <c r="F386" s="196" t="s">
        <v>2073</v>
      </c>
      <c r="G386" s="197" t="s">
        <v>2663</v>
      </c>
      <c r="H386" s="198">
        <v>0.8</v>
      </c>
      <c r="I386" s="199">
        <v>17422.94</v>
      </c>
      <c r="J386" s="200" t="s">
        <v>2993</v>
      </c>
      <c r="K386" s="200" t="s">
        <v>2994</v>
      </c>
      <c r="L386" s="201">
        <v>0.4</v>
      </c>
      <c r="M386" s="278" t="s">
        <v>2941</v>
      </c>
      <c r="N386" s="254">
        <v>5340</v>
      </c>
      <c r="O386" s="254">
        <v>5340</v>
      </c>
      <c r="P386" s="199">
        <f t="shared" si="14"/>
        <v>4272</v>
      </c>
      <c r="Q386" s="254">
        <v>4272</v>
      </c>
      <c r="R386" s="1262" t="s">
        <v>2896</v>
      </c>
      <c r="S386" s="254">
        <v>2136</v>
      </c>
      <c r="T386" s="204" t="s">
        <v>2897</v>
      </c>
      <c r="U386" s="1262" t="s">
        <v>2889</v>
      </c>
      <c r="V386" s="205">
        <v>1068</v>
      </c>
      <c r="W386" s="1262" t="s">
        <v>2668</v>
      </c>
      <c r="X386" s="206">
        <v>1068</v>
      </c>
      <c r="Y386" s="192"/>
    </row>
    <row r="387" ht="37.5" customHeight="1" spans="1:25">
      <c r="A387" s="192">
        <f t="shared" si="15"/>
        <v>380</v>
      </c>
      <c r="B387" s="208">
        <v>2022</v>
      </c>
      <c r="C387" s="193" t="s">
        <v>37</v>
      </c>
      <c r="D387" s="277" t="s">
        <v>2988</v>
      </c>
      <c r="E387" s="195" t="s">
        <v>2995</v>
      </c>
      <c r="F387" s="196" t="s">
        <v>2073</v>
      </c>
      <c r="G387" s="197" t="s">
        <v>2663</v>
      </c>
      <c r="H387" s="198">
        <v>0.8</v>
      </c>
      <c r="I387" s="199">
        <v>33566</v>
      </c>
      <c r="J387" s="200" t="s">
        <v>2076</v>
      </c>
      <c r="K387" s="200" t="s">
        <v>2996</v>
      </c>
      <c r="L387" s="201">
        <v>0.4</v>
      </c>
      <c r="M387" s="278" t="s">
        <v>2870</v>
      </c>
      <c r="N387" s="254">
        <v>22377.34</v>
      </c>
      <c r="O387" s="254">
        <v>22377.34</v>
      </c>
      <c r="P387" s="199">
        <f t="shared" si="14"/>
        <v>17901.872</v>
      </c>
      <c r="Q387" s="254">
        <v>17901.87</v>
      </c>
      <c r="R387" s="1262" t="s">
        <v>2896</v>
      </c>
      <c r="S387" s="254">
        <v>8950.94</v>
      </c>
      <c r="T387" s="204" t="s">
        <v>2897</v>
      </c>
      <c r="U387" s="1262" t="s">
        <v>2889</v>
      </c>
      <c r="V387" s="205">
        <v>4475.47</v>
      </c>
      <c r="W387" s="1262" t="s">
        <v>2668</v>
      </c>
      <c r="X387" s="206">
        <v>4475.47</v>
      </c>
      <c r="Y387" s="192"/>
    </row>
    <row r="388" ht="37.5" customHeight="1" spans="1:25">
      <c r="A388" s="192">
        <f t="shared" si="15"/>
        <v>381</v>
      </c>
      <c r="B388" s="208">
        <v>2022</v>
      </c>
      <c r="C388" s="193" t="s">
        <v>37</v>
      </c>
      <c r="D388" s="277" t="s">
        <v>2997</v>
      </c>
      <c r="E388" s="195" t="s">
        <v>2998</v>
      </c>
      <c r="F388" s="196" t="s">
        <v>2073</v>
      </c>
      <c r="G388" s="197" t="s">
        <v>2663</v>
      </c>
      <c r="H388" s="198">
        <v>0.8</v>
      </c>
      <c r="I388" s="199">
        <v>132738.7</v>
      </c>
      <c r="J388" s="200" t="s">
        <v>2999</v>
      </c>
      <c r="K388" s="200" t="s">
        <v>3000</v>
      </c>
      <c r="L388" s="201">
        <v>0.4</v>
      </c>
      <c r="M388" s="278" t="s">
        <v>2929</v>
      </c>
      <c r="N388" s="254">
        <v>22500</v>
      </c>
      <c r="O388" s="254">
        <v>22500</v>
      </c>
      <c r="P388" s="199">
        <f t="shared" si="14"/>
        <v>18000</v>
      </c>
      <c r="Q388" s="254">
        <v>18000</v>
      </c>
      <c r="R388" s="1262" t="s">
        <v>2896</v>
      </c>
      <c r="S388" s="254">
        <v>9000</v>
      </c>
      <c r="T388" s="204" t="s">
        <v>2897</v>
      </c>
      <c r="U388" s="1262" t="s">
        <v>2889</v>
      </c>
      <c r="V388" s="205">
        <v>4500</v>
      </c>
      <c r="W388" s="1262" t="s">
        <v>2668</v>
      </c>
      <c r="X388" s="206">
        <v>4500</v>
      </c>
      <c r="Y388" s="192"/>
    </row>
    <row r="389" ht="37.5" customHeight="1" spans="1:25">
      <c r="A389" s="192">
        <f t="shared" si="15"/>
        <v>382</v>
      </c>
      <c r="B389" s="208">
        <v>2022</v>
      </c>
      <c r="C389" s="193" t="s">
        <v>37</v>
      </c>
      <c r="D389" s="277" t="s">
        <v>3001</v>
      </c>
      <c r="E389" s="195" t="s">
        <v>3002</v>
      </c>
      <c r="F389" s="196" t="s">
        <v>2073</v>
      </c>
      <c r="G389" s="197" t="s">
        <v>2663</v>
      </c>
      <c r="H389" s="198">
        <v>0.8</v>
      </c>
      <c r="I389" s="199">
        <v>116430</v>
      </c>
      <c r="J389" s="200" t="s">
        <v>1848</v>
      </c>
      <c r="K389" s="200" t="s">
        <v>2671</v>
      </c>
      <c r="L389" s="201">
        <v>0.4</v>
      </c>
      <c r="M389" s="278" t="s">
        <v>2968</v>
      </c>
      <c r="N389" s="254">
        <v>80078.65</v>
      </c>
      <c r="O389" s="254">
        <v>80078.65</v>
      </c>
      <c r="P389" s="199">
        <f t="shared" si="14"/>
        <v>64062.92</v>
      </c>
      <c r="Q389" s="254">
        <v>64062.92</v>
      </c>
      <c r="R389" s="1262" t="s">
        <v>2896</v>
      </c>
      <c r="S389" s="254">
        <v>32031.46</v>
      </c>
      <c r="T389" s="204" t="s">
        <v>2897</v>
      </c>
      <c r="U389" s="1262" t="s">
        <v>2889</v>
      </c>
      <c r="V389" s="205">
        <v>16015.73</v>
      </c>
      <c r="W389" s="1262" t="s">
        <v>2668</v>
      </c>
      <c r="X389" s="206">
        <v>16015.73</v>
      </c>
      <c r="Y389" s="192"/>
    </row>
    <row r="390" ht="37.5" customHeight="1" spans="1:25">
      <c r="A390" s="192">
        <f t="shared" si="15"/>
        <v>383</v>
      </c>
      <c r="B390" s="208">
        <v>2022</v>
      </c>
      <c r="C390" s="193" t="s">
        <v>37</v>
      </c>
      <c r="D390" s="277" t="s">
        <v>3003</v>
      </c>
      <c r="E390" s="195" t="s">
        <v>3004</v>
      </c>
      <c r="F390" s="196" t="s">
        <v>2073</v>
      </c>
      <c r="G390" s="197" t="s">
        <v>2663</v>
      </c>
      <c r="H390" s="198">
        <v>0.8</v>
      </c>
      <c r="I390" s="199">
        <v>154587</v>
      </c>
      <c r="J390" s="200" t="s">
        <v>3005</v>
      </c>
      <c r="K390" s="200" t="s">
        <v>3006</v>
      </c>
      <c r="L390" s="201">
        <v>0.4</v>
      </c>
      <c r="M390" s="278" t="s">
        <v>3007</v>
      </c>
      <c r="N390" s="254">
        <v>87493.23</v>
      </c>
      <c r="O390" s="254">
        <v>87493.23</v>
      </c>
      <c r="P390" s="199">
        <f t="shared" si="14"/>
        <v>69994.584</v>
      </c>
      <c r="Q390" s="254">
        <v>69994.58</v>
      </c>
      <c r="R390" s="1262" t="s">
        <v>2896</v>
      </c>
      <c r="S390" s="254">
        <v>34997.29</v>
      </c>
      <c r="T390" s="204" t="s">
        <v>2897</v>
      </c>
      <c r="U390" s="1262" t="s">
        <v>2889</v>
      </c>
      <c r="V390" s="205">
        <v>17498.65</v>
      </c>
      <c r="W390" s="1262" t="s">
        <v>2668</v>
      </c>
      <c r="X390" s="206">
        <v>17498.65</v>
      </c>
      <c r="Y390" s="192"/>
    </row>
    <row r="391" ht="37.5" customHeight="1" spans="1:25">
      <c r="A391" s="192">
        <f t="shared" si="15"/>
        <v>384</v>
      </c>
      <c r="B391" s="208">
        <v>2022</v>
      </c>
      <c r="C391" s="193" t="s">
        <v>37</v>
      </c>
      <c r="D391" s="277" t="s">
        <v>3001</v>
      </c>
      <c r="E391" s="195" t="s">
        <v>3008</v>
      </c>
      <c r="F391" s="196" t="s">
        <v>2073</v>
      </c>
      <c r="G391" s="197" t="s">
        <v>2663</v>
      </c>
      <c r="H391" s="198">
        <v>0.8</v>
      </c>
      <c r="I391" s="199">
        <v>94061</v>
      </c>
      <c r="J391" s="200" t="s">
        <v>2405</v>
      </c>
      <c r="K391" s="200" t="s">
        <v>2731</v>
      </c>
      <c r="L391" s="201">
        <v>0.4</v>
      </c>
      <c r="M391" s="278" t="s">
        <v>2906</v>
      </c>
      <c r="N391" s="254">
        <v>24051</v>
      </c>
      <c r="O391" s="254">
        <v>24051</v>
      </c>
      <c r="P391" s="199">
        <f t="shared" si="14"/>
        <v>19240.8</v>
      </c>
      <c r="Q391" s="254">
        <v>19240.8</v>
      </c>
      <c r="R391" s="1262" t="s">
        <v>2896</v>
      </c>
      <c r="S391" s="254">
        <v>9620.4</v>
      </c>
      <c r="T391" s="204" t="s">
        <v>2897</v>
      </c>
      <c r="U391" s="1262" t="s">
        <v>2889</v>
      </c>
      <c r="V391" s="205">
        <v>4810.2</v>
      </c>
      <c r="W391" s="1262" t="s">
        <v>2668</v>
      </c>
      <c r="X391" s="206">
        <v>4810.2</v>
      </c>
      <c r="Y391" s="192"/>
    </row>
    <row r="392" ht="37.5" customHeight="1" spans="1:25">
      <c r="A392" s="192">
        <f t="shared" si="15"/>
        <v>385</v>
      </c>
      <c r="B392" s="208">
        <v>2022</v>
      </c>
      <c r="C392" s="193" t="s">
        <v>37</v>
      </c>
      <c r="D392" s="277" t="s">
        <v>3001</v>
      </c>
      <c r="E392" s="195" t="s">
        <v>3009</v>
      </c>
      <c r="F392" s="196" t="s">
        <v>2073</v>
      </c>
      <c r="G392" s="197" t="s">
        <v>2663</v>
      </c>
      <c r="H392" s="198">
        <v>0.8</v>
      </c>
      <c r="I392" s="199">
        <v>200000</v>
      </c>
      <c r="J392" s="200" t="s">
        <v>3010</v>
      </c>
      <c r="K392" s="200" t="s">
        <v>2373</v>
      </c>
      <c r="L392" s="201">
        <v>0.4</v>
      </c>
      <c r="M392" s="278" t="s">
        <v>2906</v>
      </c>
      <c r="N392" s="254">
        <v>19547.55</v>
      </c>
      <c r="O392" s="254">
        <v>19547.55</v>
      </c>
      <c r="P392" s="199">
        <f t="shared" si="14"/>
        <v>15638.04</v>
      </c>
      <c r="Q392" s="254">
        <v>15638.04</v>
      </c>
      <c r="R392" s="1262" t="s">
        <v>2896</v>
      </c>
      <c r="S392" s="254">
        <v>7819.02</v>
      </c>
      <c r="T392" s="204" t="s">
        <v>2897</v>
      </c>
      <c r="U392" s="1262" t="s">
        <v>2889</v>
      </c>
      <c r="V392" s="205">
        <v>3909.51</v>
      </c>
      <c r="W392" s="1262" t="s">
        <v>2668</v>
      </c>
      <c r="X392" s="206">
        <v>3909.51</v>
      </c>
      <c r="Y392" s="192"/>
    </row>
    <row r="393" ht="37.5" customHeight="1" spans="1:25">
      <c r="A393" s="192">
        <f t="shared" si="15"/>
        <v>386</v>
      </c>
      <c r="B393" s="208">
        <v>2022</v>
      </c>
      <c r="C393" s="193" t="s">
        <v>37</v>
      </c>
      <c r="D393" s="277" t="s">
        <v>3003</v>
      </c>
      <c r="E393" s="195" t="s">
        <v>3011</v>
      </c>
      <c r="F393" s="196" t="s">
        <v>2073</v>
      </c>
      <c r="G393" s="197" t="s">
        <v>2663</v>
      </c>
      <c r="H393" s="198">
        <v>0.8</v>
      </c>
      <c r="I393" s="199">
        <v>26000</v>
      </c>
      <c r="J393" s="200" t="s">
        <v>2761</v>
      </c>
      <c r="K393" s="200" t="s">
        <v>2762</v>
      </c>
      <c r="L393" s="201">
        <v>0.4</v>
      </c>
      <c r="M393" s="278" t="s">
        <v>3012</v>
      </c>
      <c r="N393" s="254">
        <v>21666.68</v>
      </c>
      <c r="O393" s="254">
        <v>21666.68</v>
      </c>
      <c r="P393" s="199">
        <f t="shared" si="14"/>
        <v>17333.344</v>
      </c>
      <c r="Q393" s="254">
        <v>17333.34</v>
      </c>
      <c r="R393" s="1262" t="s">
        <v>2896</v>
      </c>
      <c r="S393" s="254">
        <v>8666.67</v>
      </c>
      <c r="T393" s="204" t="s">
        <v>2897</v>
      </c>
      <c r="U393" s="1262" t="s">
        <v>2889</v>
      </c>
      <c r="V393" s="205">
        <v>4333.34</v>
      </c>
      <c r="W393" s="1262" t="s">
        <v>2668</v>
      </c>
      <c r="X393" s="206">
        <v>4333.34</v>
      </c>
      <c r="Y393" s="192"/>
    </row>
    <row r="394" ht="37.5" customHeight="1" spans="1:25">
      <c r="A394" s="192">
        <f t="shared" si="15"/>
        <v>387</v>
      </c>
      <c r="B394" s="208">
        <v>2022</v>
      </c>
      <c r="C394" s="193" t="s">
        <v>37</v>
      </c>
      <c r="D394" s="277" t="s">
        <v>2910</v>
      </c>
      <c r="E394" s="195" t="s">
        <v>3013</v>
      </c>
      <c r="F394" s="196" t="s">
        <v>2073</v>
      </c>
      <c r="G394" s="197" t="s">
        <v>2663</v>
      </c>
      <c r="H394" s="198">
        <v>0.8</v>
      </c>
      <c r="I394" s="199">
        <v>18837.42</v>
      </c>
      <c r="J394" s="200" t="s">
        <v>3014</v>
      </c>
      <c r="K394" s="200" t="s">
        <v>3015</v>
      </c>
      <c r="L394" s="201">
        <v>0.4</v>
      </c>
      <c r="M394" s="278" t="s">
        <v>1876</v>
      </c>
      <c r="N394" s="254">
        <v>10000</v>
      </c>
      <c r="O394" s="254">
        <v>10000</v>
      </c>
      <c r="P394" s="199">
        <f t="shared" si="14"/>
        <v>8000</v>
      </c>
      <c r="Q394" s="254">
        <v>8000</v>
      </c>
      <c r="R394" s="1262" t="s">
        <v>2896</v>
      </c>
      <c r="S394" s="254">
        <v>4000</v>
      </c>
      <c r="T394" s="204" t="s">
        <v>2897</v>
      </c>
      <c r="U394" s="1262" t="s">
        <v>2889</v>
      </c>
      <c r="V394" s="205">
        <v>2000</v>
      </c>
      <c r="W394" s="1262" t="s">
        <v>2668</v>
      </c>
      <c r="X394" s="206">
        <v>2000</v>
      </c>
      <c r="Y394" s="192"/>
    </row>
    <row r="395" ht="37.5" customHeight="1" spans="1:25">
      <c r="A395" s="192">
        <f t="shared" si="15"/>
        <v>388</v>
      </c>
      <c r="B395" s="208">
        <v>2022</v>
      </c>
      <c r="C395" s="193" t="s">
        <v>37</v>
      </c>
      <c r="D395" s="277" t="s">
        <v>3003</v>
      </c>
      <c r="E395" s="195" t="s">
        <v>3016</v>
      </c>
      <c r="F395" s="196" t="s">
        <v>2073</v>
      </c>
      <c r="G395" s="197" t="s">
        <v>2663</v>
      </c>
      <c r="H395" s="198">
        <v>0.8</v>
      </c>
      <c r="I395" s="199">
        <v>700000</v>
      </c>
      <c r="J395" s="200" t="s">
        <v>2079</v>
      </c>
      <c r="K395" s="200" t="s">
        <v>2080</v>
      </c>
      <c r="L395" s="201">
        <v>0.4</v>
      </c>
      <c r="M395" s="278" t="s">
        <v>3012</v>
      </c>
      <c r="N395" s="254">
        <v>10385.28</v>
      </c>
      <c r="O395" s="254">
        <v>10385.28</v>
      </c>
      <c r="P395" s="199">
        <f t="shared" si="14"/>
        <v>8308.224</v>
      </c>
      <c r="Q395" s="254">
        <v>8308.22</v>
      </c>
      <c r="R395" s="1262" t="s">
        <v>2896</v>
      </c>
      <c r="S395" s="254">
        <v>4154.11</v>
      </c>
      <c r="T395" s="204" t="s">
        <v>2897</v>
      </c>
      <c r="U395" s="1262" t="s">
        <v>2889</v>
      </c>
      <c r="V395" s="205">
        <v>2077.06</v>
      </c>
      <c r="W395" s="1262" t="s">
        <v>2668</v>
      </c>
      <c r="X395" s="206">
        <v>2077.06</v>
      </c>
      <c r="Y395" s="192"/>
    </row>
    <row r="396" ht="37.5" customHeight="1" spans="1:25">
      <c r="A396" s="192">
        <f t="shared" si="15"/>
        <v>389</v>
      </c>
      <c r="B396" s="208">
        <v>2022</v>
      </c>
      <c r="C396" s="193" t="s">
        <v>37</v>
      </c>
      <c r="D396" s="277" t="s">
        <v>2910</v>
      </c>
      <c r="E396" s="195" t="s">
        <v>3017</v>
      </c>
      <c r="F396" s="196" t="s">
        <v>2073</v>
      </c>
      <c r="G396" s="197" t="s">
        <v>2663</v>
      </c>
      <c r="H396" s="198">
        <v>0.8</v>
      </c>
      <c r="I396" s="199">
        <v>18837.42</v>
      </c>
      <c r="J396" s="200" t="s">
        <v>2677</v>
      </c>
      <c r="K396" s="200" t="s">
        <v>2678</v>
      </c>
      <c r="L396" s="201">
        <v>0.4</v>
      </c>
      <c r="M396" s="278" t="s">
        <v>1876</v>
      </c>
      <c r="N396" s="254">
        <v>416.68</v>
      </c>
      <c r="O396" s="254">
        <v>416.68</v>
      </c>
      <c r="P396" s="199">
        <f t="shared" si="14"/>
        <v>333.344</v>
      </c>
      <c r="Q396" s="254">
        <v>333.34</v>
      </c>
      <c r="R396" s="1262" t="s">
        <v>2896</v>
      </c>
      <c r="S396" s="254">
        <v>166.67</v>
      </c>
      <c r="T396" s="204" t="s">
        <v>2897</v>
      </c>
      <c r="U396" s="1262" t="s">
        <v>2889</v>
      </c>
      <c r="V396" s="205">
        <v>83.34</v>
      </c>
      <c r="W396" s="1262" t="s">
        <v>2668</v>
      </c>
      <c r="X396" s="206">
        <v>83.34</v>
      </c>
      <c r="Y396" s="192"/>
    </row>
    <row r="397" ht="37.5" customHeight="1" spans="1:25">
      <c r="A397" s="192">
        <f t="shared" si="15"/>
        <v>390</v>
      </c>
      <c r="B397" s="208">
        <v>2022</v>
      </c>
      <c r="C397" s="193" t="s">
        <v>37</v>
      </c>
      <c r="D397" s="277" t="s">
        <v>3018</v>
      </c>
      <c r="E397" s="195" t="s">
        <v>3019</v>
      </c>
      <c r="F397" s="196" t="s">
        <v>2073</v>
      </c>
      <c r="G397" s="197" t="s">
        <v>2663</v>
      </c>
      <c r="H397" s="198">
        <v>0.8</v>
      </c>
      <c r="I397" s="199">
        <v>203000</v>
      </c>
      <c r="J397" s="200" t="s">
        <v>2363</v>
      </c>
      <c r="K397" s="200" t="s">
        <v>2364</v>
      </c>
      <c r="L397" s="201">
        <v>0.4</v>
      </c>
      <c r="M397" s="278" t="s">
        <v>2927</v>
      </c>
      <c r="N397" s="254">
        <v>54099</v>
      </c>
      <c r="O397" s="254">
        <v>54099</v>
      </c>
      <c r="P397" s="199">
        <f t="shared" si="14"/>
        <v>43279.2</v>
      </c>
      <c r="Q397" s="254">
        <v>43279.2</v>
      </c>
      <c r="R397" s="1262" t="s">
        <v>2896</v>
      </c>
      <c r="S397" s="254">
        <v>21639.6</v>
      </c>
      <c r="T397" s="204" t="s">
        <v>2897</v>
      </c>
      <c r="U397" s="1262" t="s">
        <v>2889</v>
      </c>
      <c r="V397" s="205">
        <v>10819.8</v>
      </c>
      <c r="W397" s="1262" t="s">
        <v>2668</v>
      </c>
      <c r="X397" s="206">
        <v>10819.8</v>
      </c>
      <c r="Y397" s="192"/>
    </row>
    <row r="398" ht="37.5" customHeight="1" spans="1:25">
      <c r="A398" s="192">
        <f t="shared" si="15"/>
        <v>391</v>
      </c>
      <c r="B398" s="208">
        <v>2022</v>
      </c>
      <c r="C398" s="193" t="s">
        <v>37</v>
      </c>
      <c r="D398" s="277" t="s">
        <v>3020</v>
      </c>
      <c r="E398" s="195" t="s">
        <v>3021</v>
      </c>
      <c r="F398" s="196" t="s">
        <v>2073</v>
      </c>
      <c r="G398" s="197" t="s">
        <v>2663</v>
      </c>
      <c r="H398" s="198">
        <v>0.8</v>
      </c>
      <c r="I398" s="199">
        <v>96000</v>
      </c>
      <c r="J398" s="200" t="s">
        <v>1894</v>
      </c>
      <c r="K398" s="200" t="s">
        <v>2606</v>
      </c>
      <c r="L398" s="201">
        <v>0.4</v>
      </c>
      <c r="M398" s="278" t="s">
        <v>2968</v>
      </c>
      <c r="N398" s="254">
        <v>59814.58</v>
      </c>
      <c r="O398" s="254">
        <v>59814.58</v>
      </c>
      <c r="P398" s="199">
        <f t="shared" si="14"/>
        <v>47851.664</v>
      </c>
      <c r="Q398" s="254">
        <v>47851.66</v>
      </c>
      <c r="R398" s="1262" t="s">
        <v>2896</v>
      </c>
      <c r="S398" s="254">
        <v>23925.83</v>
      </c>
      <c r="T398" s="204" t="s">
        <v>2897</v>
      </c>
      <c r="U398" s="1262" t="s">
        <v>2889</v>
      </c>
      <c r="V398" s="205">
        <v>11962.92</v>
      </c>
      <c r="W398" s="1262" t="s">
        <v>2668</v>
      </c>
      <c r="X398" s="206">
        <v>11962.92</v>
      </c>
      <c r="Y398" s="192"/>
    </row>
    <row r="399" ht="37.5" customHeight="1" spans="1:25">
      <c r="A399" s="192">
        <f t="shared" si="15"/>
        <v>392</v>
      </c>
      <c r="B399" s="208">
        <v>2022</v>
      </c>
      <c r="C399" s="193" t="s">
        <v>37</v>
      </c>
      <c r="D399" s="277" t="s">
        <v>3022</v>
      </c>
      <c r="E399" s="195" t="s">
        <v>3023</v>
      </c>
      <c r="F399" s="196" t="s">
        <v>2073</v>
      </c>
      <c r="G399" s="197" t="s">
        <v>2663</v>
      </c>
      <c r="H399" s="198">
        <v>0.8</v>
      </c>
      <c r="I399" s="199">
        <v>81380</v>
      </c>
      <c r="J399" s="200" t="s">
        <v>2195</v>
      </c>
      <c r="K399" s="200" t="s">
        <v>2196</v>
      </c>
      <c r="L399" s="201">
        <v>0.4</v>
      </c>
      <c r="M399" s="278" t="s">
        <v>2061</v>
      </c>
      <c r="N399" s="254">
        <v>50000</v>
      </c>
      <c r="O399" s="254">
        <v>50000</v>
      </c>
      <c r="P399" s="199">
        <f t="shared" si="14"/>
        <v>40000</v>
      </c>
      <c r="Q399" s="254">
        <v>40000</v>
      </c>
      <c r="R399" s="1262" t="s">
        <v>2896</v>
      </c>
      <c r="S399" s="254">
        <v>20000</v>
      </c>
      <c r="T399" s="204" t="s">
        <v>2897</v>
      </c>
      <c r="U399" s="1262" t="s">
        <v>2889</v>
      </c>
      <c r="V399" s="205">
        <v>10000</v>
      </c>
      <c r="W399" s="1262" t="s">
        <v>2668</v>
      </c>
      <c r="X399" s="206">
        <v>10000</v>
      </c>
      <c r="Y399" s="192"/>
    </row>
    <row r="400" ht="37.5" customHeight="1" spans="1:25">
      <c r="A400" s="192">
        <f t="shared" si="15"/>
        <v>393</v>
      </c>
      <c r="B400" s="208">
        <v>2022</v>
      </c>
      <c r="C400" s="193" t="s">
        <v>37</v>
      </c>
      <c r="D400" s="277" t="s">
        <v>3024</v>
      </c>
      <c r="E400" s="195" t="s">
        <v>3025</v>
      </c>
      <c r="F400" s="196" t="s">
        <v>2073</v>
      </c>
      <c r="G400" s="197" t="s">
        <v>2663</v>
      </c>
      <c r="H400" s="198">
        <v>0.8</v>
      </c>
      <c r="I400" s="199">
        <v>11000</v>
      </c>
      <c r="J400" s="200" t="s">
        <v>1846</v>
      </c>
      <c r="K400" s="200" t="s">
        <v>2622</v>
      </c>
      <c r="L400" s="201">
        <v>0.4</v>
      </c>
      <c r="M400" s="278" t="s">
        <v>2675</v>
      </c>
      <c r="N400" s="254">
        <v>4000</v>
      </c>
      <c r="O400" s="254">
        <v>4000</v>
      </c>
      <c r="P400" s="199">
        <f t="shared" si="14"/>
        <v>3200</v>
      </c>
      <c r="Q400" s="254">
        <v>3200</v>
      </c>
      <c r="R400" s="1262" t="s">
        <v>2896</v>
      </c>
      <c r="S400" s="254">
        <v>1600</v>
      </c>
      <c r="T400" s="204" t="s">
        <v>2897</v>
      </c>
      <c r="U400" s="1262" t="s">
        <v>2889</v>
      </c>
      <c r="V400" s="205">
        <v>800</v>
      </c>
      <c r="W400" s="1262" t="s">
        <v>2668</v>
      </c>
      <c r="X400" s="206">
        <v>800</v>
      </c>
      <c r="Y400" s="192"/>
    </row>
    <row r="401" ht="37.5" customHeight="1" spans="1:25">
      <c r="A401" s="192">
        <f t="shared" si="15"/>
        <v>394</v>
      </c>
      <c r="B401" s="208">
        <v>2022</v>
      </c>
      <c r="C401" s="193" t="s">
        <v>37</v>
      </c>
      <c r="D401" s="277" t="s">
        <v>2900</v>
      </c>
      <c r="E401" s="195" t="s">
        <v>3026</v>
      </c>
      <c r="F401" s="196" t="s">
        <v>2073</v>
      </c>
      <c r="G401" s="197" t="s">
        <v>2663</v>
      </c>
      <c r="H401" s="198">
        <v>0.8</v>
      </c>
      <c r="I401" s="199">
        <v>53616</v>
      </c>
      <c r="J401" s="200" t="s">
        <v>2120</v>
      </c>
      <c r="K401" s="200" t="s">
        <v>2800</v>
      </c>
      <c r="L401" s="201">
        <v>0.4</v>
      </c>
      <c r="M401" s="278" t="s">
        <v>2951</v>
      </c>
      <c r="N401" s="254">
        <v>48981.36</v>
      </c>
      <c r="O401" s="254">
        <v>48981.36</v>
      </c>
      <c r="P401" s="199">
        <f t="shared" si="14"/>
        <v>39185.088</v>
      </c>
      <c r="Q401" s="254">
        <v>39185.09</v>
      </c>
      <c r="R401" s="1262" t="s">
        <v>2896</v>
      </c>
      <c r="S401" s="254">
        <v>19592.55</v>
      </c>
      <c r="T401" s="204" t="s">
        <v>2897</v>
      </c>
      <c r="U401" s="1262" t="s">
        <v>2889</v>
      </c>
      <c r="V401" s="205">
        <v>9796.27</v>
      </c>
      <c r="W401" s="1262" t="s">
        <v>2668</v>
      </c>
      <c r="X401" s="206">
        <v>9796.27</v>
      </c>
      <c r="Y401" s="192"/>
    </row>
    <row r="402" ht="37.5" customHeight="1" spans="1:25">
      <c r="A402" s="192">
        <f t="shared" si="15"/>
        <v>395</v>
      </c>
      <c r="B402" s="208">
        <v>2022</v>
      </c>
      <c r="C402" s="193" t="s">
        <v>37</v>
      </c>
      <c r="D402" s="277" t="s">
        <v>2900</v>
      </c>
      <c r="E402" s="195" t="s">
        <v>3027</v>
      </c>
      <c r="F402" s="196" t="s">
        <v>2073</v>
      </c>
      <c r="G402" s="197" t="s">
        <v>2663</v>
      </c>
      <c r="H402" s="198">
        <v>0.8</v>
      </c>
      <c r="I402" s="199">
        <v>20000</v>
      </c>
      <c r="J402" s="200" t="s">
        <v>3028</v>
      </c>
      <c r="K402" s="200" t="s">
        <v>3029</v>
      </c>
      <c r="L402" s="201">
        <v>0.4</v>
      </c>
      <c r="M402" s="278" t="s">
        <v>2903</v>
      </c>
      <c r="N402" s="254">
        <v>18333.34</v>
      </c>
      <c r="O402" s="254">
        <v>18333.34</v>
      </c>
      <c r="P402" s="199">
        <f t="shared" si="14"/>
        <v>14666.672</v>
      </c>
      <c r="Q402" s="254">
        <v>14666.67</v>
      </c>
      <c r="R402" s="1262" t="s">
        <v>2896</v>
      </c>
      <c r="S402" s="254">
        <v>7333.34</v>
      </c>
      <c r="T402" s="204" t="s">
        <v>2897</v>
      </c>
      <c r="U402" s="1262" t="s">
        <v>2889</v>
      </c>
      <c r="V402" s="205">
        <v>3666.67</v>
      </c>
      <c r="W402" s="1262" t="s">
        <v>2668</v>
      </c>
      <c r="X402" s="206">
        <v>3666.67</v>
      </c>
      <c r="Y402" s="192"/>
    </row>
    <row r="403" ht="37.5" customHeight="1" spans="1:25">
      <c r="A403" s="192">
        <f t="shared" si="15"/>
        <v>396</v>
      </c>
      <c r="B403" s="208">
        <v>2022</v>
      </c>
      <c r="C403" s="193" t="s">
        <v>37</v>
      </c>
      <c r="D403" s="277" t="s">
        <v>3030</v>
      </c>
      <c r="E403" s="195" t="s">
        <v>3031</v>
      </c>
      <c r="F403" s="196" t="s">
        <v>2073</v>
      </c>
      <c r="G403" s="197" t="s">
        <v>2663</v>
      </c>
      <c r="H403" s="198">
        <v>0.8</v>
      </c>
      <c r="I403" s="199">
        <v>16723.09</v>
      </c>
      <c r="J403" s="200" t="s">
        <v>3032</v>
      </c>
      <c r="K403" s="200" t="s">
        <v>3033</v>
      </c>
      <c r="L403" s="201">
        <v>0.4</v>
      </c>
      <c r="M403" s="278" t="s">
        <v>2916</v>
      </c>
      <c r="N403" s="254">
        <v>3333.34</v>
      </c>
      <c r="O403" s="254">
        <v>3333.34</v>
      </c>
      <c r="P403" s="199">
        <f t="shared" si="14"/>
        <v>2666.672</v>
      </c>
      <c r="Q403" s="254">
        <v>2666.67</v>
      </c>
      <c r="R403" s="1262" t="s">
        <v>2896</v>
      </c>
      <c r="S403" s="254">
        <v>1333.34</v>
      </c>
      <c r="T403" s="204" t="s">
        <v>2897</v>
      </c>
      <c r="U403" s="1262" t="s">
        <v>2889</v>
      </c>
      <c r="V403" s="205">
        <v>666.67</v>
      </c>
      <c r="W403" s="1262" t="s">
        <v>2668</v>
      </c>
      <c r="X403" s="206">
        <v>666.67</v>
      </c>
      <c r="Y403" s="192"/>
    </row>
    <row r="404" ht="37.5" customHeight="1" spans="1:25">
      <c r="A404" s="192">
        <f t="shared" si="15"/>
        <v>397</v>
      </c>
      <c r="B404" s="208">
        <v>2022</v>
      </c>
      <c r="C404" s="193" t="s">
        <v>37</v>
      </c>
      <c r="D404" s="277" t="s">
        <v>2900</v>
      </c>
      <c r="E404" s="195" t="s">
        <v>3034</v>
      </c>
      <c r="F404" s="196" t="s">
        <v>2073</v>
      </c>
      <c r="G404" s="197" t="s">
        <v>2663</v>
      </c>
      <c r="H404" s="198">
        <v>0.8</v>
      </c>
      <c r="I404" s="199">
        <v>176040</v>
      </c>
      <c r="J404" s="200" t="s">
        <v>1866</v>
      </c>
      <c r="K404" s="200" t="s">
        <v>2567</v>
      </c>
      <c r="L404" s="201">
        <v>0.4</v>
      </c>
      <c r="M404" s="278" t="s">
        <v>2903</v>
      </c>
      <c r="N404" s="254">
        <v>46026.15</v>
      </c>
      <c r="O404" s="254">
        <v>46026.15</v>
      </c>
      <c r="P404" s="199">
        <f t="shared" si="14"/>
        <v>36820.92</v>
      </c>
      <c r="Q404" s="254">
        <v>36820.92</v>
      </c>
      <c r="R404" s="1262" t="s">
        <v>2896</v>
      </c>
      <c r="S404" s="254">
        <v>18410.46</v>
      </c>
      <c r="T404" s="204" t="s">
        <v>2897</v>
      </c>
      <c r="U404" s="1262" t="s">
        <v>2889</v>
      </c>
      <c r="V404" s="205">
        <v>9205.23</v>
      </c>
      <c r="W404" s="1262" t="s">
        <v>2668</v>
      </c>
      <c r="X404" s="206">
        <v>9205.23</v>
      </c>
      <c r="Y404" s="192"/>
    </row>
    <row r="405" ht="37.5" customHeight="1" spans="1:25">
      <c r="A405" s="192">
        <f t="shared" si="15"/>
        <v>398</v>
      </c>
      <c r="B405" s="208">
        <v>2022</v>
      </c>
      <c r="C405" s="193" t="s">
        <v>37</v>
      </c>
      <c r="D405" s="277" t="s">
        <v>3030</v>
      </c>
      <c r="E405" s="195" t="s">
        <v>3035</v>
      </c>
      <c r="F405" s="196" t="s">
        <v>2073</v>
      </c>
      <c r="G405" s="197" t="s">
        <v>2663</v>
      </c>
      <c r="H405" s="198">
        <v>0.8</v>
      </c>
      <c r="I405" s="199">
        <v>400360</v>
      </c>
      <c r="J405" s="200" t="s">
        <v>2123</v>
      </c>
      <c r="K405" s="200" t="s">
        <v>2124</v>
      </c>
      <c r="L405" s="201">
        <v>0.4</v>
      </c>
      <c r="M405" s="278" t="s">
        <v>3036</v>
      </c>
      <c r="N405" s="254">
        <v>106321.15</v>
      </c>
      <c r="O405" s="254">
        <v>106321.15</v>
      </c>
      <c r="P405" s="199">
        <f t="shared" si="14"/>
        <v>85056.92</v>
      </c>
      <c r="Q405" s="254">
        <v>85056.92</v>
      </c>
      <c r="R405" s="1262" t="s">
        <v>2896</v>
      </c>
      <c r="S405" s="254">
        <v>42528.46</v>
      </c>
      <c r="T405" s="204" t="s">
        <v>2897</v>
      </c>
      <c r="U405" s="1262" t="s">
        <v>2889</v>
      </c>
      <c r="V405" s="205">
        <v>21264.23</v>
      </c>
      <c r="W405" s="1262" t="s">
        <v>2668</v>
      </c>
      <c r="X405" s="206">
        <v>21264.23</v>
      </c>
      <c r="Y405" s="192"/>
    </row>
    <row r="406" ht="37.5" customHeight="1" spans="1:25">
      <c r="A406" s="192">
        <f t="shared" si="15"/>
        <v>399</v>
      </c>
      <c r="B406" s="208">
        <v>2022</v>
      </c>
      <c r="C406" s="193" t="s">
        <v>37</v>
      </c>
      <c r="D406" s="277" t="s">
        <v>3037</v>
      </c>
      <c r="E406" s="195" t="s">
        <v>3038</v>
      </c>
      <c r="F406" s="196" t="s">
        <v>2073</v>
      </c>
      <c r="G406" s="197" t="s">
        <v>2663</v>
      </c>
      <c r="H406" s="198">
        <v>0.8</v>
      </c>
      <c r="I406" s="199">
        <v>19332.74</v>
      </c>
      <c r="J406" s="200" t="s">
        <v>3039</v>
      </c>
      <c r="K406" s="200" t="s">
        <v>3040</v>
      </c>
      <c r="L406" s="201">
        <v>0.4</v>
      </c>
      <c r="M406" s="278" t="s">
        <v>3041</v>
      </c>
      <c r="N406" s="254">
        <v>778</v>
      </c>
      <c r="O406" s="254">
        <v>778</v>
      </c>
      <c r="P406" s="199">
        <f t="shared" si="14"/>
        <v>622.4</v>
      </c>
      <c r="Q406" s="254">
        <v>622.4</v>
      </c>
      <c r="R406" s="1262" t="s">
        <v>2896</v>
      </c>
      <c r="S406" s="254">
        <v>311.2</v>
      </c>
      <c r="T406" s="204" t="s">
        <v>2897</v>
      </c>
      <c r="U406" s="1262" t="s">
        <v>2889</v>
      </c>
      <c r="V406" s="205">
        <v>155.6</v>
      </c>
      <c r="W406" s="1262" t="s">
        <v>2668</v>
      </c>
      <c r="X406" s="206">
        <v>155.6</v>
      </c>
      <c r="Y406" s="192"/>
    </row>
    <row r="407" ht="37.5" customHeight="1" spans="1:25">
      <c r="A407" s="192">
        <f t="shared" si="15"/>
        <v>400</v>
      </c>
      <c r="B407" s="208">
        <v>2022</v>
      </c>
      <c r="C407" s="193" t="s">
        <v>37</v>
      </c>
      <c r="D407" s="277" t="s">
        <v>3042</v>
      </c>
      <c r="E407" s="195" t="s">
        <v>3043</v>
      </c>
      <c r="F407" s="196" t="s">
        <v>2073</v>
      </c>
      <c r="G407" s="197" t="s">
        <v>2663</v>
      </c>
      <c r="H407" s="198">
        <v>0.8</v>
      </c>
      <c r="I407" s="199">
        <v>75000</v>
      </c>
      <c r="J407" s="200" t="s">
        <v>2792</v>
      </c>
      <c r="K407" s="200" t="s">
        <v>2793</v>
      </c>
      <c r="L407" s="201">
        <v>0.4</v>
      </c>
      <c r="M407" s="278" t="s">
        <v>3044</v>
      </c>
      <c r="N407" s="254">
        <v>62500</v>
      </c>
      <c r="O407" s="254">
        <v>62500</v>
      </c>
      <c r="P407" s="199">
        <f t="shared" si="14"/>
        <v>50000</v>
      </c>
      <c r="Q407" s="254">
        <v>50000</v>
      </c>
      <c r="R407" s="1262" t="s">
        <v>2896</v>
      </c>
      <c r="S407" s="254">
        <v>25000</v>
      </c>
      <c r="T407" s="204" t="s">
        <v>2897</v>
      </c>
      <c r="U407" s="1262" t="s">
        <v>2889</v>
      </c>
      <c r="V407" s="205">
        <v>12500</v>
      </c>
      <c r="W407" s="1262" t="s">
        <v>2668</v>
      </c>
      <c r="X407" s="206">
        <v>12500</v>
      </c>
      <c r="Y407" s="192"/>
    </row>
    <row r="408" ht="37.5" customHeight="1" spans="1:25">
      <c r="A408" s="192">
        <f t="shared" si="15"/>
        <v>401</v>
      </c>
      <c r="B408" s="208">
        <v>2022</v>
      </c>
      <c r="C408" s="193" t="s">
        <v>37</v>
      </c>
      <c r="D408" s="277" t="s">
        <v>3037</v>
      </c>
      <c r="E408" s="195" t="s">
        <v>3045</v>
      </c>
      <c r="F408" s="196" t="s">
        <v>2073</v>
      </c>
      <c r="G408" s="197" t="s">
        <v>2663</v>
      </c>
      <c r="H408" s="198">
        <v>0.8</v>
      </c>
      <c r="I408" s="199">
        <v>27000</v>
      </c>
      <c r="J408" s="200" t="s">
        <v>3046</v>
      </c>
      <c r="K408" s="200" t="s">
        <v>2515</v>
      </c>
      <c r="L408" s="201">
        <v>0.4</v>
      </c>
      <c r="M408" s="278" t="s">
        <v>3047</v>
      </c>
      <c r="N408" s="254">
        <v>346.68</v>
      </c>
      <c r="O408" s="254">
        <v>346.68</v>
      </c>
      <c r="P408" s="199">
        <f t="shared" si="14"/>
        <v>277.344</v>
      </c>
      <c r="Q408" s="254">
        <v>277.34</v>
      </c>
      <c r="R408" s="1262" t="s">
        <v>2896</v>
      </c>
      <c r="S408" s="254">
        <v>138.67</v>
      </c>
      <c r="T408" s="204" t="s">
        <v>2897</v>
      </c>
      <c r="U408" s="1262" t="s">
        <v>2889</v>
      </c>
      <c r="V408" s="205">
        <v>69.34</v>
      </c>
      <c r="W408" s="1262" t="s">
        <v>2668</v>
      </c>
      <c r="X408" s="206">
        <v>69.34</v>
      </c>
      <c r="Y408" s="192"/>
    </row>
    <row r="409" ht="37.5" customHeight="1" spans="1:25">
      <c r="A409" s="192">
        <f t="shared" si="15"/>
        <v>402</v>
      </c>
      <c r="B409" s="208">
        <v>2022</v>
      </c>
      <c r="C409" s="193" t="s">
        <v>37</v>
      </c>
      <c r="D409" s="277" t="s">
        <v>3048</v>
      </c>
      <c r="E409" s="195" t="s">
        <v>3049</v>
      </c>
      <c r="F409" s="196" t="s">
        <v>2073</v>
      </c>
      <c r="G409" s="197" t="s">
        <v>2663</v>
      </c>
      <c r="H409" s="198">
        <v>0.8</v>
      </c>
      <c r="I409" s="199">
        <v>30000</v>
      </c>
      <c r="J409" s="200" t="s">
        <v>2405</v>
      </c>
      <c r="K409" s="200" t="s">
        <v>2731</v>
      </c>
      <c r="L409" s="201">
        <v>0.4</v>
      </c>
      <c r="M409" s="278" t="s">
        <v>3050</v>
      </c>
      <c r="N409" s="254">
        <v>25000</v>
      </c>
      <c r="O409" s="254">
        <v>25000</v>
      </c>
      <c r="P409" s="199">
        <f t="shared" si="14"/>
        <v>20000</v>
      </c>
      <c r="Q409" s="254">
        <v>20000</v>
      </c>
      <c r="R409" s="1262" t="s">
        <v>2896</v>
      </c>
      <c r="S409" s="254">
        <v>10000</v>
      </c>
      <c r="T409" s="204" t="s">
        <v>2897</v>
      </c>
      <c r="U409" s="1262" t="s">
        <v>2889</v>
      </c>
      <c r="V409" s="205">
        <v>5000</v>
      </c>
      <c r="W409" s="1262" t="s">
        <v>2668</v>
      </c>
      <c r="X409" s="206">
        <v>5000</v>
      </c>
      <c r="Y409" s="192"/>
    </row>
    <row r="410" ht="37.5" customHeight="1" spans="1:25">
      <c r="A410" s="192">
        <f t="shared" si="15"/>
        <v>403</v>
      </c>
      <c r="B410" s="208">
        <v>2022</v>
      </c>
      <c r="C410" s="193" t="s">
        <v>37</v>
      </c>
      <c r="D410" s="277" t="s">
        <v>3048</v>
      </c>
      <c r="E410" s="195" t="s">
        <v>3051</v>
      </c>
      <c r="F410" s="196" t="s">
        <v>2073</v>
      </c>
      <c r="G410" s="197" t="s">
        <v>2663</v>
      </c>
      <c r="H410" s="198">
        <v>0.8</v>
      </c>
      <c r="I410" s="199">
        <v>140000</v>
      </c>
      <c r="J410" s="200" t="s">
        <v>1931</v>
      </c>
      <c r="K410" s="200" t="s">
        <v>2232</v>
      </c>
      <c r="L410" s="201">
        <v>0.4</v>
      </c>
      <c r="M410" s="278" t="s">
        <v>3050</v>
      </c>
      <c r="N410" s="254">
        <v>50000.05</v>
      </c>
      <c r="O410" s="254">
        <v>50000.05</v>
      </c>
      <c r="P410" s="199">
        <f t="shared" si="14"/>
        <v>40000.04</v>
      </c>
      <c r="Q410" s="254">
        <v>40000.04</v>
      </c>
      <c r="R410" s="1262" t="s">
        <v>2896</v>
      </c>
      <c r="S410" s="254">
        <v>20000.02</v>
      </c>
      <c r="T410" s="204" t="s">
        <v>2897</v>
      </c>
      <c r="U410" s="1262" t="s">
        <v>2889</v>
      </c>
      <c r="V410" s="205">
        <v>10000.01</v>
      </c>
      <c r="W410" s="1262" t="s">
        <v>2668</v>
      </c>
      <c r="X410" s="206">
        <v>10000.01</v>
      </c>
      <c r="Y410" s="192"/>
    </row>
    <row r="411" ht="37.5" customHeight="1" spans="1:25">
      <c r="A411" s="192">
        <f t="shared" si="15"/>
        <v>404</v>
      </c>
      <c r="B411" s="208">
        <v>2022</v>
      </c>
      <c r="C411" s="193" t="s">
        <v>37</v>
      </c>
      <c r="D411" s="277" t="s">
        <v>3052</v>
      </c>
      <c r="E411" s="195" t="s">
        <v>3053</v>
      </c>
      <c r="F411" s="196" t="s">
        <v>2073</v>
      </c>
      <c r="G411" s="197" t="s">
        <v>2663</v>
      </c>
      <c r="H411" s="198">
        <v>0.8</v>
      </c>
      <c r="I411" s="199">
        <v>16000</v>
      </c>
      <c r="J411" s="200" t="s">
        <v>2418</v>
      </c>
      <c r="K411" s="200" t="s">
        <v>2619</v>
      </c>
      <c r="L411" s="201">
        <v>0.4</v>
      </c>
      <c r="M411" s="278" t="s">
        <v>2048</v>
      </c>
      <c r="N411" s="254">
        <v>12000.01</v>
      </c>
      <c r="O411" s="254">
        <v>12000.01</v>
      </c>
      <c r="P411" s="199">
        <f t="shared" si="14"/>
        <v>9600.008</v>
      </c>
      <c r="Q411" s="254">
        <v>9600.01</v>
      </c>
      <c r="R411" s="1262" t="s">
        <v>2896</v>
      </c>
      <c r="S411" s="254">
        <v>4800.01</v>
      </c>
      <c r="T411" s="204" t="s">
        <v>2897</v>
      </c>
      <c r="U411" s="1262" t="s">
        <v>2889</v>
      </c>
      <c r="V411" s="205">
        <v>2400</v>
      </c>
      <c r="W411" s="1262" t="s">
        <v>2668</v>
      </c>
      <c r="X411" s="206">
        <v>2400</v>
      </c>
      <c r="Y411" s="192"/>
    </row>
    <row r="412" ht="37.5" customHeight="1" spans="1:25">
      <c r="A412" s="192">
        <f t="shared" si="15"/>
        <v>405</v>
      </c>
      <c r="B412" s="208">
        <v>2022</v>
      </c>
      <c r="C412" s="193" t="s">
        <v>37</v>
      </c>
      <c r="D412" s="277" t="s">
        <v>3054</v>
      </c>
      <c r="E412" s="195" t="s">
        <v>3055</v>
      </c>
      <c r="F412" s="196" t="s">
        <v>2073</v>
      </c>
      <c r="G412" s="197" t="s">
        <v>2663</v>
      </c>
      <c r="H412" s="198">
        <v>0.8</v>
      </c>
      <c r="I412" s="199">
        <v>30000</v>
      </c>
      <c r="J412" s="200" t="s">
        <v>3056</v>
      </c>
      <c r="K412" s="200" t="s">
        <v>3057</v>
      </c>
      <c r="L412" s="201">
        <v>0.4</v>
      </c>
      <c r="M412" s="278" t="s">
        <v>2944</v>
      </c>
      <c r="N412" s="254">
        <v>940</v>
      </c>
      <c r="O412" s="254">
        <v>940</v>
      </c>
      <c r="P412" s="199">
        <f t="shared" si="14"/>
        <v>752</v>
      </c>
      <c r="Q412" s="254">
        <v>752</v>
      </c>
      <c r="R412" s="1262" t="s">
        <v>2896</v>
      </c>
      <c r="S412" s="254">
        <v>376</v>
      </c>
      <c r="T412" s="204" t="s">
        <v>2897</v>
      </c>
      <c r="U412" s="1262" t="s">
        <v>2889</v>
      </c>
      <c r="V412" s="205">
        <v>188</v>
      </c>
      <c r="W412" s="1262" t="s">
        <v>2668</v>
      </c>
      <c r="X412" s="206">
        <v>188</v>
      </c>
      <c r="Y412" s="192"/>
    </row>
    <row r="413" ht="37.5" customHeight="1" spans="1:25">
      <c r="A413" s="192">
        <f t="shared" si="15"/>
        <v>406</v>
      </c>
      <c r="B413" s="208">
        <v>2022</v>
      </c>
      <c r="C413" s="193" t="s">
        <v>37</v>
      </c>
      <c r="D413" s="277" t="s">
        <v>3058</v>
      </c>
      <c r="E413" s="195" t="s">
        <v>3059</v>
      </c>
      <c r="F413" s="196" t="s">
        <v>2073</v>
      </c>
      <c r="G413" s="197" t="s">
        <v>2663</v>
      </c>
      <c r="H413" s="198">
        <v>0.8</v>
      </c>
      <c r="I413" s="199">
        <v>40020</v>
      </c>
      <c r="J413" s="200" t="s">
        <v>2284</v>
      </c>
      <c r="K413" s="200" t="s">
        <v>2520</v>
      </c>
      <c r="L413" s="201">
        <v>0.4</v>
      </c>
      <c r="M413" s="278" t="s">
        <v>3050</v>
      </c>
      <c r="N413" s="254">
        <v>28083.43</v>
      </c>
      <c r="O413" s="254">
        <v>28083.43</v>
      </c>
      <c r="P413" s="199">
        <f t="shared" si="14"/>
        <v>22466.744</v>
      </c>
      <c r="Q413" s="254">
        <v>22466.74</v>
      </c>
      <c r="R413" s="1262" t="s">
        <v>2896</v>
      </c>
      <c r="S413" s="254">
        <v>11233.37</v>
      </c>
      <c r="T413" s="204" t="s">
        <v>2897</v>
      </c>
      <c r="U413" s="1262" t="s">
        <v>2889</v>
      </c>
      <c r="V413" s="205">
        <v>5616.69</v>
      </c>
      <c r="W413" s="1262" t="s">
        <v>2668</v>
      </c>
      <c r="X413" s="206">
        <v>5616.69</v>
      </c>
      <c r="Y413" s="192"/>
    </row>
    <row r="414" ht="37.5" customHeight="1" spans="1:25">
      <c r="A414" s="192">
        <f t="shared" si="15"/>
        <v>407</v>
      </c>
      <c r="B414" s="208">
        <v>2022</v>
      </c>
      <c r="C414" s="193" t="s">
        <v>37</v>
      </c>
      <c r="D414" s="277" t="s">
        <v>3060</v>
      </c>
      <c r="E414" s="195" t="s">
        <v>3061</v>
      </c>
      <c r="F414" s="196" t="s">
        <v>2073</v>
      </c>
      <c r="G414" s="197" t="s">
        <v>2663</v>
      </c>
      <c r="H414" s="198">
        <v>0.8</v>
      </c>
      <c r="I414" s="199">
        <v>21000</v>
      </c>
      <c r="J414" s="200" t="s">
        <v>2329</v>
      </c>
      <c r="K414" s="200" t="s">
        <v>2330</v>
      </c>
      <c r="L414" s="201">
        <v>0.4</v>
      </c>
      <c r="M414" s="278" t="s">
        <v>3041</v>
      </c>
      <c r="N414" s="254">
        <v>1800</v>
      </c>
      <c r="O414" s="254">
        <v>1800</v>
      </c>
      <c r="P414" s="199">
        <f t="shared" si="14"/>
        <v>1440</v>
      </c>
      <c r="Q414" s="254">
        <v>1440</v>
      </c>
      <c r="R414" s="1262" t="s">
        <v>2896</v>
      </c>
      <c r="S414" s="254">
        <v>720</v>
      </c>
      <c r="T414" s="204" t="s">
        <v>2897</v>
      </c>
      <c r="U414" s="1262" t="s">
        <v>2889</v>
      </c>
      <c r="V414" s="205">
        <v>360</v>
      </c>
      <c r="W414" s="1262" t="s">
        <v>2668</v>
      </c>
      <c r="X414" s="206">
        <v>360</v>
      </c>
      <c r="Y414" s="192"/>
    </row>
    <row r="415" ht="37.5" customHeight="1" spans="1:25">
      <c r="A415" s="192">
        <f t="shared" si="15"/>
        <v>408</v>
      </c>
      <c r="B415" s="208">
        <v>2022</v>
      </c>
      <c r="C415" s="193" t="s">
        <v>37</v>
      </c>
      <c r="D415" s="277" t="s">
        <v>3062</v>
      </c>
      <c r="E415" s="195" t="s">
        <v>3063</v>
      </c>
      <c r="F415" s="196" t="s">
        <v>2073</v>
      </c>
      <c r="G415" s="197" t="s">
        <v>2663</v>
      </c>
      <c r="H415" s="198">
        <v>0.8</v>
      </c>
      <c r="I415" s="199">
        <v>1000000</v>
      </c>
      <c r="J415" s="200" t="s">
        <v>2083</v>
      </c>
      <c r="K415" s="200" t="s">
        <v>2084</v>
      </c>
      <c r="L415" s="201">
        <v>0.4</v>
      </c>
      <c r="M415" s="278" t="s">
        <v>3012</v>
      </c>
      <c r="N415" s="254">
        <v>64000.04</v>
      </c>
      <c r="O415" s="254">
        <v>64000.04</v>
      </c>
      <c r="P415" s="199">
        <f t="shared" si="14"/>
        <v>51200.032</v>
      </c>
      <c r="Q415" s="254">
        <v>51200.03</v>
      </c>
      <c r="R415" s="1262" t="s">
        <v>2896</v>
      </c>
      <c r="S415" s="254">
        <v>25600.02</v>
      </c>
      <c r="T415" s="204" t="s">
        <v>2897</v>
      </c>
      <c r="U415" s="1262" t="s">
        <v>2889</v>
      </c>
      <c r="V415" s="205">
        <v>12800.01</v>
      </c>
      <c r="W415" s="1262" t="s">
        <v>2668</v>
      </c>
      <c r="X415" s="206">
        <v>12800.01</v>
      </c>
      <c r="Y415" s="192"/>
    </row>
    <row r="416" ht="37.5" customHeight="1" spans="1:25">
      <c r="A416" s="192">
        <f t="shared" si="15"/>
        <v>409</v>
      </c>
      <c r="B416" s="208">
        <v>2022</v>
      </c>
      <c r="C416" s="193" t="s">
        <v>37</v>
      </c>
      <c r="D416" s="277" t="s">
        <v>3064</v>
      </c>
      <c r="E416" s="195" t="s">
        <v>3065</v>
      </c>
      <c r="F416" s="196" t="s">
        <v>2073</v>
      </c>
      <c r="G416" s="197" t="s">
        <v>2663</v>
      </c>
      <c r="H416" s="198">
        <v>0.8</v>
      </c>
      <c r="I416" s="199">
        <v>72850</v>
      </c>
      <c r="J416" s="200" t="s">
        <v>2418</v>
      </c>
      <c r="K416" s="200" t="s">
        <v>2619</v>
      </c>
      <c r="L416" s="201">
        <v>0.4</v>
      </c>
      <c r="M416" s="278" t="s">
        <v>2048</v>
      </c>
      <c r="N416" s="254">
        <v>16000</v>
      </c>
      <c r="O416" s="254">
        <v>16000</v>
      </c>
      <c r="P416" s="199">
        <f t="shared" si="14"/>
        <v>12800</v>
      </c>
      <c r="Q416" s="254">
        <v>12800</v>
      </c>
      <c r="R416" s="1262" t="s">
        <v>2896</v>
      </c>
      <c r="S416" s="254">
        <v>6400</v>
      </c>
      <c r="T416" s="204" t="s">
        <v>2897</v>
      </c>
      <c r="U416" s="1262" t="s">
        <v>2889</v>
      </c>
      <c r="V416" s="205">
        <v>3200</v>
      </c>
      <c r="W416" s="1262" t="s">
        <v>2668</v>
      </c>
      <c r="X416" s="206">
        <v>3200</v>
      </c>
      <c r="Y416" s="192"/>
    </row>
    <row r="417" ht="37.5" customHeight="1" spans="1:25">
      <c r="A417" s="192">
        <f t="shared" si="15"/>
        <v>410</v>
      </c>
      <c r="B417" s="208">
        <v>2022</v>
      </c>
      <c r="C417" s="193" t="s">
        <v>37</v>
      </c>
      <c r="D417" s="277" t="s">
        <v>3066</v>
      </c>
      <c r="E417" s="195" t="s">
        <v>3067</v>
      </c>
      <c r="F417" s="196" t="s">
        <v>2073</v>
      </c>
      <c r="G417" s="197" t="s">
        <v>2663</v>
      </c>
      <c r="H417" s="198">
        <v>0.8</v>
      </c>
      <c r="I417" s="199">
        <v>83000</v>
      </c>
      <c r="J417" s="200" t="s">
        <v>1946</v>
      </c>
      <c r="K417" s="200" t="s">
        <v>3068</v>
      </c>
      <c r="L417" s="201">
        <v>0.4</v>
      </c>
      <c r="M417" s="278" t="s">
        <v>2929</v>
      </c>
      <c r="N417" s="254">
        <v>76083.35</v>
      </c>
      <c r="O417" s="254">
        <v>76083.35</v>
      </c>
      <c r="P417" s="199">
        <f t="shared" si="14"/>
        <v>60866.68</v>
      </c>
      <c r="Q417" s="254">
        <v>60866.68</v>
      </c>
      <c r="R417" s="1262" t="s">
        <v>2896</v>
      </c>
      <c r="S417" s="254">
        <v>30433.34</v>
      </c>
      <c r="T417" s="204" t="s">
        <v>2897</v>
      </c>
      <c r="U417" s="1262" t="s">
        <v>2889</v>
      </c>
      <c r="V417" s="205">
        <v>15216.67</v>
      </c>
      <c r="W417" s="1262" t="s">
        <v>2668</v>
      </c>
      <c r="X417" s="206">
        <v>15216.67</v>
      </c>
      <c r="Y417" s="192"/>
    </row>
    <row r="418" ht="37.5" customHeight="1" spans="1:25">
      <c r="A418" s="192">
        <f t="shared" si="15"/>
        <v>411</v>
      </c>
      <c r="B418" s="208">
        <v>2022</v>
      </c>
      <c r="C418" s="193" t="s">
        <v>37</v>
      </c>
      <c r="D418" s="277" t="s">
        <v>3066</v>
      </c>
      <c r="E418" s="195" t="s">
        <v>3069</v>
      </c>
      <c r="F418" s="196" t="s">
        <v>2073</v>
      </c>
      <c r="G418" s="197" t="s">
        <v>2663</v>
      </c>
      <c r="H418" s="198">
        <v>0.8</v>
      </c>
      <c r="I418" s="199">
        <v>320020</v>
      </c>
      <c r="J418" s="200" t="s">
        <v>1892</v>
      </c>
      <c r="K418" s="200" t="s">
        <v>2462</v>
      </c>
      <c r="L418" s="201">
        <v>0.4</v>
      </c>
      <c r="M418" s="278" t="s">
        <v>2929</v>
      </c>
      <c r="N418" s="254">
        <v>164000.05</v>
      </c>
      <c r="O418" s="254">
        <v>164000.05</v>
      </c>
      <c r="P418" s="199">
        <f t="shared" si="14"/>
        <v>131200.04</v>
      </c>
      <c r="Q418" s="254">
        <v>131200.04</v>
      </c>
      <c r="R418" s="1262" t="s">
        <v>2896</v>
      </c>
      <c r="S418" s="254">
        <v>65600.02</v>
      </c>
      <c r="T418" s="204" t="s">
        <v>2897</v>
      </c>
      <c r="U418" s="1262" t="s">
        <v>2889</v>
      </c>
      <c r="V418" s="205">
        <v>32800.01</v>
      </c>
      <c r="W418" s="1262" t="s">
        <v>2668</v>
      </c>
      <c r="X418" s="206">
        <v>32800.01</v>
      </c>
      <c r="Y418" s="192"/>
    </row>
    <row r="419" ht="37.5" customHeight="1" spans="1:25">
      <c r="A419" s="192">
        <f t="shared" si="15"/>
        <v>412</v>
      </c>
      <c r="B419" s="208">
        <v>2022</v>
      </c>
      <c r="C419" s="193" t="s">
        <v>37</v>
      </c>
      <c r="D419" s="277" t="s">
        <v>3070</v>
      </c>
      <c r="E419" s="195" t="s">
        <v>3071</v>
      </c>
      <c r="F419" s="196" t="s">
        <v>2073</v>
      </c>
      <c r="G419" s="197" t="s">
        <v>2663</v>
      </c>
      <c r="H419" s="198">
        <v>0.8</v>
      </c>
      <c r="I419" s="199">
        <v>13000</v>
      </c>
      <c r="J419" s="200" t="s">
        <v>2203</v>
      </c>
      <c r="K419" s="200" t="s">
        <v>2204</v>
      </c>
      <c r="L419" s="201">
        <v>0.4</v>
      </c>
      <c r="M419" s="278" t="s">
        <v>3044</v>
      </c>
      <c r="N419" s="254">
        <v>583.35</v>
      </c>
      <c r="O419" s="254">
        <v>583.35</v>
      </c>
      <c r="P419" s="199">
        <f t="shared" si="14"/>
        <v>466.68</v>
      </c>
      <c r="Q419" s="254">
        <v>466.68</v>
      </c>
      <c r="R419" s="1262" t="s">
        <v>2896</v>
      </c>
      <c r="S419" s="254">
        <v>233.34</v>
      </c>
      <c r="T419" s="204" t="s">
        <v>2897</v>
      </c>
      <c r="U419" s="1262" t="s">
        <v>2889</v>
      </c>
      <c r="V419" s="205">
        <v>116.67</v>
      </c>
      <c r="W419" s="1262" t="s">
        <v>2668</v>
      </c>
      <c r="X419" s="206">
        <v>116.67</v>
      </c>
      <c r="Y419" s="192"/>
    </row>
    <row r="420" ht="37.5" customHeight="1" spans="1:25">
      <c r="A420" s="192">
        <f t="shared" si="15"/>
        <v>413</v>
      </c>
      <c r="B420" s="208">
        <v>2022</v>
      </c>
      <c r="C420" s="193" t="s">
        <v>37</v>
      </c>
      <c r="D420" s="277" t="s">
        <v>3072</v>
      </c>
      <c r="E420" s="195" t="s">
        <v>3073</v>
      </c>
      <c r="F420" s="196" t="s">
        <v>2073</v>
      </c>
      <c r="G420" s="197" t="s">
        <v>2663</v>
      </c>
      <c r="H420" s="198">
        <v>0.8</v>
      </c>
      <c r="I420" s="199">
        <v>42810</v>
      </c>
      <c r="J420" s="200" t="s">
        <v>2689</v>
      </c>
      <c r="K420" s="200" t="s">
        <v>2690</v>
      </c>
      <c r="L420" s="201">
        <v>0.4</v>
      </c>
      <c r="M420" s="278" t="s">
        <v>2888</v>
      </c>
      <c r="N420" s="254">
        <v>3733.36</v>
      </c>
      <c r="O420" s="254">
        <v>3733.36</v>
      </c>
      <c r="P420" s="199">
        <f t="shared" si="14"/>
        <v>2986.688</v>
      </c>
      <c r="Q420" s="254">
        <v>2986.69</v>
      </c>
      <c r="R420" s="1262" t="s">
        <v>2896</v>
      </c>
      <c r="S420" s="254">
        <v>1493.35</v>
      </c>
      <c r="T420" s="204" t="s">
        <v>2897</v>
      </c>
      <c r="U420" s="1262" t="s">
        <v>2889</v>
      </c>
      <c r="V420" s="205">
        <v>746.67</v>
      </c>
      <c r="W420" s="1262" t="s">
        <v>2668</v>
      </c>
      <c r="X420" s="206">
        <v>746.67</v>
      </c>
      <c r="Y420" s="192"/>
    </row>
    <row r="421" ht="37.5" customHeight="1" spans="1:25">
      <c r="A421" s="192">
        <f t="shared" si="15"/>
        <v>414</v>
      </c>
      <c r="B421" s="208">
        <v>2022</v>
      </c>
      <c r="C421" s="193" t="s">
        <v>37</v>
      </c>
      <c r="D421" s="277" t="s">
        <v>3074</v>
      </c>
      <c r="E421" s="195" t="s">
        <v>3075</v>
      </c>
      <c r="F421" s="196" t="s">
        <v>2073</v>
      </c>
      <c r="G421" s="197" t="s">
        <v>2663</v>
      </c>
      <c r="H421" s="198">
        <v>0.8</v>
      </c>
      <c r="I421" s="199">
        <v>18288.55</v>
      </c>
      <c r="J421" s="200" t="s">
        <v>2120</v>
      </c>
      <c r="K421" s="200" t="s">
        <v>2800</v>
      </c>
      <c r="L421" s="201">
        <v>0.4</v>
      </c>
      <c r="M421" s="278" t="s">
        <v>3076</v>
      </c>
      <c r="N421" s="254">
        <v>7805.19</v>
      </c>
      <c r="O421" s="254">
        <v>7805.19</v>
      </c>
      <c r="P421" s="199">
        <f t="shared" si="14"/>
        <v>6244.152</v>
      </c>
      <c r="Q421" s="254">
        <v>6244.15</v>
      </c>
      <c r="R421" s="1262" t="s">
        <v>2896</v>
      </c>
      <c r="S421" s="254">
        <v>3122.08</v>
      </c>
      <c r="T421" s="204" t="s">
        <v>2897</v>
      </c>
      <c r="U421" s="1262" t="s">
        <v>2889</v>
      </c>
      <c r="V421" s="205">
        <v>1561.04</v>
      </c>
      <c r="W421" s="1262" t="s">
        <v>2668</v>
      </c>
      <c r="X421" s="206">
        <v>1561.04</v>
      </c>
      <c r="Y421" s="192"/>
    </row>
    <row r="422" ht="37.5" customHeight="1" spans="1:25">
      <c r="A422" s="192">
        <f t="shared" si="15"/>
        <v>415</v>
      </c>
      <c r="B422" s="208">
        <v>2022</v>
      </c>
      <c r="C422" s="193" t="s">
        <v>37</v>
      </c>
      <c r="D422" s="277" t="s">
        <v>3077</v>
      </c>
      <c r="E422" s="195" t="s">
        <v>3078</v>
      </c>
      <c r="F422" s="196" t="s">
        <v>2073</v>
      </c>
      <c r="G422" s="197" t="s">
        <v>2663</v>
      </c>
      <c r="H422" s="198">
        <v>0.8</v>
      </c>
      <c r="I422" s="199">
        <v>107600</v>
      </c>
      <c r="J422" s="200" t="s">
        <v>3079</v>
      </c>
      <c r="K422" s="200" t="s">
        <v>2228</v>
      </c>
      <c r="L422" s="201">
        <v>0.4</v>
      </c>
      <c r="M422" s="278" t="s">
        <v>2927</v>
      </c>
      <c r="N422" s="254">
        <v>25083.35</v>
      </c>
      <c r="O422" s="254">
        <v>25083.35</v>
      </c>
      <c r="P422" s="199">
        <f t="shared" si="14"/>
        <v>20066.68</v>
      </c>
      <c r="Q422" s="254">
        <v>20066.68</v>
      </c>
      <c r="R422" s="1262" t="s">
        <v>2896</v>
      </c>
      <c r="S422" s="254">
        <v>10033.34</v>
      </c>
      <c r="T422" s="204" t="s">
        <v>2897</v>
      </c>
      <c r="U422" s="1262" t="s">
        <v>2889</v>
      </c>
      <c r="V422" s="205">
        <v>5016.67</v>
      </c>
      <c r="W422" s="1262" t="s">
        <v>2668</v>
      </c>
      <c r="X422" s="206">
        <v>5016.67</v>
      </c>
      <c r="Y422" s="192"/>
    </row>
    <row r="423" ht="37.5" customHeight="1" spans="1:25">
      <c r="A423" s="192">
        <f t="shared" si="15"/>
        <v>416</v>
      </c>
      <c r="B423" s="208">
        <v>2022</v>
      </c>
      <c r="C423" s="193" t="s">
        <v>37</v>
      </c>
      <c r="D423" s="277" t="s">
        <v>3080</v>
      </c>
      <c r="E423" s="195" t="s">
        <v>3081</v>
      </c>
      <c r="F423" s="196" t="s">
        <v>2073</v>
      </c>
      <c r="G423" s="197" t="s">
        <v>2663</v>
      </c>
      <c r="H423" s="198">
        <v>0.8</v>
      </c>
      <c r="I423" s="199">
        <v>14847.68</v>
      </c>
      <c r="J423" s="200" t="s">
        <v>2912</v>
      </c>
      <c r="K423" s="200" t="s">
        <v>2913</v>
      </c>
      <c r="L423" s="201">
        <v>0.4</v>
      </c>
      <c r="M423" s="278" t="s">
        <v>2956</v>
      </c>
      <c r="N423" s="254">
        <v>8333.34</v>
      </c>
      <c r="O423" s="254">
        <v>8333.34</v>
      </c>
      <c r="P423" s="199">
        <f t="shared" si="14"/>
        <v>6666.672</v>
      </c>
      <c r="Q423" s="254">
        <v>6666.67</v>
      </c>
      <c r="R423" s="1262" t="s">
        <v>2896</v>
      </c>
      <c r="S423" s="254">
        <v>3333.34</v>
      </c>
      <c r="T423" s="204" t="s">
        <v>2897</v>
      </c>
      <c r="U423" s="1262" t="s">
        <v>2889</v>
      </c>
      <c r="V423" s="205">
        <v>1666.67</v>
      </c>
      <c r="W423" s="1262" t="s">
        <v>2668</v>
      </c>
      <c r="X423" s="206">
        <v>1666.67</v>
      </c>
      <c r="Y423" s="192"/>
    </row>
    <row r="424" ht="37.5" customHeight="1" spans="1:25">
      <c r="A424" s="192">
        <f t="shared" si="15"/>
        <v>417</v>
      </c>
      <c r="B424" s="208">
        <v>2022</v>
      </c>
      <c r="C424" s="193" t="s">
        <v>37</v>
      </c>
      <c r="D424" s="277" t="s">
        <v>3082</v>
      </c>
      <c r="E424" s="195" t="s">
        <v>3083</v>
      </c>
      <c r="F424" s="196" t="s">
        <v>2073</v>
      </c>
      <c r="G424" s="197" t="s">
        <v>2663</v>
      </c>
      <c r="H424" s="198">
        <v>0.8</v>
      </c>
      <c r="I424" s="199">
        <v>22000</v>
      </c>
      <c r="J424" s="200" t="s">
        <v>2329</v>
      </c>
      <c r="K424" s="200" t="s">
        <v>2330</v>
      </c>
      <c r="L424" s="201">
        <v>0.4</v>
      </c>
      <c r="M424" s="278" t="s">
        <v>2870</v>
      </c>
      <c r="N424" s="254">
        <v>11666.7</v>
      </c>
      <c r="O424" s="254">
        <v>11666.7</v>
      </c>
      <c r="P424" s="199">
        <f t="shared" si="14"/>
        <v>9333.36</v>
      </c>
      <c r="Q424" s="254">
        <v>9333.36</v>
      </c>
      <c r="R424" s="1262" t="s">
        <v>2896</v>
      </c>
      <c r="S424" s="254">
        <v>4666.68</v>
      </c>
      <c r="T424" s="204" t="s">
        <v>2897</v>
      </c>
      <c r="U424" s="1262" t="s">
        <v>2889</v>
      </c>
      <c r="V424" s="205">
        <v>2333.34</v>
      </c>
      <c r="W424" s="1262" t="s">
        <v>2668</v>
      </c>
      <c r="X424" s="206">
        <v>2333.34</v>
      </c>
      <c r="Y424" s="192"/>
    </row>
    <row r="425" ht="37.5" customHeight="1" spans="1:25">
      <c r="A425" s="192">
        <f t="shared" si="15"/>
        <v>418</v>
      </c>
      <c r="B425" s="208">
        <v>2022</v>
      </c>
      <c r="C425" s="193" t="s">
        <v>37</v>
      </c>
      <c r="D425" s="277" t="s">
        <v>3080</v>
      </c>
      <c r="E425" s="195" t="s">
        <v>3084</v>
      </c>
      <c r="F425" s="196" t="s">
        <v>2073</v>
      </c>
      <c r="G425" s="197" t="s">
        <v>2663</v>
      </c>
      <c r="H425" s="198">
        <v>0.8</v>
      </c>
      <c r="I425" s="199">
        <v>32500</v>
      </c>
      <c r="J425" s="200" t="s">
        <v>3085</v>
      </c>
      <c r="K425" s="200" t="s">
        <v>3086</v>
      </c>
      <c r="L425" s="201">
        <v>0.4</v>
      </c>
      <c r="M425" s="278" t="s">
        <v>2932</v>
      </c>
      <c r="N425" s="254">
        <v>27083.34</v>
      </c>
      <c r="O425" s="254">
        <v>27083.34</v>
      </c>
      <c r="P425" s="199">
        <f t="shared" si="14"/>
        <v>21666.672</v>
      </c>
      <c r="Q425" s="254">
        <v>21666.67</v>
      </c>
      <c r="R425" s="1262" t="s">
        <v>2896</v>
      </c>
      <c r="S425" s="254">
        <v>10833.34</v>
      </c>
      <c r="T425" s="204" t="s">
        <v>2897</v>
      </c>
      <c r="U425" s="1262" t="s">
        <v>2889</v>
      </c>
      <c r="V425" s="205">
        <v>5416.67</v>
      </c>
      <c r="W425" s="1262" t="s">
        <v>2668</v>
      </c>
      <c r="X425" s="206">
        <v>5416.67</v>
      </c>
      <c r="Y425" s="192"/>
    </row>
    <row r="426" ht="37.5" customHeight="1" spans="1:25">
      <c r="A426" s="192">
        <f t="shared" si="15"/>
        <v>419</v>
      </c>
      <c r="B426" s="208">
        <v>2022</v>
      </c>
      <c r="C426" s="193" t="s">
        <v>37</v>
      </c>
      <c r="D426" s="277" t="s">
        <v>3080</v>
      </c>
      <c r="E426" s="195" t="s">
        <v>3087</v>
      </c>
      <c r="F426" s="196" t="s">
        <v>2073</v>
      </c>
      <c r="G426" s="197" t="s">
        <v>2663</v>
      </c>
      <c r="H426" s="198">
        <v>0.8</v>
      </c>
      <c r="I426" s="199">
        <v>293380</v>
      </c>
      <c r="J426" s="200" t="s">
        <v>2302</v>
      </c>
      <c r="K426" s="200" t="s">
        <v>2303</v>
      </c>
      <c r="L426" s="201">
        <v>0.4</v>
      </c>
      <c r="M426" s="278" t="s">
        <v>2932</v>
      </c>
      <c r="N426" s="254">
        <v>112500.06</v>
      </c>
      <c r="O426" s="254">
        <v>112500.06</v>
      </c>
      <c r="P426" s="199">
        <f t="shared" si="14"/>
        <v>90000.048</v>
      </c>
      <c r="Q426" s="254">
        <v>90000.05</v>
      </c>
      <c r="R426" s="1262" t="s">
        <v>2896</v>
      </c>
      <c r="S426" s="254">
        <v>45000.03</v>
      </c>
      <c r="T426" s="204" t="s">
        <v>2897</v>
      </c>
      <c r="U426" s="1262" t="s">
        <v>2889</v>
      </c>
      <c r="V426" s="205">
        <v>22500.01</v>
      </c>
      <c r="W426" s="1262" t="s">
        <v>2668</v>
      </c>
      <c r="X426" s="206">
        <v>22500.01</v>
      </c>
      <c r="Y426" s="192"/>
    </row>
    <row r="427" ht="37.5" customHeight="1" spans="1:25">
      <c r="A427" s="192">
        <f t="shared" si="15"/>
        <v>420</v>
      </c>
      <c r="B427" s="208">
        <v>2022</v>
      </c>
      <c r="C427" s="193" t="s">
        <v>37</v>
      </c>
      <c r="D427" s="277" t="s">
        <v>2904</v>
      </c>
      <c r="E427" s="195" t="s">
        <v>3088</v>
      </c>
      <c r="F427" s="196" t="s">
        <v>2073</v>
      </c>
      <c r="G427" s="197" t="s">
        <v>2663</v>
      </c>
      <c r="H427" s="198">
        <v>0.8</v>
      </c>
      <c r="I427" s="199">
        <v>14764.45</v>
      </c>
      <c r="J427" s="200" t="s">
        <v>3089</v>
      </c>
      <c r="K427" s="200" t="s">
        <v>3090</v>
      </c>
      <c r="L427" s="201">
        <v>0.4</v>
      </c>
      <c r="M427" s="278" t="s">
        <v>2906</v>
      </c>
      <c r="N427" s="254">
        <v>4166.68</v>
      </c>
      <c r="O427" s="254">
        <v>4166.68</v>
      </c>
      <c r="P427" s="199">
        <f t="shared" si="14"/>
        <v>3333.344</v>
      </c>
      <c r="Q427" s="254">
        <v>3333.34</v>
      </c>
      <c r="R427" s="1262" t="s">
        <v>2896</v>
      </c>
      <c r="S427" s="254">
        <v>1666.67</v>
      </c>
      <c r="T427" s="204" t="s">
        <v>2897</v>
      </c>
      <c r="U427" s="1262" t="s">
        <v>2889</v>
      </c>
      <c r="V427" s="205">
        <v>833.34</v>
      </c>
      <c r="W427" s="1262" t="s">
        <v>2668</v>
      </c>
      <c r="X427" s="206">
        <v>833.34</v>
      </c>
      <c r="Y427" s="192"/>
    </row>
    <row r="428" ht="37.5" customHeight="1" spans="1:25">
      <c r="A428" s="192">
        <f t="shared" si="15"/>
        <v>421</v>
      </c>
      <c r="B428" s="208">
        <v>2022</v>
      </c>
      <c r="C428" s="193" t="s">
        <v>37</v>
      </c>
      <c r="D428" s="277" t="s">
        <v>3091</v>
      </c>
      <c r="E428" s="195" t="s">
        <v>3092</v>
      </c>
      <c r="F428" s="196" t="s">
        <v>2073</v>
      </c>
      <c r="G428" s="197" t="s">
        <v>2663</v>
      </c>
      <c r="H428" s="198">
        <v>0.8</v>
      </c>
      <c r="I428" s="199">
        <v>13911.52</v>
      </c>
      <c r="J428" s="200" t="s">
        <v>3005</v>
      </c>
      <c r="K428" s="200" t="s">
        <v>3006</v>
      </c>
      <c r="L428" s="201">
        <v>0.4</v>
      </c>
      <c r="M428" s="278" t="s">
        <v>3093</v>
      </c>
      <c r="N428" s="254">
        <v>1666.68</v>
      </c>
      <c r="O428" s="254">
        <v>1666.68</v>
      </c>
      <c r="P428" s="199">
        <f t="shared" si="14"/>
        <v>1333.344</v>
      </c>
      <c r="Q428" s="254">
        <v>1333.34</v>
      </c>
      <c r="R428" s="1262" t="s">
        <v>2896</v>
      </c>
      <c r="S428" s="254">
        <v>666.67</v>
      </c>
      <c r="T428" s="204" t="s">
        <v>2897</v>
      </c>
      <c r="U428" s="1262" t="s">
        <v>2889</v>
      </c>
      <c r="V428" s="205">
        <v>333.34</v>
      </c>
      <c r="W428" s="1262" t="s">
        <v>2668</v>
      </c>
      <c r="X428" s="206">
        <v>333.34</v>
      </c>
      <c r="Y428" s="192"/>
    </row>
    <row r="429" ht="37.5" customHeight="1" spans="1:25">
      <c r="A429" s="192">
        <f t="shared" si="15"/>
        <v>422</v>
      </c>
      <c r="B429" s="208">
        <v>2022</v>
      </c>
      <c r="C429" s="193" t="s">
        <v>37</v>
      </c>
      <c r="D429" s="277" t="s">
        <v>3091</v>
      </c>
      <c r="E429" s="195" t="s">
        <v>3094</v>
      </c>
      <c r="F429" s="196" t="s">
        <v>2073</v>
      </c>
      <c r="G429" s="197" t="s">
        <v>2663</v>
      </c>
      <c r="H429" s="198">
        <v>0.8</v>
      </c>
      <c r="I429" s="199">
        <v>120130</v>
      </c>
      <c r="J429" s="200" t="s">
        <v>3056</v>
      </c>
      <c r="K429" s="200" t="s">
        <v>3057</v>
      </c>
      <c r="L429" s="201">
        <v>0.4</v>
      </c>
      <c r="M429" s="278" t="s">
        <v>3093</v>
      </c>
      <c r="N429" s="254">
        <v>29166.74</v>
      </c>
      <c r="O429" s="254">
        <v>29166.74</v>
      </c>
      <c r="P429" s="199">
        <f t="shared" si="14"/>
        <v>23333.392</v>
      </c>
      <c r="Q429" s="254">
        <v>23333.39</v>
      </c>
      <c r="R429" s="1262" t="s">
        <v>2896</v>
      </c>
      <c r="S429" s="254">
        <v>11666.7</v>
      </c>
      <c r="T429" s="204" t="s">
        <v>2897</v>
      </c>
      <c r="U429" s="1262" t="s">
        <v>2889</v>
      </c>
      <c r="V429" s="205">
        <v>5833.35</v>
      </c>
      <c r="W429" s="1262" t="s">
        <v>2668</v>
      </c>
      <c r="X429" s="206">
        <v>5833.35</v>
      </c>
      <c r="Y429" s="192"/>
    </row>
    <row r="430" ht="37.5" customHeight="1" spans="1:25">
      <c r="A430" s="192">
        <f t="shared" si="15"/>
        <v>423</v>
      </c>
      <c r="B430" s="208">
        <v>2022</v>
      </c>
      <c r="C430" s="193" t="s">
        <v>37</v>
      </c>
      <c r="D430" s="277" t="s">
        <v>3095</v>
      </c>
      <c r="E430" s="195" t="s">
        <v>3096</v>
      </c>
      <c r="F430" s="196" t="s">
        <v>2073</v>
      </c>
      <c r="G430" s="197" t="s">
        <v>2663</v>
      </c>
      <c r="H430" s="198">
        <v>0.8</v>
      </c>
      <c r="I430" s="199">
        <v>20000</v>
      </c>
      <c r="J430" s="200" t="s">
        <v>1952</v>
      </c>
      <c r="K430" s="200" t="s">
        <v>3097</v>
      </c>
      <c r="L430" s="201">
        <v>0.4</v>
      </c>
      <c r="M430" s="278" t="s">
        <v>2049</v>
      </c>
      <c r="N430" s="254">
        <v>16495.11</v>
      </c>
      <c r="O430" s="254">
        <v>16495.11</v>
      </c>
      <c r="P430" s="199">
        <f t="shared" si="14"/>
        <v>13196.088</v>
      </c>
      <c r="Q430" s="254">
        <v>13196.09</v>
      </c>
      <c r="R430" s="1262" t="s">
        <v>2896</v>
      </c>
      <c r="S430" s="254">
        <v>6598.05</v>
      </c>
      <c r="T430" s="204" t="s">
        <v>2897</v>
      </c>
      <c r="U430" s="1262" t="s">
        <v>2889</v>
      </c>
      <c r="V430" s="205">
        <v>3299.02</v>
      </c>
      <c r="W430" s="1262" t="s">
        <v>2668</v>
      </c>
      <c r="X430" s="206">
        <v>3299.02</v>
      </c>
      <c r="Y430" s="192"/>
    </row>
    <row r="431" ht="37.5" customHeight="1" spans="1:25">
      <c r="A431" s="192">
        <f t="shared" si="15"/>
        <v>424</v>
      </c>
      <c r="B431" s="208">
        <v>2022</v>
      </c>
      <c r="C431" s="193" t="s">
        <v>37</v>
      </c>
      <c r="D431" s="277" t="s">
        <v>3098</v>
      </c>
      <c r="E431" s="195" t="s">
        <v>3099</v>
      </c>
      <c r="F431" s="196" t="s">
        <v>2073</v>
      </c>
      <c r="G431" s="197" t="s">
        <v>2663</v>
      </c>
      <c r="H431" s="198">
        <v>0.8</v>
      </c>
      <c r="I431" s="199">
        <v>157117</v>
      </c>
      <c r="J431" s="200" t="s">
        <v>2984</v>
      </c>
      <c r="K431" s="200" t="s">
        <v>2985</v>
      </c>
      <c r="L431" s="201">
        <v>0.4</v>
      </c>
      <c r="M431" s="278" t="s">
        <v>3100</v>
      </c>
      <c r="N431" s="254">
        <v>144023.93</v>
      </c>
      <c r="O431" s="254">
        <v>144023.93</v>
      </c>
      <c r="P431" s="199">
        <f t="shared" si="14"/>
        <v>115219.144</v>
      </c>
      <c r="Q431" s="254">
        <v>115219.14</v>
      </c>
      <c r="R431" s="1262" t="s">
        <v>2896</v>
      </c>
      <c r="S431" s="254">
        <v>57609.57</v>
      </c>
      <c r="T431" s="204" t="s">
        <v>2897</v>
      </c>
      <c r="U431" s="1262" t="s">
        <v>2889</v>
      </c>
      <c r="V431" s="205">
        <v>28804.79</v>
      </c>
      <c r="W431" s="1262" t="s">
        <v>2668</v>
      </c>
      <c r="X431" s="206">
        <v>28804.79</v>
      </c>
      <c r="Y431" s="192"/>
    </row>
    <row r="432" ht="37.5" customHeight="1" spans="1:25">
      <c r="A432" s="192">
        <f t="shared" si="15"/>
        <v>425</v>
      </c>
      <c r="B432" s="208">
        <v>2022</v>
      </c>
      <c r="C432" s="193" t="s">
        <v>37</v>
      </c>
      <c r="D432" s="277" t="s">
        <v>3101</v>
      </c>
      <c r="E432" s="195" t="s">
        <v>3102</v>
      </c>
      <c r="F432" s="196" t="s">
        <v>2073</v>
      </c>
      <c r="G432" s="197" t="s">
        <v>2663</v>
      </c>
      <c r="H432" s="198">
        <v>0.8</v>
      </c>
      <c r="I432" s="199">
        <v>48000</v>
      </c>
      <c r="J432" s="200" t="s">
        <v>2729</v>
      </c>
      <c r="K432" s="200" t="s">
        <v>2507</v>
      </c>
      <c r="L432" s="201">
        <v>0.4</v>
      </c>
      <c r="M432" s="278" t="s">
        <v>2941</v>
      </c>
      <c r="N432" s="254">
        <v>1566</v>
      </c>
      <c r="O432" s="254">
        <v>1566</v>
      </c>
      <c r="P432" s="199">
        <f t="shared" si="14"/>
        <v>1252.8</v>
      </c>
      <c r="Q432" s="254">
        <v>1252.8</v>
      </c>
      <c r="R432" s="1262" t="s">
        <v>2896</v>
      </c>
      <c r="S432" s="254">
        <v>626.4</v>
      </c>
      <c r="T432" s="204" t="s">
        <v>2897</v>
      </c>
      <c r="U432" s="1262" t="s">
        <v>2889</v>
      </c>
      <c r="V432" s="205">
        <v>313.2</v>
      </c>
      <c r="W432" s="1262" t="s">
        <v>2668</v>
      </c>
      <c r="X432" s="206">
        <v>313.2</v>
      </c>
      <c r="Y432" s="192"/>
    </row>
    <row r="433" ht="37.5" customHeight="1" spans="1:25">
      <c r="A433" s="192">
        <f t="shared" si="15"/>
        <v>426</v>
      </c>
      <c r="B433" s="208">
        <v>2022</v>
      </c>
      <c r="C433" s="193" t="s">
        <v>37</v>
      </c>
      <c r="D433" s="277" t="s">
        <v>3103</v>
      </c>
      <c r="E433" s="195" t="s">
        <v>3104</v>
      </c>
      <c r="F433" s="196" t="s">
        <v>2073</v>
      </c>
      <c r="G433" s="197" t="s">
        <v>2663</v>
      </c>
      <c r="H433" s="198">
        <v>0.8</v>
      </c>
      <c r="I433" s="199">
        <v>17176.35</v>
      </c>
      <c r="J433" s="200" t="s">
        <v>2677</v>
      </c>
      <c r="K433" s="200" t="s">
        <v>2678</v>
      </c>
      <c r="L433" s="201">
        <v>0.4</v>
      </c>
      <c r="M433" s="278" t="s">
        <v>2642</v>
      </c>
      <c r="N433" s="254">
        <v>1250</v>
      </c>
      <c r="O433" s="254">
        <v>1250</v>
      </c>
      <c r="P433" s="199">
        <f t="shared" si="14"/>
        <v>1000</v>
      </c>
      <c r="Q433" s="254">
        <v>1000</v>
      </c>
      <c r="R433" s="1262" t="s">
        <v>2896</v>
      </c>
      <c r="S433" s="254">
        <v>500</v>
      </c>
      <c r="T433" s="204" t="s">
        <v>2897</v>
      </c>
      <c r="U433" s="1262" t="s">
        <v>2889</v>
      </c>
      <c r="V433" s="205">
        <v>250</v>
      </c>
      <c r="W433" s="1262" t="s">
        <v>2668</v>
      </c>
      <c r="X433" s="206">
        <v>250</v>
      </c>
      <c r="Y433" s="192"/>
    </row>
    <row r="434" ht="37.5" customHeight="1" spans="1:25">
      <c r="A434" s="192">
        <f t="shared" si="15"/>
        <v>427</v>
      </c>
      <c r="B434" s="208">
        <v>2022</v>
      </c>
      <c r="C434" s="193" t="s">
        <v>37</v>
      </c>
      <c r="D434" s="277" t="s">
        <v>3105</v>
      </c>
      <c r="E434" s="195" t="s">
        <v>3106</v>
      </c>
      <c r="F434" s="196" t="s">
        <v>2073</v>
      </c>
      <c r="G434" s="197" t="s">
        <v>2663</v>
      </c>
      <c r="H434" s="198">
        <v>0.8</v>
      </c>
      <c r="I434" s="199">
        <v>35000</v>
      </c>
      <c r="J434" s="200" t="s">
        <v>1951</v>
      </c>
      <c r="K434" s="200" t="s">
        <v>2238</v>
      </c>
      <c r="L434" s="201">
        <v>0.4</v>
      </c>
      <c r="M434" s="278" t="s">
        <v>2944</v>
      </c>
      <c r="N434" s="254">
        <v>971.85</v>
      </c>
      <c r="O434" s="254">
        <v>971.85</v>
      </c>
      <c r="P434" s="199">
        <f t="shared" si="14"/>
        <v>777.48</v>
      </c>
      <c r="Q434" s="254">
        <v>777.48</v>
      </c>
      <c r="R434" s="1262" t="s">
        <v>2896</v>
      </c>
      <c r="S434" s="254">
        <v>388.74</v>
      </c>
      <c r="T434" s="204" t="s">
        <v>2897</v>
      </c>
      <c r="U434" s="1262" t="s">
        <v>2889</v>
      </c>
      <c r="V434" s="205">
        <v>194.37</v>
      </c>
      <c r="W434" s="1262" t="s">
        <v>2668</v>
      </c>
      <c r="X434" s="206">
        <v>194.37</v>
      </c>
      <c r="Y434" s="192"/>
    </row>
    <row r="435" ht="37.5" customHeight="1" spans="1:25">
      <c r="A435" s="192">
        <f t="shared" si="15"/>
        <v>428</v>
      </c>
      <c r="B435" s="208">
        <v>2022</v>
      </c>
      <c r="C435" s="193" t="s">
        <v>37</v>
      </c>
      <c r="D435" s="277" t="s">
        <v>3107</v>
      </c>
      <c r="E435" s="195" t="s">
        <v>3108</v>
      </c>
      <c r="F435" s="196" t="s">
        <v>2073</v>
      </c>
      <c r="G435" s="197" t="s">
        <v>2663</v>
      </c>
      <c r="H435" s="198">
        <v>0.8</v>
      </c>
      <c r="I435" s="199">
        <v>14560.7</v>
      </c>
      <c r="J435" s="200" t="s">
        <v>2212</v>
      </c>
      <c r="K435" s="200" t="s">
        <v>3109</v>
      </c>
      <c r="L435" s="201">
        <v>0.4</v>
      </c>
      <c r="M435" s="278" t="s">
        <v>3110</v>
      </c>
      <c r="N435" s="254">
        <v>806</v>
      </c>
      <c r="O435" s="254">
        <v>806</v>
      </c>
      <c r="P435" s="199">
        <f t="shared" si="14"/>
        <v>644.8</v>
      </c>
      <c r="Q435" s="254">
        <v>644.8</v>
      </c>
      <c r="R435" s="1262" t="s">
        <v>2896</v>
      </c>
      <c r="S435" s="254">
        <v>322.4</v>
      </c>
      <c r="T435" s="204" t="s">
        <v>2897</v>
      </c>
      <c r="U435" s="1262" t="s">
        <v>2889</v>
      </c>
      <c r="V435" s="205">
        <v>161.2</v>
      </c>
      <c r="W435" s="1262" t="s">
        <v>2668</v>
      </c>
      <c r="X435" s="206">
        <v>161.2</v>
      </c>
      <c r="Y435" s="192"/>
    </row>
    <row r="436" ht="37.5" customHeight="1" spans="1:25">
      <c r="A436" s="192">
        <f t="shared" si="15"/>
        <v>429</v>
      </c>
      <c r="B436" s="208">
        <v>2022</v>
      </c>
      <c r="C436" s="193" t="s">
        <v>37</v>
      </c>
      <c r="D436" s="277" t="s">
        <v>3111</v>
      </c>
      <c r="E436" s="195" t="s">
        <v>3112</v>
      </c>
      <c r="F436" s="196" t="s">
        <v>2073</v>
      </c>
      <c r="G436" s="197" t="s">
        <v>2663</v>
      </c>
      <c r="H436" s="198">
        <v>0.8</v>
      </c>
      <c r="I436" s="199">
        <v>61700</v>
      </c>
      <c r="J436" s="200" t="s">
        <v>2132</v>
      </c>
      <c r="K436" s="200" t="s">
        <v>2133</v>
      </c>
      <c r="L436" s="201">
        <v>0.4</v>
      </c>
      <c r="M436" s="278" t="s">
        <v>2916</v>
      </c>
      <c r="N436" s="254">
        <v>22500</v>
      </c>
      <c r="O436" s="254">
        <v>22500</v>
      </c>
      <c r="P436" s="199">
        <f t="shared" si="14"/>
        <v>18000</v>
      </c>
      <c r="Q436" s="254">
        <v>18000</v>
      </c>
      <c r="R436" s="1262" t="s">
        <v>2896</v>
      </c>
      <c r="S436" s="254">
        <v>9000</v>
      </c>
      <c r="T436" s="204" t="s">
        <v>2897</v>
      </c>
      <c r="U436" s="1262" t="s">
        <v>2889</v>
      </c>
      <c r="V436" s="205">
        <v>4500</v>
      </c>
      <c r="W436" s="1262" t="s">
        <v>2668</v>
      </c>
      <c r="X436" s="206">
        <v>4500</v>
      </c>
      <c r="Y436" s="192"/>
    </row>
    <row r="437" ht="37.5" customHeight="1" spans="1:25">
      <c r="A437" s="192">
        <f t="shared" si="15"/>
        <v>430</v>
      </c>
      <c r="B437" s="208">
        <v>2022</v>
      </c>
      <c r="C437" s="193" t="s">
        <v>37</v>
      </c>
      <c r="D437" s="277" t="s">
        <v>3113</v>
      </c>
      <c r="E437" s="195" t="s">
        <v>3114</v>
      </c>
      <c r="F437" s="196" t="s">
        <v>2073</v>
      </c>
      <c r="G437" s="197" t="s">
        <v>2663</v>
      </c>
      <c r="H437" s="198">
        <v>0.8</v>
      </c>
      <c r="I437" s="199">
        <v>10000</v>
      </c>
      <c r="J437" s="200" t="s">
        <v>2295</v>
      </c>
      <c r="K437" s="200" t="s">
        <v>2296</v>
      </c>
      <c r="L437" s="201">
        <v>0.4</v>
      </c>
      <c r="M437" s="278" t="s">
        <v>2916</v>
      </c>
      <c r="N437" s="254">
        <v>400</v>
      </c>
      <c r="O437" s="254">
        <v>400</v>
      </c>
      <c r="P437" s="199">
        <f t="shared" si="14"/>
        <v>320</v>
      </c>
      <c r="Q437" s="254">
        <v>320</v>
      </c>
      <c r="R437" s="1262" t="s">
        <v>2896</v>
      </c>
      <c r="S437" s="254">
        <v>160</v>
      </c>
      <c r="T437" s="204" t="s">
        <v>2897</v>
      </c>
      <c r="U437" s="1262" t="s">
        <v>2889</v>
      </c>
      <c r="V437" s="205">
        <v>80</v>
      </c>
      <c r="W437" s="1262" t="s">
        <v>2668</v>
      </c>
      <c r="X437" s="206">
        <v>80</v>
      </c>
      <c r="Y437" s="192"/>
    </row>
    <row r="438" ht="37.5" customHeight="1" spans="1:25">
      <c r="A438" s="192">
        <f t="shared" si="15"/>
        <v>431</v>
      </c>
      <c r="B438" s="208">
        <v>2022</v>
      </c>
      <c r="C438" s="193" t="s">
        <v>37</v>
      </c>
      <c r="D438" s="259" t="s">
        <v>3115</v>
      </c>
      <c r="E438" s="195" t="s">
        <v>3116</v>
      </c>
      <c r="F438" s="196" t="s">
        <v>2073</v>
      </c>
      <c r="G438" s="197" t="s">
        <v>2663</v>
      </c>
      <c r="H438" s="198">
        <v>0.8</v>
      </c>
      <c r="I438" s="199">
        <v>40000</v>
      </c>
      <c r="J438" s="200" t="s">
        <v>1816</v>
      </c>
      <c r="K438" s="200" t="s">
        <v>2310</v>
      </c>
      <c r="L438" s="201">
        <v>0.4</v>
      </c>
      <c r="M438" s="230" t="s">
        <v>2049</v>
      </c>
      <c r="N438" s="254">
        <v>3206.84</v>
      </c>
      <c r="O438" s="254">
        <v>3206.84</v>
      </c>
      <c r="P438" s="199">
        <f>O438*H438</f>
        <v>2565.472</v>
      </c>
      <c r="Q438" s="254">
        <v>2565.47</v>
      </c>
      <c r="R438" s="1262" t="s">
        <v>2896</v>
      </c>
      <c r="S438" s="254">
        <v>1282.74</v>
      </c>
      <c r="T438" s="204" t="s">
        <v>2897</v>
      </c>
      <c r="U438" s="1262" t="s">
        <v>2889</v>
      </c>
      <c r="V438" s="205">
        <v>641.37</v>
      </c>
      <c r="W438" s="1262" t="s">
        <v>2668</v>
      </c>
      <c r="X438" s="206">
        <v>641.37</v>
      </c>
      <c r="Y438" s="192"/>
    </row>
    <row r="439" ht="37.5" customHeight="1" spans="1:25">
      <c r="A439" s="192">
        <f t="shared" si="15"/>
        <v>432</v>
      </c>
      <c r="B439" s="208">
        <v>2022</v>
      </c>
      <c r="C439" s="193" t="s">
        <v>37</v>
      </c>
      <c r="D439" s="277" t="s">
        <v>3117</v>
      </c>
      <c r="E439" s="195" t="s">
        <v>3118</v>
      </c>
      <c r="F439" s="196" t="s">
        <v>2073</v>
      </c>
      <c r="G439" s="197" t="s">
        <v>2663</v>
      </c>
      <c r="H439" s="198">
        <v>0.8</v>
      </c>
      <c r="I439" s="199">
        <v>15118.59</v>
      </c>
      <c r="J439" s="200" t="s">
        <v>3119</v>
      </c>
      <c r="K439" s="200" t="s">
        <v>3120</v>
      </c>
      <c r="L439" s="201">
        <v>0.4</v>
      </c>
      <c r="M439" s="278" t="s">
        <v>2941</v>
      </c>
      <c r="N439" s="254">
        <v>1250.01</v>
      </c>
      <c r="O439" s="254">
        <v>1250.01</v>
      </c>
      <c r="P439" s="199">
        <f>O439*H439</f>
        <v>1000.008</v>
      </c>
      <c r="Q439" s="254">
        <v>1000.01</v>
      </c>
      <c r="R439" s="1262" t="s">
        <v>2896</v>
      </c>
      <c r="S439" s="254">
        <v>500.01</v>
      </c>
      <c r="T439" s="204" t="s">
        <v>2897</v>
      </c>
      <c r="U439" s="1262" t="s">
        <v>2889</v>
      </c>
      <c r="V439" s="205">
        <v>250</v>
      </c>
      <c r="W439" s="1262" t="s">
        <v>2668</v>
      </c>
      <c r="X439" s="206">
        <v>250</v>
      </c>
      <c r="Y439" s="192"/>
    </row>
    <row r="440" ht="37.5" customHeight="1" spans="1:25">
      <c r="A440" s="192">
        <f t="shared" ref="A440:A475" si="16">ROW()-7</f>
        <v>433</v>
      </c>
      <c r="B440" s="208">
        <v>2022</v>
      </c>
      <c r="C440" s="193" t="s">
        <v>37</v>
      </c>
      <c r="D440" s="277" t="s">
        <v>3121</v>
      </c>
      <c r="E440" s="195" t="s">
        <v>3122</v>
      </c>
      <c r="F440" s="196" t="s">
        <v>2073</v>
      </c>
      <c r="G440" s="197" t="s">
        <v>2663</v>
      </c>
      <c r="H440" s="198">
        <v>0.8</v>
      </c>
      <c r="I440" s="199">
        <v>72080</v>
      </c>
      <c r="J440" s="200" t="s">
        <v>3056</v>
      </c>
      <c r="K440" s="200" t="s">
        <v>3057</v>
      </c>
      <c r="L440" s="201">
        <v>0.4</v>
      </c>
      <c r="M440" s="278" t="s">
        <v>2823</v>
      </c>
      <c r="N440" s="254">
        <v>8666.68</v>
      </c>
      <c r="O440" s="254">
        <v>8666.68</v>
      </c>
      <c r="P440" s="199">
        <f>O440*H440</f>
        <v>6933.344</v>
      </c>
      <c r="Q440" s="254">
        <v>6933.34</v>
      </c>
      <c r="R440" s="1262" t="s">
        <v>2896</v>
      </c>
      <c r="S440" s="254">
        <v>3466.67</v>
      </c>
      <c r="T440" s="204" t="s">
        <v>2897</v>
      </c>
      <c r="U440" s="1262" t="s">
        <v>2889</v>
      </c>
      <c r="V440" s="205">
        <v>1733.34</v>
      </c>
      <c r="W440" s="1262" t="s">
        <v>2668</v>
      </c>
      <c r="X440" s="206">
        <v>1733.34</v>
      </c>
      <c r="Y440" s="192"/>
    </row>
    <row r="441" ht="37.5" customHeight="1" spans="1:25">
      <c r="A441" s="192">
        <f t="shared" si="16"/>
        <v>434</v>
      </c>
      <c r="B441" s="208">
        <v>2022</v>
      </c>
      <c r="C441" s="193" t="s">
        <v>37</v>
      </c>
      <c r="D441" s="277" t="s">
        <v>3123</v>
      </c>
      <c r="E441" s="195" t="s">
        <v>3124</v>
      </c>
      <c r="F441" s="196" t="s">
        <v>2073</v>
      </c>
      <c r="G441" s="197" t="s">
        <v>2663</v>
      </c>
      <c r="H441" s="198">
        <v>0.8</v>
      </c>
      <c r="I441" s="199">
        <v>14806.25</v>
      </c>
      <c r="J441" s="200" t="s">
        <v>2716</v>
      </c>
      <c r="K441" s="200" t="s">
        <v>2717</v>
      </c>
      <c r="L441" s="201">
        <v>0.4</v>
      </c>
      <c r="M441" s="278" t="s">
        <v>3041</v>
      </c>
      <c r="N441" s="254">
        <v>8333.34</v>
      </c>
      <c r="O441" s="254">
        <v>8333.34</v>
      </c>
      <c r="P441" s="199">
        <f>O441*H441</f>
        <v>6666.672</v>
      </c>
      <c r="Q441" s="254">
        <v>6666.67</v>
      </c>
      <c r="R441" s="1262" t="s">
        <v>2896</v>
      </c>
      <c r="S441" s="254">
        <v>3333.34</v>
      </c>
      <c r="T441" s="204" t="s">
        <v>2897</v>
      </c>
      <c r="U441" s="1262" t="s">
        <v>2889</v>
      </c>
      <c r="V441" s="205">
        <v>1666.67</v>
      </c>
      <c r="W441" s="1262" t="s">
        <v>2668</v>
      </c>
      <c r="X441" s="206">
        <v>1666.67</v>
      </c>
      <c r="Y441" s="192"/>
    </row>
    <row r="442" ht="37.5" customHeight="1" spans="1:25">
      <c r="A442" s="192">
        <f t="shared" si="16"/>
        <v>435</v>
      </c>
      <c r="B442" s="208">
        <v>2022</v>
      </c>
      <c r="C442" s="193" t="s">
        <v>37</v>
      </c>
      <c r="D442" s="277" t="s">
        <v>3125</v>
      </c>
      <c r="E442" s="195" t="s">
        <v>3126</v>
      </c>
      <c r="F442" s="196" t="s">
        <v>2073</v>
      </c>
      <c r="G442" s="197" t="s">
        <v>2663</v>
      </c>
      <c r="H442" s="198">
        <v>0.8</v>
      </c>
      <c r="I442" s="199">
        <v>32000</v>
      </c>
      <c r="J442" s="200" t="s">
        <v>3127</v>
      </c>
      <c r="K442" s="200" t="s">
        <v>2535</v>
      </c>
      <c r="L442" s="201">
        <v>0.4</v>
      </c>
      <c r="M442" s="278" t="s">
        <v>3128</v>
      </c>
      <c r="N442" s="254">
        <v>1166.7</v>
      </c>
      <c r="O442" s="254">
        <v>1166.7</v>
      </c>
      <c r="P442" s="254">
        <v>933.36</v>
      </c>
      <c r="Q442" s="254">
        <v>933.36</v>
      </c>
      <c r="R442" s="1262" t="s">
        <v>2896</v>
      </c>
      <c r="S442" s="254">
        <v>466.68</v>
      </c>
      <c r="T442" s="204" t="s">
        <v>2897</v>
      </c>
      <c r="U442" s="203"/>
      <c r="V442" s="205"/>
      <c r="W442" s="203"/>
      <c r="X442" s="206"/>
      <c r="Y442" s="206" t="s">
        <v>2145</v>
      </c>
    </row>
    <row r="443" ht="37.5" customHeight="1" spans="1:25">
      <c r="A443" s="192">
        <f t="shared" si="16"/>
        <v>436</v>
      </c>
      <c r="B443" s="208">
        <v>2022</v>
      </c>
      <c r="C443" s="193" t="s">
        <v>37</v>
      </c>
      <c r="D443" s="277" t="s">
        <v>3123</v>
      </c>
      <c r="E443" s="195" t="s">
        <v>3129</v>
      </c>
      <c r="F443" s="196" t="s">
        <v>2073</v>
      </c>
      <c r="G443" s="197" t="s">
        <v>2663</v>
      </c>
      <c r="H443" s="198">
        <v>0.8</v>
      </c>
      <c r="I443" s="199">
        <v>83020</v>
      </c>
      <c r="J443" s="200" t="s">
        <v>1866</v>
      </c>
      <c r="K443" s="200" t="s">
        <v>2567</v>
      </c>
      <c r="L443" s="201">
        <v>0.4</v>
      </c>
      <c r="M443" s="278" t="s">
        <v>3041</v>
      </c>
      <c r="N443" s="254">
        <v>20810</v>
      </c>
      <c r="O443" s="254">
        <v>20810</v>
      </c>
      <c r="P443" s="199">
        <f t="shared" ref="P443:P473" si="17">O443*H443</f>
        <v>16648</v>
      </c>
      <c r="Q443" s="254">
        <v>16648</v>
      </c>
      <c r="R443" s="1262" t="s">
        <v>2896</v>
      </c>
      <c r="S443" s="254">
        <v>8324</v>
      </c>
      <c r="T443" s="204" t="s">
        <v>2897</v>
      </c>
      <c r="U443" s="1262" t="s">
        <v>2889</v>
      </c>
      <c r="V443" s="205">
        <v>4162</v>
      </c>
      <c r="W443" s="1262" t="s">
        <v>2668</v>
      </c>
      <c r="X443" s="206">
        <v>4162</v>
      </c>
      <c r="Y443" s="192"/>
    </row>
    <row r="444" ht="37.5" customHeight="1" spans="1:25">
      <c r="A444" s="192">
        <f t="shared" si="16"/>
        <v>437</v>
      </c>
      <c r="B444" s="208">
        <v>2022</v>
      </c>
      <c r="C444" s="193" t="s">
        <v>37</v>
      </c>
      <c r="D444" s="277" t="s">
        <v>3130</v>
      </c>
      <c r="E444" s="195" t="s">
        <v>3131</v>
      </c>
      <c r="F444" s="196" t="s">
        <v>2073</v>
      </c>
      <c r="G444" s="197" t="s">
        <v>2663</v>
      </c>
      <c r="H444" s="198">
        <v>0.8</v>
      </c>
      <c r="I444" s="199">
        <v>18000</v>
      </c>
      <c r="J444" s="200" t="s">
        <v>1846</v>
      </c>
      <c r="K444" s="200" t="s">
        <v>2622</v>
      </c>
      <c r="L444" s="201">
        <v>0.4</v>
      </c>
      <c r="M444" s="278" t="s">
        <v>2944</v>
      </c>
      <c r="N444" s="254">
        <v>369.25</v>
      </c>
      <c r="O444" s="254">
        <v>369.25</v>
      </c>
      <c r="P444" s="199">
        <f t="shared" si="17"/>
        <v>295.4</v>
      </c>
      <c r="Q444" s="254">
        <v>295.4</v>
      </c>
      <c r="R444" s="1262" t="s">
        <v>2896</v>
      </c>
      <c r="S444" s="254">
        <v>147.7</v>
      </c>
      <c r="T444" s="204" t="s">
        <v>2897</v>
      </c>
      <c r="U444" s="1262" t="s">
        <v>2889</v>
      </c>
      <c r="V444" s="205">
        <v>73.85</v>
      </c>
      <c r="W444" s="1262" t="s">
        <v>2668</v>
      </c>
      <c r="X444" s="206">
        <v>73.85</v>
      </c>
      <c r="Y444" s="192"/>
    </row>
    <row r="445" ht="37.5" customHeight="1" spans="1:25">
      <c r="A445" s="192">
        <f t="shared" si="16"/>
        <v>438</v>
      </c>
      <c r="B445" s="208">
        <v>2022</v>
      </c>
      <c r="C445" s="193" t="s">
        <v>37</v>
      </c>
      <c r="D445" s="277" t="s">
        <v>3132</v>
      </c>
      <c r="E445" s="195" t="s">
        <v>3133</v>
      </c>
      <c r="F445" s="196" t="s">
        <v>2073</v>
      </c>
      <c r="G445" s="197" t="s">
        <v>2663</v>
      </c>
      <c r="H445" s="198">
        <v>0.8</v>
      </c>
      <c r="I445" s="199">
        <v>25500</v>
      </c>
      <c r="J445" s="200" t="s">
        <v>2836</v>
      </c>
      <c r="K445" s="200" t="s">
        <v>2837</v>
      </c>
      <c r="L445" s="201">
        <v>0.4</v>
      </c>
      <c r="M445" s="278" t="s">
        <v>2979</v>
      </c>
      <c r="N445" s="254">
        <v>20583.36</v>
      </c>
      <c r="O445" s="254">
        <v>20583.36</v>
      </c>
      <c r="P445" s="199">
        <f t="shared" si="17"/>
        <v>16466.688</v>
      </c>
      <c r="Q445" s="254">
        <v>16466.69</v>
      </c>
      <c r="R445" s="1262" t="s">
        <v>2896</v>
      </c>
      <c r="S445" s="254">
        <v>8233.35</v>
      </c>
      <c r="T445" s="204" t="s">
        <v>2897</v>
      </c>
      <c r="U445" s="1262" t="s">
        <v>2889</v>
      </c>
      <c r="V445" s="205">
        <v>4116.67</v>
      </c>
      <c r="W445" s="1262" t="s">
        <v>2668</v>
      </c>
      <c r="X445" s="206">
        <v>4116.67</v>
      </c>
      <c r="Y445" s="192"/>
    </row>
    <row r="446" ht="37.5" customHeight="1" spans="1:25">
      <c r="A446" s="192">
        <f t="shared" si="16"/>
        <v>439</v>
      </c>
      <c r="B446" s="208">
        <v>2022</v>
      </c>
      <c r="C446" s="193" t="s">
        <v>37</v>
      </c>
      <c r="D446" s="277" t="s">
        <v>3134</v>
      </c>
      <c r="E446" s="195" t="s">
        <v>3135</v>
      </c>
      <c r="F446" s="196" t="s">
        <v>2073</v>
      </c>
      <c r="G446" s="197" t="s">
        <v>2663</v>
      </c>
      <c r="H446" s="198">
        <v>0.8</v>
      </c>
      <c r="I446" s="199">
        <v>14593.47</v>
      </c>
      <c r="J446" s="200" t="s">
        <v>2092</v>
      </c>
      <c r="K446" s="200" t="s">
        <v>2926</v>
      </c>
      <c r="L446" s="201">
        <v>0.4</v>
      </c>
      <c r="M446" s="278" t="s">
        <v>3136</v>
      </c>
      <c r="N446" s="254">
        <v>2306.68</v>
      </c>
      <c r="O446" s="254">
        <v>2306.68</v>
      </c>
      <c r="P446" s="199">
        <f t="shared" si="17"/>
        <v>1845.344</v>
      </c>
      <c r="Q446" s="254">
        <v>1845.34</v>
      </c>
      <c r="R446" s="1262" t="s">
        <v>2896</v>
      </c>
      <c r="S446" s="254">
        <v>922.67</v>
      </c>
      <c r="T446" s="204" t="s">
        <v>2897</v>
      </c>
      <c r="U446" s="1262" t="s">
        <v>2889</v>
      </c>
      <c r="V446" s="205">
        <v>461.34</v>
      </c>
      <c r="W446" s="1262" t="s">
        <v>2668</v>
      </c>
      <c r="X446" s="206">
        <v>461.34</v>
      </c>
      <c r="Y446" s="192"/>
    </row>
    <row r="447" ht="37.5" customHeight="1" spans="1:25">
      <c r="A447" s="192">
        <f t="shared" si="16"/>
        <v>440</v>
      </c>
      <c r="B447" s="208">
        <v>2022</v>
      </c>
      <c r="C447" s="193" t="s">
        <v>37</v>
      </c>
      <c r="D447" s="277" t="s">
        <v>3134</v>
      </c>
      <c r="E447" s="195" t="s">
        <v>3137</v>
      </c>
      <c r="F447" s="196" t="s">
        <v>2073</v>
      </c>
      <c r="G447" s="197" t="s">
        <v>2663</v>
      </c>
      <c r="H447" s="198">
        <v>0.8</v>
      </c>
      <c r="I447" s="199">
        <v>13297</v>
      </c>
      <c r="J447" s="200" t="s">
        <v>2970</v>
      </c>
      <c r="K447" s="200" t="s">
        <v>2971</v>
      </c>
      <c r="L447" s="201">
        <v>0.4</v>
      </c>
      <c r="M447" s="278" t="s">
        <v>3136</v>
      </c>
      <c r="N447" s="254">
        <v>12605.6</v>
      </c>
      <c r="O447" s="254">
        <v>12605.6</v>
      </c>
      <c r="P447" s="199">
        <f t="shared" si="17"/>
        <v>10084.48</v>
      </c>
      <c r="Q447" s="254">
        <v>10084.48</v>
      </c>
      <c r="R447" s="1262" t="s">
        <v>2896</v>
      </c>
      <c r="S447" s="254">
        <v>5042.24</v>
      </c>
      <c r="T447" s="204" t="s">
        <v>2897</v>
      </c>
      <c r="U447" s="1262" t="s">
        <v>2889</v>
      </c>
      <c r="V447" s="205">
        <v>2521.12</v>
      </c>
      <c r="W447" s="1262" t="s">
        <v>2668</v>
      </c>
      <c r="X447" s="206">
        <v>2521.12</v>
      </c>
      <c r="Y447" s="192"/>
    </row>
    <row r="448" ht="37.5" customHeight="1" spans="1:25">
      <c r="A448" s="192">
        <f t="shared" si="16"/>
        <v>441</v>
      </c>
      <c r="B448" s="208">
        <v>2022</v>
      </c>
      <c r="C448" s="193" t="s">
        <v>37</v>
      </c>
      <c r="D448" s="277" t="s">
        <v>3138</v>
      </c>
      <c r="E448" s="195" t="s">
        <v>3139</v>
      </c>
      <c r="F448" s="196" t="s">
        <v>2073</v>
      </c>
      <c r="G448" s="197" t="s">
        <v>2663</v>
      </c>
      <c r="H448" s="198">
        <v>0.8</v>
      </c>
      <c r="I448" s="199">
        <v>40000</v>
      </c>
      <c r="J448" s="200" t="s">
        <v>1939</v>
      </c>
      <c r="K448" s="200" t="s">
        <v>2241</v>
      </c>
      <c r="L448" s="201">
        <v>0.4</v>
      </c>
      <c r="M448" s="278" t="s">
        <v>3140</v>
      </c>
      <c r="N448" s="254">
        <v>27772.78</v>
      </c>
      <c r="O448" s="254">
        <v>27772.78</v>
      </c>
      <c r="P448" s="199">
        <f t="shared" si="17"/>
        <v>22218.224</v>
      </c>
      <c r="Q448" s="254">
        <v>22218.22</v>
      </c>
      <c r="R448" s="1262" t="s">
        <v>2896</v>
      </c>
      <c r="S448" s="254">
        <v>11109.11</v>
      </c>
      <c r="T448" s="204" t="s">
        <v>2897</v>
      </c>
      <c r="U448" s="1262" t="s">
        <v>2889</v>
      </c>
      <c r="V448" s="205">
        <v>5554.56</v>
      </c>
      <c r="W448" s="1262" t="s">
        <v>2668</v>
      </c>
      <c r="X448" s="206">
        <v>5554.56</v>
      </c>
      <c r="Y448" s="192"/>
    </row>
    <row r="449" ht="37.5" customHeight="1" spans="1:25">
      <c r="A449" s="192">
        <f t="shared" si="16"/>
        <v>442</v>
      </c>
      <c r="B449" s="208">
        <v>2022</v>
      </c>
      <c r="C449" s="193" t="s">
        <v>37</v>
      </c>
      <c r="D449" s="277" t="s">
        <v>3141</v>
      </c>
      <c r="E449" s="195" t="s">
        <v>3142</v>
      </c>
      <c r="F449" s="196" t="s">
        <v>2073</v>
      </c>
      <c r="G449" s="197" t="s">
        <v>2663</v>
      </c>
      <c r="H449" s="198">
        <v>0.8</v>
      </c>
      <c r="I449" s="199">
        <v>11449.14</v>
      </c>
      <c r="J449" s="200" t="s">
        <v>2812</v>
      </c>
      <c r="K449" s="200" t="s">
        <v>2813</v>
      </c>
      <c r="L449" s="201">
        <v>0.4</v>
      </c>
      <c r="M449" s="278" t="s">
        <v>3093</v>
      </c>
      <c r="N449" s="254">
        <v>555</v>
      </c>
      <c r="O449" s="254">
        <v>555</v>
      </c>
      <c r="P449" s="199">
        <f t="shared" si="17"/>
        <v>444</v>
      </c>
      <c r="Q449" s="254">
        <v>444</v>
      </c>
      <c r="R449" s="1262" t="s">
        <v>2896</v>
      </c>
      <c r="S449" s="254">
        <v>222</v>
      </c>
      <c r="T449" s="204" t="s">
        <v>2897</v>
      </c>
      <c r="U449" s="1262" t="s">
        <v>2889</v>
      </c>
      <c r="V449" s="205">
        <v>111</v>
      </c>
      <c r="W449" s="1262" t="s">
        <v>2668</v>
      </c>
      <c r="X449" s="206">
        <v>111</v>
      </c>
      <c r="Y449" s="192"/>
    </row>
    <row r="450" ht="37.5" customHeight="1" spans="1:25">
      <c r="A450" s="192">
        <f t="shared" si="16"/>
        <v>443</v>
      </c>
      <c r="B450" s="208">
        <v>2022</v>
      </c>
      <c r="C450" s="193" t="s">
        <v>37</v>
      </c>
      <c r="D450" s="277" t="s">
        <v>3143</v>
      </c>
      <c r="E450" s="195" t="s">
        <v>3144</v>
      </c>
      <c r="F450" s="196" t="s">
        <v>2073</v>
      </c>
      <c r="G450" s="197" t="s">
        <v>2663</v>
      </c>
      <c r="H450" s="198">
        <v>0.8</v>
      </c>
      <c r="I450" s="199">
        <v>10000</v>
      </c>
      <c r="J450" s="200" t="s">
        <v>2354</v>
      </c>
      <c r="K450" s="200" t="s">
        <v>2355</v>
      </c>
      <c r="L450" s="201">
        <v>0.4</v>
      </c>
      <c r="M450" s="278" t="s">
        <v>2944</v>
      </c>
      <c r="N450" s="254">
        <v>583.35</v>
      </c>
      <c r="O450" s="254">
        <v>583.35</v>
      </c>
      <c r="P450" s="199">
        <f t="shared" si="17"/>
        <v>466.68</v>
      </c>
      <c r="Q450" s="254">
        <v>466.68</v>
      </c>
      <c r="R450" s="1262" t="s">
        <v>2896</v>
      </c>
      <c r="S450" s="254">
        <v>233.34</v>
      </c>
      <c r="T450" s="204" t="s">
        <v>2897</v>
      </c>
      <c r="U450" s="1262" t="s">
        <v>2889</v>
      </c>
      <c r="V450" s="205">
        <v>116.67</v>
      </c>
      <c r="W450" s="1262" t="s">
        <v>2668</v>
      </c>
      <c r="X450" s="206">
        <v>116.67</v>
      </c>
      <c r="Y450" s="192"/>
    </row>
    <row r="451" ht="37.5" customHeight="1" spans="1:25">
      <c r="A451" s="192">
        <f t="shared" si="16"/>
        <v>444</v>
      </c>
      <c r="B451" s="208">
        <v>2022</v>
      </c>
      <c r="C451" s="193" t="s">
        <v>37</v>
      </c>
      <c r="D451" s="277" t="s">
        <v>3145</v>
      </c>
      <c r="E451" s="195" t="s">
        <v>3146</v>
      </c>
      <c r="F451" s="196" t="s">
        <v>2073</v>
      </c>
      <c r="G451" s="197" t="s">
        <v>2663</v>
      </c>
      <c r="H451" s="198">
        <v>0.8</v>
      </c>
      <c r="I451" s="199">
        <v>10480</v>
      </c>
      <c r="J451" s="200" t="s">
        <v>2095</v>
      </c>
      <c r="K451" s="200" t="s">
        <v>2096</v>
      </c>
      <c r="L451" s="201">
        <v>0.4</v>
      </c>
      <c r="M451" s="278" t="s">
        <v>3128</v>
      </c>
      <c r="N451" s="254">
        <v>2249.14</v>
      </c>
      <c r="O451" s="254">
        <v>2249.14</v>
      </c>
      <c r="P451" s="199">
        <f t="shared" si="17"/>
        <v>1799.312</v>
      </c>
      <c r="Q451" s="254">
        <v>1799.31</v>
      </c>
      <c r="R451" s="1262" t="s">
        <v>2896</v>
      </c>
      <c r="S451" s="254">
        <v>899.66</v>
      </c>
      <c r="T451" s="204" t="s">
        <v>2897</v>
      </c>
      <c r="U451" s="1262" t="s">
        <v>2889</v>
      </c>
      <c r="V451" s="205">
        <v>449.83</v>
      </c>
      <c r="W451" s="1262" t="s">
        <v>2668</v>
      </c>
      <c r="X451" s="206">
        <v>449.83</v>
      </c>
      <c r="Y451" s="192"/>
    </row>
    <row r="452" ht="37.5" customHeight="1" spans="1:25">
      <c r="A452" s="192">
        <f t="shared" si="16"/>
        <v>445</v>
      </c>
      <c r="B452" s="208">
        <v>2022</v>
      </c>
      <c r="C452" s="193" t="s">
        <v>37</v>
      </c>
      <c r="D452" s="277" t="s">
        <v>3147</v>
      </c>
      <c r="E452" s="195" t="s">
        <v>3148</v>
      </c>
      <c r="F452" s="196" t="s">
        <v>2073</v>
      </c>
      <c r="G452" s="197" t="s">
        <v>2663</v>
      </c>
      <c r="H452" s="198">
        <v>0.8</v>
      </c>
      <c r="I452" s="199">
        <v>106170</v>
      </c>
      <c r="J452" s="200" t="s">
        <v>2861</v>
      </c>
      <c r="K452" s="200" t="s">
        <v>2862</v>
      </c>
      <c r="L452" s="201">
        <v>0.4</v>
      </c>
      <c r="M452" s="278" t="s">
        <v>3110</v>
      </c>
      <c r="N452" s="254">
        <v>11250</v>
      </c>
      <c r="O452" s="254">
        <v>11250</v>
      </c>
      <c r="P452" s="199">
        <f t="shared" si="17"/>
        <v>9000</v>
      </c>
      <c r="Q452" s="254">
        <v>9000</v>
      </c>
      <c r="R452" s="1262" t="s">
        <v>2896</v>
      </c>
      <c r="S452" s="254">
        <v>4500</v>
      </c>
      <c r="T452" s="204" t="s">
        <v>2897</v>
      </c>
      <c r="U452" s="1262" t="s">
        <v>2889</v>
      </c>
      <c r="V452" s="205">
        <v>2250</v>
      </c>
      <c r="W452" s="1262" t="s">
        <v>2668</v>
      </c>
      <c r="X452" s="206">
        <v>2250</v>
      </c>
      <c r="Y452" s="192"/>
    </row>
    <row r="453" ht="37.5" customHeight="1" spans="1:25">
      <c r="A453" s="192">
        <f t="shared" si="16"/>
        <v>446</v>
      </c>
      <c r="B453" s="208">
        <v>2022</v>
      </c>
      <c r="C453" s="193" t="s">
        <v>37</v>
      </c>
      <c r="D453" s="277" t="s">
        <v>3149</v>
      </c>
      <c r="E453" s="195" t="s">
        <v>3150</v>
      </c>
      <c r="F453" s="196" t="s">
        <v>2073</v>
      </c>
      <c r="G453" s="197" t="s">
        <v>2663</v>
      </c>
      <c r="H453" s="198">
        <v>0.8</v>
      </c>
      <c r="I453" s="199">
        <v>90010</v>
      </c>
      <c r="J453" s="200" t="s">
        <v>1843</v>
      </c>
      <c r="K453" s="200" t="s">
        <v>2148</v>
      </c>
      <c r="L453" s="201">
        <v>0.4</v>
      </c>
      <c r="M453" s="278" t="s">
        <v>2916</v>
      </c>
      <c r="N453" s="254">
        <v>13050.11</v>
      </c>
      <c r="O453" s="254">
        <v>13050.11</v>
      </c>
      <c r="P453" s="199">
        <f t="shared" si="17"/>
        <v>10440.088</v>
      </c>
      <c r="Q453" s="254">
        <v>10440.09</v>
      </c>
      <c r="R453" s="1262" t="s">
        <v>2896</v>
      </c>
      <c r="S453" s="254">
        <v>5220.05</v>
      </c>
      <c r="T453" s="204" t="s">
        <v>2897</v>
      </c>
      <c r="U453" s="1262" t="s">
        <v>2889</v>
      </c>
      <c r="V453" s="205">
        <v>2610.02</v>
      </c>
      <c r="W453" s="1262" t="s">
        <v>2668</v>
      </c>
      <c r="X453" s="206">
        <v>2610.02</v>
      </c>
      <c r="Y453" s="192"/>
    </row>
    <row r="454" ht="37.5" customHeight="1" spans="1:25">
      <c r="A454" s="192">
        <f t="shared" si="16"/>
        <v>447</v>
      </c>
      <c r="B454" s="208">
        <v>2022</v>
      </c>
      <c r="C454" s="193" t="s">
        <v>37</v>
      </c>
      <c r="D454" s="277" t="s">
        <v>3151</v>
      </c>
      <c r="E454" s="195" t="s">
        <v>3152</v>
      </c>
      <c r="F454" s="196" t="s">
        <v>2073</v>
      </c>
      <c r="G454" s="197" t="s">
        <v>2663</v>
      </c>
      <c r="H454" s="198">
        <v>0.8</v>
      </c>
      <c r="I454" s="199">
        <v>110000</v>
      </c>
      <c r="J454" s="200" t="s">
        <v>2125</v>
      </c>
      <c r="K454" s="200" t="s">
        <v>2887</v>
      </c>
      <c r="L454" s="201">
        <v>0.4</v>
      </c>
      <c r="M454" s="278" t="s">
        <v>3128</v>
      </c>
      <c r="N454" s="254">
        <v>92500.01</v>
      </c>
      <c r="O454" s="254">
        <v>92500.01</v>
      </c>
      <c r="P454" s="199">
        <f t="shared" si="17"/>
        <v>74000.008</v>
      </c>
      <c r="Q454" s="254">
        <v>74000.01</v>
      </c>
      <c r="R454" s="1262" t="s">
        <v>2896</v>
      </c>
      <c r="S454" s="254">
        <v>37000.01</v>
      </c>
      <c r="T454" s="204" t="s">
        <v>2897</v>
      </c>
      <c r="U454" s="1262" t="s">
        <v>2889</v>
      </c>
      <c r="V454" s="205">
        <v>18500</v>
      </c>
      <c r="W454" s="1262" t="s">
        <v>2668</v>
      </c>
      <c r="X454" s="206">
        <v>18500</v>
      </c>
      <c r="Y454" s="192"/>
    </row>
    <row r="455" ht="37.5" customHeight="1" spans="1:25">
      <c r="A455" s="192">
        <f t="shared" si="16"/>
        <v>448</v>
      </c>
      <c r="B455" s="208">
        <v>2022</v>
      </c>
      <c r="C455" s="193" t="s">
        <v>37</v>
      </c>
      <c r="D455" s="277" t="s">
        <v>3151</v>
      </c>
      <c r="E455" s="195" t="s">
        <v>3153</v>
      </c>
      <c r="F455" s="196" t="s">
        <v>2073</v>
      </c>
      <c r="G455" s="197" t="s">
        <v>2663</v>
      </c>
      <c r="H455" s="198">
        <v>0.8</v>
      </c>
      <c r="I455" s="199">
        <v>150000</v>
      </c>
      <c r="J455" s="200" t="s">
        <v>2120</v>
      </c>
      <c r="K455" s="200" t="s">
        <v>2800</v>
      </c>
      <c r="L455" s="201">
        <v>0.4</v>
      </c>
      <c r="M455" s="278" t="s">
        <v>3128</v>
      </c>
      <c r="N455" s="254">
        <v>137500.01</v>
      </c>
      <c r="O455" s="254">
        <v>137500.01</v>
      </c>
      <c r="P455" s="199">
        <f t="shared" si="17"/>
        <v>110000.008</v>
      </c>
      <c r="Q455" s="254">
        <v>110000.01</v>
      </c>
      <c r="R455" s="1262" t="s">
        <v>2896</v>
      </c>
      <c r="S455" s="254">
        <v>55000.01</v>
      </c>
      <c r="T455" s="204" t="s">
        <v>2897</v>
      </c>
      <c r="U455" s="1262" t="s">
        <v>2889</v>
      </c>
      <c r="V455" s="205">
        <v>27500</v>
      </c>
      <c r="W455" s="1262" t="s">
        <v>2668</v>
      </c>
      <c r="X455" s="206">
        <v>27500</v>
      </c>
      <c r="Y455" s="192"/>
    </row>
    <row r="456" ht="37.5" customHeight="1" spans="1:25">
      <c r="A456" s="192">
        <f t="shared" si="16"/>
        <v>449</v>
      </c>
      <c r="B456" s="208">
        <v>2022</v>
      </c>
      <c r="C456" s="193" t="s">
        <v>37</v>
      </c>
      <c r="D456" s="277" t="s">
        <v>3154</v>
      </c>
      <c r="E456" s="195" t="s">
        <v>3155</v>
      </c>
      <c r="F456" s="196" t="s">
        <v>2073</v>
      </c>
      <c r="G456" s="197" t="s">
        <v>2663</v>
      </c>
      <c r="H456" s="198">
        <v>0.8</v>
      </c>
      <c r="I456" s="199">
        <v>60000</v>
      </c>
      <c r="J456" s="200" t="s">
        <v>2125</v>
      </c>
      <c r="K456" s="200" t="s">
        <v>2887</v>
      </c>
      <c r="L456" s="201">
        <v>0.4</v>
      </c>
      <c r="M456" s="278" t="s">
        <v>3156</v>
      </c>
      <c r="N456" s="254">
        <v>50000</v>
      </c>
      <c r="O456" s="254">
        <v>50000</v>
      </c>
      <c r="P456" s="199">
        <f t="shared" si="17"/>
        <v>40000</v>
      </c>
      <c r="Q456" s="254">
        <v>40000</v>
      </c>
      <c r="R456" s="1262" t="s">
        <v>2896</v>
      </c>
      <c r="S456" s="254">
        <v>20000</v>
      </c>
      <c r="T456" s="204" t="s">
        <v>2897</v>
      </c>
      <c r="U456" s="1262" t="s">
        <v>2889</v>
      </c>
      <c r="V456" s="205">
        <v>10000</v>
      </c>
      <c r="W456" s="1262" t="s">
        <v>2668</v>
      </c>
      <c r="X456" s="206">
        <v>10000</v>
      </c>
      <c r="Y456" s="192"/>
    </row>
    <row r="457" ht="37.5" customHeight="1" spans="1:25">
      <c r="A457" s="192">
        <f t="shared" si="16"/>
        <v>450</v>
      </c>
      <c r="B457" s="208">
        <v>2022</v>
      </c>
      <c r="C457" s="193" t="s">
        <v>37</v>
      </c>
      <c r="D457" s="277" t="s">
        <v>3154</v>
      </c>
      <c r="E457" s="195" t="s">
        <v>3157</v>
      </c>
      <c r="F457" s="196" t="s">
        <v>2073</v>
      </c>
      <c r="G457" s="197" t="s">
        <v>2663</v>
      </c>
      <c r="H457" s="198">
        <v>0.8</v>
      </c>
      <c r="I457" s="199">
        <v>25039</v>
      </c>
      <c r="J457" s="200" t="s">
        <v>1933</v>
      </c>
      <c r="K457" s="200" t="s">
        <v>3158</v>
      </c>
      <c r="L457" s="201">
        <v>0.4</v>
      </c>
      <c r="M457" s="278" t="s">
        <v>3159</v>
      </c>
      <c r="N457" s="254">
        <v>20865.84</v>
      </c>
      <c r="O457" s="254">
        <v>20865.84</v>
      </c>
      <c r="P457" s="199">
        <f t="shared" si="17"/>
        <v>16692.672</v>
      </c>
      <c r="Q457" s="254">
        <v>16692.67</v>
      </c>
      <c r="R457" s="1262" t="s">
        <v>2896</v>
      </c>
      <c r="S457" s="254">
        <v>8346.34</v>
      </c>
      <c r="T457" s="204" t="s">
        <v>2897</v>
      </c>
      <c r="U457" s="1262" t="s">
        <v>2889</v>
      </c>
      <c r="V457" s="205">
        <v>4173.17</v>
      </c>
      <c r="W457" s="1262" t="s">
        <v>2668</v>
      </c>
      <c r="X457" s="206">
        <v>4173.17</v>
      </c>
      <c r="Y457" s="192"/>
    </row>
    <row r="458" ht="37.5" customHeight="1" spans="1:25">
      <c r="A458" s="192">
        <f t="shared" si="16"/>
        <v>451</v>
      </c>
      <c r="B458" s="208">
        <v>2022</v>
      </c>
      <c r="C458" s="193" t="s">
        <v>37</v>
      </c>
      <c r="D458" s="277" t="s">
        <v>3160</v>
      </c>
      <c r="E458" s="195" t="s">
        <v>3161</v>
      </c>
      <c r="F458" s="196" t="s">
        <v>2073</v>
      </c>
      <c r="G458" s="197" t="s">
        <v>2663</v>
      </c>
      <c r="H458" s="198">
        <v>0.8</v>
      </c>
      <c r="I458" s="199">
        <v>17943.55</v>
      </c>
      <c r="J458" s="200" t="s">
        <v>1946</v>
      </c>
      <c r="K458" s="200" t="s">
        <v>3068</v>
      </c>
      <c r="L458" s="201">
        <v>0.4</v>
      </c>
      <c r="M458" s="278" t="s">
        <v>2944</v>
      </c>
      <c r="N458" s="254">
        <v>2500</v>
      </c>
      <c r="O458" s="254">
        <v>2500</v>
      </c>
      <c r="P458" s="199">
        <f t="shared" si="17"/>
        <v>2000</v>
      </c>
      <c r="Q458" s="254">
        <v>2000</v>
      </c>
      <c r="R458" s="1262" t="s">
        <v>2896</v>
      </c>
      <c r="S458" s="254">
        <v>1000</v>
      </c>
      <c r="T458" s="204" t="s">
        <v>2897</v>
      </c>
      <c r="U458" s="1262" t="s">
        <v>2889</v>
      </c>
      <c r="V458" s="205">
        <v>500</v>
      </c>
      <c r="W458" s="1262" t="s">
        <v>2668</v>
      </c>
      <c r="X458" s="206">
        <v>500</v>
      </c>
      <c r="Y458" s="192"/>
    </row>
    <row r="459" ht="37.5" customHeight="1" spans="1:25">
      <c r="A459" s="192">
        <f t="shared" si="16"/>
        <v>452</v>
      </c>
      <c r="B459" s="208">
        <v>2022</v>
      </c>
      <c r="C459" s="193" t="s">
        <v>37</v>
      </c>
      <c r="D459" s="277" t="s">
        <v>3162</v>
      </c>
      <c r="E459" s="195" t="s">
        <v>3163</v>
      </c>
      <c r="F459" s="196" t="s">
        <v>2073</v>
      </c>
      <c r="G459" s="197" t="s">
        <v>2663</v>
      </c>
      <c r="H459" s="198">
        <v>0.8</v>
      </c>
      <c r="I459" s="199">
        <v>16008.33</v>
      </c>
      <c r="J459" s="200" t="s">
        <v>3164</v>
      </c>
      <c r="K459" s="200" t="s">
        <v>3165</v>
      </c>
      <c r="L459" s="201">
        <v>0.4</v>
      </c>
      <c r="M459" s="278" t="s">
        <v>2750</v>
      </c>
      <c r="N459" s="254">
        <v>1166.68</v>
      </c>
      <c r="O459" s="254">
        <v>1166.68</v>
      </c>
      <c r="P459" s="199">
        <f t="shared" si="17"/>
        <v>933.344</v>
      </c>
      <c r="Q459" s="254">
        <v>933.34</v>
      </c>
      <c r="R459" s="1262" t="s">
        <v>2896</v>
      </c>
      <c r="S459" s="254">
        <v>466.67</v>
      </c>
      <c r="T459" s="204" t="s">
        <v>2897</v>
      </c>
      <c r="U459" s="1262" t="s">
        <v>2889</v>
      </c>
      <c r="V459" s="205">
        <v>233.34</v>
      </c>
      <c r="W459" s="1262" t="s">
        <v>2668</v>
      </c>
      <c r="X459" s="206">
        <v>233.34</v>
      </c>
      <c r="Y459" s="192"/>
    </row>
    <row r="460" ht="37.5" customHeight="1" spans="1:25">
      <c r="A460" s="192">
        <f t="shared" si="16"/>
        <v>453</v>
      </c>
      <c r="B460" s="208">
        <v>2022</v>
      </c>
      <c r="C460" s="193" t="s">
        <v>37</v>
      </c>
      <c r="D460" s="277" t="s">
        <v>3162</v>
      </c>
      <c r="E460" s="195" t="s">
        <v>3166</v>
      </c>
      <c r="F460" s="196" t="s">
        <v>2073</v>
      </c>
      <c r="G460" s="197" t="s">
        <v>2663</v>
      </c>
      <c r="H460" s="198">
        <v>0.8</v>
      </c>
      <c r="I460" s="199">
        <v>12000</v>
      </c>
      <c r="J460" s="200" t="s">
        <v>3010</v>
      </c>
      <c r="K460" s="200" t="s">
        <v>2373</v>
      </c>
      <c r="L460" s="201">
        <v>0.4</v>
      </c>
      <c r="M460" s="278" t="s">
        <v>2750</v>
      </c>
      <c r="N460" s="254">
        <v>250</v>
      </c>
      <c r="O460" s="254">
        <v>250</v>
      </c>
      <c r="P460" s="199">
        <f t="shared" si="17"/>
        <v>200</v>
      </c>
      <c r="Q460" s="254">
        <v>200</v>
      </c>
      <c r="R460" s="1262" t="s">
        <v>2896</v>
      </c>
      <c r="S460" s="254">
        <v>100</v>
      </c>
      <c r="T460" s="204" t="s">
        <v>2897</v>
      </c>
      <c r="U460" s="1262" t="s">
        <v>2889</v>
      </c>
      <c r="V460" s="205">
        <v>50</v>
      </c>
      <c r="W460" s="1262" t="s">
        <v>2668</v>
      </c>
      <c r="X460" s="206">
        <v>50</v>
      </c>
      <c r="Y460" s="192"/>
    </row>
    <row r="461" ht="37.5" customHeight="1" spans="1:25">
      <c r="A461" s="192">
        <f t="shared" si="16"/>
        <v>454</v>
      </c>
      <c r="B461" s="208">
        <v>2022</v>
      </c>
      <c r="C461" s="193" t="s">
        <v>37</v>
      </c>
      <c r="D461" s="277" t="s">
        <v>3167</v>
      </c>
      <c r="E461" s="195" t="s">
        <v>3168</v>
      </c>
      <c r="F461" s="196" t="s">
        <v>2073</v>
      </c>
      <c r="G461" s="197" t="s">
        <v>2663</v>
      </c>
      <c r="H461" s="198">
        <v>0.8</v>
      </c>
      <c r="I461" s="199">
        <v>70000</v>
      </c>
      <c r="J461" s="200" t="s">
        <v>1874</v>
      </c>
      <c r="K461" s="200" t="s">
        <v>3169</v>
      </c>
      <c r="L461" s="201">
        <v>0.4</v>
      </c>
      <c r="M461" s="278" t="s">
        <v>2932</v>
      </c>
      <c r="N461" s="254">
        <v>5871.78</v>
      </c>
      <c r="O461" s="254">
        <v>5871.78</v>
      </c>
      <c r="P461" s="199">
        <f t="shared" si="17"/>
        <v>4697.424</v>
      </c>
      <c r="Q461" s="254">
        <v>4697.42</v>
      </c>
      <c r="R461" s="1262" t="s">
        <v>2896</v>
      </c>
      <c r="S461" s="254">
        <v>2348.71</v>
      </c>
      <c r="T461" s="204" t="s">
        <v>2897</v>
      </c>
      <c r="U461" s="1262" t="s">
        <v>2889</v>
      </c>
      <c r="V461" s="205">
        <v>1174.36</v>
      </c>
      <c r="W461" s="1262" t="s">
        <v>2668</v>
      </c>
      <c r="X461" s="206">
        <v>1174.36</v>
      </c>
      <c r="Y461" s="192"/>
    </row>
    <row r="462" ht="37.5" customHeight="1" spans="1:25">
      <c r="A462" s="192">
        <f t="shared" si="16"/>
        <v>455</v>
      </c>
      <c r="B462" s="208">
        <v>2022</v>
      </c>
      <c r="C462" s="193" t="s">
        <v>37</v>
      </c>
      <c r="D462" s="277" t="s">
        <v>3170</v>
      </c>
      <c r="E462" s="195" t="s">
        <v>3171</v>
      </c>
      <c r="F462" s="196" t="s">
        <v>2073</v>
      </c>
      <c r="G462" s="197" t="s">
        <v>2663</v>
      </c>
      <c r="H462" s="198">
        <v>0.8</v>
      </c>
      <c r="I462" s="199">
        <v>130500</v>
      </c>
      <c r="J462" s="200" t="s">
        <v>2394</v>
      </c>
      <c r="K462" s="200" t="s">
        <v>2850</v>
      </c>
      <c r="L462" s="201">
        <v>0.4</v>
      </c>
      <c r="M462" s="278" t="s">
        <v>2916</v>
      </c>
      <c r="N462" s="254">
        <v>12500</v>
      </c>
      <c r="O462" s="254">
        <v>12500</v>
      </c>
      <c r="P462" s="199">
        <f t="shared" si="17"/>
        <v>10000</v>
      </c>
      <c r="Q462" s="254">
        <v>10000</v>
      </c>
      <c r="R462" s="1262" t="s">
        <v>2896</v>
      </c>
      <c r="S462" s="254">
        <v>5000</v>
      </c>
      <c r="T462" s="204" t="s">
        <v>2897</v>
      </c>
      <c r="U462" s="1262" t="s">
        <v>2889</v>
      </c>
      <c r="V462" s="205">
        <v>2500</v>
      </c>
      <c r="W462" s="1262" t="s">
        <v>2668</v>
      </c>
      <c r="X462" s="206">
        <v>2500</v>
      </c>
      <c r="Y462" s="192"/>
    </row>
    <row r="463" ht="37.5" customHeight="1" spans="1:25">
      <c r="A463" s="192">
        <f t="shared" si="16"/>
        <v>456</v>
      </c>
      <c r="B463" s="208">
        <v>2022</v>
      </c>
      <c r="C463" s="193" t="s">
        <v>37</v>
      </c>
      <c r="D463" s="277" t="s">
        <v>3172</v>
      </c>
      <c r="E463" s="195" t="s">
        <v>3173</v>
      </c>
      <c r="F463" s="196" t="s">
        <v>2073</v>
      </c>
      <c r="G463" s="197" t="s">
        <v>2663</v>
      </c>
      <c r="H463" s="198">
        <v>0.8</v>
      </c>
      <c r="I463" s="199">
        <v>16000</v>
      </c>
      <c r="J463" s="200" t="s">
        <v>1969</v>
      </c>
      <c r="K463" s="200" t="s">
        <v>2480</v>
      </c>
      <c r="L463" s="201">
        <v>0.4</v>
      </c>
      <c r="M463" s="278" t="s">
        <v>2823</v>
      </c>
      <c r="N463" s="254">
        <v>3583.43</v>
      </c>
      <c r="O463" s="254">
        <v>3583.43</v>
      </c>
      <c r="P463" s="199">
        <f t="shared" si="17"/>
        <v>2866.744</v>
      </c>
      <c r="Q463" s="254">
        <v>2866.74</v>
      </c>
      <c r="R463" s="1262" t="s">
        <v>2896</v>
      </c>
      <c r="S463" s="254">
        <v>1433.37</v>
      </c>
      <c r="T463" s="204" t="s">
        <v>2897</v>
      </c>
      <c r="U463" s="1262" t="s">
        <v>2889</v>
      </c>
      <c r="V463" s="205">
        <v>716.69</v>
      </c>
      <c r="W463" s="1262" t="s">
        <v>2668</v>
      </c>
      <c r="X463" s="206">
        <v>716.69</v>
      </c>
      <c r="Y463" s="192"/>
    </row>
    <row r="464" ht="37.5" customHeight="1" spans="1:25">
      <c r="A464" s="192">
        <f t="shared" si="16"/>
        <v>457</v>
      </c>
      <c r="B464" s="208">
        <v>2022</v>
      </c>
      <c r="C464" s="193" t="s">
        <v>37</v>
      </c>
      <c r="D464" s="277" t="s">
        <v>3174</v>
      </c>
      <c r="E464" s="195" t="s">
        <v>3175</v>
      </c>
      <c r="F464" s="196" t="s">
        <v>2073</v>
      </c>
      <c r="G464" s="197" t="s">
        <v>2663</v>
      </c>
      <c r="H464" s="198">
        <v>0.8</v>
      </c>
      <c r="I464" s="199">
        <v>43000</v>
      </c>
      <c r="J464" s="200" t="s">
        <v>2272</v>
      </c>
      <c r="K464" s="200" t="s">
        <v>2273</v>
      </c>
      <c r="L464" s="201">
        <v>0.4</v>
      </c>
      <c r="M464" s="278" t="s">
        <v>3176</v>
      </c>
      <c r="N464" s="254">
        <v>3250</v>
      </c>
      <c r="O464" s="254">
        <v>3250</v>
      </c>
      <c r="P464" s="199">
        <f t="shared" si="17"/>
        <v>2600</v>
      </c>
      <c r="Q464" s="254">
        <v>2600</v>
      </c>
      <c r="R464" s="1262" t="s">
        <v>2896</v>
      </c>
      <c r="S464" s="254">
        <v>1300</v>
      </c>
      <c r="T464" s="204" t="s">
        <v>2897</v>
      </c>
      <c r="U464" s="1262" t="s">
        <v>2889</v>
      </c>
      <c r="V464" s="205">
        <v>650</v>
      </c>
      <c r="W464" s="1262" t="s">
        <v>2668</v>
      </c>
      <c r="X464" s="206">
        <v>650</v>
      </c>
      <c r="Y464" s="192"/>
    </row>
    <row r="465" ht="37.5" customHeight="1" spans="1:25">
      <c r="A465" s="192">
        <f t="shared" si="16"/>
        <v>458</v>
      </c>
      <c r="B465" s="208">
        <v>2022</v>
      </c>
      <c r="C465" s="193" t="s">
        <v>37</v>
      </c>
      <c r="D465" s="277" t="s">
        <v>3177</v>
      </c>
      <c r="E465" s="195" t="s">
        <v>3178</v>
      </c>
      <c r="F465" s="196" t="s">
        <v>2073</v>
      </c>
      <c r="G465" s="197" t="s">
        <v>2663</v>
      </c>
      <c r="H465" s="198">
        <v>0.8</v>
      </c>
      <c r="I465" s="199">
        <v>16000</v>
      </c>
      <c r="J465" s="200" t="s">
        <v>2125</v>
      </c>
      <c r="K465" s="200" t="s">
        <v>2887</v>
      </c>
      <c r="L465" s="201">
        <v>0.4</v>
      </c>
      <c r="M465" s="278" t="s">
        <v>2823</v>
      </c>
      <c r="N465" s="254">
        <v>13333.34</v>
      </c>
      <c r="O465" s="254">
        <v>13333.34</v>
      </c>
      <c r="P465" s="199">
        <f t="shared" si="17"/>
        <v>10666.672</v>
      </c>
      <c r="Q465" s="254">
        <v>10666.67</v>
      </c>
      <c r="R465" s="1262" t="s">
        <v>2896</v>
      </c>
      <c r="S465" s="254">
        <v>5333.34</v>
      </c>
      <c r="T465" s="204" t="s">
        <v>2897</v>
      </c>
      <c r="U465" s="1262" t="s">
        <v>2889</v>
      </c>
      <c r="V465" s="205">
        <v>2666.67</v>
      </c>
      <c r="W465" s="1262" t="s">
        <v>2668</v>
      </c>
      <c r="X465" s="206">
        <v>2666.67</v>
      </c>
      <c r="Y465" s="192"/>
    </row>
    <row r="466" ht="37.5" customHeight="1" spans="1:25">
      <c r="A466" s="192">
        <f t="shared" si="16"/>
        <v>459</v>
      </c>
      <c r="B466" s="208">
        <v>2022</v>
      </c>
      <c r="C466" s="193" t="s">
        <v>37</v>
      </c>
      <c r="D466" s="277" t="s">
        <v>3179</v>
      </c>
      <c r="E466" s="195" t="s">
        <v>3180</v>
      </c>
      <c r="F466" s="196" t="s">
        <v>2073</v>
      </c>
      <c r="G466" s="197" t="s">
        <v>2663</v>
      </c>
      <c r="H466" s="198">
        <v>0.8</v>
      </c>
      <c r="I466" s="199">
        <v>43040</v>
      </c>
      <c r="J466" s="200" t="s">
        <v>2079</v>
      </c>
      <c r="K466" s="200" t="s">
        <v>2080</v>
      </c>
      <c r="L466" s="201">
        <v>0.4</v>
      </c>
      <c r="M466" s="278" t="s">
        <v>3041</v>
      </c>
      <c r="N466" s="254">
        <v>2265</v>
      </c>
      <c r="O466" s="254">
        <v>2265</v>
      </c>
      <c r="P466" s="199">
        <f t="shared" si="17"/>
        <v>1812</v>
      </c>
      <c r="Q466" s="254">
        <v>1812</v>
      </c>
      <c r="R466" s="1262" t="s">
        <v>2896</v>
      </c>
      <c r="S466" s="254">
        <v>906</v>
      </c>
      <c r="T466" s="204" t="s">
        <v>2897</v>
      </c>
      <c r="U466" s="1262" t="s">
        <v>2889</v>
      </c>
      <c r="V466" s="205">
        <v>453</v>
      </c>
      <c r="W466" s="1262" t="s">
        <v>2668</v>
      </c>
      <c r="X466" s="206">
        <v>453</v>
      </c>
      <c r="Y466" s="192"/>
    </row>
    <row r="467" ht="37.5" customHeight="1" spans="1:25">
      <c r="A467" s="192">
        <f t="shared" si="16"/>
        <v>460</v>
      </c>
      <c r="B467" s="208">
        <v>2022</v>
      </c>
      <c r="C467" s="193" t="s">
        <v>37</v>
      </c>
      <c r="D467" s="277" t="s">
        <v>3181</v>
      </c>
      <c r="E467" s="195" t="s">
        <v>3182</v>
      </c>
      <c r="F467" s="196" t="s">
        <v>2073</v>
      </c>
      <c r="G467" s="197" t="s">
        <v>2663</v>
      </c>
      <c r="H467" s="198">
        <v>0.8</v>
      </c>
      <c r="I467" s="199">
        <v>150000</v>
      </c>
      <c r="J467" s="200" t="s">
        <v>1945</v>
      </c>
      <c r="K467" s="200" t="s">
        <v>2648</v>
      </c>
      <c r="L467" s="201">
        <v>0.4</v>
      </c>
      <c r="M467" s="278" t="s">
        <v>2888</v>
      </c>
      <c r="N467" s="254">
        <v>3066.68</v>
      </c>
      <c r="O467" s="254">
        <v>3066.68</v>
      </c>
      <c r="P467" s="199">
        <f t="shared" si="17"/>
        <v>2453.344</v>
      </c>
      <c r="Q467" s="254">
        <v>2453.34</v>
      </c>
      <c r="R467" s="1262" t="s">
        <v>2896</v>
      </c>
      <c r="S467" s="254">
        <v>1226.67</v>
      </c>
      <c r="T467" s="204" t="s">
        <v>2897</v>
      </c>
      <c r="U467" s="1262" t="s">
        <v>2889</v>
      </c>
      <c r="V467" s="205">
        <v>613.34</v>
      </c>
      <c r="W467" s="1262" t="s">
        <v>2668</v>
      </c>
      <c r="X467" s="206">
        <v>613.34</v>
      </c>
      <c r="Y467" s="192"/>
    </row>
    <row r="468" ht="37.5" customHeight="1" spans="1:25">
      <c r="A468" s="192">
        <f t="shared" si="16"/>
        <v>461</v>
      </c>
      <c r="B468" s="208">
        <v>2022</v>
      </c>
      <c r="C468" s="193" t="s">
        <v>37</v>
      </c>
      <c r="D468" s="277" t="s">
        <v>3183</v>
      </c>
      <c r="E468" s="195" t="s">
        <v>3184</v>
      </c>
      <c r="F468" s="196" t="s">
        <v>2073</v>
      </c>
      <c r="G468" s="197" t="s">
        <v>2663</v>
      </c>
      <c r="H468" s="198">
        <v>0.8</v>
      </c>
      <c r="I468" s="199">
        <v>104000</v>
      </c>
      <c r="J468" s="200" t="s">
        <v>1951</v>
      </c>
      <c r="K468" s="200" t="s">
        <v>2238</v>
      </c>
      <c r="L468" s="201">
        <v>0.4</v>
      </c>
      <c r="M468" s="278" t="s">
        <v>3041</v>
      </c>
      <c r="N468" s="254">
        <v>54245.6</v>
      </c>
      <c r="O468" s="254">
        <v>54245.6</v>
      </c>
      <c r="P468" s="199">
        <f t="shared" si="17"/>
        <v>43396.48</v>
      </c>
      <c r="Q468" s="254">
        <v>43396.48</v>
      </c>
      <c r="R468" s="1262" t="s">
        <v>2896</v>
      </c>
      <c r="S468" s="254">
        <v>21698.24</v>
      </c>
      <c r="T468" s="204" t="s">
        <v>2897</v>
      </c>
      <c r="U468" s="1262" t="s">
        <v>2889</v>
      </c>
      <c r="V468" s="205">
        <v>10849.12</v>
      </c>
      <c r="W468" s="1262" t="s">
        <v>2668</v>
      </c>
      <c r="X468" s="206">
        <v>10849.12</v>
      </c>
      <c r="Y468" s="192"/>
    </row>
    <row r="469" ht="37.5" customHeight="1" spans="1:25">
      <c r="A469" s="192">
        <f t="shared" si="16"/>
        <v>462</v>
      </c>
      <c r="B469" s="208">
        <v>2022</v>
      </c>
      <c r="C469" s="193" t="s">
        <v>37</v>
      </c>
      <c r="D469" s="277" t="s">
        <v>3185</v>
      </c>
      <c r="E469" s="195" t="s">
        <v>3186</v>
      </c>
      <c r="F469" s="196" t="s">
        <v>2073</v>
      </c>
      <c r="G469" s="197" t="s">
        <v>2663</v>
      </c>
      <c r="H469" s="198">
        <v>0.8</v>
      </c>
      <c r="I469" s="199">
        <v>14701.06</v>
      </c>
      <c r="J469" s="200" t="s">
        <v>1950</v>
      </c>
      <c r="K469" s="200" t="s">
        <v>2755</v>
      </c>
      <c r="L469" s="201">
        <v>0.4</v>
      </c>
      <c r="M469" s="278" t="s">
        <v>2870</v>
      </c>
      <c r="N469" s="254">
        <v>1666.68</v>
      </c>
      <c r="O469" s="254">
        <v>1666.68</v>
      </c>
      <c r="P469" s="199">
        <f t="shared" si="17"/>
        <v>1333.344</v>
      </c>
      <c r="Q469" s="254">
        <v>1333.34</v>
      </c>
      <c r="R469" s="1262" t="s">
        <v>2896</v>
      </c>
      <c r="S469" s="254">
        <v>666.67</v>
      </c>
      <c r="T469" s="204" t="s">
        <v>2897</v>
      </c>
      <c r="U469" s="1262" t="s">
        <v>2889</v>
      </c>
      <c r="V469" s="205">
        <v>333.34</v>
      </c>
      <c r="W469" s="1262" t="s">
        <v>2668</v>
      </c>
      <c r="X469" s="206">
        <v>333.34</v>
      </c>
      <c r="Y469" s="192"/>
    </row>
    <row r="470" ht="37.5" customHeight="1" spans="1:25">
      <c r="A470" s="192">
        <f t="shared" si="16"/>
        <v>463</v>
      </c>
      <c r="B470" s="208">
        <v>2022</v>
      </c>
      <c r="C470" s="193" t="s">
        <v>37</v>
      </c>
      <c r="D470" s="277" t="s">
        <v>3185</v>
      </c>
      <c r="E470" s="195" t="s">
        <v>3187</v>
      </c>
      <c r="F470" s="196" t="s">
        <v>2073</v>
      </c>
      <c r="G470" s="197" t="s">
        <v>2663</v>
      </c>
      <c r="H470" s="198">
        <v>0.8</v>
      </c>
      <c r="I470" s="199">
        <v>60000</v>
      </c>
      <c r="J470" s="200" t="s">
        <v>1957</v>
      </c>
      <c r="K470" s="200" t="s">
        <v>2260</v>
      </c>
      <c r="L470" s="201">
        <v>0.4</v>
      </c>
      <c r="M470" s="278" t="s">
        <v>2870</v>
      </c>
      <c r="N470" s="254">
        <v>17450.05</v>
      </c>
      <c r="O470" s="254">
        <v>17450.05</v>
      </c>
      <c r="P470" s="199">
        <f t="shared" si="17"/>
        <v>13960.04</v>
      </c>
      <c r="Q470" s="254">
        <v>13960.04</v>
      </c>
      <c r="R470" s="1262" t="s">
        <v>2896</v>
      </c>
      <c r="S470" s="254">
        <v>6980.02</v>
      </c>
      <c r="T470" s="204" t="s">
        <v>2897</v>
      </c>
      <c r="U470" s="1262" t="s">
        <v>2889</v>
      </c>
      <c r="V470" s="205">
        <v>3490.01</v>
      </c>
      <c r="W470" s="1262" t="s">
        <v>2668</v>
      </c>
      <c r="X470" s="206">
        <v>3490.01</v>
      </c>
      <c r="Y470" s="192"/>
    </row>
    <row r="471" ht="37.5" customHeight="1" spans="1:25">
      <c r="A471" s="192">
        <f t="shared" si="16"/>
        <v>464</v>
      </c>
      <c r="B471" s="208">
        <v>2022</v>
      </c>
      <c r="C471" s="193" t="s">
        <v>37</v>
      </c>
      <c r="D471" s="277" t="s">
        <v>3188</v>
      </c>
      <c r="E471" s="195" t="s">
        <v>3189</v>
      </c>
      <c r="F471" s="196" t="s">
        <v>2073</v>
      </c>
      <c r="G471" s="197" t="s">
        <v>2663</v>
      </c>
      <c r="H471" s="198">
        <v>0.8</v>
      </c>
      <c r="I471" s="199">
        <v>25010</v>
      </c>
      <c r="J471" s="200" t="s">
        <v>2776</v>
      </c>
      <c r="K471" s="200" t="s">
        <v>2777</v>
      </c>
      <c r="L471" s="201">
        <v>0.4</v>
      </c>
      <c r="M471" s="278" t="s">
        <v>2906</v>
      </c>
      <c r="N471" s="254">
        <v>12505.01</v>
      </c>
      <c r="O471" s="254">
        <v>12505.01</v>
      </c>
      <c r="P471" s="199">
        <f t="shared" si="17"/>
        <v>10004.008</v>
      </c>
      <c r="Q471" s="254">
        <v>10004.01</v>
      </c>
      <c r="R471" s="1262" t="s">
        <v>2896</v>
      </c>
      <c r="S471" s="254">
        <v>5002.01</v>
      </c>
      <c r="T471" s="204" t="s">
        <v>2897</v>
      </c>
      <c r="U471" s="1262" t="s">
        <v>2889</v>
      </c>
      <c r="V471" s="205">
        <v>2501</v>
      </c>
      <c r="W471" s="1262" t="s">
        <v>2668</v>
      </c>
      <c r="X471" s="206">
        <v>2501</v>
      </c>
      <c r="Y471" s="192"/>
    </row>
    <row r="472" s="80" customFormat="1" ht="37.5" customHeight="1" spans="1:25">
      <c r="A472" s="138">
        <f t="shared" si="16"/>
        <v>465</v>
      </c>
      <c r="B472" s="139">
        <v>2022</v>
      </c>
      <c r="C472" s="189" t="s">
        <v>37</v>
      </c>
      <c r="D472" s="279" t="s">
        <v>3190</v>
      </c>
      <c r="E472" s="190" t="s">
        <v>3191</v>
      </c>
      <c r="F472" s="142" t="s">
        <v>3192</v>
      </c>
      <c r="G472" s="143" t="s">
        <v>3193</v>
      </c>
      <c r="H472" s="144">
        <v>0.8</v>
      </c>
      <c r="I472" s="145">
        <v>10000</v>
      </c>
      <c r="J472" s="185" t="s">
        <v>2001</v>
      </c>
      <c r="K472" s="185" t="s">
        <v>3194</v>
      </c>
      <c r="L472" s="147">
        <v>0.4</v>
      </c>
      <c r="M472" s="280" t="s">
        <v>2951</v>
      </c>
      <c r="N472" s="276">
        <v>9583.33</v>
      </c>
      <c r="O472" s="276">
        <v>9583.33</v>
      </c>
      <c r="P472" s="145">
        <f t="shared" si="17"/>
        <v>7666.664</v>
      </c>
      <c r="Q472" s="276">
        <v>7666.66</v>
      </c>
      <c r="R472" s="1260" t="s">
        <v>2896</v>
      </c>
      <c r="S472" s="276">
        <v>3833.33</v>
      </c>
      <c r="T472" s="150" t="s">
        <v>2897</v>
      </c>
      <c r="U472" s="1260" t="s">
        <v>2889</v>
      </c>
      <c r="V472" s="186">
        <v>1916.67</v>
      </c>
      <c r="W472" s="1260" t="s">
        <v>2668</v>
      </c>
      <c r="X472" s="153">
        <v>1916.67</v>
      </c>
      <c r="Y472" s="138"/>
    </row>
    <row r="473" s="80" customFormat="1" ht="37.5" customHeight="1" spans="1:25">
      <c r="A473" s="138">
        <f t="shared" si="16"/>
        <v>466</v>
      </c>
      <c r="B473" s="139">
        <v>2022</v>
      </c>
      <c r="C473" s="189" t="s">
        <v>37</v>
      </c>
      <c r="D473" s="279" t="s">
        <v>3190</v>
      </c>
      <c r="E473" s="190" t="s">
        <v>3195</v>
      </c>
      <c r="F473" s="142" t="s">
        <v>3192</v>
      </c>
      <c r="G473" s="143" t="s">
        <v>3193</v>
      </c>
      <c r="H473" s="144">
        <v>0.8</v>
      </c>
      <c r="I473" s="145">
        <v>20000</v>
      </c>
      <c r="J473" s="185" t="s">
        <v>2001</v>
      </c>
      <c r="K473" s="185" t="s">
        <v>3194</v>
      </c>
      <c r="L473" s="147">
        <v>0.4</v>
      </c>
      <c r="M473" s="280" t="s">
        <v>2951</v>
      </c>
      <c r="N473" s="276">
        <v>19166.67</v>
      </c>
      <c r="O473" s="276">
        <v>19166.67</v>
      </c>
      <c r="P473" s="145">
        <f t="shared" si="17"/>
        <v>15333.336</v>
      </c>
      <c r="Q473" s="276">
        <v>15333.34</v>
      </c>
      <c r="R473" s="1260" t="s">
        <v>2896</v>
      </c>
      <c r="S473" s="276">
        <v>7666.67</v>
      </c>
      <c r="T473" s="150" t="s">
        <v>2897</v>
      </c>
      <c r="U473" s="1260" t="s">
        <v>2889</v>
      </c>
      <c r="V473" s="186">
        <v>3833.34</v>
      </c>
      <c r="W473" s="1260" t="s">
        <v>2668</v>
      </c>
      <c r="X473" s="153">
        <v>3833.33</v>
      </c>
      <c r="Y473" s="138"/>
    </row>
    <row r="474" s="80" customFormat="1" ht="37.5" customHeight="1" spans="1:25">
      <c r="A474" s="138">
        <f t="shared" si="16"/>
        <v>467</v>
      </c>
      <c r="B474" s="139">
        <v>2022</v>
      </c>
      <c r="C474" s="189" t="s">
        <v>28</v>
      </c>
      <c r="D474" s="279" t="s">
        <v>3196</v>
      </c>
      <c r="E474" s="190" t="s">
        <v>3197</v>
      </c>
      <c r="F474" s="142" t="s">
        <v>1909</v>
      </c>
      <c r="G474" s="143" t="s">
        <v>1610</v>
      </c>
      <c r="H474" s="144">
        <v>1</v>
      </c>
      <c r="I474" s="145">
        <v>200000</v>
      </c>
      <c r="J474" s="1258" t="s">
        <v>3198</v>
      </c>
      <c r="K474" s="1258" t="s">
        <v>3012</v>
      </c>
      <c r="L474" s="147">
        <v>0.4</v>
      </c>
      <c r="M474" s="1276" t="s">
        <v>2979</v>
      </c>
      <c r="N474" s="276">
        <v>201395</v>
      </c>
      <c r="O474" s="276">
        <v>200000</v>
      </c>
      <c r="P474" s="276">
        <v>200000</v>
      </c>
      <c r="Q474" s="276">
        <v>201395</v>
      </c>
      <c r="R474" s="1260" t="s">
        <v>2897</v>
      </c>
      <c r="S474" s="276">
        <v>80558</v>
      </c>
      <c r="T474" s="150" t="s">
        <v>3199</v>
      </c>
      <c r="U474" s="1260" t="s">
        <v>3200</v>
      </c>
      <c r="V474" s="186">
        <v>40000</v>
      </c>
      <c r="W474" s="1260" t="s">
        <v>2063</v>
      </c>
      <c r="X474" s="191">
        <v>400000</v>
      </c>
      <c r="Y474" s="138"/>
    </row>
    <row r="475" s="80" customFormat="1" ht="37.5" customHeight="1" spans="1:25">
      <c r="A475" s="139">
        <f t="shared" si="16"/>
        <v>468</v>
      </c>
      <c r="B475" s="139">
        <v>2022</v>
      </c>
      <c r="C475" s="281" t="s">
        <v>28</v>
      </c>
      <c r="D475" s="282" t="s">
        <v>3201</v>
      </c>
      <c r="E475" s="283" t="s">
        <v>3202</v>
      </c>
      <c r="F475" s="284" t="s">
        <v>1920</v>
      </c>
      <c r="G475" s="285" t="s">
        <v>1610</v>
      </c>
      <c r="H475" s="286">
        <v>1</v>
      </c>
      <c r="I475" s="287">
        <v>200000</v>
      </c>
      <c r="J475" s="1277" t="s">
        <v>1793</v>
      </c>
      <c r="K475" s="1277" t="s">
        <v>2713</v>
      </c>
      <c r="L475" s="289">
        <v>0.4</v>
      </c>
      <c r="M475" s="1278" t="s">
        <v>3203</v>
      </c>
      <c r="N475" s="186">
        <v>203948.49</v>
      </c>
      <c r="O475" s="186">
        <v>200000</v>
      </c>
      <c r="P475" s="186">
        <v>200000</v>
      </c>
      <c r="Q475" s="186">
        <v>203948.49</v>
      </c>
      <c r="R475" s="1279" t="s">
        <v>2897</v>
      </c>
      <c r="S475" s="186">
        <v>81579.4</v>
      </c>
      <c r="T475" s="292" t="s">
        <v>3199</v>
      </c>
      <c r="U475" s="1279" t="s">
        <v>3200</v>
      </c>
      <c r="V475" s="186">
        <v>40000</v>
      </c>
      <c r="W475" s="1279" t="s">
        <v>2063</v>
      </c>
      <c r="X475" s="191">
        <v>400000</v>
      </c>
      <c r="Y475" s="138"/>
    </row>
    <row r="476" s="82" customFormat="1" ht="37.5" customHeight="1" spans="1:25">
      <c r="A476" s="156"/>
      <c r="B476" s="156"/>
      <c r="C476" s="156" t="s">
        <v>1266</v>
      </c>
      <c r="D476" s="293"/>
      <c r="E476" s="158"/>
      <c r="F476" s="159"/>
      <c r="G476" s="160"/>
      <c r="H476" s="161"/>
      <c r="I476" s="162">
        <f>SUM(I55:I475)</f>
        <v>137859040.54</v>
      </c>
      <c r="J476" s="294"/>
      <c r="K476" s="294"/>
      <c r="L476" s="164"/>
      <c r="M476" s="165"/>
      <c r="N476" s="162">
        <f>SUM(N55:N475)</f>
        <v>107667037.7175</v>
      </c>
      <c r="O476" s="162">
        <f>SUM(O55:O475)</f>
        <v>106217413.5275</v>
      </c>
      <c r="P476" s="162">
        <f>SUM(P55:P475)</f>
        <v>102741354.452</v>
      </c>
      <c r="Q476" s="162">
        <f>SUM(Q55:Q475)</f>
        <v>103935098.58</v>
      </c>
      <c r="R476" s="182"/>
      <c r="S476" s="162">
        <f>SUM(S55:S475)</f>
        <v>43372130.0610002</v>
      </c>
      <c r="T476" s="167"/>
      <c r="U476" s="182"/>
      <c r="V476" s="162">
        <f>SUM(V55:V475)</f>
        <v>20970465.4200001</v>
      </c>
      <c r="W476" s="182"/>
      <c r="X476" s="169">
        <f>SUM(X55:X475)</f>
        <v>21687878.7420001</v>
      </c>
      <c r="Y476" s="156"/>
    </row>
    <row r="477" s="80" customFormat="1" ht="37.5" customHeight="1" spans="1:25">
      <c r="A477" s="138">
        <f>ROW()-8</f>
        <v>469</v>
      </c>
      <c r="B477" s="139">
        <v>2023</v>
      </c>
      <c r="C477" s="189" t="s">
        <v>25</v>
      </c>
      <c r="D477" s="279" t="s">
        <v>3204</v>
      </c>
      <c r="E477" s="190" t="s">
        <v>3205</v>
      </c>
      <c r="F477" s="142" t="s">
        <v>3206</v>
      </c>
      <c r="G477" s="143">
        <v>4321</v>
      </c>
      <c r="H477" s="144">
        <v>0.8</v>
      </c>
      <c r="I477" s="145">
        <v>100000</v>
      </c>
      <c r="J477" s="185" t="s">
        <v>3207</v>
      </c>
      <c r="K477" s="185" t="s">
        <v>3208</v>
      </c>
      <c r="L477" s="147">
        <v>0.4</v>
      </c>
      <c r="M477" s="280" t="s">
        <v>3209</v>
      </c>
      <c r="N477" s="186">
        <v>101024.39</v>
      </c>
      <c r="O477" s="276">
        <v>100000</v>
      </c>
      <c r="P477" s="276">
        <v>80000</v>
      </c>
      <c r="Q477" s="295">
        <v>80819.51</v>
      </c>
      <c r="R477" s="1260" t="s">
        <v>1881</v>
      </c>
      <c r="S477" s="295">
        <v>40409.76</v>
      </c>
      <c r="T477" s="150">
        <v>44938</v>
      </c>
      <c r="U477" s="1260" t="s">
        <v>3200</v>
      </c>
      <c r="V477" s="276">
        <v>20000</v>
      </c>
      <c r="W477" s="1260" t="s">
        <v>2063</v>
      </c>
      <c r="X477" s="296">
        <v>20000</v>
      </c>
      <c r="Y477" s="138"/>
    </row>
    <row r="478" s="80" customFormat="1" ht="37.5" customHeight="1" spans="1:25">
      <c r="A478" s="138">
        <f t="shared" ref="A478:A541" si="18">ROW()-8</f>
        <v>470</v>
      </c>
      <c r="B478" s="139">
        <v>2023</v>
      </c>
      <c r="C478" s="189" t="s">
        <v>25</v>
      </c>
      <c r="D478" s="279" t="s">
        <v>3210</v>
      </c>
      <c r="E478" s="190" t="s">
        <v>3211</v>
      </c>
      <c r="F478" s="142" t="s">
        <v>3212</v>
      </c>
      <c r="G478" s="143" t="s">
        <v>1781</v>
      </c>
      <c r="H478" s="144">
        <v>0.8</v>
      </c>
      <c r="I478" s="145">
        <v>220000</v>
      </c>
      <c r="J478" s="185" t="s">
        <v>3213</v>
      </c>
      <c r="K478" s="185" t="s">
        <v>3214</v>
      </c>
      <c r="L478" s="147">
        <v>0.5</v>
      </c>
      <c r="M478" s="280" t="s">
        <v>3209</v>
      </c>
      <c r="N478" s="186">
        <v>180276.16</v>
      </c>
      <c r="O478" s="276">
        <v>180276.07</v>
      </c>
      <c r="P478" s="276">
        <v>144220.86</v>
      </c>
      <c r="Q478" s="276">
        <v>144220.93</v>
      </c>
      <c r="R478" s="1260" t="s">
        <v>1881</v>
      </c>
      <c r="S478" s="276">
        <v>90138.08</v>
      </c>
      <c r="T478" s="150">
        <v>44939</v>
      </c>
      <c r="U478" s="1260" t="s">
        <v>3200</v>
      </c>
      <c r="V478" s="276">
        <v>54082.82</v>
      </c>
      <c r="W478" s="1260" t="s">
        <v>2063</v>
      </c>
      <c r="X478" s="296">
        <v>54082.82</v>
      </c>
      <c r="Y478" s="138"/>
    </row>
    <row r="479" s="80" customFormat="1" ht="37.5" customHeight="1" spans="1:25">
      <c r="A479" s="138">
        <f t="shared" si="18"/>
        <v>471</v>
      </c>
      <c r="B479" s="139">
        <v>2023</v>
      </c>
      <c r="C479" s="189" t="s">
        <v>41</v>
      </c>
      <c r="D479" s="279" t="s">
        <v>3215</v>
      </c>
      <c r="E479" s="190" t="s">
        <v>3216</v>
      </c>
      <c r="F479" s="142" t="s">
        <v>3217</v>
      </c>
      <c r="G479" s="143" t="s">
        <v>1610</v>
      </c>
      <c r="H479" s="144">
        <v>1</v>
      </c>
      <c r="I479" s="145">
        <v>270000</v>
      </c>
      <c r="J479" s="185" t="s">
        <v>1813</v>
      </c>
      <c r="K479" s="185" t="s">
        <v>2054</v>
      </c>
      <c r="L479" s="147">
        <v>0.4</v>
      </c>
      <c r="M479" s="280" t="s">
        <v>3218</v>
      </c>
      <c r="N479" s="186">
        <v>71021.21</v>
      </c>
      <c r="O479" s="276">
        <v>65079.17</v>
      </c>
      <c r="P479" s="276">
        <v>65079.17</v>
      </c>
      <c r="Q479" s="276">
        <v>71021.21</v>
      </c>
      <c r="R479" s="1260" t="s">
        <v>1881</v>
      </c>
      <c r="S479" s="276">
        <v>28408.48</v>
      </c>
      <c r="T479" s="150">
        <v>44939</v>
      </c>
      <c r="U479" s="1260" t="s">
        <v>3200</v>
      </c>
      <c r="V479" s="276">
        <v>13015.83</v>
      </c>
      <c r="W479" s="1260" t="s">
        <v>2063</v>
      </c>
      <c r="X479" s="296">
        <v>13015.83</v>
      </c>
      <c r="Y479" s="138"/>
    </row>
    <row r="480" s="80" customFormat="1" ht="37.5" customHeight="1" spans="1:25">
      <c r="A480" s="138">
        <f t="shared" si="18"/>
        <v>472</v>
      </c>
      <c r="B480" s="139">
        <v>2023</v>
      </c>
      <c r="C480" s="189" t="s">
        <v>28</v>
      </c>
      <c r="D480" s="279" t="s">
        <v>257</v>
      </c>
      <c r="E480" s="190" t="s">
        <v>3219</v>
      </c>
      <c r="F480" s="142" t="s">
        <v>1920</v>
      </c>
      <c r="G480" s="143" t="s">
        <v>1610</v>
      </c>
      <c r="H480" s="144">
        <v>1</v>
      </c>
      <c r="I480" s="145">
        <v>800000</v>
      </c>
      <c r="J480" s="185" t="s">
        <v>3220</v>
      </c>
      <c r="K480" s="185" t="s">
        <v>2011</v>
      </c>
      <c r="L480" s="147">
        <v>0.4</v>
      </c>
      <c r="M480" s="280" t="s">
        <v>3203</v>
      </c>
      <c r="N480" s="276">
        <v>823768.23</v>
      </c>
      <c r="O480" s="276">
        <v>800000</v>
      </c>
      <c r="P480" s="276">
        <v>800000</v>
      </c>
      <c r="Q480" s="276">
        <v>823768.23</v>
      </c>
      <c r="R480" s="1260" t="s">
        <v>1881</v>
      </c>
      <c r="S480" s="276">
        <v>329507.29</v>
      </c>
      <c r="T480" s="150">
        <v>44937</v>
      </c>
      <c r="U480" s="1260" t="s">
        <v>3200</v>
      </c>
      <c r="V480" s="276">
        <v>160000</v>
      </c>
      <c r="W480" s="1260" t="s">
        <v>2063</v>
      </c>
      <c r="X480" s="296">
        <v>160000</v>
      </c>
      <c r="Y480" s="138"/>
    </row>
    <row r="481" s="80" customFormat="1" ht="37.5" customHeight="1" spans="1:25">
      <c r="A481" s="138">
        <f t="shared" si="18"/>
        <v>473</v>
      </c>
      <c r="B481" s="139">
        <v>2023</v>
      </c>
      <c r="C481" s="189" t="s">
        <v>22</v>
      </c>
      <c r="D481" s="279" t="s">
        <v>3221</v>
      </c>
      <c r="E481" s="190" t="s">
        <v>3222</v>
      </c>
      <c r="F481" s="142" t="s">
        <v>3223</v>
      </c>
      <c r="G481" s="143">
        <v>4321</v>
      </c>
      <c r="H481" s="144">
        <v>1</v>
      </c>
      <c r="I481" s="145">
        <v>1000000</v>
      </c>
      <c r="J481" s="185" t="s">
        <v>3224</v>
      </c>
      <c r="K481" s="185" t="s">
        <v>2541</v>
      </c>
      <c r="L481" s="147">
        <v>0.4</v>
      </c>
      <c r="M481" s="280" t="s">
        <v>2823</v>
      </c>
      <c r="N481" s="186">
        <v>1061284.77</v>
      </c>
      <c r="O481" s="276">
        <v>1000000</v>
      </c>
      <c r="P481" s="276">
        <v>800000</v>
      </c>
      <c r="Q481" s="276">
        <v>849027.81</v>
      </c>
      <c r="R481" s="1260" t="s">
        <v>1881</v>
      </c>
      <c r="S481" s="276">
        <v>424513.91</v>
      </c>
      <c r="T481" s="150">
        <v>44938</v>
      </c>
      <c r="U481" s="1260" t="s">
        <v>3200</v>
      </c>
      <c r="V481" s="276">
        <v>200000</v>
      </c>
      <c r="W481" s="1260" t="s">
        <v>2063</v>
      </c>
      <c r="X481" s="296">
        <v>200000</v>
      </c>
      <c r="Y481" s="138"/>
    </row>
    <row r="482" s="80" customFormat="1" ht="37.5" customHeight="1" spans="1:25">
      <c r="A482" s="138">
        <f t="shared" si="18"/>
        <v>474</v>
      </c>
      <c r="B482" s="139">
        <v>2023</v>
      </c>
      <c r="C482" s="189" t="s">
        <v>28</v>
      </c>
      <c r="D482" s="279" t="s">
        <v>2430</v>
      </c>
      <c r="E482" s="190" t="s">
        <v>3225</v>
      </c>
      <c r="F482" s="142" t="s">
        <v>1920</v>
      </c>
      <c r="G482" s="143" t="s">
        <v>1610</v>
      </c>
      <c r="H482" s="144">
        <v>1</v>
      </c>
      <c r="I482" s="145">
        <v>400000</v>
      </c>
      <c r="J482" s="185" t="s">
        <v>3226</v>
      </c>
      <c r="K482" s="185" t="s">
        <v>2025</v>
      </c>
      <c r="L482" s="147">
        <v>0.4</v>
      </c>
      <c r="M482" s="280" t="s">
        <v>3203</v>
      </c>
      <c r="N482" s="186">
        <v>415197.82</v>
      </c>
      <c r="O482" s="186">
        <v>400000</v>
      </c>
      <c r="P482" s="276">
        <v>400000</v>
      </c>
      <c r="Q482" s="276">
        <v>415197.82</v>
      </c>
      <c r="R482" s="1260" t="s">
        <v>3227</v>
      </c>
      <c r="S482" s="276">
        <v>166079.13</v>
      </c>
      <c r="T482" s="150">
        <v>44956</v>
      </c>
      <c r="U482" s="1260" t="s">
        <v>3228</v>
      </c>
      <c r="V482" s="276">
        <v>80000</v>
      </c>
      <c r="W482" s="1260" t="s">
        <v>3229</v>
      </c>
      <c r="X482" s="153">
        <v>80000</v>
      </c>
      <c r="Y482" s="138"/>
    </row>
    <row r="483" s="80" customFormat="1" ht="37.5" customHeight="1" spans="1:25">
      <c r="A483" s="138">
        <f t="shared" si="18"/>
        <v>475</v>
      </c>
      <c r="B483" s="139">
        <v>2023</v>
      </c>
      <c r="C483" s="189" t="s">
        <v>28</v>
      </c>
      <c r="D483" s="279" t="s">
        <v>3230</v>
      </c>
      <c r="E483" s="190" t="s">
        <v>3231</v>
      </c>
      <c r="F483" s="142" t="s">
        <v>1909</v>
      </c>
      <c r="G483" s="143" t="s">
        <v>1610</v>
      </c>
      <c r="H483" s="144">
        <v>1</v>
      </c>
      <c r="I483" s="145">
        <v>200000</v>
      </c>
      <c r="J483" s="185" t="s">
        <v>2203</v>
      </c>
      <c r="K483" s="1258" t="s">
        <v>3232</v>
      </c>
      <c r="L483" s="147">
        <v>0.4</v>
      </c>
      <c r="M483" s="280" t="s">
        <v>3233</v>
      </c>
      <c r="N483" s="186">
        <v>203022.28</v>
      </c>
      <c r="O483" s="186">
        <v>200000</v>
      </c>
      <c r="P483" s="276">
        <v>200000</v>
      </c>
      <c r="Q483" s="186">
        <v>203022.28</v>
      </c>
      <c r="R483" s="1260" t="s">
        <v>3227</v>
      </c>
      <c r="S483" s="276">
        <v>81208.91</v>
      </c>
      <c r="T483" s="150">
        <v>44956</v>
      </c>
      <c r="U483" s="1260" t="s">
        <v>3228</v>
      </c>
      <c r="V483" s="276">
        <v>40000</v>
      </c>
      <c r="W483" s="1260" t="s">
        <v>3229</v>
      </c>
      <c r="X483" s="153">
        <v>40000</v>
      </c>
      <c r="Y483" s="138"/>
    </row>
    <row r="484" s="80" customFormat="1" ht="37.5" customHeight="1" spans="1:25">
      <c r="A484" s="138">
        <f t="shared" si="18"/>
        <v>476</v>
      </c>
      <c r="B484" s="139">
        <v>2023</v>
      </c>
      <c r="C484" s="189" t="s">
        <v>28</v>
      </c>
      <c r="D484" s="279" t="s">
        <v>3234</v>
      </c>
      <c r="E484" s="190" t="s">
        <v>3235</v>
      </c>
      <c r="F484" s="142" t="s">
        <v>1920</v>
      </c>
      <c r="G484" s="143" t="s">
        <v>1610</v>
      </c>
      <c r="H484" s="144">
        <v>1</v>
      </c>
      <c r="I484" s="145">
        <v>400000</v>
      </c>
      <c r="J484" s="185" t="s">
        <v>3236</v>
      </c>
      <c r="K484" s="1258" t="s">
        <v>2737</v>
      </c>
      <c r="L484" s="147">
        <v>0.4</v>
      </c>
      <c r="M484" s="280" t="s">
        <v>3203</v>
      </c>
      <c r="N484" s="186">
        <v>411627.24</v>
      </c>
      <c r="O484" s="186">
        <v>400000</v>
      </c>
      <c r="P484" s="276">
        <v>400000</v>
      </c>
      <c r="Q484" s="276">
        <v>411627.24</v>
      </c>
      <c r="R484" s="1260" t="s">
        <v>3227</v>
      </c>
      <c r="S484" s="276">
        <v>164650.9</v>
      </c>
      <c r="T484" s="150">
        <v>44955</v>
      </c>
      <c r="U484" s="1260" t="s">
        <v>3228</v>
      </c>
      <c r="V484" s="276">
        <v>80000</v>
      </c>
      <c r="W484" s="1260" t="s">
        <v>3229</v>
      </c>
      <c r="X484" s="153">
        <v>80000</v>
      </c>
      <c r="Y484" s="138"/>
    </row>
    <row r="485" ht="37.5" customHeight="1" spans="1:25">
      <c r="A485" s="192">
        <f t="shared" si="18"/>
        <v>477</v>
      </c>
      <c r="B485" s="208">
        <v>2023</v>
      </c>
      <c r="C485" s="193" t="s">
        <v>37</v>
      </c>
      <c r="D485" s="277" t="s">
        <v>3237</v>
      </c>
      <c r="E485" s="195" t="s">
        <v>3238</v>
      </c>
      <c r="F485" s="196" t="s">
        <v>2073</v>
      </c>
      <c r="G485" s="197" t="s">
        <v>3239</v>
      </c>
      <c r="H485" s="198">
        <v>0.8</v>
      </c>
      <c r="I485" s="199">
        <v>100000</v>
      </c>
      <c r="J485" s="200" t="s">
        <v>2140</v>
      </c>
      <c r="K485" s="200" t="s">
        <v>3240</v>
      </c>
      <c r="L485" s="201">
        <v>0.4</v>
      </c>
      <c r="M485" s="278" t="s">
        <v>3241</v>
      </c>
      <c r="N485" s="205">
        <v>97500.05</v>
      </c>
      <c r="O485" s="254">
        <v>97500.05</v>
      </c>
      <c r="P485" s="254">
        <v>78000.04</v>
      </c>
      <c r="Q485" s="254">
        <v>78000.04</v>
      </c>
      <c r="R485" s="1262" t="s">
        <v>3227</v>
      </c>
      <c r="S485" s="254">
        <v>39000.02</v>
      </c>
      <c r="T485" s="204">
        <v>44955</v>
      </c>
      <c r="U485" s="1262" t="s">
        <v>3228</v>
      </c>
      <c r="V485" s="254">
        <v>19500.01</v>
      </c>
      <c r="W485" s="1262" t="s">
        <v>2133</v>
      </c>
      <c r="X485" s="206">
        <v>19500.01</v>
      </c>
      <c r="Y485" s="192"/>
    </row>
    <row r="486" ht="37.5" customHeight="1" spans="1:25">
      <c r="A486" s="192">
        <f t="shared" si="18"/>
        <v>478</v>
      </c>
      <c r="B486" s="208">
        <v>2023</v>
      </c>
      <c r="C486" s="193" t="s">
        <v>37</v>
      </c>
      <c r="D486" s="277" t="s">
        <v>3242</v>
      </c>
      <c r="E486" s="195" t="s">
        <v>3243</v>
      </c>
      <c r="F486" s="196" t="s">
        <v>2073</v>
      </c>
      <c r="G486" s="197" t="s">
        <v>3239</v>
      </c>
      <c r="H486" s="198">
        <v>0.8</v>
      </c>
      <c r="I486" s="199">
        <v>750000</v>
      </c>
      <c r="J486" s="200" t="s">
        <v>3244</v>
      </c>
      <c r="K486" s="200" t="s">
        <v>3245</v>
      </c>
      <c r="L486" s="201">
        <v>0.4</v>
      </c>
      <c r="M486" s="278" t="s">
        <v>3246</v>
      </c>
      <c r="N486" s="205">
        <v>68226.09</v>
      </c>
      <c r="O486" s="254">
        <v>68226.09</v>
      </c>
      <c r="P486" s="254">
        <v>54580.87</v>
      </c>
      <c r="Q486" s="254">
        <v>54580.87</v>
      </c>
      <c r="R486" s="1262" t="s">
        <v>3227</v>
      </c>
      <c r="S486" s="254">
        <v>27290.44</v>
      </c>
      <c r="T486" s="204">
        <v>44955</v>
      </c>
      <c r="U486" s="1262" t="s">
        <v>3228</v>
      </c>
      <c r="V486" s="254">
        <v>13645.22</v>
      </c>
      <c r="W486" s="1262" t="s">
        <v>2133</v>
      </c>
      <c r="X486" s="206">
        <v>13645.22</v>
      </c>
      <c r="Y486" s="192"/>
    </row>
    <row r="487" ht="37.5" customHeight="1" spans="1:25">
      <c r="A487" s="192">
        <f t="shared" si="18"/>
        <v>479</v>
      </c>
      <c r="B487" s="208">
        <v>2023</v>
      </c>
      <c r="C487" s="193" t="s">
        <v>37</v>
      </c>
      <c r="D487" s="277" t="s">
        <v>3247</v>
      </c>
      <c r="E487" s="195" t="s">
        <v>3248</v>
      </c>
      <c r="F487" s="196" t="s">
        <v>2073</v>
      </c>
      <c r="G487" s="197" t="s">
        <v>3239</v>
      </c>
      <c r="H487" s="198">
        <v>0.8</v>
      </c>
      <c r="I487" s="199">
        <v>500310</v>
      </c>
      <c r="J487" s="200" t="s">
        <v>2083</v>
      </c>
      <c r="K487" s="200" t="s">
        <v>2084</v>
      </c>
      <c r="L487" s="201">
        <v>0.4</v>
      </c>
      <c r="M487" s="278" t="s">
        <v>3232</v>
      </c>
      <c r="N487" s="205">
        <v>120650.14</v>
      </c>
      <c r="O487" s="254">
        <v>120650.14</v>
      </c>
      <c r="P487" s="254">
        <v>96520.11</v>
      </c>
      <c r="Q487" s="254">
        <v>96520.11</v>
      </c>
      <c r="R487" s="1262" t="s">
        <v>3227</v>
      </c>
      <c r="S487" s="254">
        <v>48260.06</v>
      </c>
      <c r="T487" s="204">
        <v>44955</v>
      </c>
      <c r="U487" s="1262" t="s">
        <v>3228</v>
      </c>
      <c r="V487" s="254">
        <v>24130.03</v>
      </c>
      <c r="W487" s="1262" t="s">
        <v>2133</v>
      </c>
      <c r="X487" s="258">
        <v>24130.03</v>
      </c>
      <c r="Y487" s="192"/>
    </row>
    <row r="488" ht="37.5" customHeight="1" spans="1:25">
      <c r="A488" s="192">
        <f t="shared" si="18"/>
        <v>480</v>
      </c>
      <c r="B488" s="208">
        <v>2023</v>
      </c>
      <c r="C488" s="193" t="s">
        <v>37</v>
      </c>
      <c r="D488" s="277" t="s">
        <v>3249</v>
      </c>
      <c r="E488" s="195" t="s">
        <v>3250</v>
      </c>
      <c r="F488" s="196" t="s">
        <v>2073</v>
      </c>
      <c r="G488" s="197" t="s">
        <v>3239</v>
      </c>
      <c r="H488" s="198">
        <v>0.8</v>
      </c>
      <c r="I488" s="199">
        <v>90000</v>
      </c>
      <c r="J488" s="200" t="s">
        <v>3251</v>
      </c>
      <c r="K488" s="200" t="s">
        <v>2556</v>
      </c>
      <c r="L488" s="201">
        <v>0.4</v>
      </c>
      <c r="M488" s="278" t="s">
        <v>3252</v>
      </c>
      <c r="N488" s="205">
        <v>3900</v>
      </c>
      <c r="O488" s="254">
        <v>3900</v>
      </c>
      <c r="P488" s="254">
        <v>3120</v>
      </c>
      <c r="Q488" s="254">
        <v>3120</v>
      </c>
      <c r="R488" s="1262" t="s">
        <v>3227</v>
      </c>
      <c r="S488" s="254">
        <v>1560</v>
      </c>
      <c r="T488" s="204">
        <v>44955</v>
      </c>
      <c r="U488" s="1262" t="s">
        <v>3228</v>
      </c>
      <c r="V488" s="254">
        <v>780</v>
      </c>
      <c r="W488" s="1262" t="s">
        <v>3229</v>
      </c>
      <c r="X488" s="258">
        <v>780</v>
      </c>
      <c r="Y488" s="192"/>
    </row>
    <row r="489" ht="37.5" customHeight="1" spans="1:25">
      <c r="A489" s="192">
        <f t="shared" si="18"/>
        <v>481</v>
      </c>
      <c r="B489" s="208">
        <v>2023</v>
      </c>
      <c r="C489" s="193" t="s">
        <v>37</v>
      </c>
      <c r="D489" s="277" t="s">
        <v>3253</v>
      </c>
      <c r="E489" s="195" t="s">
        <v>3254</v>
      </c>
      <c r="F489" s="196" t="s">
        <v>2073</v>
      </c>
      <c r="G489" s="197" t="s">
        <v>3239</v>
      </c>
      <c r="H489" s="198">
        <v>0.8</v>
      </c>
      <c r="I489" s="199">
        <v>41020</v>
      </c>
      <c r="J489" s="200" t="s">
        <v>3251</v>
      </c>
      <c r="K489" s="200" t="s">
        <v>2556</v>
      </c>
      <c r="L489" s="201">
        <v>0.4</v>
      </c>
      <c r="M489" s="278" t="s">
        <v>3159</v>
      </c>
      <c r="N489" s="205">
        <v>5000.02</v>
      </c>
      <c r="O489" s="254">
        <v>5000.02</v>
      </c>
      <c r="P489" s="254">
        <v>4000.02</v>
      </c>
      <c r="Q489" s="254">
        <v>4000.02</v>
      </c>
      <c r="R489" s="1262" t="s">
        <v>3227</v>
      </c>
      <c r="S489" s="254">
        <v>2000.01</v>
      </c>
      <c r="T489" s="204">
        <v>44955</v>
      </c>
      <c r="U489" s="1262" t="s">
        <v>3228</v>
      </c>
      <c r="V489" s="254">
        <v>1000</v>
      </c>
      <c r="W489" s="1262" t="s">
        <v>3229</v>
      </c>
      <c r="X489" s="206">
        <v>1000</v>
      </c>
      <c r="Y489" s="192"/>
    </row>
    <row r="490" ht="37.5" customHeight="1" spans="1:25">
      <c r="A490" s="192">
        <f t="shared" si="18"/>
        <v>482</v>
      </c>
      <c r="B490" s="208">
        <v>2023</v>
      </c>
      <c r="C490" s="193" t="s">
        <v>37</v>
      </c>
      <c r="D490" s="277" t="s">
        <v>3255</v>
      </c>
      <c r="E490" s="195" t="s">
        <v>3256</v>
      </c>
      <c r="F490" s="196" t="s">
        <v>2073</v>
      </c>
      <c r="G490" s="197" t="s">
        <v>3239</v>
      </c>
      <c r="H490" s="198">
        <v>0.8</v>
      </c>
      <c r="I490" s="199">
        <v>50780</v>
      </c>
      <c r="J490" s="200" t="s">
        <v>2220</v>
      </c>
      <c r="K490" s="200" t="s">
        <v>2221</v>
      </c>
      <c r="L490" s="201">
        <v>0.4</v>
      </c>
      <c r="M490" s="278" t="s">
        <v>3257</v>
      </c>
      <c r="N490" s="205">
        <v>21708.72</v>
      </c>
      <c r="O490" s="254">
        <v>21708.72</v>
      </c>
      <c r="P490" s="254">
        <v>17366.98</v>
      </c>
      <c r="Q490" s="254">
        <v>17366.98</v>
      </c>
      <c r="R490" s="1262" t="s">
        <v>3227</v>
      </c>
      <c r="S490" s="254">
        <v>8683.49</v>
      </c>
      <c r="T490" s="204">
        <v>44955</v>
      </c>
      <c r="U490" s="1262" t="s">
        <v>3228</v>
      </c>
      <c r="V490" s="254">
        <v>4341.74</v>
      </c>
      <c r="W490" s="1262" t="s">
        <v>3229</v>
      </c>
      <c r="X490" s="206">
        <v>4341.74</v>
      </c>
      <c r="Y490" s="192"/>
    </row>
    <row r="491" ht="37.5" customHeight="1" spans="1:25">
      <c r="A491" s="192">
        <f t="shared" si="18"/>
        <v>483</v>
      </c>
      <c r="B491" s="208">
        <v>2023</v>
      </c>
      <c r="C491" s="193" t="s">
        <v>37</v>
      </c>
      <c r="D491" s="277" t="s">
        <v>3258</v>
      </c>
      <c r="E491" s="195" t="s">
        <v>3259</v>
      </c>
      <c r="F491" s="196" t="s">
        <v>2073</v>
      </c>
      <c r="G491" s="197" t="s">
        <v>3239</v>
      </c>
      <c r="H491" s="198">
        <v>0.8</v>
      </c>
      <c r="I491" s="199">
        <v>321340</v>
      </c>
      <c r="J491" s="200" t="s">
        <v>2220</v>
      </c>
      <c r="K491" s="200" t="s">
        <v>2221</v>
      </c>
      <c r="L491" s="201">
        <v>0.4</v>
      </c>
      <c r="M491" s="278" t="s">
        <v>2035</v>
      </c>
      <c r="N491" s="205">
        <v>22500</v>
      </c>
      <c r="O491" s="254">
        <v>22500</v>
      </c>
      <c r="P491" s="254">
        <v>18000</v>
      </c>
      <c r="Q491" s="254">
        <v>18000</v>
      </c>
      <c r="R491" s="1262" t="s">
        <v>3227</v>
      </c>
      <c r="S491" s="254">
        <v>9000</v>
      </c>
      <c r="T491" s="204">
        <v>44955</v>
      </c>
      <c r="U491" s="1262" t="s">
        <v>3228</v>
      </c>
      <c r="V491" s="254">
        <v>4500</v>
      </c>
      <c r="W491" s="1262" t="s">
        <v>3229</v>
      </c>
      <c r="X491" s="206">
        <v>4500</v>
      </c>
      <c r="Y491" s="192"/>
    </row>
    <row r="492" ht="37.5" customHeight="1" spans="1:25">
      <c r="A492" s="192">
        <f t="shared" si="18"/>
        <v>484</v>
      </c>
      <c r="B492" s="208">
        <v>2023</v>
      </c>
      <c r="C492" s="193" t="s">
        <v>37</v>
      </c>
      <c r="D492" s="277" t="s">
        <v>3260</v>
      </c>
      <c r="E492" s="195" t="s">
        <v>3261</v>
      </c>
      <c r="F492" s="196" t="s">
        <v>2073</v>
      </c>
      <c r="G492" s="197" t="s">
        <v>3239</v>
      </c>
      <c r="H492" s="198">
        <v>0.8</v>
      </c>
      <c r="I492" s="199">
        <v>38000</v>
      </c>
      <c r="J492" s="200" t="s">
        <v>1866</v>
      </c>
      <c r="K492" s="200" t="s">
        <v>2567</v>
      </c>
      <c r="L492" s="201">
        <v>0.4</v>
      </c>
      <c r="M492" s="278" t="s">
        <v>3262</v>
      </c>
      <c r="N492" s="205">
        <v>10841.75</v>
      </c>
      <c r="O492" s="254">
        <v>10841.75</v>
      </c>
      <c r="P492" s="254">
        <v>8673.4</v>
      </c>
      <c r="Q492" s="254">
        <v>8673.4</v>
      </c>
      <c r="R492" s="1262" t="s">
        <v>3227</v>
      </c>
      <c r="S492" s="254">
        <v>4336.7</v>
      </c>
      <c r="T492" s="204">
        <v>44955</v>
      </c>
      <c r="U492" s="1262" t="s">
        <v>3228</v>
      </c>
      <c r="V492" s="254">
        <v>2168.35</v>
      </c>
      <c r="W492" s="1262" t="s">
        <v>3229</v>
      </c>
      <c r="X492" s="206">
        <v>2168.35</v>
      </c>
      <c r="Y492" s="192"/>
    </row>
    <row r="493" ht="37.5" customHeight="1" spans="1:25">
      <c r="A493" s="192">
        <f t="shared" si="18"/>
        <v>485</v>
      </c>
      <c r="B493" s="208">
        <v>2023</v>
      </c>
      <c r="C493" s="193" t="s">
        <v>37</v>
      </c>
      <c r="D493" s="277" t="s">
        <v>3263</v>
      </c>
      <c r="E493" s="195" t="s">
        <v>3264</v>
      </c>
      <c r="F493" s="196" t="s">
        <v>2073</v>
      </c>
      <c r="G493" s="197" t="s">
        <v>3239</v>
      </c>
      <c r="H493" s="198">
        <v>0.8</v>
      </c>
      <c r="I493" s="199">
        <v>254606</v>
      </c>
      <c r="J493" s="200" t="s">
        <v>3265</v>
      </c>
      <c r="K493" s="200" t="s">
        <v>2570</v>
      </c>
      <c r="L493" s="201">
        <v>0.4</v>
      </c>
      <c r="M493" s="278" t="s">
        <v>3036</v>
      </c>
      <c r="N493" s="205">
        <v>117084.6</v>
      </c>
      <c r="O493" s="254">
        <v>117084.6</v>
      </c>
      <c r="P493" s="254">
        <v>93667.68</v>
      </c>
      <c r="Q493" s="254">
        <v>93667.68</v>
      </c>
      <c r="R493" s="1262" t="s">
        <v>3227</v>
      </c>
      <c r="S493" s="254">
        <v>46833.84</v>
      </c>
      <c r="T493" s="204">
        <v>44955</v>
      </c>
      <c r="U493" s="1262" t="s">
        <v>3228</v>
      </c>
      <c r="V493" s="254">
        <v>23416.92</v>
      </c>
      <c r="W493" s="1262" t="s">
        <v>3229</v>
      </c>
      <c r="X493" s="206">
        <v>23416.92</v>
      </c>
      <c r="Y493" s="192"/>
    </row>
    <row r="494" ht="37.5" customHeight="1" spans="1:25">
      <c r="A494" s="192">
        <f t="shared" si="18"/>
        <v>486</v>
      </c>
      <c r="B494" s="208">
        <v>2023</v>
      </c>
      <c r="C494" s="193" t="s">
        <v>37</v>
      </c>
      <c r="D494" s="277" t="s">
        <v>3266</v>
      </c>
      <c r="E494" s="195" t="s">
        <v>3267</v>
      </c>
      <c r="F494" s="196" t="s">
        <v>2073</v>
      </c>
      <c r="G494" s="197" t="s">
        <v>3239</v>
      </c>
      <c r="H494" s="198">
        <v>0.8</v>
      </c>
      <c r="I494" s="199">
        <v>10000</v>
      </c>
      <c r="J494" s="200" t="s">
        <v>1817</v>
      </c>
      <c r="K494" s="200" t="s">
        <v>2367</v>
      </c>
      <c r="L494" s="201">
        <v>0.4</v>
      </c>
      <c r="M494" s="278" t="s">
        <v>2951</v>
      </c>
      <c r="N494" s="205">
        <v>291.7</v>
      </c>
      <c r="O494" s="254">
        <v>291.7</v>
      </c>
      <c r="P494" s="254">
        <v>233.36</v>
      </c>
      <c r="Q494" s="254">
        <v>233.36</v>
      </c>
      <c r="R494" s="1262" t="s">
        <v>3227</v>
      </c>
      <c r="S494" s="254">
        <v>116.68</v>
      </c>
      <c r="T494" s="204">
        <v>44955</v>
      </c>
      <c r="U494" s="1262" t="s">
        <v>3228</v>
      </c>
      <c r="V494" s="254">
        <v>58.34</v>
      </c>
      <c r="W494" s="1262" t="s">
        <v>3229</v>
      </c>
      <c r="X494" s="206">
        <v>58.34</v>
      </c>
      <c r="Y494" s="192"/>
    </row>
    <row r="495" ht="37.5" customHeight="1" spans="1:25">
      <c r="A495" s="192">
        <f t="shared" si="18"/>
        <v>487</v>
      </c>
      <c r="B495" s="208">
        <v>2023</v>
      </c>
      <c r="C495" s="193" t="s">
        <v>37</v>
      </c>
      <c r="D495" s="277" t="s">
        <v>3268</v>
      </c>
      <c r="E495" s="195" t="s">
        <v>3269</v>
      </c>
      <c r="F495" s="196" t="s">
        <v>2073</v>
      </c>
      <c r="G495" s="197" t="s">
        <v>3239</v>
      </c>
      <c r="H495" s="198">
        <v>0.8</v>
      </c>
      <c r="I495" s="199">
        <v>67287</v>
      </c>
      <c r="J495" s="200" t="s">
        <v>2694</v>
      </c>
      <c r="K495" s="200" t="s">
        <v>2548</v>
      </c>
      <c r="L495" s="201">
        <v>0.4</v>
      </c>
      <c r="M495" s="278" t="s">
        <v>3047</v>
      </c>
      <c r="N495" s="205">
        <v>9900.03</v>
      </c>
      <c r="O495" s="254">
        <v>9900.03</v>
      </c>
      <c r="P495" s="254">
        <v>7920.02</v>
      </c>
      <c r="Q495" s="254">
        <v>7920.02</v>
      </c>
      <c r="R495" s="1262" t="s">
        <v>3227</v>
      </c>
      <c r="S495" s="254">
        <v>3960.01</v>
      </c>
      <c r="T495" s="204">
        <v>44955</v>
      </c>
      <c r="U495" s="1262" t="s">
        <v>3228</v>
      </c>
      <c r="V495" s="254">
        <v>1980.01</v>
      </c>
      <c r="W495" s="1262" t="s">
        <v>3229</v>
      </c>
      <c r="X495" s="206">
        <v>1980.01</v>
      </c>
      <c r="Y495" s="192"/>
    </row>
    <row r="496" ht="37.5" customHeight="1" spans="1:25">
      <c r="A496" s="192">
        <f t="shared" si="18"/>
        <v>488</v>
      </c>
      <c r="B496" s="208">
        <v>2023</v>
      </c>
      <c r="C496" s="193" t="s">
        <v>37</v>
      </c>
      <c r="D496" s="277" t="s">
        <v>3270</v>
      </c>
      <c r="E496" s="195" t="s">
        <v>3271</v>
      </c>
      <c r="F496" s="196" t="s">
        <v>2073</v>
      </c>
      <c r="G496" s="197" t="s">
        <v>3239</v>
      </c>
      <c r="H496" s="198">
        <v>0.8</v>
      </c>
      <c r="I496" s="199">
        <v>50000</v>
      </c>
      <c r="J496" s="200" t="s">
        <v>2345</v>
      </c>
      <c r="K496" s="200" t="s">
        <v>2346</v>
      </c>
      <c r="L496" s="201">
        <v>0.4</v>
      </c>
      <c r="M496" s="278" t="s">
        <v>3272</v>
      </c>
      <c r="N496" s="205">
        <v>6399.67</v>
      </c>
      <c r="O496" s="254">
        <v>6399.67</v>
      </c>
      <c r="P496" s="254">
        <v>5119.73</v>
      </c>
      <c r="Q496" s="254">
        <v>5119.73</v>
      </c>
      <c r="R496" s="1262" t="s">
        <v>3227</v>
      </c>
      <c r="S496" s="254">
        <v>2559.87</v>
      </c>
      <c r="T496" s="204">
        <v>44955</v>
      </c>
      <c r="U496" s="1262" t="s">
        <v>3228</v>
      </c>
      <c r="V496" s="254">
        <v>1279.93</v>
      </c>
      <c r="W496" s="1262" t="s">
        <v>3229</v>
      </c>
      <c r="X496" s="206">
        <v>1279.93</v>
      </c>
      <c r="Y496" s="192"/>
    </row>
    <row r="497" ht="37.5" customHeight="1" spans="1:25">
      <c r="A497" s="192">
        <f t="shared" si="18"/>
        <v>489</v>
      </c>
      <c r="B497" s="208">
        <v>2023</v>
      </c>
      <c r="C497" s="193" t="s">
        <v>37</v>
      </c>
      <c r="D497" s="277" t="s">
        <v>3273</v>
      </c>
      <c r="E497" s="195" t="s">
        <v>3274</v>
      </c>
      <c r="F497" s="196" t="s">
        <v>2073</v>
      </c>
      <c r="G497" s="197" t="s">
        <v>3239</v>
      </c>
      <c r="H497" s="198">
        <v>0.8</v>
      </c>
      <c r="I497" s="199">
        <v>72000</v>
      </c>
      <c r="J497" s="200" t="s">
        <v>1844</v>
      </c>
      <c r="K497" s="200" t="s">
        <v>2532</v>
      </c>
      <c r="L497" s="201">
        <v>0.4</v>
      </c>
      <c r="M497" s="278" t="s">
        <v>2028</v>
      </c>
      <c r="N497" s="205">
        <v>33333.36</v>
      </c>
      <c r="O497" s="254">
        <v>33333.36</v>
      </c>
      <c r="P497" s="254">
        <v>26666.69</v>
      </c>
      <c r="Q497" s="254">
        <v>26666.69</v>
      </c>
      <c r="R497" s="1262" t="s">
        <v>3227</v>
      </c>
      <c r="S497" s="254">
        <v>13333.34</v>
      </c>
      <c r="T497" s="204">
        <v>44955</v>
      </c>
      <c r="U497" s="1262" t="s">
        <v>3228</v>
      </c>
      <c r="V497" s="254">
        <v>6666.67</v>
      </c>
      <c r="W497" s="1262" t="s">
        <v>3229</v>
      </c>
      <c r="X497" s="206">
        <v>6666.67</v>
      </c>
      <c r="Y497" s="192"/>
    </row>
    <row r="498" ht="37.5" customHeight="1" spans="1:25">
      <c r="A498" s="192">
        <f t="shared" si="18"/>
        <v>490</v>
      </c>
      <c r="B498" s="208">
        <v>2023</v>
      </c>
      <c r="C498" s="193" t="s">
        <v>37</v>
      </c>
      <c r="D498" s="277" t="s">
        <v>3275</v>
      </c>
      <c r="E498" s="195" t="s">
        <v>3276</v>
      </c>
      <c r="F498" s="196" t="s">
        <v>2073</v>
      </c>
      <c r="G498" s="197" t="s">
        <v>3239</v>
      </c>
      <c r="H498" s="198">
        <v>0.8</v>
      </c>
      <c r="I498" s="199">
        <v>207910</v>
      </c>
      <c r="J498" s="200" t="s">
        <v>3277</v>
      </c>
      <c r="K498" s="200" t="s">
        <v>2553</v>
      </c>
      <c r="L498" s="201">
        <v>0.4</v>
      </c>
      <c r="M498" s="278" t="s">
        <v>2027</v>
      </c>
      <c r="N498" s="205">
        <v>17500.06</v>
      </c>
      <c r="O498" s="254">
        <v>17500.06</v>
      </c>
      <c r="P498" s="254">
        <v>14000.05</v>
      </c>
      <c r="Q498" s="254">
        <v>14000.05</v>
      </c>
      <c r="R498" s="1262" t="s">
        <v>3227</v>
      </c>
      <c r="S498" s="254">
        <v>7000.02</v>
      </c>
      <c r="T498" s="204">
        <v>44955</v>
      </c>
      <c r="U498" s="1262" t="s">
        <v>3228</v>
      </c>
      <c r="V498" s="254">
        <v>1256.26</v>
      </c>
      <c r="W498" s="1262" t="s">
        <v>3229</v>
      </c>
      <c r="X498" s="206">
        <v>1256.26</v>
      </c>
      <c r="Y498" s="192"/>
    </row>
    <row r="499" ht="37.5" customHeight="1" spans="1:25">
      <c r="A499" s="192">
        <f t="shared" si="18"/>
        <v>491</v>
      </c>
      <c r="B499" s="208">
        <v>2023</v>
      </c>
      <c r="C499" s="193" t="s">
        <v>37</v>
      </c>
      <c r="D499" s="277" t="s">
        <v>3278</v>
      </c>
      <c r="E499" s="195" t="s">
        <v>3279</v>
      </c>
      <c r="F499" s="196" t="s">
        <v>2073</v>
      </c>
      <c r="G499" s="197" t="s">
        <v>3239</v>
      </c>
      <c r="H499" s="198">
        <v>0.8</v>
      </c>
      <c r="I499" s="199">
        <v>137500</v>
      </c>
      <c r="J499" s="200" t="s">
        <v>3251</v>
      </c>
      <c r="K499" s="200" t="s">
        <v>2556</v>
      </c>
      <c r="L499" s="201">
        <v>0.4</v>
      </c>
      <c r="M499" s="278" t="s">
        <v>2956</v>
      </c>
      <c r="N499" s="205">
        <v>17524.37</v>
      </c>
      <c r="O499" s="254">
        <v>17524.37</v>
      </c>
      <c r="P499" s="254">
        <v>14019.5</v>
      </c>
      <c r="Q499" s="254">
        <v>14019.5</v>
      </c>
      <c r="R499" s="1262" t="s">
        <v>3227</v>
      </c>
      <c r="S499" s="254">
        <v>7009.75</v>
      </c>
      <c r="T499" s="204">
        <v>44955</v>
      </c>
      <c r="U499" s="1262" t="s">
        <v>3228</v>
      </c>
      <c r="V499" s="254">
        <v>3504.87</v>
      </c>
      <c r="W499" s="1262" t="s">
        <v>3229</v>
      </c>
      <c r="X499" s="206">
        <v>3504.87</v>
      </c>
      <c r="Y499" s="192"/>
    </row>
    <row r="500" ht="37.5" customHeight="1" spans="1:25">
      <c r="A500" s="192">
        <f t="shared" si="18"/>
        <v>492</v>
      </c>
      <c r="B500" s="208">
        <v>2023</v>
      </c>
      <c r="C500" s="193" t="s">
        <v>37</v>
      </c>
      <c r="D500" s="277" t="s">
        <v>3280</v>
      </c>
      <c r="E500" s="195" t="s">
        <v>3281</v>
      </c>
      <c r="F500" s="196" t="s">
        <v>2073</v>
      </c>
      <c r="G500" s="197" t="s">
        <v>3239</v>
      </c>
      <c r="H500" s="198">
        <v>0.8</v>
      </c>
      <c r="I500" s="199">
        <v>128850</v>
      </c>
      <c r="J500" s="200" t="s">
        <v>2284</v>
      </c>
      <c r="K500" s="200" t="s">
        <v>2520</v>
      </c>
      <c r="L500" s="201">
        <v>0.4</v>
      </c>
      <c r="M500" s="278" t="s">
        <v>2008</v>
      </c>
      <c r="N500" s="205">
        <v>6281.29</v>
      </c>
      <c r="O500" s="254">
        <v>6281.29</v>
      </c>
      <c r="P500" s="254">
        <v>5025.03</v>
      </c>
      <c r="Q500" s="254">
        <v>5025.03</v>
      </c>
      <c r="R500" s="1262" t="s">
        <v>3227</v>
      </c>
      <c r="S500" s="254">
        <v>2512.52</v>
      </c>
      <c r="T500" s="204">
        <v>44955</v>
      </c>
      <c r="U500" s="1262" t="s">
        <v>3228</v>
      </c>
      <c r="V500" s="254">
        <v>1256.26</v>
      </c>
      <c r="W500" s="1262" t="s">
        <v>3229</v>
      </c>
      <c r="X500" s="258">
        <v>1256.26</v>
      </c>
      <c r="Y500" s="192"/>
    </row>
    <row r="501" ht="37.5" customHeight="1" spans="1:25">
      <c r="A501" s="192">
        <f t="shared" si="18"/>
        <v>493</v>
      </c>
      <c r="B501" s="208">
        <v>2023</v>
      </c>
      <c r="C501" s="193" t="s">
        <v>37</v>
      </c>
      <c r="D501" s="277" t="s">
        <v>3282</v>
      </c>
      <c r="E501" s="195" t="s">
        <v>3283</v>
      </c>
      <c r="F501" s="196" t="s">
        <v>2073</v>
      </c>
      <c r="G501" s="197" t="s">
        <v>3239</v>
      </c>
      <c r="H501" s="198">
        <v>0.8</v>
      </c>
      <c r="I501" s="199">
        <v>50160</v>
      </c>
      <c r="J501" s="200" t="s">
        <v>2284</v>
      </c>
      <c r="K501" s="200" t="s">
        <v>2520</v>
      </c>
      <c r="L501" s="201">
        <v>0.4</v>
      </c>
      <c r="M501" s="278" t="s">
        <v>2956</v>
      </c>
      <c r="N501" s="205">
        <v>4152.06</v>
      </c>
      <c r="O501" s="254">
        <v>4152.06</v>
      </c>
      <c r="P501" s="254">
        <v>3321.65</v>
      </c>
      <c r="Q501" s="254">
        <v>3321.65</v>
      </c>
      <c r="R501" s="1262" t="s">
        <v>3227</v>
      </c>
      <c r="S501" s="254">
        <v>1660.82</v>
      </c>
      <c r="T501" s="204">
        <v>44955</v>
      </c>
      <c r="U501" s="1262" t="s">
        <v>3228</v>
      </c>
      <c r="V501" s="254">
        <v>830.41</v>
      </c>
      <c r="W501" s="1262" t="s">
        <v>3229</v>
      </c>
      <c r="X501" s="206">
        <v>830.41</v>
      </c>
      <c r="Y501" s="192"/>
    </row>
    <row r="502" ht="37.5" customHeight="1" spans="1:25">
      <c r="A502" s="192">
        <f t="shared" si="18"/>
        <v>494</v>
      </c>
      <c r="B502" s="208">
        <v>2023</v>
      </c>
      <c r="C502" s="193" t="s">
        <v>37</v>
      </c>
      <c r="D502" s="277" t="s">
        <v>3284</v>
      </c>
      <c r="E502" s="195" t="s">
        <v>3285</v>
      </c>
      <c r="F502" s="196" t="s">
        <v>2073</v>
      </c>
      <c r="G502" s="197" t="s">
        <v>3239</v>
      </c>
      <c r="H502" s="198">
        <v>0.8</v>
      </c>
      <c r="I502" s="199">
        <v>20310</v>
      </c>
      <c r="J502" s="200" t="s">
        <v>2284</v>
      </c>
      <c r="K502" s="200" t="s">
        <v>2520</v>
      </c>
      <c r="L502" s="201">
        <v>0.4</v>
      </c>
      <c r="M502" s="278" t="s">
        <v>3286</v>
      </c>
      <c r="N502" s="205">
        <v>5000.04</v>
      </c>
      <c r="O502" s="254">
        <v>5000.04</v>
      </c>
      <c r="P502" s="254">
        <v>4000.03</v>
      </c>
      <c r="Q502" s="254">
        <v>4000.03</v>
      </c>
      <c r="R502" s="1262" t="s">
        <v>3227</v>
      </c>
      <c r="S502" s="254">
        <v>2000.02</v>
      </c>
      <c r="T502" s="204">
        <v>44955</v>
      </c>
      <c r="U502" s="1262" t="s">
        <v>3228</v>
      </c>
      <c r="V502" s="254">
        <v>1000.01</v>
      </c>
      <c r="W502" s="1262" t="s">
        <v>3229</v>
      </c>
      <c r="X502" s="206">
        <v>1000.01</v>
      </c>
      <c r="Y502" s="192"/>
    </row>
    <row r="503" ht="37.5" customHeight="1" spans="1:25">
      <c r="A503" s="192">
        <f t="shared" si="18"/>
        <v>495</v>
      </c>
      <c r="B503" s="208">
        <v>2023</v>
      </c>
      <c r="C503" s="193" t="s">
        <v>37</v>
      </c>
      <c r="D503" s="277" t="s">
        <v>3237</v>
      </c>
      <c r="E503" s="195" t="s">
        <v>3287</v>
      </c>
      <c r="F503" s="196" t="s">
        <v>2073</v>
      </c>
      <c r="G503" s="197" t="s">
        <v>3239</v>
      </c>
      <c r="H503" s="198">
        <v>0.8</v>
      </c>
      <c r="I503" s="199">
        <v>500000</v>
      </c>
      <c r="J503" s="200" t="s">
        <v>2302</v>
      </c>
      <c r="K503" s="200" t="s">
        <v>2303</v>
      </c>
      <c r="L503" s="201">
        <v>0.4</v>
      </c>
      <c r="M503" s="278" t="s">
        <v>3047</v>
      </c>
      <c r="N503" s="205">
        <v>271666.62</v>
      </c>
      <c r="O503" s="254">
        <v>271666.62</v>
      </c>
      <c r="P503" s="254">
        <v>217333.29</v>
      </c>
      <c r="Q503" s="254">
        <v>217333.29</v>
      </c>
      <c r="R503" s="1262" t="s">
        <v>3227</v>
      </c>
      <c r="S503" s="254">
        <v>108666.65</v>
      </c>
      <c r="T503" s="204">
        <v>44955</v>
      </c>
      <c r="U503" s="1262" t="s">
        <v>3228</v>
      </c>
      <c r="V503" s="254">
        <v>54333.32</v>
      </c>
      <c r="W503" s="1262" t="s">
        <v>3229</v>
      </c>
      <c r="X503" s="206">
        <v>54333.32</v>
      </c>
      <c r="Y503" s="192"/>
    </row>
    <row r="504" ht="37.5" customHeight="1" spans="1:25">
      <c r="A504" s="192">
        <f t="shared" si="18"/>
        <v>496</v>
      </c>
      <c r="B504" s="208">
        <v>2023</v>
      </c>
      <c r="C504" s="193" t="s">
        <v>37</v>
      </c>
      <c r="D504" s="277" t="s">
        <v>3288</v>
      </c>
      <c r="E504" s="195" t="s">
        <v>3289</v>
      </c>
      <c r="F504" s="196" t="s">
        <v>2073</v>
      </c>
      <c r="G504" s="197" t="s">
        <v>3239</v>
      </c>
      <c r="H504" s="198">
        <v>0.8</v>
      </c>
      <c r="I504" s="199">
        <v>46140</v>
      </c>
      <c r="J504" s="200" t="s">
        <v>2207</v>
      </c>
      <c r="K504" s="200" t="s">
        <v>2208</v>
      </c>
      <c r="L504" s="201">
        <v>0.4</v>
      </c>
      <c r="M504" s="278" t="s">
        <v>3252</v>
      </c>
      <c r="N504" s="205">
        <v>4583.38</v>
      </c>
      <c r="O504" s="254">
        <v>4583.38</v>
      </c>
      <c r="P504" s="254">
        <v>3666.7</v>
      </c>
      <c r="Q504" s="254">
        <v>3666.7</v>
      </c>
      <c r="R504" s="1262" t="s">
        <v>3227</v>
      </c>
      <c r="S504" s="254">
        <v>1833.35</v>
      </c>
      <c r="T504" s="204">
        <v>44955</v>
      </c>
      <c r="U504" s="1262" t="s">
        <v>3228</v>
      </c>
      <c r="V504" s="254">
        <v>916.68</v>
      </c>
      <c r="W504" s="1262" t="s">
        <v>3229</v>
      </c>
      <c r="X504" s="206">
        <v>916.68</v>
      </c>
      <c r="Y504" s="192"/>
    </row>
    <row r="505" ht="37.5" customHeight="1" spans="1:25">
      <c r="A505" s="192">
        <f t="shared" si="18"/>
        <v>497</v>
      </c>
      <c r="B505" s="208">
        <v>2023</v>
      </c>
      <c r="C505" s="193" t="s">
        <v>37</v>
      </c>
      <c r="D505" s="277" t="s">
        <v>3290</v>
      </c>
      <c r="E505" s="195" t="s">
        <v>3291</v>
      </c>
      <c r="F505" s="196" t="s">
        <v>2073</v>
      </c>
      <c r="G505" s="197" t="s">
        <v>3239</v>
      </c>
      <c r="H505" s="198">
        <v>0.8</v>
      </c>
      <c r="I505" s="199">
        <v>40000</v>
      </c>
      <c r="J505" s="200" t="s">
        <v>2191</v>
      </c>
      <c r="K505" s="200" t="s">
        <v>2192</v>
      </c>
      <c r="L505" s="201">
        <v>0.4</v>
      </c>
      <c r="M505" s="278" t="s">
        <v>3292</v>
      </c>
      <c r="N505" s="205">
        <v>12708.4</v>
      </c>
      <c r="O505" s="254">
        <v>12708.4</v>
      </c>
      <c r="P505" s="254">
        <v>10166.72</v>
      </c>
      <c r="Q505" s="254">
        <v>10166.72</v>
      </c>
      <c r="R505" s="1262" t="s">
        <v>3227</v>
      </c>
      <c r="S505" s="254">
        <v>5083.36</v>
      </c>
      <c r="T505" s="204">
        <v>44955</v>
      </c>
      <c r="U505" s="1262" t="s">
        <v>3228</v>
      </c>
      <c r="V505" s="254">
        <v>2541.68</v>
      </c>
      <c r="W505" s="1262" t="s">
        <v>3229</v>
      </c>
      <c r="X505" s="206">
        <v>2541.68</v>
      </c>
      <c r="Y505" s="192"/>
    </row>
    <row r="506" ht="37.5" customHeight="1" spans="1:25">
      <c r="A506" s="192">
        <f t="shared" si="18"/>
        <v>498</v>
      </c>
      <c r="B506" s="208">
        <v>2023</v>
      </c>
      <c r="C506" s="193" t="s">
        <v>37</v>
      </c>
      <c r="D506" s="277" t="s">
        <v>3293</v>
      </c>
      <c r="E506" s="195" t="s">
        <v>3294</v>
      </c>
      <c r="F506" s="196" t="s">
        <v>2073</v>
      </c>
      <c r="G506" s="197" t="s">
        <v>3239</v>
      </c>
      <c r="H506" s="198">
        <v>0.8</v>
      </c>
      <c r="I506" s="199">
        <v>10000</v>
      </c>
      <c r="J506" s="200" t="s">
        <v>2272</v>
      </c>
      <c r="K506" s="200" t="s">
        <v>2273</v>
      </c>
      <c r="L506" s="201">
        <v>0.4</v>
      </c>
      <c r="M506" s="278" t="s">
        <v>3036</v>
      </c>
      <c r="N506" s="205">
        <v>1250</v>
      </c>
      <c r="O506" s="254">
        <v>1250</v>
      </c>
      <c r="P506" s="254">
        <v>1000</v>
      </c>
      <c r="Q506" s="254">
        <v>1000</v>
      </c>
      <c r="R506" s="1262" t="s">
        <v>3227</v>
      </c>
      <c r="S506" s="254">
        <v>500</v>
      </c>
      <c r="T506" s="204">
        <v>44955</v>
      </c>
      <c r="U506" s="1262" t="s">
        <v>3228</v>
      </c>
      <c r="V506" s="254">
        <v>250</v>
      </c>
      <c r="W506" s="1262" t="s">
        <v>3229</v>
      </c>
      <c r="X506" s="206">
        <v>250</v>
      </c>
      <c r="Y506" s="192"/>
    </row>
    <row r="507" ht="37.5" customHeight="1" spans="1:25">
      <c r="A507" s="192">
        <f t="shared" si="18"/>
        <v>499</v>
      </c>
      <c r="B507" s="208">
        <v>2023</v>
      </c>
      <c r="C507" s="193" t="s">
        <v>37</v>
      </c>
      <c r="D507" s="277" t="s">
        <v>3295</v>
      </c>
      <c r="E507" s="195" t="s">
        <v>3296</v>
      </c>
      <c r="F507" s="196" t="s">
        <v>2073</v>
      </c>
      <c r="G507" s="197" t="s">
        <v>3239</v>
      </c>
      <c r="H507" s="198">
        <v>0.8</v>
      </c>
      <c r="I507" s="199">
        <v>81000</v>
      </c>
      <c r="J507" s="200" t="s">
        <v>2354</v>
      </c>
      <c r="K507" s="200" t="s">
        <v>2355</v>
      </c>
      <c r="L507" s="201">
        <v>0.4</v>
      </c>
      <c r="M507" s="278" t="s">
        <v>3076</v>
      </c>
      <c r="N507" s="205">
        <v>1112.63</v>
      </c>
      <c r="O507" s="254">
        <v>1112.63</v>
      </c>
      <c r="P507" s="254">
        <v>890.1</v>
      </c>
      <c r="Q507" s="254">
        <v>890.1</v>
      </c>
      <c r="R507" s="1262" t="s">
        <v>3227</v>
      </c>
      <c r="S507" s="254">
        <v>445.05</v>
      </c>
      <c r="T507" s="204">
        <v>44955</v>
      </c>
      <c r="U507" s="1262" t="s">
        <v>3228</v>
      </c>
      <c r="V507" s="254">
        <v>222.53</v>
      </c>
      <c r="W507" s="1262" t="s">
        <v>3229</v>
      </c>
      <c r="X507" s="206">
        <v>222.53</v>
      </c>
      <c r="Y507" s="192"/>
    </row>
    <row r="508" ht="37.5" customHeight="1" spans="1:25">
      <c r="A508" s="192">
        <f t="shared" si="18"/>
        <v>500</v>
      </c>
      <c r="B508" s="208">
        <v>2023</v>
      </c>
      <c r="C508" s="193" t="s">
        <v>37</v>
      </c>
      <c r="D508" s="277" t="s">
        <v>3297</v>
      </c>
      <c r="E508" s="195" t="s">
        <v>3298</v>
      </c>
      <c r="F508" s="196" t="s">
        <v>2073</v>
      </c>
      <c r="G508" s="197" t="s">
        <v>3239</v>
      </c>
      <c r="H508" s="198">
        <v>0.8</v>
      </c>
      <c r="I508" s="199">
        <v>154900</v>
      </c>
      <c r="J508" s="200" t="s">
        <v>1845</v>
      </c>
      <c r="K508" s="200" t="s">
        <v>2257</v>
      </c>
      <c r="L508" s="201">
        <v>0.4</v>
      </c>
      <c r="M508" s="278" t="s">
        <v>3159</v>
      </c>
      <c r="N508" s="205">
        <v>25000.04</v>
      </c>
      <c r="O508" s="254">
        <v>25000.04</v>
      </c>
      <c r="P508" s="254">
        <v>20000.03</v>
      </c>
      <c r="Q508" s="254">
        <v>20000.03</v>
      </c>
      <c r="R508" s="1262" t="s">
        <v>3227</v>
      </c>
      <c r="S508" s="254">
        <v>10000.02</v>
      </c>
      <c r="T508" s="204">
        <v>44955</v>
      </c>
      <c r="U508" s="1262" t="s">
        <v>3228</v>
      </c>
      <c r="V508" s="254">
        <v>5000.01</v>
      </c>
      <c r="W508" s="1262" t="s">
        <v>3229</v>
      </c>
      <c r="X508" s="206">
        <v>5000.01</v>
      </c>
      <c r="Y508" s="192"/>
    </row>
    <row r="509" ht="37.5" customHeight="1" spans="1:25">
      <c r="A509" s="192">
        <f t="shared" si="18"/>
        <v>501</v>
      </c>
      <c r="B509" s="208">
        <v>2023</v>
      </c>
      <c r="C509" s="193" t="s">
        <v>37</v>
      </c>
      <c r="D509" s="277" t="s">
        <v>3299</v>
      </c>
      <c r="E509" s="195" t="s">
        <v>3300</v>
      </c>
      <c r="F509" s="196" t="s">
        <v>2073</v>
      </c>
      <c r="G509" s="197" t="s">
        <v>3239</v>
      </c>
      <c r="H509" s="198">
        <v>0.8</v>
      </c>
      <c r="I509" s="199">
        <v>65000</v>
      </c>
      <c r="J509" s="200" t="s">
        <v>1951</v>
      </c>
      <c r="K509" s="200" t="s">
        <v>2238</v>
      </c>
      <c r="L509" s="201">
        <v>0.4</v>
      </c>
      <c r="M509" s="278" t="s">
        <v>2956</v>
      </c>
      <c r="N509" s="205">
        <v>2902.01</v>
      </c>
      <c r="O509" s="254">
        <v>2902.01</v>
      </c>
      <c r="P509" s="254">
        <v>2321.61</v>
      </c>
      <c r="Q509" s="254">
        <v>2321.61</v>
      </c>
      <c r="R509" s="1262" t="s">
        <v>3227</v>
      </c>
      <c r="S509" s="254">
        <v>1160.8</v>
      </c>
      <c r="T509" s="204">
        <v>44955</v>
      </c>
      <c r="U509" s="1262" t="s">
        <v>3228</v>
      </c>
      <c r="V509" s="254">
        <v>580.4</v>
      </c>
      <c r="W509" s="1262" t="s">
        <v>3229</v>
      </c>
      <c r="X509" s="206">
        <v>580.4</v>
      </c>
      <c r="Y509" s="192"/>
    </row>
    <row r="510" ht="37.5" customHeight="1" spans="1:25">
      <c r="A510" s="192">
        <f t="shared" si="18"/>
        <v>502</v>
      </c>
      <c r="B510" s="208">
        <v>2023</v>
      </c>
      <c r="C510" s="193" t="s">
        <v>37</v>
      </c>
      <c r="D510" s="277" t="s">
        <v>3301</v>
      </c>
      <c r="E510" s="195" t="s">
        <v>3302</v>
      </c>
      <c r="F510" s="196" t="s">
        <v>2073</v>
      </c>
      <c r="G510" s="197" t="s">
        <v>3239</v>
      </c>
      <c r="H510" s="198">
        <v>0.8</v>
      </c>
      <c r="I510" s="199">
        <v>110099</v>
      </c>
      <c r="J510" s="200" t="s">
        <v>1970</v>
      </c>
      <c r="K510" s="200" t="s">
        <v>2245</v>
      </c>
      <c r="L510" s="201">
        <v>0.4</v>
      </c>
      <c r="M510" s="278" t="s">
        <v>2979</v>
      </c>
      <c r="N510" s="205">
        <v>14000</v>
      </c>
      <c r="O510" s="254">
        <v>14000</v>
      </c>
      <c r="P510" s="254">
        <v>11200</v>
      </c>
      <c r="Q510" s="254">
        <v>11200</v>
      </c>
      <c r="R510" s="1262" t="s">
        <v>3227</v>
      </c>
      <c r="S510" s="254">
        <v>5600</v>
      </c>
      <c r="T510" s="204">
        <v>44955</v>
      </c>
      <c r="U510" s="1262" t="s">
        <v>3228</v>
      </c>
      <c r="V510" s="254">
        <v>2800</v>
      </c>
      <c r="W510" s="1262" t="s">
        <v>3229</v>
      </c>
      <c r="X510" s="206">
        <v>2800</v>
      </c>
      <c r="Y510" s="192"/>
    </row>
    <row r="511" ht="37.5" customHeight="1" spans="1:25">
      <c r="A511" s="192">
        <f t="shared" si="18"/>
        <v>503</v>
      </c>
      <c r="B511" s="208">
        <v>2023</v>
      </c>
      <c r="C511" s="193" t="s">
        <v>37</v>
      </c>
      <c r="D511" s="277" t="s">
        <v>3303</v>
      </c>
      <c r="E511" s="195" t="s">
        <v>3304</v>
      </c>
      <c r="F511" s="196" t="s">
        <v>2073</v>
      </c>
      <c r="G511" s="197" t="s">
        <v>3239</v>
      </c>
      <c r="H511" s="198">
        <v>0.8</v>
      </c>
      <c r="I511" s="199">
        <v>10000</v>
      </c>
      <c r="J511" s="200" t="s">
        <v>3305</v>
      </c>
      <c r="K511" s="200" t="s">
        <v>2609</v>
      </c>
      <c r="L511" s="201">
        <v>0.4</v>
      </c>
      <c r="M511" s="278" t="s">
        <v>3047</v>
      </c>
      <c r="N511" s="205">
        <v>666.71</v>
      </c>
      <c r="O511" s="254">
        <v>666.71</v>
      </c>
      <c r="P511" s="254">
        <v>533.37</v>
      </c>
      <c r="Q511" s="254">
        <v>533.37</v>
      </c>
      <c r="R511" s="1262" t="s">
        <v>3227</v>
      </c>
      <c r="S511" s="254">
        <v>266.68</v>
      </c>
      <c r="T511" s="204">
        <v>44955</v>
      </c>
      <c r="U511" s="1262" t="s">
        <v>3228</v>
      </c>
      <c r="V511" s="254">
        <v>133.34</v>
      </c>
      <c r="W511" s="1262" t="s">
        <v>3229</v>
      </c>
      <c r="X511" s="206">
        <v>133.34</v>
      </c>
      <c r="Y511" s="192"/>
    </row>
    <row r="512" ht="37.5" customHeight="1" spans="1:25">
      <c r="A512" s="192">
        <f t="shared" si="18"/>
        <v>504</v>
      </c>
      <c r="B512" s="208">
        <v>2023</v>
      </c>
      <c r="C512" s="193" t="s">
        <v>37</v>
      </c>
      <c r="D512" s="277" t="s">
        <v>3306</v>
      </c>
      <c r="E512" s="195" t="s">
        <v>3307</v>
      </c>
      <c r="F512" s="196" t="s">
        <v>2073</v>
      </c>
      <c r="G512" s="197" t="s">
        <v>3239</v>
      </c>
      <c r="H512" s="198">
        <v>0.8</v>
      </c>
      <c r="I512" s="199">
        <v>47716.82</v>
      </c>
      <c r="J512" s="200" t="s">
        <v>3305</v>
      </c>
      <c r="K512" s="200" t="s">
        <v>2609</v>
      </c>
      <c r="L512" s="201">
        <v>0.4</v>
      </c>
      <c r="M512" s="278" t="s">
        <v>3308</v>
      </c>
      <c r="N512" s="205">
        <v>22739.8</v>
      </c>
      <c r="O512" s="254">
        <v>22739.8</v>
      </c>
      <c r="P512" s="254">
        <v>18191.84</v>
      </c>
      <c r="Q512" s="254">
        <v>18191.84</v>
      </c>
      <c r="R512" s="1262" t="s">
        <v>3227</v>
      </c>
      <c r="S512" s="254">
        <v>9095.92</v>
      </c>
      <c r="T512" s="204">
        <v>44955</v>
      </c>
      <c r="U512" s="1262" t="s">
        <v>3228</v>
      </c>
      <c r="V512" s="199">
        <v>4547.96</v>
      </c>
      <c r="W512" s="1262" t="s">
        <v>3229</v>
      </c>
      <c r="X512" s="206">
        <v>4547.96</v>
      </c>
      <c r="Y512" s="192"/>
    </row>
    <row r="513" ht="37.5" customHeight="1" spans="1:25">
      <c r="A513" s="192">
        <f t="shared" si="18"/>
        <v>505</v>
      </c>
      <c r="B513" s="208">
        <v>2023</v>
      </c>
      <c r="C513" s="193" t="s">
        <v>37</v>
      </c>
      <c r="D513" s="277" t="s">
        <v>3309</v>
      </c>
      <c r="E513" s="195" t="s">
        <v>3310</v>
      </c>
      <c r="F513" s="196" t="s">
        <v>2073</v>
      </c>
      <c r="G513" s="197" t="s">
        <v>3239</v>
      </c>
      <c r="H513" s="198">
        <v>0.8</v>
      </c>
      <c r="I513" s="199">
        <v>10000</v>
      </c>
      <c r="J513" s="200" t="s">
        <v>2252</v>
      </c>
      <c r="K513" s="200" t="s">
        <v>2253</v>
      </c>
      <c r="L513" s="201">
        <v>0.4</v>
      </c>
      <c r="M513" s="278" t="s">
        <v>3136</v>
      </c>
      <c r="N513" s="205">
        <v>5833.35</v>
      </c>
      <c r="O513" s="254">
        <v>5833.35</v>
      </c>
      <c r="P513" s="254">
        <v>4666.68</v>
      </c>
      <c r="Q513" s="254">
        <v>4666.68</v>
      </c>
      <c r="R513" s="1262" t="s">
        <v>3227</v>
      </c>
      <c r="S513" s="254">
        <v>2333.34</v>
      </c>
      <c r="T513" s="204">
        <v>44955</v>
      </c>
      <c r="U513" s="1262" t="s">
        <v>3228</v>
      </c>
      <c r="V513" s="254">
        <v>1166.67</v>
      </c>
      <c r="W513" s="1262" t="s">
        <v>3229</v>
      </c>
      <c r="X513" s="206">
        <v>1166.67</v>
      </c>
      <c r="Y513" s="192"/>
    </row>
    <row r="514" ht="37.5" customHeight="1" spans="1:25">
      <c r="A514" s="192">
        <f t="shared" si="18"/>
        <v>506</v>
      </c>
      <c r="B514" s="208">
        <v>2023</v>
      </c>
      <c r="C514" s="193" t="s">
        <v>37</v>
      </c>
      <c r="D514" s="277" t="s">
        <v>3311</v>
      </c>
      <c r="E514" s="195" t="s">
        <v>3312</v>
      </c>
      <c r="F514" s="196" t="s">
        <v>2073</v>
      </c>
      <c r="G514" s="197" t="s">
        <v>3239</v>
      </c>
      <c r="H514" s="198">
        <v>0.8</v>
      </c>
      <c r="I514" s="199">
        <v>10000</v>
      </c>
      <c r="J514" s="200" t="s">
        <v>1957</v>
      </c>
      <c r="K514" s="200" t="s">
        <v>2260</v>
      </c>
      <c r="L514" s="201">
        <v>0.4</v>
      </c>
      <c r="M514" s="278" t="s">
        <v>2008</v>
      </c>
      <c r="N514" s="205">
        <v>3116.72</v>
      </c>
      <c r="O514" s="254">
        <v>3116.72</v>
      </c>
      <c r="P514" s="254">
        <v>2493.38</v>
      </c>
      <c r="Q514" s="254">
        <v>2493.38</v>
      </c>
      <c r="R514" s="1262" t="s">
        <v>3227</v>
      </c>
      <c r="S514" s="254">
        <v>1246.69</v>
      </c>
      <c r="T514" s="204">
        <v>44955</v>
      </c>
      <c r="U514" s="1262" t="s">
        <v>3228</v>
      </c>
      <c r="V514" s="254">
        <v>623.34</v>
      </c>
      <c r="W514" s="1262" t="s">
        <v>3229</v>
      </c>
      <c r="X514" s="258">
        <v>623.34</v>
      </c>
      <c r="Y514" s="192"/>
    </row>
    <row r="515" ht="37.5" customHeight="1" spans="1:25">
      <c r="A515" s="192">
        <f t="shared" si="18"/>
        <v>507</v>
      </c>
      <c r="B515" s="208">
        <v>2023</v>
      </c>
      <c r="C515" s="193" t="s">
        <v>37</v>
      </c>
      <c r="D515" s="277" t="s">
        <v>3313</v>
      </c>
      <c r="E515" s="195" t="s">
        <v>3314</v>
      </c>
      <c r="F515" s="196" t="s">
        <v>2073</v>
      </c>
      <c r="G515" s="197" t="s">
        <v>3239</v>
      </c>
      <c r="H515" s="198">
        <v>0.8</v>
      </c>
      <c r="I515" s="199">
        <v>18000</v>
      </c>
      <c r="J515" s="200" t="s">
        <v>3315</v>
      </c>
      <c r="K515" s="200" t="s">
        <v>2639</v>
      </c>
      <c r="L515" s="201">
        <v>0.4</v>
      </c>
      <c r="M515" s="278" t="s">
        <v>2144</v>
      </c>
      <c r="N515" s="205">
        <v>10061.95</v>
      </c>
      <c r="O515" s="254">
        <v>10061.95</v>
      </c>
      <c r="P515" s="254">
        <v>8049.56</v>
      </c>
      <c r="Q515" s="254">
        <v>8049.56</v>
      </c>
      <c r="R515" s="1262" t="s">
        <v>3227</v>
      </c>
      <c r="S515" s="254">
        <v>4024.78</v>
      </c>
      <c r="T515" s="204">
        <v>44955</v>
      </c>
      <c r="U515" s="1262" t="s">
        <v>3228</v>
      </c>
      <c r="V515" s="254">
        <v>2012.39</v>
      </c>
      <c r="W515" s="1262" t="s">
        <v>3229</v>
      </c>
      <c r="X515" s="206">
        <v>2012.39</v>
      </c>
      <c r="Y515" s="192"/>
    </row>
    <row r="516" ht="37.5" customHeight="1" spans="1:25">
      <c r="A516" s="192">
        <f t="shared" si="18"/>
        <v>508</v>
      </c>
      <c r="B516" s="208">
        <v>2023</v>
      </c>
      <c r="C516" s="193" t="s">
        <v>37</v>
      </c>
      <c r="D516" s="277" t="s">
        <v>3316</v>
      </c>
      <c r="E516" s="195" t="s">
        <v>3317</v>
      </c>
      <c r="F516" s="196" t="s">
        <v>2073</v>
      </c>
      <c r="G516" s="197" t="s">
        <v>3239</v>
      </c>
      <c r="H516" s="198">
        <v>0.8</v>
      </c>
      <c r="I516" s="199">
        <v>23000</v>
      </c>
      <c r="J516" s="200" t="s">
        <v>2776</v>
      </c>
      <c r="K516" s="200" t="s">
        <v>2777</v>
      </c>
      <c r="L516" s="201">
        <v>0.4</v>
      </c>
      <c r="M516" s="278" t="s">
        <v>3232</v>
      </c>
      <c r="N516" s="205">
        <v>12750.02</v>
      </c>
      <c r="O516" s="254">
        <v>12750.02</v>
      </c>
      <c r="P516" s="254">
        <v>10200.02</v>
      </c>
      <c r="Q516" s="254">
        <v>10200.02</v>
      </c>
      <c r="R516" s="1262" t="s">
        <v>3227</v>
      </c>
      <c r="S516" s="254">
        <v>5100.01</v>
      </c>
      <c r="T516" s="204">
        <v>44955</v>
      </c>
      <c r="U516" s="1262" t="s">
        <v>3228</v>
      </c>
      <c r="V516" s="199">
        <v>2550</v>
      </c>
      <c r="W516" s="1262" t="s">
        <v>3229</v>
      </c>
      <c r="X516" s="206">
        <v>2550</v>
      </c>
      <c r="Y516" s="192"/>
    </row>
    <row r="517" ht="37.5" customHeight="1" spans="1:25">
      <c r="A517" s="192">
        <f t="shared" si="18"/>
        <v>509</v>
      </c>
      <c r="B517" s="208">
        <v>2023</v>
      </c>
      <c r="C517" s="193" t="s">
        <v>37</v>
      </c>
      <c r="D517" s="277" t="s">
        <v>3318</v>
      </c>
      <c r="E517" s="195" t="s">
        <v>3319</v>
      </c>
      <c r="F517" s="196" t="s">
        <v>2073</v>
      </c>
      <c r="G517" s="197" t="s">
        <v>3239</v>
      </c>
      <c r="H517" s="198">
        <v>0.8</v>
      </c>
      <c r="I517" s="199">
        <v>42250</v>
      </c>
      <c r="J517" s="200" t="s">
        <v>2936</v>
      </c>
      <c r="K517" s="200" t="s">
        <v>2937</v>
      </c>
      <c r="L517" s="201">
        <v>0.4</v>
      </c>
      <c r="M517" s="278" t="s">
        <v>3320</v>
      </c>
      <c r="N517" s="205">
        <v>9123.4</v>
      </c>
      <c r="O517" s="254">
        <v>9123.4</v>
      </c>
      <c r="P517" s="254">
        <v>7298.71</v>
      </c>
      <c r="Q517" s="254">
        <v>7298.71</v>
      </c>
      <c r="R517" s="1262" t="s">
        <v>3227</v>
      </c>
      <c r="S517" s="254">
        <v>3649.36</v>
      </c>
      <c r="T517" s="204">
        <v>44955</v>
      </c>
      <c r="U517" s="1262" t="s">
        <v>3228</v>
      </c>
      <c r="V517" s="254">
        <v>1824.68</v>
      </c>
      <c r="W517" s="1262" t="s">
        <v>3229</v>
      </c>
      <c r="X517" s="206">
        <v>1824.68</v>
      </c>
      <c r="Y517" s="192"/>
    </row>
    <row r="518" ht="37.5" customHeight="1" spans="1:25">
      <c r="A518" s="192">
        <f t="shared" si="18"/>
        <v>510</v>
      </c>
      <c r="B518" s="208">
        <v>2023</v>
      </c>
      <c r="C518" s="193" t="s">
        <v>37</v>
      </c>
      <c r="D518" s="277" t="s">
        <v>3280</v>
      </c>
      <c r="E518" s="195" t="s">
        <v>3321</v>
      </c>
      <c r="F518" s="196" t="s">
        <v>2073</v>
      </c>
      <c r="G518" s="197" t="s">
        <v>3239</v>
      </c>
      <c r="H518" s="198">
        <v>0.8</v>
      </c>
      <c r="I518" s="199">
        <v>15766</v>
      </c>
      <c r="J518" s="200" t="s">
        <v>3119</v>
      </c>
      <c r="K518" s="200" t="s">
        <v>3120</v>
      </c>
      <c r="L518" s="201">
        <v>0.4</v>
      </c>
      <c r="M518" s="278" t="s">
        <v>2008</v>
      </c>
      <c r="N518" s="205">
        <v>9328.56</v>
      </c>
      <c r="O518" s="254">
        <v>9328.56</v>
      </c>
      <c r="P518" s="254">
        <v>7462.85</v>
      </c>
      <c r="Q518" s="254">
        <v>7462.85</v>
      </c>
      <c r="R518" s="1262" t="s">
        <v>3227</v>
      </c>
      <c r="S518" s="254">
        <v>3731.42</v>
      </c>
      <c r="T518" s="204">
        <v>44955</v>
      </c>
      <c r="U518" s="1262" t="s">
        <v>3228</v>
      </c>
      <c r="V518" s="254">
        <v>1865.71</v>
      </c>
      <c r="W518" s="1262" t="s">
        <v>3229</v>
      </c>
      <c r="X518" s="206">
        <v>1865.71</v>
      </c>
      <c r="Y518" s="192"/>
    </row>
    <row r="519" ht="37.5" customHeight="1" spans="1:25">
      <c r="A519" s="192">
        <f t="shared" si="18"/>
        <v>511</v>
      </c>
      <c r="B519" s="208">
        <v>2023</v>
      </c>
      <c r="C519" s="193" t="s">
        <v>37</v>
      </c>
      <c r="D519" s="277" t="s">
        <v>2134</v>
      </c>
      <c r="E519" s="195" t="s">
        <v>3322</v>
      </c>
      <c r="F519" s="196" t="s">
        <v>2073</v>
      </c>
      <c r="G519" s="197" t="s">
        <v>3239</v>
      </c>
      <c r="H519" s="198">
        <v>0.8</v>
      </c>
      <c r="I519" s="199">
        <v>20519</v>
      </c>
      <c r="J519" s="200" t="s">
        <v>3119</v>
      </c>
      <c r="K519" s="200" t="s">
        <v>3120</v>
      </c>
      <c r="L519" s="201">
        <v>0.4</v>
      </c>
      <c r="M519" s="278" t="s">
        <v>3007</v>
      </c>
      <c r="N519" s="205">
        <v>8385.02</v>
      </c>
      <c r="O519" s="254">
        <v>8385.02</v>
      </c>
      <c r="P519" s="254">
        <v>6708.02</v>
      </c>
      <c r="Q519" s="254">
        <v>6708.02</v>
      </c>
      <c r="R519" s="1262" t="s">
        <v>3227</v>
      </c>
      <c r="S519" s="254">
        <v>3354.01</v>
      </c>
      <c r="T519" s="204">
        <v>44955</v>
      </c>
      <c r="U519" s="1262" t="s">
        <v>3228</v>
      </c>
      <c r="V519" s="254">
        <v>1677</v>
      </c>
      <c r="W519" s="1262" t="s">
        <v>3229</v>
      </c>
      <c r="X519" s="206">
        <v>1677</v>
      </c>
      <c r="Y519" s="192"/>
    </row>
    <row r="520" ht="37.5" customHeight="1" spans="1:25">
      <c r="A520" s="192">
        <f t="shared" si="18"/>
        <v>512</v>
      </c>
      <c r="B520" s="208">
        <v>2023</v>
      </c>
      <c r="C520" s="193" t="s">
        <v>37</v>
      </c>
      <c r="D520" s="277" t="s">
        <v>3323</v>
      </c>
      <c r="E520" s="195" t="s">
        <v>3324</v>
      </c>
      <c r="F520" s="196" t="s">
        <v>2073</v>
      </c>
      <c r="G520" s="197" t="s">
        <v>3239</v>
      </c>
      <c r="H520" s="198">
        <v>0.8</v>
      </c>
      <c r="I520" s="199">
        <v>15665.69</v>
      </c>
      <c r="J520" s="200" t="s">
        <v>2429</v>
      </c>
      <c r="K520" s="200" t="s">
        <v>2820</v>
      </c>
      <c r="L520" s="201">
        <v>0.4</v>
      </c>
      <c r="M520" s="278" t="s">
        <v>3286</v>
      </c>
      <c r="N520" s="205">
        <v>862.51</v>
      </c>
      <c r="O520" s="254">
        <v>862.51</v>
      </c>
      <c r="P520" s="254">
        <v>690.01</v>
      </c>
      <c r="Q520" s="254">
        <v>690.01</v>
      </c>
      <c r="R520" s="1262" t="s">
        <v>3227</v>
      </c>
      <c r="S520" s="254">
        <v>345</v>
      </c>
      <c r="T520" s="204">
        <v>44955</v>
      </c>
      <c r="U520" s="1262" t="s">
        <v>3228</v>
      </c>
      <c r="V520" s="254">
        <v>172.5</v>
      </c>
      <c r="W520" s="1262" t="s">
        <v>3229</v>
      </c>
      <c r="X520" s="206">
        <v>172.5</v>
      </c>
      <c r="Y520" s="192"/>
    </row>
    <row r="521" ht="37.5" customHeight="1" spans="1:25">
      <c r="A521" s="192">
        <f t="shared" si="18"/>
        <v>513</v>
      </c>
      <c r="B521" s="208">
        <v>2023</v>
      </c>
      <c r="C521" s="193" t="s">
        <v>37</v>
      </c>
      <c r="D521" s="277" t="s">
        <v>3325</v>
      </c>
      <c r="E521" s="195" t="s">
        <v>3326</v>
      </c>
      <c r="F521" s="196" t="s">
        <v>2073</v>
      </c>
      <c r="G521" s="197" t="s">
        <v>3239</v>
      </c>
      <c r="H521" s="198">
        <v>0.8</v>
      </c>
      <c r="I521" s="199">
        <v>10547.72</v>
      </c>
      <c r="J521" s="200" t="s">
        <v>2405</v>
      </c>
      <c r="K521" s="200" t="s">
        <v>2731</v>
      </c>
      <c r="L521" s="201">
        <v>0.4</v>
      </c>
      <c r="M521" s="278" t="s">
        <v>3327</v>
      </c>
      <c r="N521" s="205">
        <v>5333.36</v>
      </c>
      <c r="O521" s="254">
        <v>5333.36</v>
      </c>
      <c r="P521" s="254">
        <v>4266.69</v>
      </c>
      <c r="Q521" s="254">
        <v>4266.69</v>
      </c>
      <c r="R521" s="1262" t="s">
        <v>3227</v>
      </c>
      <c r="S521" s="254">
        <v>2133.34</v>
      </c>
      <c r="T521" s="204">
        <v>44955</v>
      </c>
      <c r="U521" s="1262" t="s">
        <v>3228</v>
      </c>
      <c r="V521" s="254">
        <v>1066.67</v>
      </c>
      <c r="W521" s="1262" t="s">
        <v>3229</v>
      </c>
      <c r="X521" s="206">
        <v>1066.67</v>
      </c>
      <c r="Y521" s="192"/>
    </row>
    <row r="522" ht="37.5" customHeight="1" spans="1:25">
      <c r="A522" s="192">
        <f t="shared" si="18"/>
        <v>514</v>
      </c>
      <c r="B522" s="208">
        <v>2023</v>
      </c>
      <c r="C522" s="193" t="s">
        <v>37</v>
      </c>
      <c r="D522" s="277" t="s">
        <v>3328</v>
      </c>
      <c r="E522" s="195" t="s">
        <v>3329</v>
      </c>
      <c r="F522" s="196" t="s">
        <v>2073</v>
      </c>
      <c r="G522" s="197" t="s">
        <v>3239</v>
      </c>
      <c r="H522" s="198">
        <v>0.8</v>
      </c>
      <c r="I522" s="199">
        <v>17231.87</v>
      </c>
      <c r="J522" s="200" t="s">
        <v>2016</v>
      </c>
      <c r="K522" s="200" t="s">
        <v>3330</v>
      </c>
      <c r="L522" s="201">
        <v>0.4</v>
      </c>
      <c r="M522" s="278" t="s">
        <v>3036</v>
      </c>
      <c r="N522" s="205">
        <v>133.36</v>
      </c>
      <c r="O522" s="254">
        <v>133.36</v>
      </c>
      <c r="P522" s="254">
        <v>106.69</v>
      </c>
      <c r="Q522" s="254">
        <v>106.69</v>
      </c>
      <c r="R522" s="1262" t="s">
        <v>3227</v>
      </c>
      <c r="S522" s="254">
        <v>53.34</v>
      </c>
      <c r="T522" s="204">
        <v>44955</v>
      </c>
      <c r="U522" s="1262" t="s">
        <v>3228</v>
      </c>
      <c r="V522" s="254">
        <v>26.67</v>
      </c>
      <c r="W522" s="1262" t="s">
        <v>3229</v>
      </c>
      <c r="X522" s="206">
        <v>26.67</v>
      </c>
      <c r="Y522" s="192"/>
    </row>
    <row r="523" ht="37.5" customHeight="1" spans="1:25">
      <c r="A523" s="192">
        <f t="shared" si="18"/>
        <v>515</v>
      </c>
      <c r="B523" s="208">
        <v>2023</v>
      </c>
      <c r="C523" s="193" t="s">
        <v>37</v>
      </c>
      <c r="D523" s="277" t="s">
        <v>3331</v>
      </c>
      <c r="E523" s="195" t="s">
        <v>3332</v>
      </c>
      <c r="F523" s="196" t="s">
        <v>2073</v>
      </c>
      <c r="G523" s="197" t="s">
        <v>3239</v>
      </c>
      <c r="H523" s="198">
        <v>0.8</v>
      </c>
      <c r="I523" s="199">
        <v>23000</v>
      </c>
      <c r="J523" s="200" t="s">
        <v>2016</v>
      </c>
      <c r="K523" s="200" t="s">
        <v>3330</v>
      </c>
      <c r="L523" s="201">
        <v>0.4</v>
      </c>
      <c r="M523" s="278" t="s">
        <v>2951</v>
      </c>
      <c r="N523" s="205">
        <v>16461.85</v>
      </c>
      <c r="O523" s="254">
        <v>16461.85</v>
      </c>
      <c r="P523" s="254">
        <v>13169.48</v>
      </c>
      <c r="Q523" s="254">
        <v>13169.48</v>
      </c>
      <c r="R523" s="1262" t="s">
        <v>3227</v>
      </c>
      <c r="S523" s="254">
        <v>6584.74</v>
      </c>
      <c r="T523" s="204">
        <v>44955</v>
      </c>
      <c r="U523" s="1262" t="s">
        <v>3228</v>
      </c>
      <c r="V523" s="254">
        <v>3292.37</v>
      </c>
      <c r="W523" s="1262" t="s">
        <v>3229</v>
      </c>
      <c r="X523" s="206">
        <v>3292.37</v>
      </c>
      <c r="Y523" s="192"/>
    </row>
    <row r="524" ht="37.5" customHeight="1" spans="1:25">
      <c r="A524" s="192">
        <f t="shared" si="18"/>
        <v>516</v>
      </c>
      <c r="B524" s="208">
        <v>2023</v>
      </c>
      <c r="C524" s="193" t="s">
        <v>37</v>
      </c>
      <c r="D524" s="277" t="s">
        <v>3333</v>
      </c>
      <c r="E524" s="195" t="s">
        <v>3334</v>
      </c>
      <c r="F524" s="196" t="s">
        <v>2073</v>
      </c>
      <c r="G524" s="197" t="s">
        <v>3239</v>
      </c>
      <c r="H524" s="198">
        <v>0.8</v>
      </c>
      <c r="I524" s="199">
        <v>12000</v>
      </c>
      <c r="J524" s="200" t="s">
        <v>2016</v>
      </c>
      <c r="K524" s="200" t="s">
        <v>3330</v>
      </c>
      <c r="L524" s="201">
        <v>0.4</v>
      </c>
      <c r="M524" s="278" t="s">
        <v>3262</v>
      </c>
      <c r="N524" s="205">
        <v>8666.7</v>
      </c>
      <c r="O524" s="254">
        <v>8666.7</v>
      </c>
      <c r="P524" s="254">
        <v>6933.36</v>
      </c>
      <c r="Q524" s="254">
        <v>6933.36</v>
      </c>
      <c r="R524" s="1262" t="s">
        <v>3227</v>
      </c>
      <c r="S524" s="254">
        <v>3466.68</v>
      </c>
      <c r="T524" s="204">
        <v>44955</v>
      </c>
      <c r="U524" s="1262" t="s">
        <v>3228</v>
      </c>
      <c r="V524" s="254">
        <v>1733.34</v>
      </c>
      <c r="W524" s="1262" t="s">
        <v>3229</v>
      </c>
      <c r="X524" s="206">
        <v>1733.34</v>
      </c>
      <c r="Y524" s="192"/>
    </row>
    <row r="525" ht="37.5" customHeight="1" spans="1:25">
      <c r="A525" s="192">
        <f t="shared" si="18"/>
        <v>517</v>
      </c>
      <c r="B525" s="208">
        <v>2023</v>
      </c>
      <c r="C525" s="193" t="s">
        <v>37</v>
      </c>
      <c r="D525" s="277" t="s">
        <v>3306</v>
      </c>
      <c r="E525" s="195" t="s">
        <v>3335</v>
      </c>
      <c r="F525" s="196" t="s">
        <v>2073</v>
      </c>
      <c r="G525" s="197" t="s">
        <v>3239</v>
      </c>
      <c r="H525" s="198">
        <v>0.8</v>
      </c>
      <c r="I525" s="199">
        <v>14701.06</v>
      </c>
      <c r="J525" s="200" t="s">
        <v>3164</v>
      </c>
      <c r="K525" s="200" t="s">
        <v>3165</v>
      </c>
      <c r="L525" s="201">
        <v>0.4</v>
      </c>
      <c r="M525" s="278" t="s">
        <v>3308</v>
      </c>
      <c r="N525" s="205">
        <v>3018.01</v>
      </c>
      <c r="O525" s="254">
        <v>3018.01</v>
      </c>
      <c r="P525" s="254">
        <v>2414.41</v>
      </c>
      <c r="Q525" s="254">
        <v>2414.41</v>
      </c>
      <c r="R525" s="1262" t="s">
        <v>3227</v>
      </c>
      <c r="S525" s="254">
        <v>1207.2</v>
      </c>
      <c r="T525" s="204">
        <v>44955</v>
      </c>
      <c r="U525" s="1262" t="s">
        <v>3228</v>
      </c>
      <c r="V525" s="254">
        <v>603.6</v>
      </c>
      <c r="W525" s="1262" t="s">
        <v>3229</v>
      </c>
      <c r="X525" s="206">
        <v>603.6</v>
      </c>
      <c r="Y525" s="192"/>
    </row>
    <row r="526" ht="37.5" customHeight="1" spans="1:25">
      <c r="A526" s="192">
        <f t="shared" si="18"/>
        <v>518</v>
      </c>
      <c r="B526" s="208">
        <v>2023</v>
      </c>
      <c r="C526" s="193" t="s">
        <v>37</v>
      </c>
      <c r="D526" s="277" t="s">
        <v>3336</v>
      </c>
      <c r="E526" s="195" t="s">
        <v>3337</v>
      </c>
      <c r="F526" s="196" t="s">
        <v>2073</v>
      </c>
      <c r="G526" s="197" t="s">
        <v>3239</v>
      </c>
      <c r="H526" s="198">
        <v>0.8</v>
      </c>
      <c r="I526" s="199">
        <v>11000</v>
      </c>
      <c r="J526" s="200" t="s">
        <v>3164</v>
      </c>
      <c r="K526" s="200" t="s">
        <v>3165</v>
      </c>
      <c r="L526" s="201">
        <v>0.4</v>
      </c>
      <c r="M526" s="278" t="s">
        <v>2027</v>
      </c>
      <c r="N526" s="205">
        <v>8631.5</v>
      </c>
      <c r="O526" s="254">
        <v>8631.5</v>
      </c>
      <c r="P526" s="254">
        <v>6905.2</v>
      </c>
      <c r="Q526" s="254">
        <v>6905.2</v>
      </c>
      <c r="R526" s="1262" t="s">
        <v>3227</v>
      </c>
      <c r="S526" s="254">
        <v>3452.6</v>
      </c>
      <c r="T526" s="204">
        <v>44955</v>
      </c>
      <c r="U526" s="1262" t="s">
        <v>3228</v>
      </c>
      <c r="V526" s="254">
        <v>1726.3</v>
      </c>
      <c r="W526" s="1262" t="s">
        <v>3229</v>
      </c>
      <c r="X526" s="206">
        <v>1726.3</v>
      </c>
      <c r="Y526" s="192"/>
    </row>
    <row r="527" ht="37.5" customHeight="1" spans="1:25">
      <c r="A527" s="192">
        <f t="shared" si="18"/>
        <v>519</v>
      </c>
      <c r="B527" s="208">
        <v>2023</v>
      </c>
      <c r="C527" s="193" t="s">
        <v>37</v>
      </c>
      <c r="D527" s="277" t="s">
        <v>338</v>
      </c>
      <c r="E527" s="195" t="s">
        <v>3338</v>
      </c>
      <c r="F527" s="196" t="s">
        <v>2073</v>
      </c>
      <c r="G527" s="197" t="s">
        <v>3239</v>
      </c>
      <c r="H527" s="198">
        <v>0.8</v>
      </c>
      <c r="I527" s="199">
        <v>27000</v>
      </c>
      <c r="J527" s="200" t="s">
        <v>2836</v>
      </c>
      <c r="K527" s="200" t="s">
        <v>2837</v>
      </c>
      <c r="L527" s="201">
        <v>0.4</v>
      </c>
      <c r="M527" s="278" t="s">
        <v>3140</v>
      </c>
      <c r="N527" s="205">
        <v>20000.03</v>
      </c>
      <c r="O527" s="254">
        <v>20000.03</v>
      </c>
      <c r="P527" s="254">
        <v>16000.03</v>
      </c>
      <c r="Q527" s="254">
        <v>16000.03</v>
      </c>
      <c r="R527" s="1262" t="s">
        <v>3227</v>
      </c>
      <c r="S527" s="254">
        <v>8000.01</v>
      </c>
      <c r="T527" s="204">
        <v>44955</v>
      </c>
      <c r="U527" s="1262" t="s">
        <v>3228</v>
      </c>
      <c r="V527" s="254">
        <v>4000.01</v>
      </c>
      <c r="W527" s="1262" t="s">
        <v>3229</v>
      </c>
      <c r="X527" s="206">
        <v>4000.01</v>
      </c>
      <c r="Y527" s="192"/>
    </row>
    <row r="528" ht="37.5" customHeight="1" spans="1:25">
      <c r="A528" s="192">
        <f t="shared" si="18"/>
        <v>520</v>
      </c>
      <c r="B528" s="208">
        <v>2023</v>
      </c>
      <c r="C528" s="193" t="s">
        <v>37</v>
      </c>
      <c r="D528" s="277" t="s">
        <v>3237</v>
      </c>
      <c r="E528" s="195" t="s">
        <v>3339</v>
      </c>
      <c r="F528" s="196" t="s">
        <v>2073</v>
      </c>
      <c r="G528" s="197" t="s">
        <v>3239</v>
      </c>
      <c r="H528" s="198">
        <v>0.8</v>
      </c>
      <c r="I528" s="199">
        <v>130000</v>
      </c>
      <c r="J528" s="200" t="s">
        <v>2836</v>
      </c>
      <c r="K528" s="200" t="s">
        <v>2837</v>
      </c>
      <c r="L528" s="201">
        <v>0.4</v>
      </c>
      <c r="M528" s="278" t="s">
        <v>3047</v>
      </c>
      <c r="N528" s="205">
        <v>97500.04</v>
      </c>
      <c r="O528" s="254">
        <v>97500.04</v>
      </c>
      <c r="P528" s="254">
        <v>78000.04</v>
      </c>
      <c r="Q528" s="254">
        <v>78000.04</v>
      </c>
      <c r="R528" s="1262" t="s">
        <v>3227</v>
      </c>
      <c r="S528" s="254">
        <v>39000.02</v>
      </c>
      <c r="T528" s="204">
        <v>44955</v>
      </c>
      <c r="U528" s="1262" t="s">
        <v>3228</v>
      </c>
      <c r="V528" s="254">
        <v>19500.01</v>
      </c>
      <c r="W528" s="1262" t="s">
        <v>3229</v>
      </c>
      <c r="X528" s="206">
        <v>19500.01</v>
      </c>
      <c r="Y528" s="192"/>
    </row>
    <row r="529" ht="37.5" customHeight="1" spans="1:25">
      <c r="A529" s="192">
        <f t="shared" si="18"/>
        <v>521</v>
      </c>
      <c r="B529" s="208">
        <v>2023</v>
      </c>
      <c r="C529" s="193" t="s">
        <v>37</v>
      </c>
      <c r="D529" s="277" t="s">
        <v>3301</v>
      </c>
      <c r="E529" s="195" t="s">
        <v>3340</v>
      </c>
      <c r="F529" s="196" t="s">
        <v>2073</v>
      </c>
      <c r="G529" s="197" t="s">
        <v>3239</v>
      </c>
      <c r="H529" s="198">
        <v>0.8</v>
      </c>
      <c r="I529" s="199">
        <v>77000</v>
      </c>
      <c r="J529" s="200" t="s">
        <v>3085</v>
      </c>
      <c r="K529" s="200" t="s">
        <v>3086</v>
      </c>
      <c r="L529" s="201">
        <v>0.4</v>
      </c>
      <c r="M529" s="278" t="s">
        <v>2979</v>
      </c>
      <c r="N529" s="205">
        <v>53654.55</v>
      </c>
      <c r="O529" s="254">
        <v>53654.55</v>
      </c>
      <c r="P529" s="254">
        <v>42923.64</v>
      </c>
      <c r="Q529" s="254">
        <v>42923.64</v>
      </c>
      <c r="R529" s="1262" t="s">
        <v>3227</v>
      </c>
      <c r="S529" s="254">
        <v>21461.82</v>
      </c>
      <c r="T529" s="204">
        <v>44955</v>
      </c>
      <c r="U529" s="1262" t="s">
        <v>3228</v>
      </c>
      <c r="V529" s="254">
        <v>10730.91</v>
      </c>
      <c r="W529" s="1262" t="s">
        <v>3229</v>
      </c>
      <c r="X529" s="206">
        <v>10730.91</v>
      </c>
      <c r="Y529" s="192"/>
    </row>
    <row r="530" ht="37.5" customHeight="1" spans="1:25">
      <c r="A530" s="192">
        <f t="shared" si="18"/>
        <v>522</v>
      </c>
      <c r="B530" s="208">
        <v>2023</v>
      </c>
      <c r="C530" s="193" t="s">
        <v>37</v>
      </c>
      <c r="D530" s="277" t="s">
        <v>3341</v>
      </c>
      <c r="E530" s="195" t="s">
        <v>3342</v>
      </c>
      <c r="F530" s="196" t="s">
        <v>2073</v>
      </c>
      <c r="G530" s="197" t="s">
        <v>3239</v>
      </c>
      <c r="H530" s="198">
        <v>0.8</v>
      </c>
      <c r="I530" s="199">
        <v>18893.82</v>
      </c>
      <c r="J530" s="200" t="s">
        <v>2716</v>
      </c>
      <c r="K530" s="200" t="s">
        <v>2717</v>
      </c>
      <c r="L530" s="201">
        <v>0.4</v>
      </c>
      <c r="M530" s="278" t="s">
        <v>2979</v>
      </c>
      <c r="N530" s="205">
        <v>2736.76</v>
      </c>
      <c r="O530" s="254">
        <v>2736.76</v>
      </c>
      <c r="P530" s="254">
        <v>2189.41</v>
      </c>
      <c r="Q530" s="254">
        <v>2189.41</v>
      </c>
      <c r="R530" s="1262" t="s">
        <v>3227</v>
      </c>
      <c r="S530" s="254">
        <v>1094.7</v>
      </c>
      <c r="T530" s="204">
        <v>44955</v>
      </c>
      <c r="U530" s="1262" t="s">
        <v>3228</v>
      </c>
      <c r="V530" s="254">
        <v>547.35</v>
      </c>
      <c r="W530" s="1262" t="s">
        <v>3229</v>
      </c>
      <c r="X530" s="206">
        <v>547.35</v>
      </c>
      <c r="Y530" s="192"/>
    </row>
    <row r="531" ht="37.5" customHeight="1" spans="1:25">
      <c r="A531" s="192">
        <f t="shared" si="18"/>
        <v>523</v>
      </c>
      <c r="B531" s="208">
        <v>2023</v>
      </c>
      <c r="C531" s="193" t="s">
        <v>37</v>
      </c>
      <c r="D531" s="277" t="s">
        <v>3275</v>
      </c>
      <c r="E531" s="195" t="s">
        <v>3343</v>
      </c>
      <c r="F531" s="196" t="s">
        <v>2073</v>
      </c>
      <c r="G531" s="197" t="s">
        <v>3239</v>
      </c>
      <c r="H531" s="198">
        <v>0.8</v>
      </c>
      <c r="I531" s="199">
        <v>30000</v>
      </c>
      <c r="J531" s="200" t="s">
        <v>2949</v>
      </c>
      <c r="K531" s="200" t="s">
        <v>2950</v>
      </c>
      <c r="L531" s="201">
        <v>0.4</v>
      </c>
      <c r="M531" s="278" t="s">
        <v>2027</v>
      </c>
      <c r="N531" s="205">
        <v>22500</v>
      </c>
      <c r="O531" s="254">
        <v>22500</v>
      </c>
      <c r="P531" s="254">
        <v>18000</v>
      </c>
      <c r="Q531" s="254">
        <v>18000</v>
      </c>
      <c r="R531" s="1262" t="s">
        <v>3227</v>
      </c>
      <c r="S531" s="254">
        <v>9000</v>
      </c>
      <c r="T531" s="204">
        <v>44955</v>
      </c>
      <c r="U531" s="1262" t="s">
        <v>3228</v>
      </c>
      <c r="V531" s="254">
        <v>4500</v>
      </c>
      <c r="W531" s="1262" t="s">
        <v>3229</v>
      </c>
      <c r="X531" s="206">
        <v>4500</v>
      </c>
      <c r="Y531" s="192"/>
    </row>
    <row r="532" ht="37.5" customHeight="1" spans="1:25">
      <c r="A532" s="192">
        <f t="shared" si="18"/>
        <v>524</v>
      </c>
      <c r="B532" s="208">
        <v>2023</v>
      </c>
      <c r="C532" s="193" t="s">
        <v>37</v>
      </c>
      <c r="D532" s="277" t="s">
        <v>3344</v>
      </c>
      <c r="E532" s="195" t="s">
        <v>3345</v>
      </c>
      <c r="F532" s="196" t="s">
        <v>2073</v>
      </c>
      <c r="G532" s="197" t="s">
        <v>3239</v>
      </c>
      <c r="H532" s="198">
        <v>0.8</v>
      </c>
      <c r="I532" s="199">
        <v>15205.77</v>
      </c>
      <c r="J532" s="200" t="s">
        <v>2069</v>
      </c>
      <c r="K532" s="200" t="s">
        <v>2940</v>
      </c>
      <c r="L532" s="201">
        <v>0.4</v>
      </c>
      <c r="M532" s="278" t="s">
        <v>3136</v>
      </c>
      <c r="N532" s="205">
        <v>1458</v>
      </c>
      <c r="O532" s="254">
        <v>1458</v>
      </c>
      <c r="P532" s="254">
        <v>1166.4</v>
      </c>
      <c r="Q532" s="254">
        <v>1166.4</v>
      </c>
      <c r="R532" s="1262" t="s">
        <v>3227</v>
      </c>
      <c r="S532" s="254">
        <v>583.2</v>
      </c>
      <c r="T532" s="204">
        <v>44955</v>
      </c>
      <c r="U532" s="1262" t="s">
        <v>3228</v>
      </c>
      <c r="V532" s="254">
        <v>291.6</v>
      </c>
      <c r="W532" s="1262" t="s">
        <v>3229</v>
      </c>
      <c r="X532" s="206">
        <v>291.6</v>
      </c>
      <c r="Y532" s="192"/>
    </row>
    <row r="533" ht="37.5" customHeight="1" spans="1:25">
      <c r="A533" s="192">
        <f t="shared" si="18"/>
        <v>525</v>
      </c>
      <c r="B533" s="208">
        <v>2023</v>
      </c>
      <c r="C533" s="193" t="s">
        <v>37</v>
      </c>
      <c r="D533" s="277" t="s">
        <v>3346</v>
      </c>
      <c r="E533" s="195" t="s">
        <v>3347</v>
      </c>
      <c r="F533" s="196" t="s">
        <v>2073</v>
      </c>
      <c r="G533" s="197" t="s">
        <v>3239</v>
      </c>
      <c r="H533" s="198">
        <v>0.8</v>
      </c>
      <c r="I533" s="199">
        <v>15431.39</v>
      </c>
      <c r="J533" s="200" t="s">
        <v>2076</v>
      </c>
      <c r="K533" s="200" t="s">
        <v>2996</v>
      </c>
      <c r="L533" s="201">
        <v>0.4</v>
      </c>
      <c r="M533" s="278" t="s">
        <v>2027</v>
      </c>
      <c r="N533" s="205">
        <v>5100.02</v>
      </c>
      <c r="O533" s="254">
        <v>5100.02</v>
      </c>
      <c r="P533" s="254">
        <v>4080.02</v>
      </c>
      <c r="Q533" s="254">
        <v>4080.02</v>
      </c>
      <c r="R533" s="1262" t="s">
        <v>3227</v>
      </c>
      <c r="S533" s="254">
        <v>2040.01</v>
      </c>
      <c r="T533" s="204">
        <v>44955</v>
      </c>
      <c r="U533" s="1262" t="s">
        <v>3228</v>
      </c>
      <c r="V533" s="254">
        <v>1020</v>
      </c>
      <c r="W533" s="1262" t="s">
        <v>3229</v>
      </c>
      <c r="X533" s="206">
        <v>1020</v>
      </c>
      <c r="Y533" s="192"/>
    </row>
    <row r="534" ht="37.5" customHeight="1" spans="1:25">
      <c r="A534" s="192">
        <f t="shared" si="18"/>
        <v>526</v>
      </c>
      <c r="B534" s="208">
        <v>2023</v>
      </c>
      <c r="C534" s="193" t="s">
        <v>37</v>
      </c>
      <c r="D534" s="277" t="s">
        <v>3348</v>
      </c>
      <c r="E534" s="195" t="s">
        <v>3349</v>
      </c>
      <c r="F534" s="196" t="s">
        <v>2073</v>
      </c>
      <c r="G534" s="197" t="s">
        <v>3239</v>
      </c>
      <c r="H534" s="198">
        <v>0.8</v>
      </c>
      <c r="I534" s="199">
        <v>51000</v>
      </c>
      <c r="J534" s="200" t="s">
        <v>2677</v>
      </c>
      <c r="K534" s="200" t="s">
        <v>2678</v>
      </c>
      <c r="L534" s="201">
        <v>0.4</v>
      </c>
      <c r="M534" s="278" t="s">
        <v>3350</v>
      </c>
      <c r="N534" s="205">
        <v>29083.38</v>
      </c>
      <c r="O534" s="254">
        <v>29083.38</v>
      </c>
      <c r="P534" s="254">
        <v>23266.7</v>
      </c>
      <c r="Q534" s="254">
        <v>23266.7</v>
      </c>
      <c r="R534" s="1262" t="s">
        <v>3227</v>
      </c>
      <c r="S534" s="254">
        <v>11633.35</v>
      </c>
      <c r="T534" s="204">
        <v>44955</v>
      </c>
      <c r="U534" s="1262" t="s">
        <v>3228</v>
      </c>
      <c r="V534" s="254">
        <v>5816.68</v>
      </c>
      <c r="W534" s="1262" t="s">
        <v>3229</v>
      </c>
      <c r="X534" s="206">
        <v>5816.68</v>
      </c>
      <c r="Y534" s="192"/>
    </row>
    <row r="535" ht="37.5" customHeight="1" spans="1:25">
      <c r="A535" s="192">
        <f t="shared" si="18"/>
        <v>527</v>
      </c>
      <c r="B535" s="208">
        <v>2023</v>
      </c>
      <c r="C535" s="193" t="s">
        <v>37</v>
      </c>
      <c r="D535" s="277" t="s">
        <v>3351</v>
      </c>
      <c r="E535" s="195" t="s">
        <v>3352</v>
      </c>
      <c r="F535" s="196" t="s">
        <v>2073</v>
      </c>
      <c r="G535" s="197" t="s">
        <v>3239</v>
      </c>
      <c r="H535" s="198">
        <v>0.8</v>
      </c>
      <c r="I535" s="199">
        <v>18994</v>
      </c>
      <c r="J535" s="200" t="s">
        <v>2677</v>
      </c>
      <c r="K535" s="200" t="s">
        <v>2678</v>
      </c>
      <c r="L535" s="201">
        <v>0.4</v>
      </c>
      <c r="M535" s="278" t="s">
        <v>3353</v>
      </c>
      <c r="N535" s="205">
        <v>14245.51</v>
      </c>
      <c r="O535" s="254">
        <v>14245.51</v>
      </c>
      <c r="P535" s="254">
        <v>11396.41</v>
      </c>
      <c r="Q535" s="254">
        <v>11396.41</v>
      </c>
      <c r="R535" s="1262" t="s">
        <v>3227</v>
      </c>
      <c r="S535" s="254">
        <v>5698.2</v>
      </c>
      <c r="T535" s="204">
        <v>44955</v>
      </c>
      <c r="U535" s="1262" t="s">
        <v>3228</v>
      </c>
      <c r="V535" s="254">
        <v>2849.1</v>
      </c>
      <c r="W535" s="1262" t="s">
        <v>3229</v>
      </c>
      <c r="X535" s="206">
        <v>2849.1</v>
      </c>
      <c r="Y535" s="192"/>
    </row>
    <row r="536" ht="37.5" customHeight="1" spans="1:25">
      <c r="A536" s="192">
        <f t="shared" si="18"/>
        <v>528</v>
      </c>
      <c r="B536" s="208">
        <v>2023</v>
      </c>
      <c r="C536" s="193" t="s">
        <v>37</v>
      </c>
      <c r="D536" s="277" t="s">
        <v>3354</v>
      </c>
      <c r="E536" s="195" t="s">
        <v>3355</v>
      </c>
      <c r="F536" s="196" t="s">
        <v>2073</v>
      </c>
      <c r="G536" s="197" t="s">
        <v>3239</v>
      </c>
      <c r="H536" s="198">
        <v>0.8</v>
      </c>
      <c r="I536" s="199">
        <v>13898.72</v>
      </c>
      <c r="J536" s="200" t="s">
        <v>2677</v>
      </c>
      <c r="K536" s="200" t="s">
        <v>2678</v>
      </c>
      <c r="L536" s="201">
        <v>0.4</v>
      </c>
      <c r="M536" s="278" t="s">
        <v>3252</v>
      </c>
      <c r="N536" s="205">
        <v>825.02</v>
      </c>
      <c r="O536" s="254">
        <v>825.02</v>
      </c>
      <c r="P536" s="254">
        <v>660.02</v>
      </c>
      <c r="Q536" s="254">
        <v>660.02</v>
      </c>
      <c r="R536" s="1262" t="s">
        <v>3227</v>
      </c>
      <c r="S536" s="254">
        <v>330.01</v>
      </c>
      <c r="T536" s="204">
        <v>44955</v>
      </c>
      <c r="U536" s="1262" t="s">
        <v>3228</v>
      </c>
      <c r="V536" s="254">
        <v>165</v>
      </c>
      <c r="W536" s="1262" t="s">
        <v>3229</v>
      </c>
      <c r="X536" s="206">
        <v>165</v>
      </c>
      <c r="Y536" s="192"/>
    </row>
    <row r="537" ht="37.5" customHeight="1" spans="1:25">
      <c r="A537" s="192">
        <f t="shared" si="18"/>
        <v>529</v>
      </c>
      <c r="B537" s="208">
        <v>2023</v>
      </c>
      <c r="C537" s="193" t="s">
        <v>37</v>
      </c>
      <c r="D537" s="277" t="s">
        <v>3356</v>
      </c>
      <c r="E537" s="195" t="s">
        <v>3357</v>
      </c>
      <c r="F537" s="196" t="s">
        <v>2073</v>
      </c>
      <c r="G537" s="197" t="s">
        <v>3239</v>
      </c>
      <c r="H537" s="198">
        <v>0.8</v>
      </c>
      <c r="I537" s="199">
        <v>28000</v>
      </c>
      <c r="J537" s="200" t="s">
        <v>2677</v>
      </c>
      <c r="K537" s="200" t="s">
        <v>2678</v>
      </c>
      <c r="L537" s="201">
        <v>0.4</v>
      </c>
      <c r="M537" s="278" t="s">
        <v>3358</v>
      </c>
      <c r="N537" s="205">
        <v>21000.04</v>
      </c>
      <c r="O537" s="254">
        <v>21000.04</v>
      </c>
      <c r="P537" s="254">
        <v>16800.04</v>
      </c>
      <c r="Q537" s="254">
        <v>16800.04</v>
      </c>
      <c r="R537" s="1262" t="s">
        <v>3227</v>
      </c>
      <c r="S537" s="254">
        <v>8400.02</v>
      </c>
      <c r="T537" s="204">
        <v>44955</v>
      </c>
      <c r="U537" s="1262" t="s">
        <v>3228</v>
      </c>
      <c r="V537" s="254">
        <v>4200.01</v>
      </c>
      <c r="W537" s="1262" t="s">
        <v>3229</v>
      </c>
      <c r="X537" s="258">
        <v>4200.01</v>
      </c>
      <c r="Y537" s="192"/>
    </row>
    <row r="538" ht="37.5" customHeight="1" spans="1:25">
      <c r="A538" s="192">
        <f t="shared" si="18"/>
        <v>530</v>
      </c>
      <c r="B538" s="208">
        <v>2023</v>
      </c>
      <c r="C538" s="193" t="s">
        <v>37</v>
      </c>
      <c r="D538" s="277" t="s">
        <v>3359</v>
      </c>
      <c r="E538" s="195" t="s">
        <v>3360</v>
      </c>
      <c r="F538" s="196" t="s">
        <v>2073</v>
      </c>
      <c r="G538" s="197" t="s">
        <v>3239</v>
      </c>
      <c r="H538" s="198">
        <v>0.8</v>
      </c>
      <c r="I538" s="199">
        <v>40000</v>
      </c>
      <c r="J538" s="200" t="s">
        <v>3361</v>
      </c>
      <c r="K538" s="200" t="s">
        <v>3362</v>
      </c>
      <c r="L538" s="201">
        <v>0.4</v>
      </c>
      <c r="M538" s="278" t="s">
        <v>3140</v>
      </c>
      <c r="N538" s="205">
        <v>30000.01</v>
      </c>
      <c r="O538" s="254">
        <v>30000.01</v>
      </c>
      <c r="P538" s="254">
        <v>24000.01</v>
      </c>
      <c r="Q538" s="254">
        <v>24000.01</v>
      </c>
      <c r="R538" s="1262" t="s">
        <v>3227</v>
      </c>
      <c r="S538" s="254">
        <v>12000</v>
      </c>
      <c r="T538" s="204">
        <v>44955</v>
      </c>
      <c r="U538" s="1262" t="s">
        <v>3228</v>
      </c>
      <c r="V538" s="254">
        <v>6000</v>
      </c>
      <c r="W538" s="1262" t="s">
        <v>3229</v>
      </c>
      <c r="X538" s="206">
        <v>6000</v>
      </c>
      <c r="Y538" s="192"/>
    </row>
    <row r="539" ht="37.5" customHeight="1" spans="1:25">
      <c r="A539" s="192">
        <f t="shared" si="18"/>
        <v>531</v>
      </c>
      <c r="B539" s="208">
        <v>2023</v>
      </c>
      <c r="C539" s="193" t="s">
        <v>37</v>
      </c>
      <c r="D539" s="277" t="s">
        <v>3363</v>
      </c>
      <c r="E539" s="195" t="s">
        <v>3364</v>
      </c>
      <c r="F539" s="196" t="s">
        <v>2073</v>
      </c>
      <c r="G539" s="197" t="s">
        <v>3239</v>
      </c>
      <c r="H539" s="198">
        <v>0.8</v>
      </c>
      <c r="I539" s="199">
        <v>26000</v>
      </c>
      <c r="J539" s="200" t="s">
        <v>2767</v>
      </c>
      <c r="K539" s="200" t="s">
        <v>2768</v>
      </c>
      <c r="L539" s="201">
        <v>0.4</v>
      </c>
      <c r="M539" s="278" t="s">
        <v>3140</v>
      </c>
      <c r="N539" s="205">
        <v>9709.69</v>
      </c>
      <c r="O539" s="254">
        <v>9709.69</v>
      </c>
      <c r="P539" s="254">
        <v>7767.75</v>
      </c>
      <c r="Q539" s="254">
        <v>7767.75</v>
      </c>
      <c r="R539" s="1262" t="s">
        <v>3227</v>
      </c>
      <c r="S539" s="254">
        <v>3883.88</v>
      </c>
      <c r="T539" s="204">
        <v>44955</v>
      </c>
      <c r="U539" s="1262" t="s">
        <v>3228</v>
      </c>
      <c r="V539" s="254">
        <v>1941.94</v>
      </c>
      <c r="W539" s="1262" t="s">
        <v>3229</v>
      </c>
      <c r="X539" s="206">
        <v>1941.94</v>
      </c>
      <c r="Y539" s="192"/>
    </row>
    <row r="540" ht="37.5" customHeight="1" spans="1:25">
      <c r="A540" s="192">
        <f t="shared" si="18"/>
        <v>532</v>
      </c>
      <c r="B540" s="208">
        <v>2023</v>
      </c>
      <c r="C540" s="193" t="s">
        <v>37</v>
      </c>
      <c r="D540" s="277" t="s">
        <v>3365</v>
      </c>
      <c r="E540" s="195" t="s">
        <v>3366</v>
      </c>
      <c r="F540" s="196" t="s">
        <v>2073</v>
      </c>
      <c r="G540" s="197" t="s">
        <v>3239</v>
      </c>
      <c r="H540" s="198">
        <v>0.8</v>
      </c>
      <c r="I540" s="199">
        <v>20000</v>
      </c>
      <c r="J540" s="200" t="s">
        <v>2767</v>
      </c>
      <c r="K540" s="200" t="s">
        <v>2768</v>
      </c>
      <c r="L540" s="201">
        <v>0.4</v>
      </c>
      <c r="M540" s="278" t="s">
        <v>3136</v>
      </c>
      <c r="N540" s="205">
        <v>20000</v>
      </c>
      <c r="O540" s="254">
        <v>20000</v>
      </c>
      <c r="P540" s="254">
        <v>16000</v>
      </c>
      <c r="Q540" s="254">
        <v>16000</v>
      </c>
      <c r="R540" s="1262" t="s">
        <v>3227</v>
      </c>
      <c r="S540" s="254">
        <v>8000</v>
      </c>
      <c r="T540" s="204">
        <v>44955</v>
      </c>
      <c r="U540" s="1262" t="s">
        <v>3228</v>
      </c>
      <c r="V540" s="254">
        <v>4000</v>
      </c>
      <c r="W540" s="1262" t="s">
        <v>3229</v>
      </c>
      <c r="X540" s="206">
        <v>4000</v>
      </c>
      <c r="Y540" s="192"/>
    </row>
    <row r="541" ht="37.5" customHeight="1" spans="1:25">
      <c r="A541" s="192">
        <f t="shared" si="18"/>
        <v>533</v>
      </c>
      <c r="B541" s="208">
        <v>2023</v>
      </c>
      <c r="C541" s="193" t="s">
        <v>37</v>
      </c>
      <c r="D541" s="277" t="s">
        <v>3297</v>
      </c>
      <c r="E541" s="195" t="s">
        <v>3367</v>
      </c>
      <c r="F541" s="196" t="s">
        <v>2073</v>
      </c>
      <c r="G541" s="197" t="s">
        <v>3239</v>
      </c>
      <c r="H541" s="198">
        <v>0.8</v>
      </c>
      <c r="I541" s="199">
        <v>20000</v>
      </c>
      <c r="J541" s="200" t="s">
        <v>2125</v>
      </c>
      <c r="K541" s="200" t="s">
        <v>2887</v>
      </c>
      <c r="L541" s="201">
        <v>0.4</v>
      </c>
      <c r="M541" s="278" t="s">
        <v>3159</v>
      </c>
      <c r="N541" s="205">
        <v>15000.02</v>
      </c>
      <c r="O541" s="254">
        <v>15000.02</v>
      </c>
      <c r="P541" s="254">
        <v>12000.02</v>
      </c>
      <c r="Q541" s="254">
        <v>12000.02</v>
      </c>
      <c r="R541" s="1262" t="s">
        <v>3227</v>
      </c>
      <c r="S541" s="254">
        <v>6000.01</v>
      </c>
      <c r="T541" s="204">
        <v>44955</v>
      </c>
      <c r="U541" s="1262" t="s">
        <v>3228</v>
      </c>
      <c r="V541" s="254">
        <v>3000</v>
      </c>
      <c r="W541" s="1262" t="s">
        <v>3229</v>
      </c>
      <c r="X541" s="206">
        <v>3000</v>
      </c>
      <c r="Y541" s="192"/>
    </row>
    <row r="542" ht="37.5" customHeight="1" spans="1:25">
      <c r="A542" s="192">
        <f t="shared" ref="A542:A605" si="19">ROW()-8</f>
        <v>534</v>
      </c>
      <c r="B542" s="208">
        <v>2023</v>
      </c>
      <c r="C542" s="193" t="s">
        <v>37</v>
      </c>
      <c r="D542" s="277" t="s">
        <v>3368</v>
      </c>
      <c r="E542" s="195" t="s">
        <v>3369</v>
      </c>
      <c r="F542" s="196" t="s">
        <v>2073</v>
      </c>
      <c r="G542" s="197" t="s">
        <v>3239</v>
      </c>
      <c r="H542" s="198">
        <v>0.8</v>
      </c>
      <c r="I542" s="199">
        <v>32000</v>
      </c>
      <c r="J542" s="200" t="s">
        <v>3028</v>
      </c>
      <c r="K542" s="200" t="s">
        <v>3029</v>
      </c>
      <c r="L542" s="201">
        <v>0.4</v>
      </c>
      <c r="M542" s="278" t="s">
        <v>3308</v>
      </c>
      <c r="N542" s="205">
        <v>25583.35</v>
      </c>
      <c r="O542" s="254">
        <v>25583.35</v>
      </c>
      <c r="P542" s="254">
        <v>20466.68</v>
      </c>
      <c r="Q542" s="254">
        <v>20466.68</v>
      </c>
      <c r="R542" s="1262" t="s">
        <v>3227</v>
      </c>
      <c r="S542" s="254">
        <v>10233.34</v>
      </c>
      <c r="T542" s="204">
        <v>44955</v>
      </c>
      <c r="U542" s="1262" t="s">
        <v>3228</v>
      </c>
      <c r="V542" s="254">
        <v>5116.67</v>
      </c>
      <c r="W542" s="1262" t="s">
        <v>3229</v>
      </c>
      <c r="X542" s="206">
        <v>5116.67</v>
      </c>
      <c r="Y542" s="192"/>
    </row>
    <row r="543" ht="37.5" customHeight="1" spans="1:25">
      <c r="A543" s="192">
        <f t="shared" si="19"/>
        <v>535</v>
      </c>
      <c r="B543" s="208">
        <v>2023</v>
      </c>
      <c r="C543" s="193" t="s">
        <v>37</v>
      </c>
      <c r="D543" s="277" t="s">
        <v>3370</v>
      </c>
      <c r="E543" s="195" t="s">
        <v>3371</v>
      </c>
      <c r="F543" s="196" t="s">
        <v>2073</v>
      </c>
      <c r="G543" s="197" t="s">
        <v>3239</v>
      </c>
      <c r="H543" s="198">
        <v>0.8</v>
      </c>
      <c r="I543" s="199">
        <v>15244.04</v>
      </c>
      <c r="J543" s="200" t="s">
        <v>2108</v>
      </c>
      <c r="K543" s="200" t="s">
        <v>3372</v>
      </c>
      <c r="L543" s="201">
        <v>0.4</v>
      </c>
      <c r="M543" s="278" t="s">
        <v>3076</v>
      </c>
      <c r="N543" s="205">
        <v>3000.01</v>
      </c>
      <c r="O543" s="254">
        <v>3000.01</v>
      </c>
      <c r="P543" s="254">
        <v>2400.01</v>
      </c>
      <c r="Q543" s="254">
        <v>2400.01</v>
      </c>
      <c r="R543" s="1262" t="s">
        <v>3227</v>
      </c>
      <c r="S543" s="254">
        <v>1200</v>
      </c>
      <c r="T543" s="204">
        <v>44955</v>
      </c>
      <c r="U543" s="1262" t="s">
        <v>3228</v>
      </c>
      <c r="V543" s="254">
        <v>600</v>
      </c>
      <c r="W543" s="1262" t="s">
        <v>3229</v>
      </c>
      <c r="X543" s="206">
        <v>600</v>
      </c>
      <c r="Y543" s="192"/>
    </row>
    <row r="544" ht="37.5" customHeight="1" spans="1:25">
      <c r="A544" s="192">
        <f t="shared" si="19"/>
        <v>536</v>
      </c>
      <c r="B544" s="208">
        <v>2023</v>
      </c>
      <c r="C544" s="193" t="s">
        <v>37</v>
      </c>
      <c r="D544" s="277" t="s">
        <v>3368</v>
      </c>
      <c r="E544" s="195" t="s">
        <v>3373</v>
      </c>
      <c r="F544" s="196" t="s">
        <v>2073</v>
      </c>
      <c r="G544" s="197" t="s">
        <v>3239</v>
      </c>
      <c r="H544" s="198">
        <v>0.8</v>
      </c>
      <c r="I544" s="199">
        <v>14000</v>
      </c>
      <c r="J544" s="200" t="s">
        <v>2103</v>
      </c>
      <c r="K544" s="200" t="s">
        <v>2740</v>
      </c>
      <c r="L544" s="201">
        <v>0.4</v>
      </c>
      <c r="M544" s="278" t="s">
        <v>2938</v>
      </c>
      <c r="N544" s="205">
        <v>9333.34</v>
      </c>
      <c r="O544" s="254">
        <v>9333.34</v>
      </c>
      <c r="P544" s="254">
        <v>7466.67</v>
      </c>
      <c r="Q544" s="254">
        <v>7466.67</v>
      </c>
      <c r="R544" s="1262" t="s">
        <v>3227</v>
      </c>
      <c r="S544" s="254">
        <v>3733.34</v>
      </c>
      <c r="T544" s="204">
        <v>44955</v>
      </c>
      <c r="U544" s="1262" t="s">
        <v>3228</v>
      </c>
      <c r="V544" s="254">
        <v>1866.67</v>
      </c>
      <c r="W544" s="1262" t="s">
        <v>3229</v>
      </c>
      <c r="X544" s="206">
        <v>1866.67</v>
      </c>
      <c r="Y544" s="192"/>
    </row>
    <row r="545" ht="37.5" customHeight="1" spans="1:25">
      <c r="A545" s="192">
        <f t="shared" si="19"/>
        <v>537</v>
      </c>
      <c r="B545" s="208">
        <v>2023</v>
      </c>
      <c r="C545" s="193" t="s">
        <v>37</v>
      </c>
      <c r="D545" s="277" t="s">
        <v>3374</v>
      </c>
      <c r="E545" s="195" t="s">
        <v>3375</v>
      </c>
      <c r="F545" s="196" t="s">
        <v>2073</v>
      </c>
      <c r="G545" s="197" t="s">
        <v>3239</v>
      </c>
      <c r="H545" s="198">
        <v>0.8</v>
      </c>
      <c r="I545" s="199">
        <v>75000</v>
      </c>
      <c r="J545" s="200" t="s">
        <v>3376</v>
      </c>
      <c r="K545" s="200" t="s">
        <v>3377</v>
      </c>
      <c r="L545" s="201">
        <v>0.4</v>
      </c>
      <c r="M545" s="278" t="s">
        <v>3176</v>
      </c>
      <c r="N545" s="205">
        <v>50000.02</v>
      </c>
      <c r="O545" s="254">
        <v>50000.02</v>
      </c>
      <c r="P545" s="254">
        <v>40000.01</v>
      </c>
      <c r="Q545" s="254">
        <v>40000.01</v>
      </c>
      <c r="R545" s="1262" t="s">
        <v>3227</v>
      </c>
      <c r="S545" s="254">
        <v>20000.01</v>
      </c>
      <c r="T545" s="204">
        <v>44955</v>
      </c>
      <c r="U545" s="1262" t="s">
        <v>3228</v>
      </c>
      <c r="V545" s="254">
        <v>10000</v>
      </c>
      <c r="W545" s="1262" t="s">
        <v>3229</v>
      </c>
      <c r="X545" s="206">
        <v>10000</v>
      </c>
      <c r="Y545" s="192"/>
    </row>
    <row r="546" ht="37.5" customHeight="1" spans="1:25">
      <c r="A546" s="192">
        <f t="shared" si="19"/>
        <v>538</v>
      </c>
      <c r="B546" s="208">
        <v>2023</v>
      </c>
      <c r="C546" s="193" t="s">
        <v>37</v>
      </c>
      <c r="D546" s="277" t="s">
        <v>3356</v>
      </c>
      <c r="E546" s="195" t="s">
        <v>3378</v>
      </c>
      <c r="F546" s="196" t="s">
        <v>2073</v>
      </c>
      <c r="G546" s="197" t="s">
        <v>3239</v>
      </c>
      <c r="H546" s="198">
        <v>0.8</v>
      </c>
      <c r="I546" s="199">
        <v>10330</v>
      </c>
      <c r="J546" s="200" t="s">
        <v>3376</v>
      </c>
      <c r="K546" s="200" t="s">
        <v>3377</v>
      </c>
      <c r="L546" s="201">
        <v>0.4</v>
      </c>
      <c r="M546" s="278" t="s">
        <v>3358</v>
      </c>
      <c r="N546" s="205">
        <v>7747.54</v>
      </c>
      <c r="O546" s="254">
        <v>7747.54</v>
      </c>
      <c r="P546" s="254">
        <v>6198.04</v>
      </c>
      <c r="Q546" s="254">
        <v>6198.04</v>
      </c>
      <c r="R546" s="1262" t="s">
        <v>3227</v>
      </c>
      <c r="S546" s="254">
        <v>3099.02</v>
      </c>
      <c r="T546" s="204">
        <v>44955</v>
      </c>
      <c r="U546" s="1262" t="s">
        <v>3228</v>
      </c>
      <c r="V546" s="254">
        <v>1549.51</v>
      </c>
      <c r="W546" s="1262" t="s">
        <v>3229</v>
      </c>
      <c r="X546" s="206">
        <v>1549.51</v>
      </c>
      <c r="Y546" s="192"/>
    </row>
    <row r="547" ht="37.5" customHeight="1" spans="1:25">
      <c r="A547" s="192">
        <f t="shared" si="19"/>
        <v>539</v>
      </c>
      <c r="B547" s="208">
        <v>2023</v>
      </c>
      <c r="C547" s="193" t="s">
        <v>37</v>
      </c>
      <c r="D547" s="277" t="s">
        <v>3275</v>
      </c>
      <c r="E547" s="195" t="s">
        <v>3379</v>
      </c>
      <c r="F547" s="196" t="s">
        <v>2073</v>
      </c>
      <c r="G547" s="197" t="s">
        <v>3239</v>
      </c>
      <c r="H547" s="198">
        <v>0.8</v>
      </c>
      <c r="I547" s="199">
        <v>20000</v>
      </c>
      <c r="J547" s="200" t="s">
        <v>2120</v>
      </c>
      <c r="K547" s="200" t="s">
        <v>2800</v>
      </c>
      <c r="L547" s="201">
        <v>0.4</v>
      </c>
      <c r="M547" s="278" t="s">
        <v>2027</v>
      </c>
      <c r="N547" s="205">
        <v>13333.34</v>
      </c>
      <c r="O547" s="254">
        <v>13333.34</v>
      </c>
      <c r="P547" s="254">
        <v>10666.67</v>
      </c>
      <c r="Q547" s="254">
        <v>10666.67</v>
      </c>
      <c r="R547" s="1262" t="s">
        <v>3227</v>
      </c>
      <c r="S547" s="254">
        <v>5333.34</v>
      </c>
      <c r="T547" s="204">
        <v>44955</v>
      </c>
      <c r="U547" s="1262" t="s">
        <v>3228</v>
      </c>
      <c r="V547" s="254">
        <v>2666.67</v>
      </c>
      <c r="W547" s="1262" t="s">
        <v>3229</v>
      </c>
      <c r="X547" s="258">
        <v>2666.67</v>
      </c>
      <c r="Y547" s="192"/>
    </row>
    <row r="548" ht="37.5" customHeight="1" spans="1:25">
      <c r="A548" s="192">
        <f t="shared" si="19"/>
        <v>540</v>
      </c>
      <c r="B548" s="208">
        <v>2023</v>
      </c>
      <c r="C548" s="193" t="s">
        <v>37</v>
      </c>
      <c r="D548" s="277" t="s">
        <v>3284</v>
      </c>
      <c r="E548" s="195" t="s">
        <v>3380</v>
      </c>
      <c r="F548" s="196" t="s">
        <v>2073</v>
      </c>
      <c r="G548" s="197" t="s">
        <v>3239</v>
      </c>
      <c r="H548" s="198">
        <v>0.8</v>
      </c>
      <c r="I548" s="199">
        <v>17694.15</v>
      </c>
      <c r="J548" s="200" t="s">
        <v>2792</v>
      </c>
      <c r="K548" s="200" t="s">
        <v>2793</v>
      </c>
      <c r="L548" s="201">
        <v>0.4</v>
      </c>
      <c r="M548" s="278" t="s">
        <v>3286</v>
      </c>
      <c r="N548" s="205">
        <v>300.84</v>
      </c>
      <c r="O548" s="254">
        <v>300.84</v>
      </c>
      <c r="P548" s="254">
        <v>240.67</v>
      </c>
      <c r="Q548" s="254">
        <v>240.67</v>
      </c>
      <c r="R548" s="1262" t="s">
        <v>3227</v>
      </c>
      <c r="S548" s="254">
        <v>120.34</v>
      </c>
      <c r="T548" s="204">
        <v>44955</v>
      </c>
      <c r="U548" s="1262" t="s">
        <v>3228</v>
      </c>
      <c r="V548" s="254">
        <v>60.17</v>
      </c>
      <c r="W548" s="1262" t="s">
        <v>3229</v>
      </c>
      <c r="X548" s="206">
        <v>60.17</v>
      </c>
      <c r="Y548" s="192"/>
    </row>
    <row r="549" ht="37.5" customHeight="1" spans="1:25">
      <c r="A549" s="192">
        <f t="shared" si="19"/>
        <v>541</v>
      </c>
      <c r="B549" s="208">
        <v>2023</v>
      </c>
      <c r="C549" s="193" t="s">
        <v>37</v>
      </c>
      <c r="D549" s="277" t="s">
        <v>3346</v>
      </c>
      <c r="E549" s="195" t="s">
        <v>3381</v>
      </c>
      <c r="F549" s="196" t="s">
        <v>2073</v>
      </c>
      <c r="G549" s="197" t="s">
        <v>3239</v>
      </c>
      <c r="H549" s="198">
        <v>0.8</v>
      </c>
      <c r="I549" s="199">
        <v>15431.39</v>
      </c>
      <c r="J549" s="200" t="s">
        <v>2984</v>
      </c>
      <c r="K549" s="200" t="s">
        <v>2985</v>
      </c>
      <c r="L549" s="201">
        <v>0.4</v>
      </c>
      <c r="M549" s="278" t="s">
        <v>2027</v>
      </c>
      <c r="N549" s="205">
        <v>7036.68</v>
      </c>
      <c r="O549" s="254">
        <v>7036.68</v>
      </c>
      <c r="P549" s="254">
        <v>5629.34</v>
      </c>
      <c r="Q549" s="254">
        <v>5629.34</v>
      </c>
      <c r="R549" s="1262" t="s">
        <v>3227</v>
      </c>
      <c r="S549" s="254">
        <v>2814.67</v>
      </c>
      <c r="T549" s="204">
        <v>44955</v>
      </c>
      <c r="U549" s="1262" t="s">
        <v>3228</v>
      </c>
      <c r="V549" s="254">
        <v>1407.34</v>
      </c>
      <c r="W549" s="1262" t="s">
        <v>3229</v>
      </c>
      <c r="X549" s="206">
        <v>1407.34</v>
      </c>
      <c r="Y549" s="192"/>
    </row>
    <row r="550" ht="37.5" customHeight="1" spans="1:25">
      <c r="A550" s="192">
        <f t="shared" si="19"/>
        <v>542</v>
      </c>
      <c r="B550" s="208">
        <v>2023</v>
      </c>
      <c r="C550" s="193" t="s">
        <v>37</v>
      </c>
      <c r="D550" s="277" t="s">
        <v>3344</v>
      </c>
      <c r="E550" s="195" t="s">
        <v>3382</v>
      </c>
      <c r="F550" s="196" t="s">
        <v>2073</v>
      </c>
      <c r="G550" s="197" t="s">
        <v>3239</v>
      </c>
      <c r="H550" s="198">
        <v>0.8</v>
      </c>
      <c r="I550" s="199">
        <v>15205.77</v>
      </c>
      <c r="J550" s="200" t="s">
        <v>2961</v>
      </c>
      <c r="K550" s="200" t="s">
        <v>2962</v>
      </c>
      <c r="L550" s="201">
        <v>0.4</v>
      </c>
      <c r="M550" s="278" t="s">
        <v>3136</v>
      </c>
      <c r="N550" s="205">
        <v>1420.86</v>
      </c>
      <c r="O550" s="254">
        <v>1420.86</v>
      </c>
      <c r="P550" s="254">
        <v>1136.68</v>
      </c>
      <c r="Q550" s="254">
        <v>1136.68</v>
      </c>
      <c r="R550" s="1262" t="s">
        <v>3227</v>
      </c>
      <c r="S550" s="254">
        <v>568.34</v>
      </c>
      <c r="T550" s="204">
        <v>44955</v>
      </c>
      <c r="U550" s="1262" t="s">
        <v>3228</v>
      </c>
      <c r="V550" s="254">
        <v>284.17</v>
      </c>
      <c r="W550" s="1262" t="s">
        <v>3229</v>
      </c>
      <c r="X550" s="206">
        <v>284.17</v>
      </c>
      <c r="Y550" s="192"/>
    </row>
    <row r="551" ht="37.5" customHeight="1" spans="1:25">
      <c r="A551" s="192">
        <f t="shared" si="19"/>
        <v>543</v>
      </c>
      <c r="B551" s="208">
        <v>2023</v>
      </c>
      <c r="C551" s="193" t="s">
        <v>37</v>
      </c>
      <c r="D551" s="277" t="s">
        <v>3383</v>
      </c>
      <c r="E551" s="195" t="s">
        <v>3384</v>
      </c>
      <c r="F551" s="196" t="s">
        <v>2073</v>
      </c>
      <c r="G551" s="197" t="s">
        <v>3239</v>
      </c>
      <c r="H551" s="198">
        <v>0.8</v>
      </c>
      <c r="I551" s="199">
        <v>14500</v>
      </c>
      <c r="J551" s="200" t="s">
        <v>2961</v>
      </c>
      <c r="K551" s="200" t="s">
        <v>2962</v>
      </c>
      <c r="L551" s="201">
        <v>0.4</v>
      </c>
      <c r="M551" s="278" t="s">
        <v>3209</v>
      </c>
      <c r="N551" s="205">
        <v>11625.1</v>
      </c>
      <c r="O551" s="254">
        <v>11625.1</v>
      </c>
      <c r="P551" s="254">
        <v>9300.07</v>
      </c>
      <c r="Q551" s="254">
        <v>9300.07</v>
      </c>
      <c r="R551" s="1262" t="s">
        <v>3227</v>
      </c>
      <c r="S551" s="254">
        <v>4650.04</v>
      </c>
      <c r="T551" s="204">
        <v>44955</v>
      </c>
      <c r="U551" s="1262" t="s">
        <v>3228</v>
      </c>
      <c r="V551" s="254">
        <v>2325.02</v>
      </c>
      <c r="W551" s="1262" t="s">
        <v>3229</v>
      </c>
      <c r="X551" s="206">
        <v>2325.02</v>
      </c>
      <c r="Y551" s="192"/>
    </row>
    <row r="552" ht="37.5" customHeight="1" spans="1:25">
      <c r="A552" s="192">
        <f t="shared" si="19"/>
        <v>544</v>
      </c>
      <c r="B552" s="208">
        <v>2023</v>
      </c>
      <c r="C552" s="193" t="s">
        <v>37</v>
      </c>
      <c r="D552" s="277" t="s">
        <v>3348</v>
      </c>
      <c r="E552" s="195" t="s">
        <v>3385</v>
      </c>
      <c r="F552" s="196" t="s">
        <v>2073</v>
      </c>
      <c r="G552" s="197" t="s">
        <v>3239</v>
      </c>
      <c r="H552" s="198">
        <v>0.8</v>
      </c>
      <c r="I552" s="199">
        <v>62000</v>
      </c>
      <c r="J552" s="200" t="s">
        <v>2912</v>
      </c>
      <c r="K552" s="200" t="s">
        <v>2913</v>
      </c>
      <c r="L552" s="201">
        <v>0.4</v>
      </c>
      <c r="M552" s="278" t="s">
        <v>3350</v>
      </c>
      <c r="N552" s="205">
        <v>47333.38</v>
      </c>
      <c r="O552" s="254">
        <v>47333.38</v>
      </c>
      <c r="P552" s="254">
        <v>37866.71</v>
      </c>
      <c r="Q552" s="254">
        <v>37866.71</v>
      </c>
      <c r="R552" s="1262" t="s">
        <v>3227</v>
      </c>
      <c r="S552" s="254">
        <v>18933.35</v>
      </c>
      <c r="T552" s="204">
        <v>44955</v>
      </c>
      <c r="U552" s="1262" t="s">
        <v>3228</v>
      </c>
      <c r="V552" s="254">
        <v>9466.68</v>
      </c>
      <c r="W552" s="1262" t="s">
        <v>3229</v>
      </c>
      <c r="X552" s="206">
        <v>9466.68</v>
      </c>
      <c r="Y552" s="192"/>
    </row>
    <row r="553" ht="37.5" customHeight="1" spans="1:25">
      <c r="A553" s="192">
        <f t="shared" si="19"/>
        <v>545</v>
      </c>
      <c r="B553" s="208">
        <v>2023</v>
      </c>
      <c r="C553" s="193" t="s">
        <v>37</v>
      </c>
      <c r="D553" s="277" t="s">
        <v>3370</v>
      </c>
      <c r="E553" s="195" t="s">
        <v>3386</v>
      </c>
      <c r="F553" s="196" t="s">
        <v>2073</v>
      </c>
      <c r="G553" s="197" t="s">
        <v>3239</v>
      </c>
      <c r="H553" s="198">
        <v>0.8</v>
      </c>
      <c r="I553" s="199">
        <v>21000</v>
      </c>
      <c r="J553" s="200" t="s">
        <v>2117</v>
      </c>
      <c r="K553" s="200" t="s">
        <v>2990</v>
      </c>
      <c r="L553" s="201">
        <v>0.4</v>
      </c>
      <c r="M553" s="278" t="s">
        <v>3076</v>
      </c>
      <c r="N553" s="205">
        <v>17500</v>
      </c>
      <c r="O553" s="254">
        <v>17500</v>
      </c>
      <c r="P553" s="254">
        <v>14000</v>
      </c>
      <c r="Q553" s="254">
        <v>14000</v>
      </c>
      <c r="R553" s="1262" t="s">
        <v>3227</v>
      </c>
      <c r="S553" s="254">
        <v>7000</v>
      </c>
      <c r="T553" s="204">
        <v>44955</v>
      </c>
      <c r="U553" s="1262" t="s">
        <v>3228</v>
      </c>
      <c r="V553" s="254">
        <v>3500</v>
      </c>
      <c r="W553" s="1262" t="s">
        <v>3229</v>
      </c>
      <c r="X553" s="206">
        <v>3500</v>
      </c>
      <c r="Y553" s="192"/>
    </row>
    <row r="554" ht="37.5" customHeight="1" spans="1:25">
      <c r="A554" s="192">
        <f t="shared" si="19"/>
        <v>546</v>
      </c>
      <c r="B554" s="208">
        <v>2023</v>
      </c>
      <c r="C554" s="193" t="s">
        <v>37</v>
      </c>
      <c r="D554" s="277" t="s">
        <v>3387</v>
      </c>
      <c r="E554" s="195" t="s">
        <v>3388</v>
      </c>
      <c r="F554" s="196" t="s">
        <v>2073</v>
      </c>
      <c r="G554" s="197" t="s">
        <v>3239</v>
      </c>
      <c r="H554" s="198">
        <v>0.8</v>
      </c>
      <c r="I554" s="199">
        <v>16107.37</v>
      </c>
      <c r="J554" s="200" t="s">
        <v>2261</v>
      </c>
      <c r="K554" s="200" t="s">
        <v>3389</v>
      </c>
      <c r="L554" s="201">
        <v>0.4</v>
      </c>
      <c r="M554" s="278" t="s">
        <v>2968</v>
      </c>
      <c r="N554" s="205">
        <v>2916.68</v>
      </c>
      <c r="O554" s="254">
        <v>2916.68</v>
      </c>
      <c r="P554" s="254">
        <v>2333.34</v>
      </c>
      <c r="Q554" s="254">
        <v>2333.34</v>
      </c>
      <c r="R554" s="1262" t="s">
        <v>3227</v>
      </c>
      <c r="S554" s="254">
        <v>1166.67</v>
      </c>
      <c r="T554" s="204">
        <v>44955</v>
      </c>
      <c r="U554" s="1262" t="s">
        <v>3228</v>
      </c>
      <c r="V554" s="254">
        <v>583.34</v>
      </c>
      <c r="W554" s="1262" t="s">
        <v>3229</v>
      </c>
      <c r="X554" s="206">
        <v>583.34</v>
      </c>
      <c r="Y554" s="192"/>
    </row>
    <row r="555" ht="37.5" customHeight="1" spans="1:25">
      <c r="A555" s="192">
        <f t="shared" si="19"/>
        <v>547</v>
      </c>
      <c r="B555" s="208">
        <v>2023</v>
      </c>
      <c r="C555" s="193" t="s">
        <v>37</v>
      </c>
      <c r="D555" s="277" t="s">
        <v>338</v>
      </c>
      <c r="E555" s="195" t="s">
        <v>3390</v>
      </c>
      <c r="F555" s="196" t="s">
        <v>2073</v>
      </c>
      <c r="G555" s="197" t="s">
        <v>3239</v>
      </c>
      <c r="H555" s="198">
        <v>0.8</v>
      </c>
      <c r="I555" s="199">
        <v>13574</v>
      </c>
      <c r="J555" s="200" t="s">
        <v>1959</v>
      </c>
      <c r="K555" s="200" t="s">
        <v>3391</v>
      </c>
      <c r="L555" s="201">
        <v>0.4</v>
      </c>
      <c r="M555" s="278" t="s">
        <v>3140</v>
      </c>
      <c r="N555" s="205">
        <v>11211.68</v>
      </c>
      <c r="O555" s="254">
        <v>11211.68</v>
      </c>
      <c r="P555" s="254">
        <v>8969.34</v>
      </c>
      <c r="Q555" s="254">
        <v>8969.34</v>
      </c>
      <c r="R555" s="1262" t="s">
        <v>3227</v>
      </c>
      <c r="S555" s="254">
        <v>4484.67</v>
      </c>
      <c r="T555" s="204">
        <v>44955</v>
      </c>
      <c r="U555" s="1262" t="s">
        <v>3228</v>
      </c>
      <c r="V555" s="254">
        <v>2242.34</v>
      </c>
      <c r="W555" s="1262" t="s">
        <v>3229</v>
      </c>
      <c r="X555" s="206">
        <v>2242.34</v>
      </c>
      <c r="Y555" s="192"/>
    </row>
    <row r="556" ht="37.5" customHeight="1" spans="1:25">
      <c r="A556" s="192">
        <f t="shared" si="19"/>
        <v>548</v>
      </c>
      <c r="B556" s="208">
        <v>2023</v>
      </c>
      <c r="C556" s="193" t="s">
        <v>37</v>
      </c>
      <c r="D556" s="277" t="s">
        <v>3392</v>
      </c>
      <c r="E556" s="195" t="s">
        <v>3393</v>
      </c>
      <c r="F556" s="196" t="s">
        <v>2073</v>
      </c>
      <c r="G556" s="197" t="s">
        <v>3239</v>
      </c>
      <c r="H556" s="198">
        <v>0.8</v>
      </c>
      <c r="I556" s="199">
        <v>15576.74</v>
      </c>
      <c r="J556" s="200" t="s">
        <v>1960</v>
      </c>
      <c r="K556" s="200" t="s">
        <v>3394</v>
      </c>
      <c r="L556" s="201">
        <v>0.4</v>
      </c>
      <c r="M556" s="278" t="s">
        <v>2956</v>
      </c>
      <c r="N556" s="205">
        <v>1833.34</v>
      </c>
      <c r="O556" s="254">
        <v>1833.34</v>
      </c>
      <c r="P556" s="254">
        <v>1466.67</v>
      </c>
      <c r="Q556" s="254">
        <v>1466.67</v>
      </c>
      <c r="R556" s="1262" t="s">
        <v>3227</v>
      </c>
      <c r="S556" s="254">
        <v>733.34</v>
      </c>
      <c r="T556" s="204">
        <v>44955</v>
      </c>
      <c r="U556" s="1262" t="s">
        <v>3228</v>
      </c>
      <c r="V556" s="254">
        <v>366.67</v>
      </c>
      <c r="W556" s="1262" t="s">
        <v>3229</v>
      </c>
      <c r="X556" s="206">
        <v>366.67</v>
      </c>
      <c r="Y556" s="192"/>
    </row>
    <row r="557" ht="37.5" customHeight="1" spans="1:25">
      <c r="A557" s="192">
        <f t="shared" si="19"/>
        <v>549</v>
      </c>
      <c r="B557" s="208">
        <v>2023</v>
      </c>
      <c r="C557" s="193" t="s">
        <v>37</v>
      </c>
      <c r="D557" s="277" t="s">
        <v>3395</v>
      </c>
      <c r="E557" s="195" t="s">
        <v>3396</v>
      </c>
      <c r="F557" s="196" t="s">
        <v>2073</v>
      </c>
      <c r="G557" s="197" t="s">
        <v>3239</v>
      </c>
      <c r="H557" s="198">
        <v>0.8</v>
      </c>
      <c r="I557" s="199">
        <v>36792</v>
      </c>
      <c r="J557" s="200" t="s">
        <v>2212</v>
      </c>
      <c r="K557" s="200" t="s">
        <v>3109</v>
      </c>
      <c r="L557" s="201">
        <v>0.4</v>
      </c>
      <c r="M557" s="278" t="s">
        <v>3252</v>
      </c>
      <c r="N557" s="205">
        <v>30660.02</v>
      </c>
      <c r="O557" s="254">
        <v>30660.02</v>
      </c>
      <c r="P557" s="254">
        <v>24528.01</v>
      </c>
      <c r="Q557" s="254">
        <v>24528.01</v>
      </c>
      <c r="R557" s="1262" t="s">
        <v>3227</v>
      </c>
      <c r="S557" s="254">
        <v>12264.01</v>
      </c>
      <c r="T557" s="204">
        <v>44955</v>
      </c>
      <c r="U557" s="1262" t="s">
        <v>3228</v>
      </c>
      <c r="V557" s="254">
        <v>6132</v>
      </c>
      <c r="W557" s="1262" t="s">
        <v>3229</v>
      </c>
      <c r="X557" s="206">
        <v>6132</v>
      </c>
      <c r="Y557" s="192"/>
    </row>
    <row r="558" ht="37.5" customHeight="1" spans="1:25">
      <c r="A558" s="192">
        <f t="shared" si="19"/>
        <v>550</v>
      </c>
      <c r="B558" s="208">
        <v>2023</v>
      </c>
      <c r="C558" s="193" t="s">
        <v>37</v>
      </c>
      <c r="D558" s="277" t="s">
        <v>3348</v>
      </c>
      <c r="E558" s="195" t="s">
        <v>3397</v>
      </c>
      <c r="F558" s="196" t="s">
        <v>2073</v>
      </c>
      <c r="G558" s="197" t="s">
        <v>3239</v>
      </c>
      <c r="H558" s="198">
        <v>0.8</v>
      </c>
      <c r="I558" s="199">
        <v>15000</v>
      </c>
      <c r="J558" s="200" t="s">
        <v>1987</v>
      </c>
      <c r="K558" s="200" t="s">
        <v>2982</v>
      </c>
      <c r="L558" s="201">
        <v>0.4</v>
      </c>
      <c r="M558" s="278" t="s">
        <v>3252</v>
      </c>
      <c r="N558" s="205">
        <v>11000</v>
      </c>
      <c r="O558" s="254">
        <v>11000</v>
      </c>
      <c r="P558" s="254">
        <v>8800</v>
      </c>
      <c r="Q558" s="254">
        <v>8800</v>
      </c>
      <c r="R558" s="1262" t="s">
        <v>3227</v>
      </c>
      <c r="S558" s="254">
        <v>4400</v>
      </c>
      <c r="T558" s="204">
        <v>44955</v>
      </c>
      <c r="U558" s="1262" t="s">
        <v>3228</v>
      </c>
      <c r="V558" s="254">
        <v>2200</v>
      </c>
      <c r="W558" s="1262" t="s">
        <v>3229</v>
      </c>
      <c r="X558" s="206">
        <v>2200</v>
      </c>
      <c r="Y558" s="192"/>
    </row>
    <row r="559" ht="37.5" customHeight="1" spans="1:25">
      <c r="A559" s="192">
        <f t="shared" si="19"/>
        <v>551</v>
      </c>
      <c r="B559" s="208">
        <v>2023</v>
      </c>
      <c r="C559" s="193" t="s">
        <v>37</v>
      </c>
      <c r="D559" s="277" t="s">
        <v>3398</v>
      </c>
      <c r="E559" s="195" t="s">
        <v>3399</v>
      </c>
      <c r="F559" s="196" t="s">
        <v>2073</v>
      </c>
      <c r="G559" s="197" t="s">
        <v>3239</v>
      </c>
      <c r="H559" s="198">
        <v>0.8</v>
      </c>
      <c r="I559" s="199">
        <v>91000</v>
      </c>
      <c r="J559" s="200" t="s">
        <v>2970</v>
      </c>
      <c r="K559" s="200" t="s">
        <v>2971</v>
      </c>
      <c r="L559" s="201">
        <v>0.4</v>
      </c>
      <c r="M559" s="278" t="s">
        <v>3327</v>
      </c>
      <c r="N559" s="205">
        <v>48583.34</v>
      </c>
      <c r="O559" s="254">
        <v>48583.34</v>
      </c>
      <c r="P559" s="254">
        <v>38866.67</v>
      </c>
      <c r="Q559" s="254">
        <v>38866.67</v>
      </c>
      <c r="R559" s="1262" t="s">
        <v>3227</v>
      </c>
      <c r="S559" s="254">
        <v>19433.34</v>
      </c>
      <c r="T559" s="204">
        <v>44955</v>
      </c>
      <c r="U559" s="1262" t="s">
        <v>3228</v>
      </c>
      <c r="V559" s="254">
        <v>9716.67</v>
      </c>
      <c r="W559" s="1262" t="s">
        <v>3229</v>
      </c>
      <c r="X559" s="206">
        <v>9716.67</v>
      </c>
      <c r="Y559" s="192"/>
    </row>
    <row r="560" ht="37.5" customHeight="1" spans="1:25">
      <c r="A560" s="192">
        <f t="shared" si="19"/>
        <v>552</v>
      </c>
      <c r="B560" s="208">
        <v>2023</v>
      </c>
      <c r="C560" s="193" t="s">
        <v>37</v>
      </c>
      <c r="D560" s="277" t="s">
        <v>3400</v>
      </c>
      <c r="E560" s="195" t="s">
        <v>3401</v>
      </c>
      <c r="F560" s="196" t="s">
        <v>2073</v>
      </c>
      <c r="G560" s="197" t="s">
        <v>3239</v>
      </c>
      <c r="H560" s="198">
        <v>0.8</v>
      </c>
      <c r="I560" s="199">
        <v>35200</v>
      </c>
      <c r="J560" s="200" t="s">
        <v>2209</v>
      </c>
      <c r="K560" s="200" t="s">
        <v>2902</v>
      </c>
      <c r="L560" s="201">
        <v>0.4</v>
      </c>
      <c r="M560" s="278" t="s">
        <v>3402</v>
      </c>
      <c r="N560" s="205">
        <v>29166.71</v>
      </c>
      <c r="O560" s="254">
        <v>29166.71</v>
      </c>
      <c r="P560" s="254">
        <v>23333.36</v>
      </c>
      <c r="Q560" s="254">
        <v>23333.36</v>
      </c>
      <c r="R560" s="1262" t="s">
        <v>3227</v>
      </c>
      <c r="S560" s="254">
        <v>11666.68</v>
      </c>
      <c r="T560" s="204">
        <v>44955</v>
      </c>
      <c r="U560" s="1262" t="s">
        <v>3228</v>
      </c>
      <c r="V560" s="254">
        <v>5833.34</v>
      </c>
      <c r="W560" s="1262" t="s">
        <v>3229</v>
      </c>
      <c r="X560" s="206">
        <v>5833.34</v>
      </c>
      <c r="Y560" s="192"/>
    </row>
    <row r="561" ht="37.5" customHeight="1" spans="1:25">
      <c r="A561" s="192">
        <f t="shared" si="19"/>
        <v>553</v>
      </c>
      <c r="B561" s="208">
        <v>2023</v>
      </c>
      <c r="C561" s="193" t="s">
        <v>37</v>
      </c>
      <c r="D561" s="277" t="s">
        <v>3403</v>
      </c>
      <c r="E561" s="195" t="s">
        <v>3404</v>
      </c>
      <c r="F561" s="196" t="s">
        <v>2073</v>
      </c>
      <c r="G561" s="197" t="s">
        <v>3239</v>
      </c>
      <c r="H561" s="198">
        <v>0.8</v>
      </c>
      <c r="I561" s="199">
        <v>30000</v>
      </c>
      <c r="J561" s="200" t="s">
        <v>2209</v>
      </c>
      <c r="K561" s="200" t="s">
        <v>2902</v>
      </c>
      <c r="L561" s="201">
        <v>0.4</v>
      </c>
      <c r="M561" s="278" t="s">
        <v>3036</v>
      </c>
      <c r="N561" s="205">
        <v>25000</v>
      </c>
      <c r="O561" s="254">
        <v>25000</v>
      </c>
      <c r="P561" s="254">
        <v>20000</v>
      </c>
      <c r="Q561" s="254">
        <v>20000</v>
      </c>
      <c r="R561" s="1262" t="s">
        <v>3227</v>
      </c>
      <c r="S561" s="254">
        <v>10000</v>
      </c>
      <c r="T561" s="204">
        <v>44955</v>
      </c>
      <c r="U561" s="1262" t="s">
        <v>3228</v>
      </c>
      <c r="V561" s="254">
        <v>5000</v>
      </c>
      <c r="W561" s="1262" t="s">
        <v>3229</v>
      </c>
      <c r="X561" s="206">
        <v>5000</v>
      </c>
      <c r="Y561" s="192"/>
    </row>
    <row r="562" ht="37.5" customHeight="1" spans="1:25">
      <c r="A562" s="192">
        <f t="shared" si="19"/>
        <v>554</v>
      </c>
      <c r="B562" s="208">
        <v>2023</v>
      </c>
      <c r="C562" s="193" t="s">
        <v>37</v>
      </c>
      <c r="D562" s="277" t="s">
        <v>3374</v>
      </c>
      <c r="E562" s="195" t="s">
        <v>3405</v>
      </c>
      <c r="F562" s="196" t="s">
        <v>2073</v>
      </c>
      <c r="G562" s="197" t="s">
        <v>3239</v>
      </c>
      <c r="H562" s="198">
        <v>0.8</v>
      </c>
      <c r="I562" s="199">
        <v>40000</v>
      </c>
      <c r="J562" s="200" t="s">
        <v>2149</v>
      </c>
      <c r="K562" s="200" t="s">
        <v>2923</v>
      </c>
      <c r="L562" s="201">
        <v>0.4</v>
      </c>
      <c r="M562" s="278" t="s">
        <v>3176</v>
      </c>
      <c r="N562" s="205">
        <v>36666.67</v>
      </c>
      <c r="O562" s="254">
        <v>36666.67</v>
      </c>
      <c r="P562" s="254">
        <v>29333.34</v>
      </c>
      <c r="Q562" s="254">
        <v>29333.34</v>
      </c>
      <c r="R562" s="1262" t="s">
        <v>3227</v>
      </c>
      <c r="S562" s="254">
        <v>14666.67</v>
      </c>
      <c r="T562" s="204">
        <v>44955</v>
      </c>
      <c r="U562" s="1262" t="s">
        <v>3228</v>
      </c>
      <c r="V562" s="254">
        <v>7333.33</v>
      </c>
      <c r="W562" s="1262" t="s">
        <v>3229</v>
      </c>
      <c r="X562" s="206">
        <v>7333.33</v>
      </c>
      <c r="Y562" s="192"/>
    </row>
    <row r="563" ht="37.5" customHeight="1" spans="1:25">
      <c r="A563" s="192">
        <f t="shared" si="19"/>
        <v>555</v>
      </c>
      <c r="B563" s="208">
        <v>2023</v>
      </c>
      <c r="C563" s="193" t="s">
        <v>37</v>
      </c>
      <c r="D563" s="277" t="s">
        <v>2134</v>
      </c>
      <c r="E563" s="195" t="s">
        <v>3406</v>
      </c>
      <c r="F563" s="196" t="s">
        <v>2073</v>
      </c>
      <c r="G563" s="197" t="s">
        <v>3239</v>
      </c>
      <c r="H563" s="198">
        <v>0.8</v>
      </c>
      <c r="I563" s="199">
        <v>14731</v>
      </c>
      <c r="J563" s="200" t="s">
        <v>2087</v>
      </c>
      <c r="K563" s="200" t="s">
        <v>3407</v>
      </c>
      <c r="L563" s="201">
        <v>0.4</v>
      </c>
      <c r="M563" s="278" t="s">
        <v>3007</v>
      </c>
      <c r="N563" s="205">
        <v>13503.42</v>
      </c>
      <c r="O563" s="254">
        <v>13503.42</v>
      </c>
      <c r="P563" s="254">
        <v>10802.74</v>
      </c>
      <c r="Q563" s="254">
        <v>10802.74</v>
      </c>
      <c r="R563" s="1262" t="s">
        <v>3227</v>
      </c>
      <c r="S563" s="254">
        <v>5401.37</v>
      </c>
      <c r="T563" s="204">
        <v>44955</v>
      </c>
      <c r="U563" s="1262" t="s">
        <v>3228</v>
      </c>
      <c r="V563" s="254">
        <v>2700.68</v>
      </c>
      <c r="W563" s="1262" t="s">
        <v>3229</v>
      </c>
      <c r="X563" s="206">
        <v>2700.68</v>
      </c>
      <c r="Y563" s="192"/>
    </row>
    <row r="564" ht="37.5" customHeight="1" spans="1:25">
      <c r="A564" s="192">
        <f t="shared" si="19"/>
        <v>556</v>
      </c>
      <c r="B564" s="208">
        <v>2023</v>
      </c>
      <c r="C564" s="193" t="s">
        <v>37</v>
      </c>
      <c r="D564" s="277" t="s">
        <v>3346</v>
      </c>
      <c r="E564" s="195" t="s">
        <v>3408</v>
      </c>
      <c r="F564" s="196" t="s">
        <v>2073</v>
      </c>
      <c r="G564" s="197" t="s">
        <v>3239</v>
      </c>
      <c r="H564" s="198">
        <v>0.8</v>
      </c>
      <c r="I564" s="199">
        <v>15431.39</v>
      </c>
      <c r="J564" s="200" t="s">
        <v>2242</v>
      </c>
      <c r="K564" s="200" t="s">
        <v>3409</v>
      </c>
      <c r="L564" s="201">
        <v>0.4</v>
      </c>
      <c r="M564" s="278" t="s">
        <v>2282</v>
      </c>
      <c r="N564" s="205">
        <v>5208.36</v>
      </c>
      <c r="O564" s="254">
        <v>5208.36</v>
      </c>
      <c r="P564" s="254">
        <v>4166.68</v>
      </c>
      <c r="Q564" s="254">
        <v>4166.68</v>
      </c>
      <c r="R564" s="1262" t="s">
        <v>3227</v>
      </c>
      <c r="S564" s="254">
        <v>2083.34</v>
      </c>
      <c r="T564" s="204">
        <v>44955</v>
      </c>
      <c r="U564" s="1262" t="s">
        <v>3228</v>
      </c>
      <c r="V564" s="254">
        <v>1041.67</v>
      </c>
      <c r="W564" s="1262" t="s">
        <v>3229</v>
      </c>
      <c r="X564" s="206">
        <v>1041.67</v>
      </c>
      <c r="Y564" s="192"/>
    </row>
    <row r="565" ht="37.5" customHeight="1" spans="1:25">
      <c r="A565" s="192">
        <f t="shared" si="19"/>
        <v>557</v>
      </c>
      <c r="B565" s="208">
        <v>2023</v>
      </c>
      <c r="C565" s="193" t="s">
        <v>37</v>
      </c>
      <c r="D565" s="277" t="s">
        <v>3410</v>
      </c>
      <c r="E565" s="195" t="s">
        <v>3411</v>
      </c>
      <c r="F565" s="196" t="s">
        <v>2073</v>
      </c>
      <c r="G565" s="197" t="s">
        <v>3239</v>
      </c>
      <c r="H565" s="198">
        <v>0.8</v>
      </c>
      <c r="I565" s="199">
        <v>44000</v>
      </c>
      <c r="J565" s="200" t="s">
        <v>2242</v>
      </c>
      <c r="K565" s="200" t="s">
        <v>3409</v>
      </c>
      <c r="L565" s="201">
        <v>0.4</v>
      </c>
      <c r="M565" s="278" t="s">
        <v>2282</v>
      </c>
      <c r="N565" s="205">
        <v>42333.34</v>
      </c>
      <c r="O565" s="254">
        <v>42333.34</v>
      </c>
      <c r="P565" s="254">
        <v>33866.67</v>
      </c>
      <c r="Q565" s="254">
        <v>33866.67</v>
      </c>
      <c r="R565" s="1262" t="s">
        <v>3227</v>
      </c>
      <c r="S565" s="254">
        <v>16933.34</v>
      </c>
      <c r="T565" s="204">
        <v>44955</v>
      </c>
      <c r="U565" s="1262" t="s">
        <v>3228</v>
      </c>
      <c r="V565" s="254">
        <v>8466.67</v>
      </c>
      <c r="W565" s="1262" t="s">
        <v>3229</v>
      </c>
      <c r="X565" s="206">
        <v>8466.67</v>
      </c>
      <c r="Y565" s="192"/>
    </row>
    <row r="566" ht="37.5" customHeight="1" spans="1:25">
      <c r="A566" s="192">
        <f t="shared" si="19"/>
        <v>558</v>
      </c>
      <c r="B566" s="208">
        <v>2023</v>
      </c>
      <c r="C566" s="193" t="s">
        <v>37</v>
      </c>
      <c r="D566" s="277" t="s">
        <v>2975</v>
      </c>
      <c r="E566" s="195" t="s">
        <v>3412</v>
      </c>
      <c r="F566" s="196" t="s">
        <v>2073</v>
      </c>
      <c r="G566" s="197" t="s">
        <v>3239</v>
      </c>
      <c r="H566" s="198">
        <v>0.8</v>
      </c>
      <c r="I566" s="199">
        <v>15761.94</v>
      </c>
      <c r="J566" s="200" t="s">
        <v>3014</v>
      </c>
      <c r="K566" s="200" t="s">
        <v>3015</v>
      </c>
      <c r="L566" s="201">
        <v>0.4</v>
      </c>
      <c r="M566" s="278" t="s">
        <v>3232</v>
      </c>
      <c r="N566" s="205">
        <v>2175.02</v>
      </c>
      <c r="O566" s="254">
        <v>2175.02</v>
      </c>
      <c r="P566" s="254">
        <v>1740.02</v>
      </c>
      <c r="Q566" s="254">
        <v>1740.02</v>
      </c>
      <c r="R566" s="1262" t="s">
        <v>3227</v>
      </c>
      <c r="S566" s="254">
        <v>870.01</v>
      </c>
      <c r="T566" s="204">
        <v>44955</v>
      </c>
      <c r="U566" s="1262" t="s">
        <v>3228</v>
      </c>
      <c r="V566" s="254">
        <v>435</v>
      </c>
      <c r="W566" s="1262" t="s">
        <v>3229</v>
      </c>
      <c r="X566" s="206">
        <v>435</v>
      </c>
      <c r="Y566" s="192"/>
    </row>
    <row r="567" ht="37.5" customHeight="1" spans="1:25">
      <c r="A567" s="192">
        <f t="shared" si="19"/>
        <v>559</v>
      </c>
      <c r="B567" s="208">
        <v>2023</v>
      </c>
      <c r="C567" s="193" t="s">
        <v>37</v>
      </c>
      <c r="D567" s="277" t="s">
        <v>3387</v>
      </c>
      <c r="E567" s="195" t="s">
        <v>3413</v>
      </c>
      <c r="F567" s="196" t="s">
        <v>2073</v>
      </c>
      <c r="G567" s="197" t="s">
        <v>3239</v>
      </c>
      <c r="H567" s="198">
        <v>0.8</v>
      </c>
      <c r="I567" s="199">
        <v>16107.37</v>
      </c>
      <c r="J567" s="200" t="s">
        <v>2229</v>
      </c>
      <c r="K567" s="200" t="s">
        <v>3414</v>
      </c>
      <c r="L567" s="201">
        <v>0.4</v>
      </c>
      <c r="M567" s="278" t="s">
        <v>2968</v>
      </c>
      <c r="N567" s="205">
        <v>1833.34</v>
      </c>
      <c r="O567" s="254">
        <v>1833.34</v>
      </c>
      <c r="P567" s="254">
        <v>1466.67</v>
      </c>
      <c r="Q567" s="254">
        <v>1466.67</v>
      </c>
      <c r="R567" s="1262" t="s">
        <v>3227</v>
      </c>
      <c r="S567" s="254">
        <v>733.34</v>
      </c>
      <c r="T567" s="204">
        <v>44955</v>
      </c>
      <c r="U567" s="1262" t="s">
        <v>3228</v>
      </c>
      <c r="V567" s="254">
        <v>366.67</v>
      </c>
      <c r="W567" s="1262" t="s">
        <v>3229</v>
      </c>
      <c r="X567" s="206">
        <v>366.67</v>
      </c>
      <c r="Y567" s="192"/>
    </row>
    <row r="568" ht="37.5" customHeight="1" spans="1:25">
      <c r="A568" s="192">
        <f t="shared" si="19"/>
        <v>560</v>
      </c>
      <c r="B568" s="208">
        <v>2023</v>
      </c>
      <c r="C568" s="193" t="s">
        <v>37</v>
      </c>
      <c r="D568" s="277" t="s">
        <v>2134</v>
      </c>
      <c r="E568" s="195" t="s">
        <v>3415</v>
      </c>
      <c r="F568" s="196" t="s">
        <v>2073</v>
      </c>
      <c r="G568" s="197" t="s">
        <v>3239</v>
      </c>
      <c r="H568" s="198">
        <v>0.8</v>
      </c>
      <c r="I568" s="199">
        <v>70000</v>
      </c>
      <c r="J568" s="200" t="s">
        <v>1892</v>
      </c>
      <c r="K568" s="200" t="s">
        <v>2462</v>
      </c>
      <c r="L568" s="201">
        <v>0.4</v>
      </c>
      <c r="M568" s="278" t="s">
        <v>3416</v>
      </c>
      <c r="N568" s="205">
        <v>10450.17</v>
      </c>
      <c r="O568" s="254">
        <v>10450.17</v>
      </c>
      <c r="P568" s="254">
        <v>8360.13</v>
      </c>
      <c r="Q568" s="254">
        <v>8360.13</v>
      </c>
      <c r="R568" s="1262" t="s">
        <v>3227</v>
      </c>
      <c r="S568" s="254">
        <v>4180.07</v>
      </c>
      <c r="T568" s="204">
        <v>44955</v>
      </c>
      <c r="U568" s="1262" t="s">
        <v>3228</v>
      </c>
      <c r="V568" s="254">
        <v>2090.03</v>
      </c>
      <c r="W568" s="1262" t="s">
        <v>3229</v>
      </c>
      <c r="X568" s="206">
        <v>2090.03</v>
      </c>
      <c r="Y568" s="192"/>
    </row>
    <row r="569" ht="37.5" customHeight="1" spans="1:25">
      <c r="A569" s="192">
        <f t="shared" si="19"/>
        <v>561</v>
      </c>
      <c r="B569" s="208">
        <v>2023</v>
      </c>
      <c r="C569" s="193" t="s">
        <v>37</v>
      </c>
      <c r="D569" s="277" t="s">
        <v>3328</v>
      </c>
      <c r="E569" s="195" t="s">
        <v>3417</v>
      </c>
      <c r="F569" s="196" t="s">
        <v>2073</v>
      </c>
      <c r="G569" s="197" t="s">
        <v>3239</v>
      </c>
      <c r="H569" s="198">
        <v>0.8</v>
      </c>
      <c r="I569" s="199">
        <v>80000</v>
      </c>
      <c r="J569" s="200" t="s">
        <v>1824</v>
      </c>
      <c r="K569" s="200" t="s">
        <v>2102</v>
      </c>
      <c r="L569" s="201">
        <v>0.4</v>
      </c>
      <c r="M569" s="278" t="s">
        <v>3402</v>
      </c>
      <c r="N569" s="205">
        <v>10633.52</v>
      </c>
      <c r="O569" s="254">
        <v>10633.52</v>
      </c>
      <c r="P569" s="254">
        <v>8506.81</v>
      </c>
      <c r="Q569" s="254">
        <v>8506.81</v>
      </c>
      <c r="R569" s="1262" t="s">
        <v>3227</v>
      </c>
      <c r="S569" s="254">
        <v>4253.41</v>
      </c>
      <c r="T569" s="204">
        <v>44955</v>
      </c>
      <c r="U569" s="1262" t="s">
        <v>3228</v>
      </c>
      <c r="V569" s="254">
        <v>2126.7</v>
      </c>
      <c r="W569" s="1262" t="s">
        <v>3229</v>
      </c>
      <c r="X569" s="206">
        <v>2126.7</v>
      </c>
      <c r="Y569" s="192"/>
    </row>
    <row r="570" ht="37.5" customHeight="1" spans="1:25">
      <c r="A570" s="192">
        <f t="shared" si="19"/>
        <v>562</v>
      </c>
      <c r="B570" s="208">
        <v>2023</v>
      </c>
      <c r="C570" s="193" t="s">
        <v>37</v>
      </c>
      <c r="D570" s="277" t="s">
        <v>3418</v>
      </c>
      <c r="E570" s="195" t="s">
        <v>3419</v>
      </c>
      <c r="F570" s="196" t="s">
        <v>2073</v>
      </c>
      <c r="G570" s="197" t="s">
        <v>3239</v>
      </c>
      <c r="H570" s="198">
        <v>0.8</v>
      </c>
      <c r="I570" s="199">
        <v>90000</v>
      </c>
      <c r="J570" s="200" t="s">
        <v>2079</v>
      </c>
      <c r="K570" s="200" t="s">
        <v>2080</v>
      </c>
      <c r="L570" s="201">
        <v>0.4</v>
      </c>
      <c r="M570" s="278" t="s">
        <v>3420</v>
      </c>
      <c r="N570" s="205">
        <v>25916.7</v>
      </c>
      <c r="O570" s="254">
        <v>25916.7</v>
      </c>
      <c r="P570" s="254">
        <v>20733.36</v>
      </c>
      <c r="Q570" s="254">
        <v>20733.36</v>
      </c>
      <c r="R570" s="1262" t="s">
        <v>3227</v>
      </c>
      <c r="S570" s="254">
        <v>10366.68</v>
      </c>
      <c r="T570" s="204">
        <v>44955</v>
      </c>
      <c r="U570" s="1262" t="s">
        <v>3228</v>
      </c>
      <c r="V570" s="254">
        <v>5183.34</v>
      </c>
      <c r="W570" s="1262" t="s">
        <v>3229</v>
      </c>
      <c r="X570" s="206">
        <v>5183.34</v>
      </c>
      <c r="Y570" s="192"/>
    </row>
    <row r="571" ht="37.5" customHeight="1" spans="1:25">
      <c r="A571" s="192">
        <f t="shared" si="19"/>
        <v>563</v>
      </c>
      <c r="B571" s="208">
        <v>2023</v>
      </c>
      <c r="C571" s="193" t="s">
        <v>37</v>
      </c>
      <c r="D571" s="277" t="s">
        <v>3421</v>
      </c>
      <c r="E571" s="195" t="s">
        <v>3422</v>
      </c>
      <c r="F571" s="196" t="s">
        <v>2073</v>
      </c>
      <c r="G571" s="197" t="s">
        <v>3239</v>
      </c>
      <c r="H571" s="198">
        <v>0.8</v>
      </c>
      <c r="I571" s="199">
        <v>76000</v>
      </c>
      <c r="J571" s="200" t="s">
        <v>2079</v>
      </c>
      <c r="K571" s="200" t="s">
        <v>2080</v>
      </c>
      <c r="L571" s="201">
        <v>0.4</v>
      </c>
      <c r="M571" s="278" t="s">
        <v>2144</v>
      </c>
      <c r="N571" s="205">
        <v>8333.38</v>
      </c>
      <c r="O571" s="254">
        <v>8333.38</v>
      </c>
      <c r="P571" s="254">
        <v>6666.7</v>
      </c>
      <c r="Q571" s="254">
        <v>6666.7</v>
      </c>
      <c r="R571" s="1262" t="s">
        <v>3227</v>
      </c>
      <c r="S571" s="254">
        <v>3333.35</v>
      </c>
      <c r="T571" s="204">
        <v>44955</v>
      </c>
      <c r="U571" s="1262" t="s">
        <v>3228</v>
      </c>
      <c r="V571" s="254">
        <v>1666.68</v>
      </c>
      <c r="W571" s="1262" t="s">
        <v>3229</v>
      </c>
      <c r="X571" s="206">
        <v>1666.68</v>
      </c>
      <c r="Y571" s="192"/>
    </row>
    <row r="572" ht="37.5" customHeight="1" spans="1:25">
      <c r="A572" s="192">
        <f t="shared" si="19"/>
        <v>564</v>
      </c>
      <c r="B572" s="208">
        <v>2023</v>
      </c>
      <c r="C572" s="193" t="s">
        <v>37</v>
      </c>
      <c r="D572" s="277" t="s">
        <v>3423</v>
      </c>
      <c r="E572" s="195" t="s">
        <v>3424</v>
      </c>
      <c r="F572" s="196" t="s">
        <v>2073</v>
      </c>
      <c r="G572" s="197" t="s">
        <v>3239</v>
      </c>
      <c r="H572" s="198">
        <v>0.8</v>
      </c>
      <c r="I572" s="199">
        <v>290000</v>
      </c>
      <c r="J572" s="200" t="s">
        <v>1825</v>
      </c>
      <c r="K572" s="200" t="s">
        <v>2169</v>
      </c>
      <c r="L572" s="201">
        <v>0.4</v>
      </c>
      <c r="M572" s="278" t="s">
        <v>3350</v>
      </c>
      <c r="N572" s="205">
        <v>133542.88</v>
      </c>
      <c r="O572" s="254">
        <v>133542.88</v>
      </c>
      <c r="P572" s="254">
        <v>106834.3</v>
      </c>
      <c r="Q572" s="254">
        <v>106834.3</v>
      </c>
      <c r="R572" s="1262" t="s">
        <v>3227</v>
      </c>
      <c r="S572" s="254">
        <v>53417.15</v>
      </c>
      <c r="T572" s="204">
        <v>44955</v>
      </c>
      <c r="U572" s="1262" t="s">
        <v>3228</v>
      </c>
      <c r="V572" s="254">
        <v>26708.58</v>
      </c>
      <c r="W572" s="1262" t="s">
        <v>3229</v>
      </c>
      <c r="X572" s="206">
        <v>26708.58</v>
      </c>
      <c r="Y572" s="192"/>
    </row>
    <row r="573" ht="37.5" customHeight="1" spans="1:25">
      <c r="A573" s="192">
        <f t="shared" si="19"/>
        <v>565</v>
      </c>
      <c r="B573" s="208">
        <v>2023</v>
      </c>
      <c r="C573" s="193" t="s">
        <v>37</v>
      </c>
      <c r="D573" s="277" t="s">
        <v>3425</v>
      </c>
      <c r="E573" s="195" t="s">
        <v>3426</v>
      </c>
      <c r="F573" s="196" t="s">
        <v>2073</v>
      </c>
      <c r="G573" s="197" t="s">
        <v>3239</v>
      </c>
      <c r="H573" s="198">
        <v>0.8</v>
      </c>
      <c r="I573" s="199">
        <v>90140</v>
      </c>
      <c r="J573" s="200" t="s">
        <v>1969</v>
      </c>
      <c r="K573" s="200" t="s">
        <v>2480</v>
      </c>
      <c r="L573" s="201">
        <v>0.4</v>
      </c>
      <c r="M573" s="278" t="s">
        <v>3327</v>
      </c>
      <c r="N573" s="205">
        <v>15316.73</v>
      </c>
      <c r="O573" s="254">
        <v>15316.73</v>
      </c>
      <c r="P573" s="254">
        <v>12253.38</v>
      </c>
      <c r="Q573" s="254">
        <v>12253.38</v>
      </c>
      <c r="R573" s="1262" t="s">
        <v>3227</v>
      </c>
      <c r="S573" s="254">
        <v>6126.69</v>
      </c>
      <c r="T573" s="204">
        <v>44955</v>
      </c>
      <c r="U573" s="1262" t="s">
        <v>3228</v>
      </c>
      <c r="V573" s="254">
        <v>3063.35</v>
      </c>
      <c r="W573" s="1262" t="s">
        <v>3229</v>
      </c>
      <c r="X573" s="206">
        <v>3063.35</v>
      </c>
      <c r="Y573" s="192"/>
    </row>
    <row r="574" ht="37.5" customHeight="1" spans="1:25">
      <c r="A574" s="192">
        <f t="shared" si="19"/>
        <v>566</v>
      </c>
      <c r="B574" s="208">
        <v>2023</v>
      </c>
      <c r="C574" s="193" t="s">
        <v>37</v>
      </c>
      <c r="D574" s="277" t="s">
        <v>3427</v>
      </c>
      <c r="E574" s="195" t="s">
        <v>3428</v>
      </c>
      <c r="F574" s="196" t="s">
        <v>2073</v>
      </c>
      <c r="G574" s="197" t="s">
        <v>3239</v>
      </c>
      <c r="H574" s="198">
        <v>0.8</v>
      </c>
      <c r="I574" s="199">
        <v>11020</v>
      </c>
      <c r="J574" s="200" t="s">
        <v>1815</v>
      </c>
      <c r="K574" s="200" t="s">
        <v>2159</v>
      </c>
      <c r="L574" s="201">
        <v>0.4</v>
      </c>
      <c r="M574" s="278" t="s">
        <v>2026</v>
      </c>
      <c r="N574" s="205">
        <v>833.38</v>
      </c>
      <c r="O574" s="254">
        <v>833.38</v>
      </c>
      <c r="P574" s="254">
        <v>666.7</v>
      </c>
      <c r="Q574" s="254">
        <v>666.7</v>
      </c>
      <c r="R574" s="1262" t="s">
        <v>3227</v>
      </c>
      <c r="S574" s="254">
        <v>333.35</v>
      </c>
      <c r="T574" s="204">
        <v>44955</v>
      </c>
      <c r="U574" s="1262" t="s">
        <v>3228</v>
      </c>
      <c r="V574" s="254">
        <v>166.68</v>
      </c>
      <c r="W574" s="1262" t="s">
        <v>3229</v>
      </c>
      <c r="X574" s="206">
        <v>166.68</v>
      </c>
      <c r="Y574" s="192"/>
    </row>
    <row r="575" ht="37.5" customHeight="1" spans="1:25">
      <c r="A575" s="192">
        <f t="shared" si="19"/>
        <v>567</v>
      </c>
      <c r="B575" s="208">
        <v>2023</v>
      </c>
      <c r="C575" s="193" t="s">
        <v>37</v>
      </c>
      <c r="D575" s="277" t="s">
        <v>3429</v>
      </c>
      <c r="E575" s="195" t="s">
        <v>3430</v>
      </c>
      <c r="F575" s="196" t="s">
        <v>2073</v>
      </c>
      <c r="G575" s="197" t="s">
        <v>3239</v>
      </c>
      <c r="H575" s="198">
        <v>0.8</v>
      </c>
      <c r="I575" s="199">
        <v>42220</v>
      </c>
      <c r="J575" s="200" t="s">
        <v>2079</v>
      </c>
      <c r="K575" s="200" t="s">
        <v>2080</v>
      </c>
      <c r="L575" s="201">
        <v>0.4</v>
      </c>
      <c r="M575" s="278" t="s">
        <v>2447</v>
      </c>
      <c r="N575" s="205">
        <v>7331.73</v>
      </c>
      <c r="O575" s="254">
        <v>7331.73</v>
      </c>
      <c r="P575" s="254">
        <v>5865.38</v>
      </c>
      <c r="Q575" s="254">
        <v>5865.38</v>
      </c>
      <c r="R575" s="1262" t="s">
        <v>3227</v>
      </c>
      <c r="S575" s="254">
        <v>2932.69</v>
      </c>
      <c r="T575" s="204">
        <v>44955</v>
      </c>
      <c r="U575" s="1262" t="s">
        <v>3228</v>
      </c>
      <c r="V575" s="254">
        <v>1466.35</v>
      </c>
      <c r="W575" s="1262" t="s">
        <v>3229</v>
      </c>
      <c r="X575" s="206">
        <v>1466.35</v>
      </c>
      <c r="Y575" s="192"/>
    </row>
    <row r="576" ht="37.5" customHeight="1" spans="1:25">
      <c r="A576" s="192">
        <f t="shared" si="19"/>
        <v>568</v>
      </c>
      <c r="B576" s="208">
        <v>2023</v>
      </c>
      <c r="C576" s="193" t="s">
        <v>37</v>
      </c>
      <c r="D576" s="277" t="s">
        <v>3431</v>
      </c>
      <c r="E576" s="195" t="s">
        <v>3432</v>
      </c>
      <c r="F576" s="196" t="s">
        <v>2073</v>
      </c>
      <c r="G576" s="197" t="s">
        <v>3239</v>
      </c>
      <c r="H576" s="198">
        <v>0.8</v>
      </c>
      <c r="I576" s="199">
        <v>133000</v>
      </c>
      <c r="J576" s="200" t="s">
        <v>2095</v>
      </c>
      <c r="K576" s="200" t="s">
        <v>2096</v>
      </c>
      <c r="L576" s="201">
        <v>0.4</v>
      </c>
      <c r="M576" s="278" t="s">
        <v>3257</v>
      </c>
      <c r="N576" s="205">
        <v>60949.93</v>
      </c>
      <c r="O576" s="254">
        <v>60949.93</v>
      </c>
      <c r="P576" s="254">
        <v>48759.96</v>
      </c>
      <c r="Q576" s="254">
        <v>48759.96</v>
      </c>
      <c r="R576" s="1262" t="s">
        <v>3227</v>
      </c>
      <c r="S576" s="254">
        <v>24379.97</v>
      </c>
      <c r="T576" s="204">
        <v>44955</v>
      </c>
      <c r="U576" s="1262" t="s">
        <v>3228</v>
      </c>
      <c r="V576" s="254">
        <v>12189.99</v>
      </c>
      <c r="W576" s="1262" t="s">
        <v>3229</v>
      </c>
      <c r="X576" s="206">
        <v>12189.99</v>
      </c>
      <c r="Y576" s="192"/>
    </row>
    <row r="577" ht="37.5" customHeight="1" spans="1:25">
      <c r="A577" s="192">
        <f t="shared" si="19"/>
        <v>569</v>
      </c>
      <c r="B577" s="208">
        <v>2023</v>
      </c>
      <c r="C577" s="193" t="s">
        <v>37</v>
      </c>
      <c r="D577" s="277" t="s">
        <v>3325</v>
      </c>
      <c r="E577" s="195" t="s">
        <v>3433</v>
      </c>
      <c r="F577" s="196" t="s">
        <v>2073</v>
      </c>
      <c r="G577" s="197" t="s">
        <v>3239</v>
      </c>
      <c r="H577" s="198">
        <v>0.8</v>
      </c>
      <c r="I577" s="199">
        <v>98640</v>
      </c>
      <c r="J577" s="200" t="s">
        <v>2172</v>
      </c>
      <c r="K577" s="200" t="s">
        <v>2173</v>
      </c>
      <c r="L577" s="201">
        <v>0.4</v>
      </c>
      <c r="M577" s="278" t="s">
        <v>3327</v>
      </c>
      <c r="N577" s="205">
        <v>4165.88</v>
      </c>
      <c r="O577" s="254">
        <v>4165.88</v>
      </c>
      <c r="P577" s="254">
        <v>3332.7</v>
      </c>
      <c r="Q577" s="254">
        <v>3332.7</v>
      </c>
      <c r="R577" s="1262" t="s">
        <v>3227</v>
      </c>
      <c r="S577" s="254">
        <v>1666.35</v>
      </c>
      <c r="T577" s="204">
        <v>44955</v>
      </c>
      <c r="U577" s="1262" t="s">
        <v>3228</v>
      </c>
      <c r="V577" s="254">
        <v>833.18</v>
      </c>
      <c r="W577" s="1262" t="s">
        <v>3229</v>
      </c>
      <c r="X577" s="206">
        <v>833.18</v>
      </c>
      <c r="Y577" s="192"/>
    </row>
    <row r="578" ht="37.5" customHeight="1" spans="1:25">
      <c r="A578" s="192">
        <f t="shared" si="19"/>
        <v>570</v>
      </c>
      <c r="B578" s="208">
        <v>2023</v>
      </c>
      <c r="C578" s="193" t="s">
        <v>37</v>
      </c>
      <c r="D578" s="277" t="s">
        <v>3434</v>
      </c>
      <c r="E578" s="195" t="s">
        <v>3435</v>
      </c>
      <c r="F578" s="196" t="s">
        <v>2073</v>
      </c>
      <c r="G578" s="197" t="s">
        <v>3239</v>
      </c>
      <c r="H578" s="198">
        <v>0.8</v>
      </c>
      <c r="I578" s="199">
        <v>150060</v>
      </c>
      <c r="J578" s="200" t="s">
        <v>2215</v>
      </c>
      <c r="K578" s="200" t="s">
        <v>2216</v>
      </c>
      <c r="L578" s="201">
        <v>0.4</v>
      </c>
      <c r="M578" s="278" t="s">
        <v>3436</v>
      </c>
      <c r="N578" s="205">
        <v>45000.12</v>
      </c>
      <c r="O578" s="254">
        <v>45000.12</v>
      </c>
      <c r="P578" s="254">
        <v>36000.09</v>
      </c>
      <c r="Q578" s="254">
        <v>36000.09</v>
      </c>
      <c r="R578" s="1262" t="s">
        <v>3227</v>
      </c>
      <c r="S578" s="254">
        <v>18000.05</v>
      </c>
      <c r="T578" s="204">
        <v>44955</v>
      </c>
      <c r="U578" s="1262" t="s">
        <v>3228</v>
      </c>
      <c r="V578" s="254">
        <v>9000.02</v>
      </c>
      <c r="W578" s="1262" t="s">
        <v>2063</v>
      </c>
      <c r="X578" s="258">
        <v>9000.02</v>
      </c>
      <c r="Y578" s="192"/>
    </row>
    <row r="579" ht="37.5" customHeight="1" spans="1:25">
      <c r="A579" s="192">
        <f t="shared" si="19"/>
        <v>571</v>
      </c>
      <c r="B579" s="208">
        <v>2023</v>
      </c>
      <c r="C579" s="193" t="s">
        <v>37</v>
      </c>
      <c r="D579" s="277" t="s">
        <v>3437</v>
      </c>
      <c r="E579" s="195" t="s">
        <v>3438</v>
      </c>
      <c r="F579" s="196" t="s">
        <v>2073</v>
      </c>
      <c r="G579" s="197" t="s">
        <v>3239</v>
      </c>
      <c r="H579" s="198">
        <v>0.8</v>
      </c>
      <c r="I579" s="199">
        <v>151000</v>
      </c>
      <c r="J579" s="200" t="s">
        <v>1825</v>
      </c>
      <c r="K579" s="200" t="s">
        <v>2169</v>
      </c>
      <c r="L579" s="201">
        <v>0.4</v>
      </c>
      <c r="M579" s="278" t="s">
        <v>3252</v>
      </c>
      <c r="N579" s="205">
        <v>19140.74</v>
      </c>
      <c r="O579" s="254">
        <v>19140.74</v>
      </c>
      <c r="P579" s="254">
        <v>15312.59</v>
      </c>
      <c r="Q579" s="254">
        <v>15312.59</v>
      </c>
      <c r="R579" s="1262" t="s">
        <v>3227</v>
      </c>
      <c r="S579" s="254">
        <v>7656.3</v>
      </c>
      <c r="T579" s="204">
        <v>44955</v>
      </c>
      <c r="U579" s="1262" t="s">
        <v>3228</v>
      </c>
      <c r="V579" s="254">
        <v>3828.15</v>
      </c>
      <c r="W579" s="1262" t="s">
        <v>2063</v>
      </c>
      <c r="X579" s="258">
        <v>3828.15</v>
      </c>
      <c r="Y579" s="192"/>
    </row>
    <row r="580" ht="37.5" customHeight="1" spans="1:25">
      <c r="A580" s="192">
        <f t="shared" si="19"/>
        <v>572</v>
      </c>
      <c r="B580" s="208">
        <v>2023</v>
      </c>
      <c r="C580" s="193" t="s">
        <v>37</v>
      </c>
      <c r="D580" s="277" t="s">
        <v>3439</v>
      </c>
      <c r="E580" s="195" t="s">
        <v>3440</v>
      </c>
      <c r="F580" s="196" t="s">
        <v>2073</v>
      </c>
      <c r="G580" s="197" t="s">
        <v>3239</v>
      </c>
      <c r="H580" s="198">
        <v>0.8</v>
      </c>
      <c r="I580" s="199">
        <v>150000</v>
      </c>
      <c r="J580" s="200" t="s">
        <v>1927</v>
      </c>
      <c r="K580" s="200" t="s">
        <v>2116</v>
      </c>
      <c r="L580" s="201">
        <v>0.4</v>
      </c>
      <c r="M580" s="278" t="s">
        <v>3327</v>
      </c>
      <c r="N580" s="205">
        <v>6250</v>
      </c>
      <c r="O580" s="254">
        <v>6250</v>
      </c>
      <c r="P580" s="254">
        <v>5000</v>
      </c>
      <c r="Q580" s="254">
        <v>5000</v>
      </c>
      <c r="R580" s="1262" t="s">
        <v>3227</v>
      </c>
      <c r="S580" s="254">
        <v>2500</v>
      </c>
      <c r="T580" s="204">
        <v>44955</v>
      </c>
      <c r="U580" s="1262" t="s">
        <v>3228</v>
      </c>
      <c r="V580" s="254">
        <v>1250</v>
      </c>
      <c r="W580" s="1262" t="s">
        <v>2063</v>
      </c>
      <c r="X580" s="258">
        <v>1250</v>
      </c>
      <c r="Y580" s="192"/>
    </row>
    <row r="581" ht="37.5" customHeight="1" spans="1:25">
      <c r="A581" s="192">
        <f t="shared" si="19"/>
        <v>573</v>
      </c>
      <c r="B581" s="208">
        <v>2023</v>
      </c>
      <c r="C581" s="193" t="s">
        <v>37</v>
      </c>
      <c r="D581" s="277" t="s">
        <v>3441</v>
      </c>
      <c r="E581" s="195" t="s">
        <v>3442</v>
      </c>
      <c r="F581" s="196" t="s">
        <v>2073</v>
      </c>
      <c r="G581" s="197" t="s">
        <v>3239</v>
      </c>
      <c r="H581" s="198">
        <v>0.8</v>
      </c>
      <c r="I581" s="199">
        <v>60000</v>
      </c>
      <c r="J581" s="200" t="s">
        <v>2079</v>
      </c>
      <c r="K581" s="200" t="s">
        <v>2080</v>
      </c>
      <c r="L581" s="201">
        <v>0.4</v>
      </c>
      <c r="M581" s="278" t="s">
        <v>2062</v>
      </c>
      <c r="N581" s="205">
        <v>3666.69</v>
      </c>
      <c r="O581" s="254">
        <v>3666.69</v>
      </c>
      <c r="P581" s="254">
        <v>2933.35</v>
      </c>
      <c r="Q581" s="254">
        <v>2933.35</v>
      </c>
      <c r="R581" s="1262" t="s">
        <v>3227</v>
      </c>
      <c r="S581" s="254">
        <v>1466.68</v>
      </c>
      <c r="T581" s="204">
        <v>44955</v>
      </c>
      <c r="U581" s="1262" t="s">
        <v>3228</v>
      </c>
      <c r="V581" s="254">
        <v>733.34</v>
      </c>
      <c r="W581" s="1262" t="s">
        <v>2063</v>
      </c>
      <c r="X581" s="258">
        <v>733.34</v>
      </c>
      <c r="Y581" s="192"/>
    </row>
    <row r="582" ht="37.5" customHeight="1" spans="1:25">
      <c r="A582" s="192">
        <f t="shared" si="19"/>
        <v>574</v>
      </c>
      <c r="B582" s="208">
        <v>2023</v>
      </c>
      <c r="C582" s="193" t="s">
        <v>37</v>
      </c>
      <c r="D582" s="277" t="s">
        <v>3443</v>
      </c>
      <c r="E582" s="195" t="s">
        <v>3444</v>
      </c>
      <c r="F582" s="196" t="s">
        <v>2073</v>
      </c>
      <c r="G582" s="197" t="s">
        <v>3239</v>
      </c>
      <c r="H582" s="198">
        <v>0.8</v>
      </c>
      <c r="I582" s="199">
        <v>40000</v>
      </c>
      <c r="J582" s="200" t="s">
        <v>2106</v>
      </c>
      <c r="K582" s="200" t="s">
        <v>2107</v>
      </c>
      <c r="L582" s="201">
        <v>0.4</v>
      </c>
      <c r="M582" s="278" t="s">
        <v>3218</v>
      </c>
      <c r="N582" s="205">
        <v>5341.81</v>
      </c>
      <c r="O582" s="254">
        <v>5341.81</v>
      </c>
      <c r="P582" s="254">
        <v>4273.45</v>
      </c>
      <c r="Q582" s="254">
        <v>4273.45</v>
      </c>
      <c r="R582" s="1262" t="s">
        <v>3227</v>
      </c>
      <c r="S582" s="254">
        <v>2136.72</v>
      </c>
      <c r="T582" s="204">
        <v>44955</v>
      </c>
      <c r="U582" s="1262" t="s">
        <v>3228</v>
      </c>
      <c r="V582" s="254">
        <v>1068.36</v>
      </c>
      <c r="W582" s="1262" t="s">
        <v>2063</v>
      </c>
      <c r="X582" s="258">
        <v>1068.36</v>
      </c>
      <c r="Y582" s="192"/>
    </row>
    <row r="583" ht="37.5" customHeight="1" spans="1:25">
      <c r="A583" s="192">
        <f t="shared" si="19"/>
        <v>575</v>
      </c>
      <c r="B583" s="208">
        <v>2023</v>
      </c>
      <c r="C583" s="193" t="s">
        <v>37</v>
      </c>
      <c r="D583" s="277" t="s">
        <v>3445</v>
      </c>
      <c r="E583" s="195" t="s">
        <v>3446</v>
      </c>
      <c r="F583" s="196" t="s">
        <v>2073</v>
      </c>
      <c r="G583" s="197" t="s">
        <v>3239</v>
      </c>
      <c r="H583" s="198">
        <v>0.8</v>
      </c>
      <c r="I583" s="199">
        <v>22000</v>
      </c>
      <c r="J583" s="200" t="s">
        <v>2215</v>
      </c>
      <c r="K583" s="200" t="s">
        <v>2216</v>
      </c>
      <c r="L583" s="201">
        <v>0.4</v>
      </c>
      <c r="M583" s="278" t="s">
        <v>3286</v>
      </c>
      <c r="N583" s="205">
        <v>5741.42</v>
      </c>
      <c r="O583" s="254">
        <v>5741.42</v>
      </c>
      <c r="P583" s="254">
        <v>4593.13</v>
      </c>
      <c r="Q583" s="254">
        <v>4593.13</v>
      </c>
      <c r="R583" s="1262" t="s">
        <v>3227</v>
      </c>
      <c r="S583" s="254">
        <v>2296.57</v>
      </c>
      <c r="T583" s="204">
        <v>44955</v>
      </c>
      <c r="U583" s="1262" t="s">
        <v>3228</v>
      </c>
      <c r="V583" s="254">
        <v>1148.28</v>
      </c>
      <c r="W583" s="1262" t="s">
        <v>2063</v>
      </c>
      <c r="X583" s="258">
        <v>1148.28</v>
      </c>
      <c r="Y583" s="192"/>
    </row>
    <row r="584" ht="37.5" customHeight="1" spans="1:25">
      <c r="A584" s="192">
        <f t="shared" si="19"/>
        <v>576</v>
      </c>
      <c r="B584" s="208">
        <v>2023</v>
      </c>
      <c r="C584" s="193" t="s">
        <v>37</v>
      </c>
      <c r="D584" s="277" t="s">
        <v>338</v>
      </c>
      <c r="E584" s="195" t="s">
        <v>3447</v>
      </c>
      <c r="F584" s="196" t="s">
        <v>2073</v>
      </c>
      <c r="G584" s="197" t="s">
        <v>3239</v>
      </c>
      <c r="H584" s="198">
        <v>0.8</v>
      </c>
      <c r="I584" s="199">
        <v>90400</v>
      </c>
      <c r="J584" s="200" t="s">
        <v>2106</v>
      </c>
      <c r="K584" s="200" t="s">
        <v>2107</v>
      </c>
      <c r="L584" s="201">
        <v>0.4</v>
      </c>
      <c r="M584" s="278" t="s">
        <v>3140</v>
      </c>
      <c r="N584" s="205">
        <v>17779.75</v>
      </c>
      <c r="O584" s="254">
        <v>17779.75</v>
      </c>
      <c r="P584" s="254">
        <v>14223.8</v>
      </c>
      <c r="Q584" s="254">
        <v>14223.8</v>
      </c>
      <c r="R584" s="1262" t="s">
        <v>3227</v>
      </c>
      <c r="S584" s="254">
        <v>7111.9</v>
      </c>
      <c r="T584" s="204">
        <v>44955</v>
      </c>
      <c r="U584" s="1262" t="s">
        <v>3228</v>
      </c>
      <c r="V584" s="254">
        <v>3555.95</v>
      </c>
      <c r="W584" s="1262" t="s">
        <v>2063</v>
      </c>
      <c r="X584" s="258">
        <v>3555.95</v>
      </c>
      <c r="Y584" s="192"/>
    </row>
    <row r="585" ht="37.5" customHeight="1" spans="1:25">
      <c r="A585" s="192">
        <f t="shared" si="19"/>
        <v>577</v>
      </c>
      <c r="B585" s="208">
        <v>2023</v>
      </c>
      <c r="C585" s="193" t="s">
        <v>37</v>
      </c>
      <c r="D585" s="277" t="s">
        <v>3448</v>
      </c>
      <c r="E585" s="195" t="s">
        <v>3449</v>
      </c>
      <c r="F585" s="196" t="s">
        <v>2073</v>
      </c>
      <c r="G585" s="197" t="s">
        <v>3239</v>
      </c>
      <c r="H585" s="198">
        <v>0.8</v>
      </c>
      <c r="I585" s="199">
        <v>200700</v>
      </c>
      <c r="J585" s="200" t="s">
        <v>1825</v>
      </c>
      <c r="K585" s="200" t="s">
        <v>2169</v>
      </c>
      <c r="L585" s="201">
        <v>0.4</v>
      </c>
      <c r="M585" s="278" t="s">
        <v>2956</v>
      </c>
      <c r="N585" s="205">
        <v>69779.68</v>
      </c>
      <c r="O585" s="254">
        <v>69779.68</v>
      </c>
      <c r="P585" s="254">
        <v>55823.74</v>
      </c>
      <c r="Q585" s="254">
        <v>55823.74</v>
      </c>
      <c r="R585" s="1262" t="s">
        <v>3227</v>
      </c>
      <c r="S585" s="254">
        <v>27911.87</v>
      </c>
      <c r="T585" s="204">
        <v>44955</v>
      </c>
      <c r="U585" s="1262" t="s">
        <v>3228</v>
      </c>
      <c r="V585" s="254">
        <v>13955.94</v>
      </c>
      <c r="W585" s="1262" t="s">
        <v>2063</v>
      </c>
      <c r="X585" s="258">
        <v>13955.94</v>
      </c>
      <c r="Y585" s="192"/>
    </row>
    <row r="586" ht="37.5" customHeight="1" spans="1:25">
      <c r="A586" s="192">
        <f t="shared" si="19"/>
        <v>578</v>
      </c>
      <c r="B586" s="208">
        <v>2023</v>
      </c>
      <c r="C586" s="193" t="s">
        <v>37</v>
      </c>
      <c r="D586" s="277" t="s">
        <v>3333</v>
      </c>
      <c r="E586" s="195" t="s">
        <v>3450</v>
      </c>
      <c r="F586" s="196" t="s">
        <v>2073</v>
      </c>
      <c r="G586" s="197" t="s">
        <v>3239</v>
      </c>
      <c r="H586" s="198">
        <v>0.8</v>
      </c>
      <c r="I586" s="199">
        <v>67140</v>
      </c>
      <c r="J586" s="200" t="s">
        <v>2132</v>
      </c>
      <c r="K586" s="200" t="s">
        <v>2133</v>
      </c>
      <c r="L586" s="201">
        <v>0.4</v>
      </c>
      <c r="M586" s="278" t="s">
        <v>3451</v>
      </c>
      <c r="N586" s="205">
        <v>9000.12</v>
      </c>
      <c r="O586" s="254">
        <v>9000.12</v>
      </c>
      <c r="P586" s="254">
        <v>7200.09</v>
      </c>
      <c r="Q586" s="254">
        <v>7200.09</v>
      </c>
      <c r="R586" s="1262" t="s">
        <v>3227</v>
      </c>
      <c r="S586" s="254">
        <v>3600.05</v>
      </c>
      <c r="T586" s="204">
        <v>44955</v>
      </c>
      <c r="U586" s="1262" t="s">
        <v>3228</v>
      </c>
      <c r="V586" s="254">
        <v>1800.02</v>
      </c>
      <c r="W586" s="1262" t="s">
        <v>2063</v>
      </c>
      <c r="X586" s="258">
        <v>1800.02</v>
      </c>
      <c r="Y586" s="192"/>
    </row>
    <row r="587" ht="37.5" customHeight="1" spans="1:25">
      <c r="A587" s="192">
        <f t="shared" si="19"/>
        <v>579</v>
      </c>
      <c r="B587" s="208">
        <v>2023</v>
      </c>
      <c r="C587" s="193" t="s">
        <v>37</v>
      </c>
      <c r="D587" s="277" t="s">
        <v>3452</v>
      </c>
      <c r="E587" s="195" t="s">
        <v>3453</v>
      </c>
      <c r="F587" s="196" t="s">
        <v>2073</v>
      </c>
      <c r="G587" s="197" t="s">
        <v>3239</v>
      </c>
      <c r="H587" s="198">
        <v>0.8</v>
      </c>
      <c r="I587" s="199">
        <v>16000</v>
      </c>
      <c r="J587" s="200" t="s">
        <v>1994</v>
      </c>
      <c r="K587" s="200" t="s">
        <v>2497</v>
      </c>
      <c r="L587" s="201">
        <v>0.4</v>
      </c>
      <c r="M587" s="278" t="s">
        <v>3262</v>
      </c>
      <c r="N587" s="205">
        <v>750</v>
      </c>
      <c r="O587" s="254">
        <v>750</v>
      </c>
      <c r="P587" s="254">
        <v>600</v>
      </c>
      <c r="Q587" s="254">
        <v>600</v>
      </c>
      <c r="R587" s="1262" t="s">
        <v>3227</v>
      </c>
      <c r="S587" s="254">
        <v>300</v>
      </c>
      <c r="T587" s="204">
        <v>44955</v>
      </c>
      <c r="U587" s="1262" t="s">
        <v>3228</v>
      </c>
      <c r="V587" s="254">
        <v>150</v>
      </c>
      <c r="W587" s="1262" t="s">
        <v>2063</v>
      </c>
      <c r="X587" s="258">
        <v>150</v>
      </c>
      <c r="Y587" s="192"/>
    </row>
    <row r="588" ht="37.5" customHeight="1" spans="1:25">
      <c r="A588" s="192">
        <f t="shared" si="19"/>
        <v>580</v>
      </c>
      <c r="B588" s="208">
        <v>2023</v>
      </c>
      <c r="C588" s="193" t="s">
        <v>37</v>
      </c>
      <c r="D588" s="277" t="s">
        <v>3403</v>
      </c>
      <c r="E588" s="195" t="s">
        <v>3454</v>
      </c>
      <c r="F588" s="196" t="s">
        <v>2073</v>
      </c>
      <c r="G588" s="197" t="s">
        <v>3239</v>
      </c>
      <c r="H588" s="198">
        <v>0.8</v>
      </c>
      <c r="I588" s="199">
        <v>31000</v>
      </c>
      <c r="J588" s="200" t="s">
        <v>2338</v>
      </c>
      <c r="K588" s="200" t="s">
        <v>3455</v>
      </c>
      <c r="L588" s="201">
        <v>0.4</v>
      </c>
      <c r="M588" s="278" t="s">
        <v>3036</v>
      </c>
      <c r="N588" s="205">
        <v>28416.67</v>
      </c>
      <c r="O588" s="254">
        <v>28416.67</v>
      </c>
      <c r="P588" s="254">
        <v>22733.34</v>
      </c>
      <c r="Q588" s="254">
        <v>22733.34</v>
      </c>
      <c r="R588" s="1262" t="s">
        <v>3227</v>
      </c>
      <c r="S588" s="254">
        <v>11366.67</v>
      </c>
      <c r="T588" s="204">
        <v>44955</v>
      </c>
      <c r="U588" s="203"/>
      <c r="V588" s="199"/>
      <c r="W588" s="203"/>
      <c r="X588" s="206"/>
      <c r="Y588" s="203" t="s">
        <v>1077</v>
      </c>
    </row>
    <row r="589" ht="37.5" customHeight="1" spans="1:25">
      <c r="A589" s="192">
        <f t="shared" si="19"/>
        <v>581</v>
      </c>
      <c r="B589" s="208">
        <v>2023</v>
      </c>
      <c r="C589" s="193" t="s">
        <v>37</v>
      </c>
      <c r="D589" s="277" t="s">
        <v>3456</v>
      </c>
      <c r="E589" s="195" t="s">
        <v>3457</v>
      </c>
      <c r="F589" s="196" t="s">
        <v>2073</v>
      </c>
      <c r="G589" s="197" t="s">
        <v>3239</v>
      </c>
      <c r="H589" s="198">
        <v>0.8</v>
      </c>
      <c r="I589" s="199">
        <v>17148.43</v>
      </c>
      <c r="J589" s="200" t="s">
        <v>1995</v>
      </c>
      <c r="K589" s="200" t="s">
        <v>3458</v>
      </c>
      <c r="L589" s="201">
        <v>0.4</v>
      </c>
      <c r="M589" s="278" t="s">
        <v>2851</v>
      </c>
      <c r="N589" s="205">
        <v>4000</v>
      </c>
      <c r="O589" s="254">
        <v>4000</v>
      </c>
      <c r="P589" s="254">
        <v>3200</v>
      </c>
      <c r="Q589" s="254">
        <v>3200</v>
      </c>
      <c r="R589" s="1262" t="s">
        <v>3227</v>
      </c>
      <c r="S589" s="254">
        <v>1600</v>
      </c>
      <c r="T589" s="204">
        <v>44955</v>
      </c>
      <c r="U589" s="203"/>
      <c r="V589" s="199"/>
      <c r="W589" s="203"/>
      <c r="X589" s="206"/>
      <c r="Y589" s="203" t="s">
        <v>1077</v>
      </c>
    </row>
    <row r="590" ht="37.5" customHeight="1" spans="1:25">
      <c r="A590" s="192">
        <f t="shared" si="19"/>
        <v>582</v>
      </c>
      <c r="B590" s="208">
        <v>2023</v>
      </c>
      <c r="C590" s="193" t="s">
        <v>37</v>
      </c>
      <c r="D590" s="277" t="s">
        <v>3400</v>
      </c>
      <c r="E590" s="195" t="s">
        <v>3459</v>
      </c>
      <c r="F590" s="196" t="s">
        <v>2073</v>
      </c>
      <c r="G590" s="197" t="s">
        <v>3239</v>
      </c>
      <c r="H590" s="198">
        <v>0.8</v>
      </c>
      <c r="I590" s="199">
        <v>14393.18</v>
      </c>
      <c r="J590" s="200" t="s">
        <v>2387</v>
      </c>
      <c r="K590" s="200" t="s">
        <v>3460</v>
      </c>
      <c r="L590" s="201">
        <v>0.4</v>
      </c>
      <c r="M590" s="278" t="s">
        <v>3402</v>
      </c>
      <c r="N590" s="205">
        <v>2333.34</v>
      </c>
      <c r="O590" s="254">
        <v>2333.34</v>
      </c>
      <c r="P590" s="254">
        <v>1866.67</v>
      </c>
      <c r="Q590" s="254">
        <v>1866.67</v>
      </c>
      <c r="R590" s="1262" t="s">
        <v>3227</v>
      </c>
      <c r="S590" s="254">
        <v>933.34</v>
      </c>
      <c r="T590" s="204">
        <v>44955</v>
      </c>
      <c r="U590" s="203"/>
      <c r="V590" s="199"/>
      <c r="W590" s="203"/>
      <c r="X590" s="206"/>
      <c r="Y590" s="203" t="s">
        <v>1077</v>
      </c>
    </row>
    <row r="591" s="80" customFormat="1" ht="37.5" customHeight="1" spans="1:25">
      <c r="A591" s="138">
        <f t="shared" si="19"/>
        <v>583</v>
      </c>
      <c r="B591" s="139">
        <v>2023</v>
      </c>
      <c r="C591" s="189" t="s">
        <v>22</v>
      </c>
      <c r="D591" s="279" t="s">
        <v>3461</v>
      </c>
      <c r="E591" s="190" t="s">
        <v>3462</v>
      </c>
      <c r="F591" s="142" t="s">
        <v>3463</v>
      </c>
      <c r="G591" s="143" t="s">
        <v>1781</v>
      </c>
      <c r="H591" s="144">
        <v>0.8</v>
      </c>
      <c r="I591" s="145">
        <v>5000000</v>
      </c>
      <c r="J591" s="1258" t="s">
        <v>3050</v>
      </c>
      <c r="K591" s="1258" t="s">
        <v>2047</v>
      </c>
      <c r="L591" s="147">
        <v>0.5</v>
      </c>
      <c r="M591" s="1276" t="s">
        <v>3464</v>
      </c>
      <c r="N591" s="186">
        <v>5078878.39</v>
      </c>
      <c r="O591" s="276">
        <v>5000000</v>
      </c>
      <c r="P591" s="276">
        <v>4000000</v>
      </c>
      <c r="Q591" s="276">
        <v>4063102.43</v>
      </c>
      <c r="R591" s="1260" t="s">
        <v>3465</v>
      </c>
      <c r="S591" s="276">
        <v>2539439.02</v>
      </c>
      <c r="T591" s="150">
        <v>44957</v>
      </c>
      <c r="U591" s="1260" t="s">
        <v>2080</v>
      </c>
      <c r="V591" s="276">
        <v>1500000</v>
      </c>
      <c r="W591" s="1260" t="s">
        <v>2228</v>
      </c>
      <c r="X591" s="296">
        <v>1500000</v>
      </c>
      <c r="Y591" s="138"/>
    </row>
    <row r="592" s="80" customFormat="1" ht="37.5" customHeight="1" spans="1:25">
      <c r="A592" s="138">
        <f t="shared" si="19"/>
        <v>584</v>
      </c>
      <c r="B592" s="139">
        <v>2023</v>
      </c>
      <c r="C592" s="189" t="s">
        <v>28</v>
      </c>
      <c r="D592" s="279" t="s">
        <v>3466</v>
      </c>
      <c r="E592" s="190" t="s">
        <v>3467</v>
      </c>
      <c r="F592" s="142" t="s">
        <v>3468</v>
      </c>
      <c r="G592" s="143" t="s">
        <v>1610</v>
      </c>
      <c r="H592" s="144">
        <v>1</v>
      </c>
      <c r="I592" s="145">
        <v>400000</v>
      </c>
      <c r="J592" s="1258" t="s">
        <v>3469</v>
      </c>
      <c r="K592" s="1258" t="s">
        <v>2533</v>
      </c>
      <c r="L592" s="147">
        <v>0.4</v>
      </c>
      <c r="M592" s="1276" t="s">
        <v>2144</v>
      </c>
      <c r="N592" s="186">
        <v>402383.32</v>
      </c>
      <c r="O592" s="276">
        <v>400000</v>
      </c>
      <c r="P592" s="276">
        <v>400000</v>
      </c>
      <c r="Q592" s="186">
        <v>402383.32</v>
      </c>
      <c r="R592" s="1260" t="s">
        <v>3470</v>
      </c>
      <c r="S592" s="276">
        <v>160953.33</v>
      </c>
      <c r="T592" s="150">
        <v>44971</v>
      </c>
      <c r="U592" s="1260" t="s">
        <v>2080</v>
      </c>
      <c r="V592" s="276">
        <v>80000</v>
      </c>
      <c r="W592" s="1260" t="s">
        <v>2228</v>
      </c>
      <c r="X592" s="296">
        <v>80000</v>
      </c>
      <c r="Y592" s="138"/>
    </row>
    <row r="593" s="80" customFormat="1" ht="37.5" customHeight="1" spans="1:25">
      <c r="A593" s="138">
        <f t="shared" si="19"/>
        <v>585</v>
      </c>
      <c r="B593" s="139">
        <v>2023</v>
      </c>
      <c r="C593" s="189" t="s">
        <v>31</v>
      </c>
      <c r="D593" s="279" t="s">
        <v>3471</v>
      </c>
      <c r="E593" s="190" t="s">
        <v>3472</v>
      </c>
      <c r="F593" s="142" t="s">
        <v>3473</v>
      </c>
      <c r="G593" s="143" t="s">
        <v>1137</v>
      </c>
      <c r="H593" s="144">
        <v>0.8</v>
      </c>
      <c r="I593" s="145">
        <v>300000</v>
      </c>
      <c r="J593" s="185" t="s">
        <v>1922</v>
      </c>
      <c r="K593" s="185" t="s">
        <v>3308</v>
      </c>
      <c r="L593" s="147">
        <v>0.4</v>
      </c>
      <c r="M593" s="280" t="s">
        <v>3474</v>
      </c>
      <c r="N593" s="186">
        <v>304790.87</v>
      </c>
      <c r="O593" s="276">
        <v>300000</v>
      </c>
      <c r="P593" s="276">
        <v>240000</v>
      </c>
      <c r="Q593" s="276">
        <v>243832.7</v>
      </c>
      <c r="R593" s="1260" t="s">
        <v>3470</v>
      </c>
      <c r="S593" s="276">
        <v>121916.35</v>
      </c>
      <c r="T593" s="150">
        <v>44974</v>
      </c>
      <c r="U593" s="1260" t="s">
        <v>2080</v>
      </c>
      <c r="V593" s="276">
        <v>60000</v>
      </c>
      <c r="W593" s="1260" t="s">
        <v>2228</v>
      </c>
      <c r="X593" s="296">
        <v>60000</v>
      </c>
      <c r="Y593" s="138"/>
    </row>
    <row r="594" s="80" customFormat="1" ht="37.5" customHeight="1" spans="1:25">
      <c r="A594" s="138">
        <f t="shared" si="19"/>
        <v>586</v>
      </c>
      <c r="B594" s="139">
        <v>2023</v>
      </c>
      <c r="C594" s="189" t="s">
        <v>22</v>
      </c>
      <c r="D594" s="279" t="s">
        <v>3475</v>
      </c>
      <c r="E594" s="190" t="s">
        <v>3476</v>
      </c>
      <c r="F594" s="142" t="s">
        <v>3477</v>
      </c>
      <c r="G594" s="143" t="s">
        <v>1137</v>
      </c>
      <c r="H594" s="144">
        <v>0.8</v>
      </c>
      <c r="I594" s="145">
        <v>150000</v>
      </c>
      <c r="J594" s="185" t="s">
        <v>3478</v>
      </c>
      <c r="K594" s="185" t="s">
        <v>3479</v>
      </c>
      <c r="L594" s="147">
        <v>0.4</v>
      </c>
      <c r="M594" s="280" t="s">
        <v>3480</v>
      </c>
      <c r="N594" s="186">
        <v>152816.82</v>
      </c>
      <c r="O594" s="276">
        <v>150000</v>
      </c>
      <c r="P594" s="276">
        <v>120000</v>
      </c>
      <c r="Q594" s="276">
        <v>122253.46</v>
      </c>
      <c r="R594" s="1260" t="s">
        <v>3470</v>
      </c>
      <c r="S594" s="276">
        <v>61126.73</v>
      </c>
      <c r="T594" s="150">
        <v>44974</v>
      </c>
      <c r="U594" s="1260" t="s">
        <v>2080</v>
      </c>
      <c r="V594" s="276">
        <v>30000</v>
      </c>
      <c r="W594" s="1260" t="s">
        <v>2228</v>
      </c>
      <c r="X594" s="296">
        <v>30000</v>
      </c>
      <c r="Y594" s="138"/>
    </row>
    <row r="595" s="80" customFormat="1" ht="37.5" customHeight="1" spans="1:25">
      <c r="A595" s="138">
        <f t="shared" si="19"/>
        <v>587</v>
      </c>
      <c r="B595" s="139">
        <v>2023</v>
      </c>
      <c r="C595" s="189" t="s">
        <v>28</v>
      </c>
      <c r="D595" s="279" t="s">
        <v>3481</v>
      </c>
      <c r="E595" s="190" t="s">
        <v>3482</v>
      </c>
      <c r="F595" s="142" t="s">
        <v>1920</v>
      </c>
      <c r="G595" s="143" t="s">
        <v>1610</v>
      </c>
      <c r="H595" s="144">
        <v>1</v>
      </c>
      <c r="I595" s="145">
        <v>400000</v>
      </c>
      <c r="J595" s="1258" t="s">
        <v>3483</v>
      </c>
      <c r="K595" s="1258" t="s">
        <v>2463</v>
      </c>
      <c r="L595" s="147">
        <v>0.4</v>
      </c>
      <c r="M595" s="1276" t="s">
        <v>3203</v>
      </c>
      <c r="N595" s="186">
        <v>407727.72</v>
      </c>
      <c r="O595" s="276">
        <v>400000</v>
      </c>
      <c r="P595" s="276">
        <v>400000</v>
      </c>
      <c r="Q595" s="186">
        <v>407727.72</v>
      </c>
      <c r="R595" s="184" t="s">
        <v>3484</v>
      </c>
      <c r="S595" s="276">
        <v>163091.09</v>
      </c>
      <c r="T595" s="150">
        <v>44995</v>
      </c>
      <c r="U595" s="1260" t="s">
        <v>2080</v>
      </c>
      <c r="V595" s="276">
        <v>80000</v>
      </c>
      <c r="W595" s="1260" t="s">
        <v>2228</v>
      </c>
      <c r="X595" s="296">
        <v>80000</v>
      </c>
      <c r="Y595" s="138"/>
    </row>
    <row r="596" s="80" customFormat="1" ht="37.5" customHeight="1" spans="1:25">
      <c r="A596" s="138">
        <f t="shared" si="19"/>
        <v>588</v>
      </c>
      <c r="B596" s="139">
        <v>2023</v>
      </c>
      <c r="C596" s="189" t="s">
        <v>28</v>
      </c>
      <c r="D596" s="279" t="s">
        <v>3485</v>
      </c>
      <c r="E596" s="190" t="s">
        <v>3486</v>
      </c>
      <c r="F596" s="142" t="s">
        <v>1920</v>
      </c>
      <c r="G596" s="143" t="s">
        <v>1610</v>
      </c>
      <c r="H596" s="144">
        <v>1</v>
      </c>
      <c r="I596" s="145">
        <v>300000</v>
      </c>
      <c r="J596" s="1258" t="s">
        <v>1789</v>
      </c>
      <c r="K596" s="1258" t="s">
        <v>2724</v>
      </c>
      <c r="L596" s="147">
        <v>0.4</v>
      </c>
      <c r="M596" s="1276" t="s">
        <v>3487</v>
      </c>
      <c r="N596" s="186">
        <v>305754.49</v>
      </c>
      <c r="O596" s="276">
        <v>299991.32</v>
      </c>
      <c r="P596" s="276">
        <v>299991.32</v>
      </c>
      <c r="Q596" s="276">
        <v>305754.49</v>
      </c>
      <c r="R596" s="184" t="s">
        <v>3484</v>
      </c>
      <c r="S596" s="276">
        <v>122301.8</v>
      </c>
      <c r="T596" s="150">
        <v>44991</v>
      </c>
      <c r="U596" s="1260" t="s">
        <v>2080</v>
      </c>
      <c r="V596" s="276">
        <v>59998.26</v>
      </c>
      <c r="W596" s="1260" t="s">
        <v>2133</v>
      </c>
      <c r="X596" s="153">
        <v>59998.26</v>
      </c>
      <c r="Y596" s="138"/>
    </row>
    <row r="597" s="80" customFormat="1" ht="37.5" customHeight="1" spans="1:25">
      <c r="A597" s="138">
        <f t="shared" si="19"/>
        <v>589</v>
      </c>
      <c r="B597" s="139">
        <v>2023</v>
      </c>
      <c r="C597" s="189" t="s">
        <v>28</v>
      </c>
      <c r="D597" s="279" t="s">
        <v>3488</v>
      </c>
      <c r="E597" s="190" t="s">
        <v>3489</v>
      </c>
      <c r="F597" s="142" t="s">
        <v>1920</v>
      </c>
      <c r="G597" s="143" t="s">
        <v>1610</v>
      </c>
      <c r="H597" s="144">
        <v>1</v>
      </c>
      <c r="I597" s="145">
        <v>300000</v>
      </c>
      <c r="J597" s="1258" t="s">
        <v>3490</v>
      </c>
      <c r="K597" s="1258" t="s">
        <v>3491</v>
      </c>
      <c r="L597" s="147">
        <v>0.4</v>
      </c>
      <c r="M597" s="1276" t="s">
        <v>3492</v>
      </c>
      <c r="N597" s="186">
        <v>306345.87</v>
      </c>
      <c r="O597" s="276">
        <v>300000</v>
      </c>
      <c r="P597" s="276">
        <v>300000</v>
      </c>
      <c r="Q597" s="186">
        <v>306345.87</v>
      </c>
      <c r="R597" s="184" t="s">
        <v>3484</v>
      </c>
      <c r="S597" s="276">
        <v>122538.34</v>
      </c>
      <c r="T597" s="150">
        <v>44991</v>
      </c>
      <c r="U597" s="1260" t="s">
        <v>2080</v>
      </c>
      <c r="V597" s="276">
        <v>60000</v>
      </c>
      <c r="W597" s="1260" t="s">
        <v>2133</v>
      </c>
      <c r="X597" s="153">
        <v>60000</v>
      </c>
      <c r="Y597" s="138"/>
    </row>
    <row r="598" s="80" customFormat="1" ht="37.5" customHeight="1" spans="1:25">
      <c r="A598" s="138">
        <f t="shared" si="19"/>
        <v>590</v>
      </c>
      <c r="B598" s="139">
        <v>2023</v>
      </c>
      <c r="C598" s="189" t="s">
        <v>28</v>
      </c>
      <c r="D598" s="279" t="s">
        <v>3493</v>
      </c>
      <c r="E598" s="190" t="s">
        <v>3494</v>
      </c>
      <c r="F598" s="142" t="s">
        <v>1920</v>
      </c>
      <c r="G598" s="143" t="s">
        <v>1610</v>
      </c>
      <c r="H598" s="144">
        <v>1</v>
      </c>
      <c r="I598" s="145">
        <v>400000</v>
      </c>
      <c r="J598" s="1258" t="s">
        <v>3207</v>
      </c>
      <c r="K598" s="1258" t="s">
        <v>3495</v>
      </c>
      <c r="L598" s="147">
        <v>0.4</v>
      </c>
      <c r="M598" s="1276" t="s">
        <v>3203</v>
      </c>
      <c r="N598" s="186">
        <v>412996.01</v>
      </c>
      <c r="O598" s="276">
        <v>400000</v>
      </c>
      <c r="P598" s="276">
        <v>400000</v>
      </c>
      <c r="Q598" s="186">
        <v>412996.01</v>
      </c>
      <c r="R598" s="184" t="s">
        <v>3484</v>
      </c>
      <c r="S598" s="276">
        <v>165198.4</v>
      </c>
      <c r="T598" s="150">
        <v>44991</v>
      </c>
      <c r="U598" s="1260" t="s">
        <v>2080</v>
      </c>
      <c r="V598" s="276">
        <v>80000</v>
      </c>
      <c r="W598" s="1260" t="s">
        <v>2133</v>
      </c>
      <c r="X598" s="153">
        <v>80000</v>
      </c>
      <c r="Y598" s="138"/>
    </row>
    <row r="599" s="80" customFormat="1" ht="37.5" customHeight="1" spans="1:25">
      <c r="A599" s="138">
        <f t="shared" si="19"/>
        <v>591</v>
      </c>
      <c r="B599" s="139">
        <v>2023</v>
      </c>
      <c r="C599" s="189" t="s">
        <v>28</v>
      </c>
      <c r="D599" s="279" t="s">
        <v>3496</v>
      </c>
      <c r="E599" s="190" t="s">
        <v>3497</v>
      </c>
      <c r="F599" s="142" t="s">
        <v>1920</v>
      </c>
      <c r="G599" s="143" t="s">
        <v>1610</v>
      </c>
      <c r="H599" s="144">
        <v>1</v>
      </c>
      <c r="I599" s="145">
        <v>400000</v>
      </c>
      <c r="J599" s="1258" t="s">
        <v>1871</v>
      </c>
      <c r="K599" s="1258" t="s">
        <v>3093</v>
      </c>
      <c r="L599" s="147">
        <v>0.4</v>
      </c>
      <c r="M599" s="1276" t="s">
        <v>2291</v>
      </c>
      <c r="N599" s="186">
        <v>406163.81</v>
      </c>
      <c r="O599" s="276">
        <v>400000</v>
      </c>
      <c r="P599" s="276">
        <v>400000</v>
      </c>
      <c r="Q599" s="186">
        <v>406163.81</v>
      </c>
      <c r="R599" s="184" t="s">
        <v>3484</v>
      </c>
      <c r="S599" s="276">
        <v>162465.52</v>
      </c>
      <c r="T599" s="150">
        <v>44991</v>
      </c>
      <c r="U599" s="1260" t="s">
        <v>2080</v>
      </c>
      <c r="V599" s="276">
        <v>80000</v>
      </c>
      <c r="W599" s="1260" t="s">
        <v>2133</v>
      </c>
      <c r="X599" s="153">
        <v>80000</v>
      </c>
      <c r="Y599" s="138"/>
    </row>
    <row r="600" s="80" customFormat="1" ht="37.5" customHeight="1" spans="1:25">
      <c r="A600" s="138">
        <f t="shared" si="19"/>
        <v>592</v>
      </c>
      <c r="B600" s="139">
        <v>2023</v>
      </c>
      <c r="C600" s="189" t="s">
        <v>31</v>
      </c>
      <c r="D600" s="279" t="s">
        <v>3498</v>
      </c>
      <c r="E600" s="190" t="s">
        <v>3499</v>
      </c>
      <c r="F600" s="142" t="s">
        <v>3500</v>
      </c>
      <c r="G600" s="143" t="s">
        <v>1610</v>
      </c>
      <c r="H600" s="144">
        <v>1</v>
      </c>
      <c r="I600" s="145">
        <v>2000000</v>
      </c>
      <c r="J600" s="1258" t="s">
        <v>1894</v>
      </c>
      <c r="K600" s="1258" t="s">
        <v>2391</v>
      </c>
      <c r="L600" s="147">
        <v>0.4</v>
      </c>
      <c r="M600" s="1276" t="s">
        <v>3501</v>
      </c>
      <c r="N600" s="186">
        <v>2143179.23</v>
      </c>
      <c r="O600" s="276">
        <v>2000000</v>
      </c>
      <c r="P600" s="276">
        <v>2000000</v>
      </c>
      <c r="Q600" s="186">
        <v>2143179.23</v>
      </c>
      <c r="R600" s="184" t="s">
        <v>3502</v>
      </c>
      <c r="S600" s="276">
        <v>857271.69</v>
      </c>
      <c r="T600" s="150">
        <v>44991</v>
      </c>
      <c r="U600" s="1260" t="s">
        <v>2080</v>
      </c>
      <c r="V600" s="276">
        <v>400000</v>
      </c>
      <c r="W600" s="1260" t="s">
        <v>2228</v>
      </c>
      <c r="X600" s="153">
        <v>400000</v>
      </c>
      <c r="Y600" s="138"/>
    </row>
    <row r="601" ht="37.5" customHeight="1" spans="1:25">
      <c r="A601" s="192">
        <f t="shared" si="19"/>
        <v>593</v>
      </c>
      <c r="B601" s="208">
        <v>2023</v>
      </c>
      <c r="C601" s="193" t="s">
        <v>37</v>
      </c>
      <c r="D601" s="277" t="s">
        <v>3503</v>
      </c>
      <c r="E601" s="195" t="s">
        <v>3504</v>
      </c>
      <c r="F601" s="196" t="s">
        <v>2073</v>
      </c>
      <c r="G601" s="197" t="s">
        <v>3239</v>
      </c>
      <c r="H601" s="198">
        <v>0.8</v>
      </c>
      <c r="I601" s="199">
        <v>902890</v>
      </c>
      <c r="J601" s="200" t="s">
        <v>2095</v>
      </c>
      <c r="K601" s="200" t="s">
        <v>2096</v>
      </c>
      <c r="L601" s="201">
        <v>0.4</v>
      </c>
      <c r="M601" s="278" t="s">
        <v>2290</v>
      </c>
      <c r="N601" s="205">
        <v>115000</v>
      </c>
      <c r="O601" s="254">
        <v>115000</v>
      </c>
      <c r="P601" s="254">
        <v>92000</v>
      </c>
      <c r="Q601" s="254">
        <v>92000</v>
      </c>
      <c r="R601" s="203" t="s">
        <v>3484</v>
      </c>
      <c r="S601" s="254">
        <v>46000</v>
      </c>
      <c r="T601" s="204">
        <v>44991</v>
      </c>
      <c r="U601" s="1262" t="s">
        <v>2080</v>
      </c>
      <c r="V601" s="254">
        <v>23000</v>
      </c>
      <c r="W601" s="1262" t="s">
        <v>2133</v>
      </c>
      <c r="X601" s="206">
        <v>80000</v>
      </c>
      <c r="Y601" s="192"/>
    </row>
    <row r="602" ht="37.5" customHeight="1" spans="1:25">
      <c r="A602" s="192">
        <f t="shared" si="19"/>
        <v>594</v>
      </c>
      <c r="B602" s="208">
        <v>2023</v>
      </c>
      <c r="C602" s="193" t="s">
        <v>37</v>
      </c>
      <c r="D602" s="277" t="s">
        <v>3505</v>
      </c>
      <c r="E602" s="195" t="s">
        <v>3506</v>
      </c>
      <c r="F602" s="196" t="s">
        <v>2073</v>
      </c>
      <c r="G602" s="197" t="s">
        <v>3239</v>
      </c>
      <c r="H602" s="198">
        <v>0.8</v>
      </c>
      <c r="I602" s="199">
        <v>137800</v>
      </c>
      <c r="J602" s="200" t="s">
        <v>2272</v>
      </c>
      <c r="K602" s="200" t="s">
        <v>2273</v>
      </c>
      <c r="L602" s="201">
        <v>0.4</v>
      </c>
      <c r="M602" s="278" t="s">
        <v>3246</v>
      </c>
      <c r="N602" s="205">
        <v>20500.07</v>
      </c>
      <c r="O602" s="254">
        <v>20500.07</v>
      </c>
      <c r="P602" s="254">
        <v>16400.06</v>
      </c>
      <c r="Q602" s="254">
        <v>16400.06</v>
      </c>
      <c r="R602" s="203" t="s">
        <v>3484</v>
      </c>
      <c r="S602" s="254">
        <v>8200.03</v>
      </c>
      <c r="T602" s="204">
        <v>44991</v>
      </c>
      <c r="U602" s="1262" t="s">
        <v>2080</v>
      </c>
      <c r="V602" s="254">
        <v>4100.01</v>
      </c>
      <c r="W602" s="1262" t="s">
        <v>2228</v>
      </c>
      <c r="X602" s="206">
        <v>4100.01</v>
      </c>
      <c r="Y602" s="192"/>
    </row>
    <row r="603" ht="37.5" customHeight="1" spans="1:25">
      <c r="A603" s="192">
        <f t="shared" si="19"/>
        <v>595</v>
      </c>
      <c r="B603" s="208">
        <v>2023</v>
      </c>
      <c r="C603" s="193" t="s">
        <v>37</v>
      </c>
      <c r="D603" s="277" t="s">
        <v>3507</v>
      </c>
      <c r="E603" s="195" t="s">
        <v>3508</v>
      </c>
      <c r="F603" s="196" t="s">
        <v>2073</v>
      </c>
      <c r="G603" s="197" t="s">
        <v>3239</v>
      </c>
      <c r="H603" s="198">
        <v>0.8</v>
      </c>
      <c r="I603" s="199">
        <v>120000</v>
      </c>
      <c r="J603" s="200" t="s">
        <v>3509</v>
      </c>
      <c r="K603" s="200" t="s">
        <v>3510</v>
      </c>
      <c r="L603" s="201">
        <v>0.4</v>
      </c>
      <c r="M603" s="278" t="s">
        <v>2008</v>
      </c>
      <c r="N603" s="205">
        <v>27999.8</v>
      </c>
      <c r="O603" s="254">
        <v>27999.8</v>
      </c>
      <c r="P603" s="254">
        <v>22399.84</v>
      </c>
      <c r="Q603" s="254">
        <v>22399.84</v>
      </c>
      <c r="R603" s="203" t="s">
        <v>3484</v>
      </c>
      <c r="S603" s="254">
        <v>11199.92</v>
      </c>
      <c r="T603" s="204">
        <v>44991</v>
      </c>
      <c r="U603" s="1262" t="s">
        <v>2080</v>
      </c>
      <c r="V603" s="254">
        <v>5599.96</v>
      </c>
      <c r="W603" s="1262" t="s">
        <v>2228</v>
      </c>
      <c r="X603" s="206">
        <v>5599.96</v>
      </c>
      <c r="Y603" s="192"/>
    </row>
    <row r="604" ht="37.5" customHeight="1" spans="1:25">
      <c r="A604" s="192">
        <f t="shared" si="19"/>
        <v>596</v>
      </c>
      <c r="B604" s="208">
        <v>2023</v>
      </c>
      <c r="C604" s="193" t="s">
        <v>37</v>
      </c>
      <c r="D604" s="277" t="s">
        <v>3511</v>
      </c>
      <c r="E604" s="195" t="s">
        <v>3512</v>
      </c>
      <c r="F604" s="196" t="s">
        <v>2073</v>
      </c>
      <c r="G604" s="197" t="s">
        <v>3239</v>
      </c>
      <c r="H604" s="198">
        <v>0.8</v>
      </c>
      <c r="I604" s="199">
        <v>14404.54</v>
      </c>
      <c r="J604" s="200" t="s">
        <v>2016</v>
      </c>
      <c r="K604" s="200" t="s">
        <v>3330</v>
      </c>
      <c r="L604" s="201">
        <v>0.4</v>
      </c>
      <c r="M604" s="278" t="s">
        <v>3513</v>
      </c>
      <c r="N604" s="205">
        <v>1100.02</v>
      </c>
      <c r="O604" s="254">
        <v>1100.02</v>
      </c>
      <c r="P604" s="254">
        <v>880.02</v>
      </c>
      <c r="Q604" s="254">
        <v>880.02</v>
      </c>
      <c r="R604" s="203" t="s">
        <v>3484</v>
      </c>
      <c r="S604" s="254">
        <v>440.01</v>
      </c>
      <c r="T604" s="204">
        <v>44991</v>
      </c>
      <c r="U604" s="1262" t="s">
        <v>2080</v>
      </c>
      <c r="V604" s="254">
        <v>220</v>
      </c>
      <c r="W604" s="1262" t="s">
        <v>2228</v>
      </c>
      <c r="X604" s="206">
        <v>220</v>
      </c>
      <c r="Y604" s="192"/>
    </row>
    <row r="605" ht="37.5" customHeight="1" spans="1:25">
      <c r="A605" s="192">
        <f t="shared" si="19"/>
        <v>597</v>
      </c>
      <c r="B605" s="208">
        <v>2023</v>
      </c>
      <c r="C605" s="193" t="s">
        <v>37</v>
      </c>
      <c r="D605" s="277" t="s">
        <v>3514</v>
      </c>
      <c r="E605" s="195" t="s">
        <v>3515</v>
      </c>
      <c r="F605" s="196" t="s">
        <v>2073</v>
      </c>
      <c r="G605" s="197" t="s">
        <v>3239</v>
      </c>
      <c r="H605" s="198">
        <v>0.8</v>
      </c>
      <c r="I605" s="199">
        <v>16935.42</v>
      </c>
      <c r="J605" s="200" t="s">
        <v>3516</v>
      </c>
      <c r="K605" s="200" t="s">
        <v>3517</v>
      </c>
      <c r="L605" s="201">
        <v>0.4</v>
      </c>
      <c r="M605" s="278" t="s">
        <v>3420</v>
      </c>
      <c r="N605" s="205">
        <v>2666.68</v>
      </c>
      <c r="O605" s="254">
        <v>2666.68</v>
      </c>
      <c r="P605" s="254">
        <v>2133.34</v>
      </c>
      <c r="Q605" s="254">
        <v>2133.34</v>
      </c>
      <c r="R605" s="203" t="s">
        <v>3484</v>
      </c>
      <c r="S605" s="254">
        <v>1066.67</v>
      </c>
      <c r="T605" s="204">
        <v>44991</v>
      </c>
      <c r="U605" s="1262" t="s">
        <v>2080</v>
      </c>
      <c r="V605" s="254">
        <v>533.34</v>
      </c>
      <c r="W605" s="1262" t="s">
        <v>2228</v>
      </c>
      <c r="X605" s="206">
        <v>533.34</v>
      </c>
      <c r="Y605" s="192"/>
    </row>
    <row r="606" ht="37.5" customHeight="1" spans="1:25">
      <c r="A606" s="192">
        <f t="shared" ref="A606:A669" si="20">ROW()-8</f>
        <v>598</v>
      </c>
      <c r="B606" s="208">
        <v>2023</v>
      </c>
      <c r="C606" s="193" t="s">
        <v>37</v>
      </c>
      <c r="D606" s="277" t="s">
        <v>3518</v>
      </c>
      <c r="E606" s="195" t="s">
        <v>3519</v>
      </c>
      <c r="F606" s="196" t="s">
        <v>2073</v>
      </c>
      <c r="G606" s="197" t="s">
        <v>3239</v>
      </c>
      <c r="H606" s="198">
        <v>0.8</v>
      </c>
      <c r="I606" s="199">
        <v>228310</v>
      </c>
      <c r="J606" s="200" t="s">
        <v>3520</v>
      </c>
      <c r="K606" s="200" t="s">
        <v>2633</v>
      </c>
      <c r="L606" s="201">
        <v>0.4</v>
      </c>
      <c r="M606" s="278" t="s">
        <v>3521</v>
      </c>
      <c r="N606" s="205">
        <v>123250.08</v>
      </c>
      <c r="O606" s="254">
        <v>123250.08</v>
      </c>
      <c r="P606" s="254">
        <v>98600.06</v>
      </c>
      <c r="Q606" s="254">
        <v>98600.06</v>
      </c>
      <c r="R606" s="203" t="s">
        <v>3484</v>
      </c>
      <c r="S606" s="254">
        <v>49300.03</v>
      </c>
      <c r="T606" s="204">
        <v>44991</v>
      </c>
      <c r="U606" s="1262" t="s">
        <v>2080</v>
      </c>
      <c r="V606" s="254">
        <v>24650.02</v>
      </c>
      <c r="W606" s="1262" t="s">
        <v>2228</v>
      </c>
      <c r="X606" s="206">
        <v>24650.02</v>
      </c>
      <c r="Y606" s="192"/>
    </row>
    <row r="607" ht="37.5" customHeight="1" spans="1:25">
      <c r="A607" s="192">
        <f t="shared" si="20"/>
        <v>599</v>
      </c>
      <c r="B607" s="208">
        <v>2023</v>
      </c>
      <c r="C607" s="193" t="s">
        <v>37</v>
      </c>
      <c r="D607" s="277" t="s">
        <v>3522</v>
      </c>
      <c r="E607" s="195" t="s">
        <v>3523</v>
      </c>
      <c r="F607" s="196" t="s">
        <v>2073</v>
      </c>
      <c r="G607" s="197" t="s">
        <v>3239</v>
      </c>
      <c r="H607" s="198">
        <v>0.8</v>
      </c>
      <c r="I607" s="199">
        <v>12097.62</v>
      </c>
      <c r="J607" s="200" t="s">
        <v>1946</v>
      </c>
      <c r="K607" s="200" t="s">
        <v>3068</v>
      </c>
      <c r="L607" s="201">
        <v>0.4</v>
      </c>
      <c r="M607" s="278" t="s">
        <v>3492</v>
      </c>
      <c r="N607" s="205">
        <v>1250.02</v>
      </c>
      <c r="O607" s="254">
        <v>1250.02</v>
      </c>
      <c r="P607" s="254">
        <v>1000.02</v>
      </c>
      <c r="Q607" s="254">
        <v>1000.02</v>
      </c>
      <c r="R607" s="203" t="s">
        <v>3484</v>
      </c>
      <c r="S607" s="254">
        <v>500.01</v>
      </c>
      <c r="T607" s="204">
        <v>44991</v>
      </c>
      <c r="U607" s="1262" t="s">
        <v>2080</v>
      </c>
      <c r="V607" s="254">
        <v>250</v>
      </c>
      <c r="W607" s="1262" t="s">
        <v>2228</v>
      </c>
      <c r="X607" s="206">
        <v>250</v>
      </c>
      <c r="Y607" s="192"/>
    </row>
    <row r="608" ht="37.5" customHeight="1" spans="1:25">
      <c r="A608" s="192">
        <f t="shared" si="20"/>
        <v>600</v>
      </c>
      <c r="B608" s="208">
        <v>2023</v>
      </c>
      <c r="C608" s="193" t="s">
        <v>37</v>
      </c>
      <c r="D608" s="277" t="s">
        <v>3524</v>
      </c>
      <c r="E608" s="195" t="s">
        <v>3525</v>
      </c>
      <c r="F608" s="196" t="s">
        <v>2073</v>
      </c>
      <c r="G608" s="197" t="s">
        <v>3239</v>
      </c>
      <c r="H608" s="198">
        <v>0.8</v>
      </c>
      <c r="I608" s="199">
        <v>88000</v>
      </c>
      <c r="J608" s="200" t="s">
        <v>2322</v>
      </c>
      <c r="K608" s="200" t="s">
        <v>2323</v>
      </c>
      <c r="L608" s="201">
        <v>0.4</v>
      </c>
      <c r="M608" s="278" t="s">
        <v>3526</v>
      </c>
      <c r="N608" s="205">
        <v>4902.24</v>
      </c>
      <c r="O608" s="254">
        <v>4902.24</v>
      </c>
      <c r="P608" s="254">
        <v>3921.79</v>
      </c>
      <c r="Q608" s="254">
        <v>3921.79</v>
      </c>
      <c r="R608" s="203" t="s">
        <v>3484</v>
      </c>
      <c r="S608" s="254">
        <v>1960.9</v>
      </c>
      <c r="T608" s="204">
        <v>44991</v>
      </c>
      <c r="U608" s="1262" t="s">
        <v>2080</v>
      </c>
      <c r="V608" s="254">
        <v>980.45</v>
      </c>
      <c r="W608" s="1262" t="s">
        <v>2228</v>
      </c>
      <c r="X608" s="206">
        <v>980.45</v>
      </c>
      <c r="Y608" s="192"/>
    </row>
    <row r="609" ht="37.5" customHeight="1" spans="1:25">
      <c r="A609" s="192">
        <f t="shared" si="20"/>
        <v>601</v>
      </c>
      <c r="B609" s="208">
        <v>2023</v>
      </c>
      <c r="C609" s="193" t="s">
        <v>37</v>
      </c>
      <c r="D609" s="277" t="s">
        <v>3527</v>
      </c>
      <c r="E609" s="195" t="s">
        <v>3528</v>
      </c>
      <c r="F609" s="196" t="s">
        <v>2073</v>
      </c>
      <c r="G609" s="197" t="s">
        <v>3239</v>
      </c>
      <c r="H609" s="198">
        <v>0.8</v>
      </c>
      <c r="I609" s="199">
        <v>13492.85</v>
      </c>
      <c r="J609" s="200" t="s">
        <v>2677</v>
      </c>
      <c r="K609" s="200" t="s">
        <v>2678</v>
      </c>
      <c r="L609" s="201">
        <v>0.4</v>
      </c>
      <c r="M609" s="278" t="s">
        <v>3272</v>
      </c>
      <c r="N609" s="205">
        <v>666.68</v>
      </c>
      <c r="O609" s="254">
        <v>666.68</v>
      </c>
      <c r="P609" s="254">
        <v>533.34</v>
      </c>
      <c r="Q609" s="254">
        <v>533.34</v>
      </c>
      <c r="R609" s="203" t="s">
        <v>3484</v>
      </c>
      <c r="S609" s="254">
        <v>266.67</v>
      </c>
      <c r="T609" s="204">
        <v>44991</v>
      </c>
      <c r="U609" s="1262" t="s">
        <v>2080</v>
      </c>
      <c r="V609" s="254">
        <v>133.34</v>
      </c>
      <c r="W609" s="1262" t="s">
        <v>2228</v>
      </c>
      <c r="X609" s="206">
        <v>133.34</v>
      </c>
      <c r="Y609" s="192"/>
    </row>
    <row r="610" ht="37.5" customHeight="1" spans="1:25">
      <c r="A610" s="192">
        <f t="shared" si="20"/>
        <v>602</v>
      </c>
      <c r="B610" s="208">
        <v>2023</v>
      </c>
      <c r="C610" s="193" t="s">
        <v>37</v>
      </c>
      <c r="D610" s="277" t="s">
        <v>3529</v>
      </c>
      <c r="E610" s="195" t="s">
        <v>3530</v>
      </c>
      <c r="F610" s="196" t="s">
        <v>2073</v>
      </c>
      <c r="G610" s="197" t="s">
        <v>3239</v>
      </c>
      <c r="H610" s="198">
        <v>0.8</v>
      </c>
      <c r="I610" s="199">
        <v>65520</v>
      </c>
      <c r="J610" s="200" t="s">
        <v>2394</v>
      </c>
      <c r="K610" s="200" t="s">
        <v>2850</v>
      </c>
      <c r="L610" s="201">
        <v>0.4</v>
      </c>
      <c r="M610" s="278" t="s">
        <v>3402</v>
      </c>
      <c r="N610" s="205">
        <v>6625.12</v>
      </c>
      <c r="O610" s="254">
        <v>6625.12</v>
      </c>
      <c r="P610" s="254">
        <v>5300.1</v>
      </c>
      <c r="Q610" s="254">
        <v>5300.1</v>
      </c>
      <c r="R610" s="203" t="s">
        <v>3484</v>
      </c>
      <c r="S610" s="254">
        <v>2650.05</v>
      </c>
      <c r="T610" s="204">
        <v>44991</v>
      </c>
      <c r="U610" s="1262" t="s">
        <v>2080</v>
      </c>
      <c r="V610" s="254">
        <v>1325.02</v>
      </c>
      <c r="W610" s="1262" t="s">
        <v>2228</v>
      </c>
      <c r="X610" s="206">
        <v>1325.02</v>
      </c>
      <c r="Y610" s="192"/>
    </row>
    <row r="611" ht="37.5" customHeight="1" spans="1:25">
      <c r="A611" s="192">
        <f t="shared" si="20"/>
        <v>603</v>
      </c>
      <c r="B611" s="208">
        <v>2023</v>
      </c>
      <c r="C611" s="193" t="s">
        <v>37</v>
      </c>
      <c r="D611" s="277" t="s">
        <v>3531</v>
      </c>
      <c r="E611" s="195" t="s">
        <v>3532</v>
      </c>
      <c r="F611" s="196" t="s">
        <v>2073</v>
      </c>
      <c r="G611" s="197" t="s">
        <v>3239</v>
      </c>
      <c r="H611" s="198">
        <v>0.8</v>
      </c>
      <c r="I611" s="199">
        <v>15000</v>
      </c>
      <c r="J611" s="200" t="s">
        <v>1946</v>
      </c>
      <c r="K611" s="200" t="s">
        <v>3068</v>
      </c>
      <c r="L611" s="201">
        <v>0.4</v>
      </c>
      <c r="M611" s="278" t="s">
        <v>2281</v>
      </c>
      <c r="N611" s="205">
        <v>11243.95</v>
      </c>
      <c r="O611" s="254">
        <v>11243.95</v>
      </c>
      <c r="P611" s="254">
        <v>8995.17</v>
      </c>
      <c r="Q611" s="254">
        <v>8995.17</v>
      </c>
      <c r="R611" s="203" t="s">
        <v>3484</v>
      </c>
      <c r="S611" s="254">
        <v>4497.58</v>
      </c>
      <c r="T611" s="204">
        <v>44991</v>
      </c>
      <c r="U611" s="1262" t="s">
        <v>2080</v>
      </c>
      <c r="V611" s="254">
        <v>2248.79</v>
      </c>
      <c r="W611" s="1262" t="s">
        <v>2228</v>
      </c>
      <c r="X611" s="206">
        <v>2248.79</v>
      </c>
      <c r="Y611" s="192"/>
    </row>
    <row r="612" ht="37.5" customHeight="1" spans="1:25">
      <c r="A612" s="192">
        <f t="shared" si="20"/>
        <v>604</v>
      </c>
      <c r="B612" s="208">
        <v>2023</v>
      </c>
      <c r="C612" s="193" t="s">
        <v>37</v>
      </c>
      <c r="D612" s="277" t="s">
        <v>3531</v>
      </c>
      <c r="E612" s="195" t="s">
        <v>3533</v>
      </c>
      <c r="F612" s="196" t="s">
        <v>2073</v>
      </c>
      <c r="G612" s="197" t="s">
        <v>3239</v>
      </c>
      <c r="H612" s="198">
        <v>0.8</v>
      </c>
      <c r="I612" s="199">
        <v>17200</v>
      </c>
      <c r="J612" s="200" t="s">
        <v>2958</v>
      </c>
      <c r="K612" s="200" t="s">
        <v>2959</v>
      </c>
      <c r="L612" s="201">
        <v>0.4</v>
      </c>
      <c r="M612" s="278" t="s">
        <v>2281</v>
      </c>
      <c r="N612" s="205">
        <v>11148.33</v>
      </c>
      <c r="O612" s="254">
        <v>11148.33</v>
      </c>
      <c r="P612" s="254">
        <v>8918.66</v>
      </c>
      <c r="Q612" s="254">
        <v>8918.66</v>
      </c>
      <c r="R612" s="203" t="s">
        <v>3484</v>
      </c>
      <c r="S612" s="254">
        <v>4459.33</v>
      </c>
      <c r="T612" s="204">
        <v>44991</v>
      </c>
      <c r="U612" s="1262" t="s">
        <v>2080</v>
      </c>
      <c r="V612" s="254">
        <v>2229.67</v>
      </c>
      <c r="W612" s="1262" t="s">
        <v>2228</v>
      </c>
      <c r="X612" s="206">
        <v>2229.67</v>
      </c>
      <c r="Y612" s="192"/>
    </row>
    <row r="613" ht="37.5" customHeight="1" spans="1:25">
      <c r="A613" s="192">
        <f t="shared" si="20"/>
        <v>605</v>
      </c>
      <c r="B613" s="208">
        <v>2023</v>
      </c>
      <c r="C613" s="193" t="s">
        <v>37</v>
      </c>
      <c r="D613" s="277" t="s">
        <v>3534</v>
      </c>
      <c r="E613" s="195" t="s">
        <v>3535</v>
      </c>
      <c r="F613" s="196" t="s">
        <v>2073</v>
      </c>
      <c r="G613" s="197" t="s">
        <v>3239</v>
      </c>
      <c r="H613" s="198">
        <v>0.8</v>
      </c>
      <c r="I613" s="199">
        <v>18000</v>
      </c>
      <c r="J613" s="200" t="s">
        <v>3014</v>
      </c>
      <c r="K613" s="200" t="s">
        <v>3015</v>
      </c>
      <c r="L613" s="201">
        <v>0.4</v>
      </c>
      <c r="M613" s="278" t="s">
        <v>3464</v>
      </c>
      <c r="N613" s="205">
        <v>10304.54</v>
      </c>
      <c r="O613" s="254">
        <v>10304.54</v>
      </c>
      <c r="P613" s="254">
        <v>8243.63</v>
      </c>
      <c r="Q613" s="254">
        <v>8243.63</v>
      </c>
      <c r="R613" s="203" t="s">
        <v>3484</v>
      </c>
      <c r="S613" s="254">
        <v>4121.82</v>
      </c>
      <c r="T613" s="204">
        <v>44991</v>
      </c>
      <c r="U613" s="1262" t="s">
        <v>2080</v>
      </c>
      <c r="V613" s="254">
        <v>2060.91</v>
      </c>
      <c r="W613" s="1262" t="s">
        <v>2228</v>
      </c>
      <c r="X613" s="206">
        <v>2060.91</v>
      </c>
      <c r="Y613" s="192"/>
    </row>
    <row r="614" ht="37.5" customHeight="1" spans="1:25">
      <c r="A614" s="192">
        <f t="shared" si="20"/>
        <v>606</v>
      </c>
      <c r="B614" s="208">
        <v>2023</v>
      </c>
      <c r="C614" s="193" t="s">
        <v>37</v>
      </c>
      <c r="D614" s="277" t="s">
        <v>3536</v>
      </c>
      <c r="E614" s="195" t="s">
        <v>3537</v>
      </c>
      <c r="F614" s="196" t="s">
        <v>2073</v>
      </c>
      <c r="G614" s="197" t="s">
        <v>3239</v>
      </c>
      <c r="H614" s="198">
        <v>0.8</v>
      </c>
      <c r="I614" s="199">
        <v>80000</v>
      </c>
      <c r="J614" s="200" t="s">
        <v>3538</v>
      </c>
      <c r="K614" s="200" t="s">
        <v>2645</v>
      </c>
      <c r="L614" s="201">
        <v>0.4</v>
      </c>
      <c r="M614" s="278" t="s">
        <v>3539</v>
      </c>
      <c r="N614" s="205">
        <v>30590</v>
      </c>
      <c r="O614" s="254">
        <v>30590</v>
      </c>
      <c r="P614" s="254">
        <v>24472</v>
      </c>
      <c r="Q614" s="254">
        <v>24472</v>
      </c>
      <c r="R614" s="203" t="s">
        <v>3484</v>
      </c>
      <c r="S614" s="254">
        <v>12236</v>
      </c>
      <c r="T614" s="204">
        <v>44991</v>
      </c>
      <c r="U614" s="1262" t="s">
        <v>2080</v>
      </c>
      <c r="V614" s="254">
        <v>6118</v>
      </c>
      <c r="W614" s="1262" t="s">
        <v>2228</v>
      </c>
      <c r="X614" s="206">
        <v>6118</v>
      </c>
      <c r="Y614" s="192"/>
    </row>
    <row r="615" ht="37.5" customHeight="1" spans="1:25">
      <c r="A615" s="192">
        <f t="shared" si="20"/>
        <v>607</v>
      </c>
      <c r="B615" s="208">
        <v>2023</v>
      </c>
      <c r="C615" s="193" t="s">
        <v>37</v>
      </c>
      <c r="D615" s="277" t="s">
        <v>3540</v>
      </c>
      <c r="E615" s="195" t="s">
        <v>3541</v>
      </c>
      <c r="F615" s="196" t="s">
        <v>2073</v>
      </c>
      <c r="G615" s="197" t="s">
        <v>3239</v>
      </c>
      <c r="H615" s="198">
        <v>0.8</v>
      </c>
      <c r="I615" s="199">
        <v>11760.68</v>
      </c>
      <c r="J615" s="200" t="s">
        <v>2812</v>
      </c>
      <c r="K615" s="200" t="s">
        <v>2813</v>
      </c>
      <c r="L615" s="201">
        <v>0.4</v>
      </c>
      <c r="M615" s="278" t="s">
        <v>2285</v>
      </c>
      <c r="N615" s="205">
        <v>696.68</v>
      </c>
      <c r="O615" s="254">
        <v>696.68</v>
      </c>
      <c r="P615" s="254">
        <v>557.34</v>
      </c>
      <c r="Q615" s="254">
        <v>557.34</v>
      </c>
      <c r="R615" s="203" t="s">
        <v>3484</v>
      </c>
      <c r="S615" s="254">
        <v>278.67</v>
      </c>
      <c r="T615" s="204">
        <v>44991</v>
      </c>
      <c r="U615" s="1262" t="s">
        <v>2080</v>
      </c>
      <c r="V615" s="254">
        <v>139.34</v>
      </c>
      <c r="W615" s="1262" t="s">
        <v>2228</v>
      </c>
      <c r="X615" s="297">
        <v>139.34</v>
      </c>
      <c r="Y615" s="192"/>
    </row>
    <row r="616" ht="37.5" customHeight="1" spans="1:25">
      <c r="A616" s="192">
        <f t="shared" si="20"/>
        <v>608</v>
      </c>
      <c r="B616" s="208">
        <v>2023</v>
      </c>
      <c r="C616" s="193" t="s">
        <v>37</v>
      </c>
      <c r="D616" s="277" t="s">
        <v>3540</v>
      </c>
      <c r="E616" s="195" t="s">
        <v>3542</v>
      </c>
      <c r="F616" s="196" t="s">
        <v>2073</v>
      </c>
      <c r="G616" s="197" t="s">
        <v>3239</v>
      </c>
      <c r="H616" s="198">
        <v>0.8</v>
      </c>
      <c r="I616" s="199">
        <v>11760.68</v>
      </c>
      <c r="J616" s="200" t="s">
        <v>3543</v>
      </c>
      <c r="K616" s="200" t="s">
        <v>3544</v>
      </c>
      <c r="L616" s="201">
        <v>0.4</v>
      </c>
      <c r="M616" s="278" t="s">
        <v>2285</v>
      </c>
      <c r="N616" s="205">
        <v>326.7</v>
      </c>
      <c r="O616" s="254">
        <v>326.7</v>
      </c>
      <c r="P616" s="254">
        <v>261.36</v>
      </c>
      <c r="Q616" s="254">
        <v>261.36</v>
      </c>
      <c r="R616" s="203" t="s">
        <v>3484</v>
      </c>
      <c r="S616" s="254">
        <v>130.68</v>
      </c>
      <c r="T616" s="204">
        <v>44991</v>
      </c>
      <c r="U616" s="1262" t="s">
        <v>2080</v>
      </c>
      <c r="V616" s="254">
        <v>65.34</v>
      </c>
      <c r="W616" s="1262" t="s">
        <v>2228</v>
      </c>
      <c r="X616" s="206">
        <v>65.34</v>
      </c>
      <c r="Y616" s="192"/>
    </row>
    <row r="617" ht="37.5" customHeight="1" spans="1:25">
      <c r="A617" s="192">
        <f t="shared" si="20"/>
        <v>609</v>
      </c>
      <c r="B617" s="208">
        <v>2023</v>
      </c>
      <c r="C617" s="193" t="s">
        <v>37</v>
      </c>
      <c r="D617" s="277" t="s">
        <v>3540</v>
      </c>
      <c r="E617" s="195" t="s">
        <v>3545</v>
      </c>
      <c r="F617" s="196" t="s">
        <v>2073</v>
      </c>
      <c r="G617" s="197" t="s">
        <v>3239</v>
      </c>
      <c r="H617" s="198">
        <v>0.8</v>
      </c>
      <c r="I617" s="199">
        <v>11760.68</v>
      </c>
      <c r="J617" s="200" t="s">
        <v>2034</v>
      </c>
      <c r="K617" s="200" t="s">
        <v>3546</v>
      </c>
      <c r="L617" s="201">
        <v>0.4</v>
      </c>
      <c r="M617" s="278" t="s">
        <v>2285</v>
      </c>
      <c r="N617" s="205">
        <v>4000</v>
      </c>
      <c r="O617" s="254">
        <v>4000</v>
      </c>
      <c r="P617" s="254">
        <v>3200</v>
      </c>
      <c r="Q617" s="254">
        <v>3200</v>
      </c>
      <c r="R617" s="203" t="s">
        <v>3484</v>
      </c>
      <c r="S617" s="254">
        <v>1600</v>
      </c>
      <c r="T617" s="204">
        <v>44991</v>
      </c>
      <c r="U617" s="1262" t="s">
        <v>2080</v>
      </c>
      <c r="V617" s="254">
        <v>139.34</v>
      </c>
      <c r="W617" s="1262" t="s">
        <v>2228</v>
      </c>
      <c r="X617" s="206">
        <v>139.34</v>
      </c>
      <c r="Y617" s="192"/>
    </row>
    <row r="618" ht="37.5" customHeight="1" spans="1:25">
      <c r="A618" s="192">
        <f t="shared" si="20"/>
        <v>610</v>
      </c>
      <c r="B618" s="208">
        <v>2023</v>
      </c>
      <c r="C618" s="193" t="s">
        <v>37</v>
      </c>
      <c r="D618" s="277" t="s">
        <v>3547</v>
      </c>
      <c r="E618" s="195" t="s">
        <v>3548</v>
      </c>
      <c r="F618" s="196" t="s">
        <v>2073</v>
      </c>
      <c r="G618" s="197" t="s">
        <v>3239</v>
      </c>
      <c r="H618" s="198">
        <v>0.8</v>
      </c>
      <c r="I618" s="199">
        <v>21224</v>
      </c>
      <c r="J618" s="200" t="s">
        <v>2919</v>
      </c>
      <c r="K618" s="200" t="s">
        <v>2920</v>
      </c>
      <c r="L618" s="201">
        <v>0.4</v>
      </c>
      <c r="M618" s="278" t="s">
        <v>2008</v>
      </c>
      <c r="N618" s="205">
        <v>15918.02</v>
      </c>
      <c r="O618" s="254">
        <v>15918.02</v>
      </c>
      <c r="P618" s="254">
        <v>12734.42</v>
      </c>
      <c r="Q618" s="254">
        <v>12734.42</v>
      </c>
      <c r="R618" s="203" t="s">
        <v>3484</v>
      </c>
      <c r="S618" s="254">
        <v>6367.21</v>
      </c>
      <c r="T618" s="204">
        <v>44991</v>
      </c>
      <c r="U618" s="1262" t="s">
        <v>2080</v>
      </c>
      <c r="V618" s="254">
        <v>3183.6</v>
      </c>
      <c r="W618" s="1262" t="s">
        <v>2228</v>
      </c>
      <c r="X618" s="206">
        <v>3183.6</v>
      </c>
      <c r="Y618" s="192"/>
    </row>
    <row r="619" ht="37.5" customHeight="1" spans="1:25">
      <c r="A619" s="192">
        <f t="shared" si="20"/>
        <v>611</v>
      </c>
      <c r="B619" s="208">
        <v>2023</v>
      </c>
      <c r="C619" s="193" t="s">
        <v>37</v>
      </c>
      <c r="D619" s="277" t="s">
        <v>3549</v>
      </c>
      <c r="E619" s="195" t="s">
        <v>3550</v>
      </c>
      <c r="F619" s="196" t="s">
        <v>2073</v>
      </c>
      <c r="G619" s="197" t="s">
        <v>3239</v>
      </c>
      <c r="H619" s="198">
        <v>0.8</v>
      </c>
      <c r="I619" s="199">
        <v>14701.06</v>
      </c>
      <c r="J619" s="200" t="s">
        <v>3164</v>
      </c>
      <c r="K619" s="200" t="s">
        <v>3165</v>
      </c>
      <c r="L619" s="201">
        <v>0.4</v>
      </c>
      <c r="M619" s="278" t="s">
        <v>3402</v>
      </c>
      <c r="N619" s="205">
        <v>1460.06</v>
      </c>
      <c r="O619" s="254">
        <v>1460.06</v>
      </c>
      <c r="P619" s="254">
        <v>1168.05</v>
      </c>
      <c r="Q619" s="254">
        <v>1168.05</v>
      </c>
      <c r="R619" s="203" t="s">
        <v>3484</v>
      </c>
      <c r="S619" s="254">
        <v>584.02</v>
      </c>
      <c r="T619" s="204">
        <v>44991</v>
      </c>
      <c r="U619" s="1262" t="s">
        <v>2080</v>
      </c>
      <c r="V619" s="254">
        <v>292.01</v>
      </c>
      <c r="W619" s="1262" t="s">
        <v>2228</v>
      </c>
      <c r="X619" s="206">
        <v>292.01</v>
      </c>
      <c r="Y619" s="192"/>
    </row>
    <row r="620" ht="37.5" customHeight="1" spans="1:25">
      <c r="A620" s="192">
        <f t="shared" si="20"/>
        <v>612</v>
      </c>
      <c r="B620" s="208">
        <v>2023</v>
      </c>
      <c r="C620" s="193" t="s">
        <v>37</v>
      </c>
      <c r="D620" s="277" t="s">
        <v>3551</v>
      </c>
      <c r="E620" s="195" t="s">
        <v>3552</v>
      </c>
      <c r="F620" s="196" t="s">
        <v>2073</v>
      </c>
      <c r="G620" s="197" t="s">
        <v>3239</v>
      </c>
      <c r="H620" s="198">
        <v>0.8</v>
      </c>
      <c r="I620" s="199">
        <v>15000</v>
      </c>
      <c r="J620" s="200" t="s">
        <v>1952</v>
      </c>
      <c r="K620" s="200" t="s">
        <v>3097</v>
      </c>
      <c r="L620" s="201">
        <v>0.4</v>
      </c>
      <c r="M620" s="278" t="s">
        <v>2008</v>
      </c>
      <c r="N620" s="205">
        <v>10000</v>
      </c>
      <c r="O620" s="254">
        <v>10000</v>
      </c>
      <c r="P620" s="254">
        <v>8000</v>
      </c>
      <c r="Q620" s="254">
        <v>8000</v>
      </c>
      <c r="R620" s="203" t="s">
        <v>3484</v>
      </c>
      <c r="S620" s="254">
        <v>4000</v>
      </c>
      <c r="T620" s="204">
        <v>44991</v>
      </c>
      <c r="U620" s="1262" t="s">
        <v>2080</v>
      </c>
      <c r="V620" s="254">
        <v>2000</v>
      </c>
      <c r="W620" s="1262" t="s">
        <v>2228</v>
      </c>
      <c r="X620" s="206">
        <v>2000</v>
      </c>
      <c r="Y620" s="192"/>
    </row>
    <row r="621" ht="37.5" customHeight="1" spans="1:25">
      <c r="A621" s="192">
        <f t="shared" si="20"/>
        <v>613</v>
      </c>
      <c r="B621" s="208">
        <v>2023</v>
      </c>
      <c r="C621" s="193" t="s">
        <v>37</v>
      </c>
      <c r="D621" s="277" t="s">
        <v>3551</v>
      </c>
      <c r="E621" s="195" t="s">
        <v>3553</v>
      </c>
      <c r="F621" s="196" t="s">
        <v>2073</v>
      </c>
      <c r="G621" s="197" t="s">
        <v>3239</v>
      </c>
      <c r="H621" s="198">
        <v>0.8</v>
      </c>
      <c r="I621" s="199">
        <v>16000</v>
      </c>
      <c r="J621" s="200" t="s">
        <v>3543</v>
      </c>
      <c r="K621" s="200" t="s">
        <v>3544</v>
      </c>
      <c r="L621" s="201">
        <v>0.4</v>
      </c>
      <c r="M621" s="278" t="s">
        <v>2008</v>
      </c>
      <c r="N621" s="205">
        <v>10666.68</v>
      </c>
      <c r="O621" s="254">
        <v>10666.68</v>
      </c>
      <c r="P621" s="254">
        <v>8533.34</v>
      </c>
      <c r="Q621" s="254">
        <v>8533.34</v>
      </c>
      <c r="R621" s="203" t="s">
        <v>3484</v>
      </c>
      <c r="S621" s="254">
        <v>4266.67</v>
      </c>
      <c r="T621" s="204">
        <v>44991</v>
      </c>
      <c r="U621" s="1262" t="s">
        <v>2080</v>
      </c>
      <c r="V621" s="254">
        <v>2133.34</v>
      </c>
      <c r="W621" s="1262" t="s">
        <v>2228</v>
      </c>
      <c r="X621" s="206">
        <v>2133.34</v>
      </c>
      <c r="Y621" s="192"/>
    </row>
    <row r="622" ht="37.5" customHeight="1" spans="1:25">
      <c r="A622" s="192">
        <f t="shared" si="20"/>
        <v>614</v>
      </c>
      <c r="B622" s="208">
        <v>2023</v>
      </c>
      <c r="C622" s="193" t="s">
        <v>37</v>
      </c>
      <c r="D622" s="277" t="s">
        <v>3554</v>
      </c>
      <c r="E622" s="195" t="s">
        <v>3555</v>
      </c>
      <c r="F622" s="196" t="s">
        <v>2073</v>
      </c>
      <c r="G622" s="197" t="s">
        <v>3239</v>
      </c>
      <c r="H622" s="198">
        <v>0.8</v>
      </c>
      <c r="I622" s="199">
        <v>101040</v>
      </c>
      <c r="J622" s="200" t="s">
        <v>2123</v>
      </c>
      <c r="K622" s="200" t="s">
        <v>2124</v>
      </c>
      <c r="L622" s="201">
        <v>0.4</v>
      </c>
      <c r="M622" s="278" t="s">
        <v>3451</v>
      </c>
      <c r="N622" s="205">
        <v>11000</v>
      </c>
      <c r="O622" s="254">
        <v>11000</v>
      </c>
      <c r="P622" s="254">
        <v>8800</v>
      </c>
      <c r="Q622" s="254">
        <v>8800</v>
      </c>
      <c r="R622" s="203" t="s">
        <v>3484</v>
      </c>
      <c r="S622" s="254">
        <v>4400</v>
      </c>
      <c r="T622" s="204">
        <v>44991</v>
      </c>
      <c r="U622" s="1262" t="s">
        <v>2080</v>
      </c>
      <c r="V622" s="254">
        <v>2200</v>
      </c>
      <c r="W622" s="1262" t="s">
        <v>2228</v>
      </c>
      <c r="X622" s="206">
        <v>2200</v>
      </c>
      <c r="Y622" s="192"/>
    </row>
    <row r="623" ht="37.5" customHeight="1" spans="1:25">
      <c r="A623" s="192">
        <f t="shared" si="20"/>
        <v>615</v>
      </c>
      <c r="B623" s="208">
        <v>2023</v>
      </c>
      <c r="C623" s="193" t="s">
        <v>37</v>
      </c>
      <c r="D623" s="277" t="s">
        <v>3554</v>
      </c>
      <c r="E623" s="195" t="s">
        <v>3556</v>
      </c>
      <c r="F623" s="196" t="s">
        <v>2073</v>
      </c>
      <c r="G623" s="197" t="s">
        <v>3239</v>
      </c>
      <c r="H623" s="198">
        <v>0.8</v>
      </c>
      <c r="I623" s="199">
        <v>14254.41</v>
      </c>
      <c r="J623" s="200" t="s">
        <v>2767</v>
      </c>
      <c r="K623" s="200" t="s">
        <v>2768</v>
      </c>
      <c r="L623" s="201">
        <v>0.4</v>
      </c>
      <c r="M623" s="278" t="s">
        <v>3451</v>
      </c>
      <c r="N623" s="205">
        <v>1333.36</v>
      </c>
      <c r="O623" s="254">
        <v>1333.36</v>
      </c>
      <c r="P623" s="254">
        <v>1066.69</v>
      </c>
      <c r="Q623" s="254">
        <v>1066.69</v>
      </c>
      <c r="R623" s="203" t="s">
        <v>3484</v>
      </c>
      <c r="S623" s="254">
        <v>533.34</v>
      </c>
      <c r="T623" s="204">
        <v>44991</v>
      </c>
      <c r="U623" s="1262" t="s">
        <v>2080</v>
      </c>
      <c r="V623" s="254">
        <v>266.67</v>
      </c>
      <c r="W623" s="1262" t="s">
        <v>2228</v>
      </c>
      <c r="X623" s="206">
        <v>266.67</v>
      </c>
      <c r="Y623" s="192"/>
    </row>
    <row r="624" ht="37.5" customHeight="1" spans="1:25">
      <c r="A624" s="192">
        <f t="shared" si="20"/>
        <v>616</v>
      </c>
      <c r="B624" s="208">
        <v>2023</v>
      </c>
      <c r="C624" s="193" t="s">
        <v>37</v>
      </c>
      <c r="D624" s="277" t="s">
        <v>3557</v>
      </c>
      <c r="E624" s="195" t="s">
        <v>3558</v>
      </c>
      <c r="F624" s="196" t="s">
        <v>2073</v>
      </c>
      <c r="G624" s="197" t="s">
        <v>3239</v>
      </c>
      <c r="H624" s="198">
        <v>0.8</v>
      </c>
      <c r="I624" s="199">
        <v>12846.05</v>
      </c>
      <c r="J624" s="200" t="s">
        <v>2113</v>
      </c>
      <c r="K624" s="200" t="s">
        <v>3559</v>
      </c>
      <c r="L624" s="201">
        <v>0.4</v>
      </c>
      <c r="M624" s="278" t="s">
        <v>3492</v>
      </c>
      <c r="N624" s="205">
        <v>2000</v>
      </c>
      <c r="O624" s="254">
        <v>2000</v>
      </c>
      <c r="P624" s="254">
        <v>1600</v>
      </c>
      <c r="Q624" s="254">
        <v>1600</v>
      </c>
      <c r="R624" s="203" t="s">
        <v>3484</v>
      </c>
      <c r="S624" s="254">
        <v>800</v>
      </c>
      <c r="T624" s="204">
        <v>44991</v>
      </c>
      <c r="U624" s="1262" t="s">
        <v>2080</v>
      </c>
      <c r="V624" s="254">
        <v>400</v>
      </c>
      <c r="W624" s="1262" t="s">
        <v>2228</v>
      </c>
      <c r="X624" s="206">
        <v>400</v>
      </c>
      <c r="Y624" s="192"/>
    </row>
    <row r="625" ht="37.5" customHeight="1" spans="1:25">
      <c r="A625" s="192">
        <f t="shared" si="20"/>
        <v>617</v>
      </c>
      <c r="B625" s="208">
        <v>2023</v>
      </c>
      <c r="C625" s="193" t="s">
        <v>37</v>
      </c>
      <c r="D625" s="277" t="s">
        <v>3560</v>
      </c>
      <c r="E625" s="195" t="s">
        <v>3561</v>
      </c>
      <c r="F625" s="196" t="s">
        <v>2073</v>
      </c>
      <c r="G625" s="197" t="s">
        <v>3239</v>
      </c>
      <c r="H625" s="198">
        <v>0.8</v>
      </c>
      <c r="I625" s="199">
        <v>19300</v>
      </c>
      <c r="J625" s="200" t="s">
        <v>1933</v>
      </c>
      <c r="K625" s="200" t="s">
        <v>3158</v>
      </c>
      <c r="L625" s="201">
        <v>0.4</v>
      </c>
      <c r="M625" s="278" t="s">
        <v>3308</v>
      </c>
      <c r="N625" s="205">
        <v>12217.6</v>
      </c>
      <c r="O625" s="254">
        <v>12217.6</v>
      </c>
      <c r="P625" s="254">
        <v>9774.08</v>
      </c>
      <c r="Q625" s="254">
        <v>9774.08</v>
      </c>
      <c r="R625" s="203" t="s">
        <v>3484</v>
      </c>
      <c r="S625" s="254">
        <v>4887.04</v>
      </c>
      <c r="T625" s="204">
        <v>44991</v>
      </c>
      <c r="U625" s="1262" t="s">
        <v>2080</v>
      </c>
      <c r="V625" s="254">
        <v>2443.52</v>
      </c>
      <c r="W625" s="1262" t="s">
        <v>2228</v>
      </c>
      <c r="X625" s="206">
        <v>2443.52</v>
      </c>
      <c r="Y625" s="192"/>
    </row>
    <row r="626" ht="37.5" customHeight="1" spans="1:25">
      <c r="A626" s="192">
        <f t="shared" si="20"/>
        <v>618</v>
      </c>
      <c r="B626" s="208">
        <v>2023</v>
      </c>
      <c r="C626" s="193" t="s">
        <v>37</v>
      </c>
      <c r="D626" s="277" t="s">
        <v>3560</v>
      </c>
      <c r="E626" s="195" t="s">
        <v>3562</v>
      </c>
      <c r="F626" s="196" t="s">
        <v>2073</v>
      </c>
      <c r="G626" s="197" t="s">
        <v>3239</v>
      </c>
      <c r="H626" s="198">
        <v>0.8</v>
      </c>
      <c r="I626" s="199">
        <v>21797</v>
      </c>
      <c r="J626" s="200" t="s">
        <v>2970</v>
      </c>
      <c r="K626" s="200" t="s">
        <v>2971</v>
      </c>
      <c r="L626" s="201">
        <v>0.4</v>
      </c>
      <c r="M626" s="278" t="s">
        <v>3308</v>
      </c>
      <c r="N626" s="205">
        <v>13153.34</v>
      </c>
      <c r="O626" s="254">
        <v>13153.34</v>
      </c>
      <c r="P626" s="254">
        <v>10522.67</v>
      </c>
      <c r="Q626" s="254">
        <v>10522.67</v>
      </c>
      <c r="R626" s="203" t="s">
        <v>3484</v>
      </c>
      <c r="S626" s="254">
        <v>5261.34</v>
      </c>
      <c r="T626" s="204">
        <v>44991</v>
      </c>
      <c r="U626" s="1262" t="s">
        <v>2080</v>
      </c>
      <c r="V626" s="254">
        <v>2630.67</v>
      </c>
      <c r="W626" s="1262" t="s">
        <v>2228</v>
      </c>
      <c r="X626" s="206">
        <v>2630.67</v>
      </c>
      <c r="Y626" s="192"/>
    </row>
    <row r="627" ht="37.5" customHeight="1" spans="1:25">
      <c r="A627" s="192">
        <f t="shared" si="20"/>
        <v>619</v>
      </c>
      <c r="B627" s="208">
        <v>2023</v>
      </c>
      <c r="C627" s="193" t="s">
        <v>37</v>
      </c>
      <c r="D627" s="277" t="s">
        <v>3560</v>
      </c>
      <c r="E627" s="195" t="s">
        <v>3563</v>
      </c>
      <c r="F627" s="196" t="s">
        <v>2073</v>
      </c>
      <c r="G627" s="197" t="s">
        <v>3239</v>
      </c>
      <c r="H627" s="198">
        <v>0.8</v>
      </c>
      <c r="I627" s="199">
        <v>16488.45</v>
      </c>
      <c r="J627" s="200" t="s">
        <v>2484</v>
      </c>
      <c r="K627" s="200" t="s">
        <v>3564</v>
      </c>
      <c r="L627" s="201">
        <v>0.4</v>
      </c>
      <c r="M627" s="278" t="s">
        <v>3308</v>
      </c>
      <c r="N627" s="205">
        <v>500</v>
      </c>
      <c r="O627" s="254">
        <v>500</v>
      </c>
      <c r="P627" s="254">
        <v>400</v>
      </c>
      <c r="Q627" s="254">
        <v>400</v>
      </c>
      <c r="R627" s="203" t="s">
        <v>3484</v>
      </c>
      <c r="S627" s="254">
        <v>200</v>
      </c>
      <c r="T627" s="204">
        <v>44991</v>
      </c>
      <c r="U627" s="1262" t="s">
        <v>2080</v>
      </c>
      <c r="V627" s="254">
        <v>100</v>
      </c>
      <c r="W627" s="1262" t="s">
        <v>2228</v>
      </c>
      <c r="X627" s="206">
        <v>100</v>
      </c>
      <c r="Y627" s="192"/>
    </row>
    <row r="628" ht="37.5" customHeight="1" spans="1:25">
      <c r="A628" s="192">
        <f t="shared" si="20"/>
        <v>620</v>
      </c>
      <c r="B628" s="208">
        <v>2023</v>
      </c>
      <c r="C628" s="193" t="s">
        <v>37</v>
      </c>
      <c r="D628" s="277" t="s">
        <v>3565</v>
      </c>
      <c r="E628" s="195" t="s">
        <v>3566</v>
      </c>
      <c r="F628" s="196" t="s">
        <v>2073</v>
      </c>
      <c r="G628" s="197" t="s">
        <v>3239</v>
      </c>
      <c r="H628" s="198">
        <v>0.8</v>
      </c>
      <c r="I628" s="199">
        <v>16935.42</v>
      </c>
      <c r="J628" s="200" t="s">
        <v>2677</v>
      </c>
      <c r="K628" s="200" t="s">
        <v>2678</v>
      </c>
      <c r="L628" s="201">
        <v>0.4</v>
      </c>
      <c r="M628" s="278" t="s">
        <v>3567</v>
      </c>
      <c r="N628" s="205">
        <v>5250.01</v>
      </c>
      <c r="O628" s="254">
        <v>5250.01</v>
      </c>
      <c r="P628" s="254">
        <v>4200.01</v>
      </c>
      <c r="Q628" s="254">
        <v>4200.01</v>
      </c>
      <c r="R628" s="203" t="s">
        <v>3484</v>
      </c>
      <c r="S628" s="254">
        <v>2100</v>
      </c>
      <c r="T628" s="204">
        <v>44991</v>
      </c>
      <c r="U628" s="1262" t="s">
        <v>2080</v>
      </c>
      <c r="V628" s="254">
        <v>664.85</v>
      </c>
      <c r="W628" s="1262" t="s">
        <v>2228</v>
      </c>
      <c r="X628" s="206">
        <v>664.85</v>
      </c>
      <c r="Y628" s="192"/>
    </row>
    <row r="629" ht="37.5" customHeight="1" spans="1:25">
      <c r="A629" s="192">
        <f t="shared" si="20"/>
        <v>621</v>
      </c>
      <c r="B629" s="208">
        <v>2023</v>
      </c>
      <c r="C629" s="193" t="s">
        <v>37</v>
      </c>
      <c r="D629" s="277" t="s">
        <v>3565</v>
      </c>
      <c r="E629" s="195" t="s">
        <v>3568</v>
      </c>
      <c r="F629" s="196" t="s">
        <v>2073</v>
      </c>
      <c r="G629" s="197" t="s">
        <v>3239</v>
      </c>
      <c r="H629" s="198">
        <v>0.8</v>
      </c>
      <c r="I629" s="199">
        <v>16935.42</v>
      </c>
      <c r="J629" s="200" t="s">
        <v>2792</v>
      </c>
      <c r="K629" s="200" t="s">
        <v>2793</v>
      </c>
      <c r="L629" s="201">
        <v>0.4</v>
      </c>
      <c r="M629" s="278" t="s">
        <v>3567</v>
      </c>
      <c r="N629" s="205">
        <v>3324.24</v>
      </c>
      <c r="O629" s="205">
        <v>3324.24</v>
      </c>
      <c r="P629" s="254">
        <v>2659.39</v>
      </c>
      <c r="Q629" s="254">
        <v>2659.39</v>
      </c>
      <c r="R629" s="203" t="s">
        <v>3484</v>
      </c>
      <c r="S629" s="254">
        <v>1329.7</v>
      </c>
      <c r="T629" s="204">
        <v>44991</v>
      </c>
      <c r="U629" s="1262" t="s">
        <v>2080</v>
      </c>
      <c r="V629" s="254">
        <v>1050</v>
      </c>
      <c r="W629" s="1262" t="s">
        <v>2228</v>
      </c>
      <c r="X629" s="206">
        <v>1050</v>
      </c>
      <c r="Y629" s="192"/>
    </row>
    <row r="630" ht="37.5" customHeight="1" spans="1:25">
      <c r="A630" s="192">
        <f t="shared" si="20"/>
        <v>622</v>
      </c>
      <c r="B630" s="208">
        <v>2023</v>
      </c>
      <c r="C630" s="193" t="s">
        <v>37</v>
      </c>
      <c r="D630" s="277" t="s">
        <v>3348</v>
      </c>
      <c r="E630" s="195" t="s">
        <v>3569</v>
      </c>
      <c r="F630" s="196" t="s">
        <v>2073</v>
      </c>
      <c r="G630" s="197" t="s">
        <v>3239</v>
      </c>
      <c r="H630" s="198">
        <v>0.8</v>
      </c>
      <c r="I630" s="199">
        <v>14254.41</v>
      </c>
      <c r="J630" s="200" t="s">
        <v>2390</v>
      </c>
      <c r="K630" s="200" t="s">
        <v>3570</v>
      </c>
      <c r="L630" s="201">
        <v>0.4</v>
      </c>
      <c r="M630" s="278" t="s">
        <v>3350</v>
      </c>
      <c r="N630" s="205">
        <v>1000</v>
      </c>
      <c r="O630" s="254">
        <v>1000</v>
      </c>
      <c r="P630" s="254">
        <v>800</v>
      </c>
      <c r="Q630" s="254">
        <v>800</v>
      </c>
      <c r="R630" s="203" t="s">
        <v>3484</v>
      </c>
      <c r="S630" s="254">
        <v>400</v>
      </c>
      <c r="T630" s="204">
        <v>44991</v>
      </c>
      <c r="U630" s="1262" t="s">
        <v>2080</v>
      </c>
      <c r="V630" s="254">
        <v>200</v>
      </c>
      <c r="W630" s="1262" t="s">
        <v>2228</v>
      </c>
      <c r="X630" s="206">
        <v>200</v>
      </c>
      <c r="Y630" s="192"/>
    </row>
    <row r="631" ht="37.5" customHeight="1" spans="1:25">
      <c r="A631" s="192">
        <f t="shared" si="20"/>
        <v>623</v>
      </c>
      <c r="B631" s="208">
        <v>2023</v>
      </c>
      <c r="C631" s="193" t="s">
        <v>37</v>
      </c>
      <c r="D631" s="277" t="s">
        <v>3571</v>
      </c>
      <c r="E631" s="195" t="s">
        <v>3572</v>
      </c>
      <c r="F631" s="196" t="s">
        <v>2073</v>
      </c>
      <c r="G631" s="197" t="s">
        <v>3239</v>
      </c>
      <c r="H631" s="198">
        <v>0.8</v>
      </c>
      <c r="I631" s="199">
        <v>32000</v>
      </c>
      <c r="J631" s="200" t="s">
        <v>2634</v>
      </c>
      <c r="K631" s="200" t="s">
        <v>3573</v>
      </c>
      <c r="L631" s="201">
        <v>0.4</v>
      </c>
      <c r="M631" s="278" t="s">
        <v>3487</v>
      </c>
      <c r="N631" s="205">
        <v>32000</v>
      </c>
      <c r="O631" s="254">
        <v>32000</v>
      </c>
      <c r="P631" s="254">
        <v>25600</v>
      </c>
      <c r="Q631" s="254">
        <v>25600</v>
      </c>
      <c r="R631" s="203" t="s">
        <v>3484</v>
      </c>
      <c r="S631" s="254">
        <v>12800</v>
      </c>
      <c r="T631" s="204">
        <v>44991</v>
      </c>
      <c r="U631" s="1262" t="s">
        <v>2080</v>
      </c>
      <c r="V631" s="254">
        <v>6400</v>
      </c>
      <c r="W631" s="1262" t="s">
        <v>2133</v>
      </c>
      <c r="X631" s="258">
        <v>6400</v>
      </c>
      <c r="Y631" s="192"/>
    </row>
    <row r="632" ht="37.5" customHeight="1" spans="1:25">
      <c r="A632" s="192">
        <f t="shared" si="20"/>
        <v>624</v>
      </c>
      <c r="B632" s="208">
        <v>2023</v>
      </c>
      <c r="C632" s="193" t="s">
        <v>37</v>
      </c>
      <c r="D632" s="277" t="s">
        <v>2732</v>
      </c>
      <c r="E632" s="195" t="s">
        <v>3574</v>
      </c>
      <c r="F632" s="196" t="s">
        <v>2073</v>
      </c>
      <c r="G632" s="197" t="s">
        <v>3239</v>
      </c>
      <c r="H632" s="198">
        <v>0.8</v>
      </c>
      <c r="I632" s="199">
        <v>72000</v>
      </c>
      <c r="J632" s="200" t="s">
        <v>3575</v>
      </c>
      <c r="K632" s="200" t="s">
        <v>3576</v>
      </c>
      <c r="L632" s="201">
        <v>0.4</v>
      </c>
      <c r="M632" s="278" t="s">
        <v>3420</v>
      </c>
      <c r="N632" s="205">
        <v>33492.7</v>
      </c>
      <c r="O632" s="254">
        <v>33492.7</v>
      </c>
      <c r="P632" s="254">
        <v>26794.16</v>
      </c>
      <c r="Q632" s="254">
        <v>26794.16</v>
      </c>
      <c r="R632" s="203" t="s">
        <v>3484</v>
      </c>
      <c r="S632" s="254">
        <v>13397.08</v>
      </c>
      <c r="T632" s="204">
        <v>44991</v>
      </c>
      <c r="U632" s="1262" t="s">
        <v>2080</v>
      </c>
      <c r="V632" s="254">
        <v>6698.54</v>
      </c>
      <c r="W632" s="1262" t="s">
        <v>2133</v>
      </c>
      <c r="X632" s="258">
        <v>6698.54</v>
      </c>
      <c r="Y632" s="192"/>
    </row>
    <row r="633" ht="37.5" customHeight="1" spans="1:25">
      <c r="A633" s="192">
        <f t="shared" si="20"/>
        <v>625</v>
      </c>
      <c r="B633" s="208">
        <v>2023</v>
      </c>
      <c r="C633" s="193" t="s">
        <v>37</v>
      </c>
      <c r="D633" s="277" t="s">
        <v>2732</v>
      </c>
      <c r="E633" s="195" t="s">
        <v>3577</v>
      </c>
      <c r="F633" s="196" t="s">
        <v>2073</v>
      </c>
      <c r="G633" s="197" t="s">
        <v>3239</v>
      </c>
      <c r="H633" s="198">
        <v>0.8</v>
      </c>
      <c r="I633" s="199">
        <v>16789.7</v>
      </c>
      <c r="J633" s="200" t="s">
        <v>3578</v>
      </c>
      <c r="K633" s="200" t="s">
        <v>3579</v>
      </c>
      <c r="L633" s="201">
        <v>0.4</v>
      </c>
      <c r="M633" s="278" t="s">
        <v>3420</v>
      </c>
      <c r="N633" s="205">
        <v>5666.68</v>
      </c>
      <c r="O633" s="254">
        <v>5666.68</v>
      </c>
      <c r="P633" s="254">
        <v>4533.34</v>
      </c>
      <c r="Q633" s="254">
        <v>4533.34</v>
      </c>
      <c r="R633" s="203" t="s">
        <v>3484</v>
      </c>
      <c r="S633" s="254">
        <v>2266.67</v>
      </c>
      <c r="T633" s="204">
        <v>44991</v>
      </c>
      <c r="U633" s="1262" t="s">
        <v>2080</v>
      </c>
      <c r="V633" s="254">
        <v>1133.34</v>
      </c>
      <c r="W633" s="1262" t="s">
        <v>2133</v>
      </c>
      <c r="X633" s="258">
        <v>1133.34</v>
      </c>
      <c r="Y633" s="192"/>
    </row>
    <row r="634" ht="37.5" customHeight="1" spans="1:25">
      <c r="A634" s="192">
        <f t="shared" si="20"/>
        <v>626</v>
      </c>
      <c r="B634" s="208">
        <v>2023</v>
      </c>
      <c r="C634" s="193" t="s">
        <v>37</v>
      </c>
      <c r="D634" s="277" t="s">
        <v>3580</v>
      </c>
      <c r="E634" s="195" t="s">
        <v>3581</v>
      </c>
      <c r="F634" s="196" t="s">
        <v>2073</v>
      </c>
      <c r="G634" s="197" t="s">
        <v>3239</v>
      </c>
      <c r="H634" s="198">
        <v>0.8</v>
      </c>
      <c r="I634" s="199">
        <v>10447.21</v>
      </c>
      <c r="J634" s="200" t="s">
        <v>2076</v>
      </c>
      <c r="K634" s="200" t="s">
        <v>2996</v>
      </c>
      <c r="L634" s="201">
        <v>0.4</v>
      </c>
      <c r="M634" s="278" t="s">
        <v>3567</v>
      </c>
      <c r="N634" s="205">
        <v>2212.72</v>
      </c>
      <c r="O634" s="254">
        <v>2212.72</v>
      </c>
      <c r="P634" s="254">
        <v>1770.17</v>
      </c>
      <c r="Q634" s="254">
        <v>1770.17</v>
      </c>
      <c r="R634" s="203" t="s">
        <v>3484</v>
      </c>
      <c r="S634" s="254">
        <v>885.09</v>
      </c>
      <c r="T634" s="204">
        <v>44991</v>
      </c>
      <c r="U634" s="1262" t="s">
        <v>2080</v>
      </c>
      <c r="V634" s="254">
        <v>442.54</v>
      </c>
      <c r="W634" s="1262" t="s">
        <v>2133</v>
      </c>
      <c r="X634" s="258">
        <v>442.54</v>
      </c>
      <c r="Y634" s="192"/>
    </row>
    <row r="635" ht="37.5" customHeight="1" spans="1:25">
      <c r="A635" s="192">
        <f t="shared" si="20"/>
        <v>627</v>
      </c>
      <c r="B635" s="208">
        <v>2023</v>
      </c>
      <c r="C635" s="193" t="s">
        <v>37</v>
      </c>
      <c r="D635" s="277" t="s">
        <v>3582</v>
      </c>
      <c r="E635" s="195" t="s">
        <v>3583</v>
      </c>
      <c r="F635" s="196" t="s">
        <v>2073</v>
      </c>
      <c r="G635" s="197" t="s">
        <v>3239</v>
      </c>
      <c r="H635" s="198">
        <v>0.8</v>
      </c>
      <c r="I635" s="199">
        <v>15907.62</v>
      </c>
      <c r="J635" s="200" t="s">
        <v>2076</v>
      </c>
      <c r="K635" s="200" t="s">
        <v>2996</v>
      </c>
      <c r="L635" s="201">
        <v>0.4</v>
      </c>
      <c r="M635" s="278" t="s">
        <v>3209</v>
      </c>
      <c r="N635" s="205">
        <v>2666.68</v>
      </c>
      <c r="O635" s="254">
        <v>2666.68</v>
      </c>
      <c r="P635" s="254">
        <v>2133.34</v>
      </c>
      <c r="Q635" s="254">
        <v>2133.34</v>
      </c>
      <c r="R635" s="203" t="s">
        <v>3484</v>
      </c>
      <c r="S635" s="254">
        <v>1066.67</v>
      </c>
      <c r="T635" s="204">
        <v>44991</v>
      </c>
      <c r="U635" s="1262" t="s">
        <v>2080</v>
      </c>
      <c r="V635" s="254">
        <v>533.34</v>
      </c>
      <c r="W635" s="1262" t="s">
        <v>2133</v>
      </c>
      <c r="X635" s="258">
        <v>533.34</v>
      </c>
      <c r="Y635" s="192"/>
    </row>
    <row r="636" ht="37.5" customHeight="1" spans="1:25">
      <c r="A636" s="192">
        <f t="shared" si="20"/>
        <v>628</v>
      </c>
      <c r="B636" s="208">
        <v>2023</v>
      </c>
      <c r="C636" s="193" t="s">
        <v>37</v>
      </c>
      <c r="D636" s="277" t="s">
        <v>3584</v>
      </c>
      <c r="E636" s="195" t="s">
        <v>3585</v>
      </c>
      <c r="F636" s="196" t="s">
        <v>2073</v>
      </c>
      <c r="G636" s="197" t="s">
        <v>3239</v>
      </c>
      <c r="H636" s="198">
        <v>0.8</v>
      </c>
      <c r="I636" s="199">
        <v>20000</v>
      </c>
      <c r="J636" s="200" t="s">
        <v>1845</v>
      </c>
      <c r="K636" s="200" t="s">
        <v>2257</v>
      </c>
      <c r="L636" s="201">
        <v>0.4</v>
      </c>
      <c r="M636" s="278" t="s">
        <v>3308</v>
      </c>
      <c r="N636" s="205">
        <v>9999.96</v>
      </c>
      <c r="O636" s="254">
        <v>9999.96</v>
      </c>
      <c r="P636" s="254">
        <v>7999.97</v>
      </c>
      <c r="Q636" s="254">
        <v>7999.97</v>
      </c>
      <c r="R636" s="203" t="s">
        <v>3484</v>
      </c>
      <c r="S636" s="254">
        <v>3999.98</v>
      </c>
      <c r="T636" s="204">
        <v>44991</v>
      </c>
      <c r="U636" s="1262" t="s">
        <v>2080</v>
      </c>
      <c r="V636" s="254">
        <v>1999.99</v>
      </c>
      <c r="W636" s="1262" t="s">
        <v>2133</v>
      </c>
      <c r="X636" s="258">
        <v>1999.99</v>
      </c>
      <c r="Y636" s="192"/>
    </row>
    <row r="637" ht="37.5" customHeight="1" spans="1:25">
      <c r="A637" s="192">
        <f t="shared" si="20"/>
        <v>629</v>
      </c>
      <c r="B637" s="208">
        <v>2023</v>
      </c>
      <c r="C637" s="193" t="s">
        <v>37</v>
      </c>
      <c r="D637" s="277" t="s">
        <v>3586</v>
      </c>
      <c r="E637" s="195" t="s">
        <v>3587</v>
      </c>
      <c r="F637" s="196" t="s">
        <v>2073</v>
      </c>
      <c r="G637" s="197" t="s">
        <v>3239</v>
      </c>
      <c r="H637" s="198">
        <v>0.8</v>
      </c>
      <c r="I637" s="199">
        <v>55000</v>
      </c>
      <c r="J637" s="200" t="s">
        <v>2074</v>
      </c>
      <c r="K637" s="200" t="s">
        <v>2075</v>
      </c>
      <c r="L637" s="201">
        <v>0.4</v>
      </c>
      <c r="M637" s="278" t="s">
        <v>3246</v>
      </c>
      <c r="N637" s="205">
        <v>17692.44</v>
      </c>
      <c r="O637" s="254">
        <v>17692.44</v>
      </c>
      <c r="P637" s="254">
        <v>14153.95</v>
      </c>
      <c r="Q637" s="254">
        <v>14153.95</v>
      </c>
      <c r="R637" s="203" t="s">
        <v>3484</v>
      </c>
      <c r="S637" s="254">
        <v>7076.98</v>
      </c>
      <c r="T637" s="204">
        <v>44991</v>
      </c>
      <c r="U637" s="1262" t="s">
        <v>2080</v>
      </c>
      <c r="V637" s="254">
        <v>3538.49</v>
      </c>
      <c r="W637" s="1262" t="s">
        <v>2133</v>
      </c>
      <c r="X637" s="258">
        <v>3538.49</v>
      </c>
      <c r="Y637" s="192"/>
    </row>
    <row r="638" ht="37.5" customHeight="1" spans="1:25">
      <c r="A638" s="192">
        <f t="shared" si="20"/>
        <v>630</v>
      </c>
      <c r="B638" s="208">
        <v>2023</v>
      </c>
      <c r="C638" s="193" t="s">
        <v>37</v>
      </c>
      <c r="D638" s="277" t="s">
        <v>3588</v>
      </c>
      <c r="E638" s="195" t="s">
        <v>3589</v>
      </c>
      <c r="F638" s="196" t="s">
        <v>2073</v>
      </c>
      <c r="G638" s="197" t="s">
        <v>3239</v>
      </c>
      <c r="H638" s="198">
        <v>0.8</v>
      </c>
      <c r="I638" s="199">
        <v>45000</v>
      </c>
      <c r="J638" s="200" t="s">
        <v>2191</v>
      </c>
      <c r="K638" s="200" t="s">
        <v>2192</v>
      </c>
      <c r="L638" s="201">
        <v>0.4</v>
      </c>
      <c r="M638" s="278" t="s">
        <v>2008</v>
      </c>
      <c r="N638" s="205">
        <v>5500.05</v>
      </c>
      <c r="O638" s="254">
        <v>5500.05</v>
      </c>
      <c r="P638" s="254">
        <v>4400.04</v>
      </c>
      <c r="Q638" s="254">
        <v>4400.04</v>
      </c>
      <c r="R638" s="203" t="s">
        <v>3484</v>
      </c>
      <c r="S638" s="254">
        <v>2200.02</v>
      </c>
      <c r="T638" s="204">
        <v>44991</v>
      </c>
      <c r="U638" s="1262" t="s">
        <v>2080</v>
      </c>
      <c r="V638" s="254">
        <v>1100.01</v>
      </c>
      <c r="W638" s="1262" t="s">
        <v>2133</v>
      </c>
      <c r="X638" s="206">
        <v>1100.01</v>
      </c>
      <c r="Y638" s="192"/>
    </row>
    <row r="639" ht="37.5" customHeight="1" spans="1:25">
      <c r="A639" s="192">
        <f t="shared" si="20"/>
        <v>631</v>
      </c>
      <c r="B639" s="208">
        <v>2023</v>
      </c>
      <c r="C639" s="193" t="s">
        <v>37</v>
      </c>
      <c r="D639" s="277" t="s">
        <v>3306</v>
      </c>
      <c r="E639" s="195" t="s">
        <v>3590</v>
      </c>
      <c r="F639" s="196" t="s">
        <v>2073</v>
      </c>
      <c r="G639" s="197" t="s">
        <v>3239</v>
      </c>
      <c r="H639" s="198">
        <v>0.8</v>
      </c>
      <c r="I639" s="199">
        <v>14701.06</v>
      </c>
      <c r="J639" s="200" t="s">
        <v>3376</v>
      </c>
      <c r="K639" s="200" t="s">
        <v>3377</v>
      </c>
      <c r="L639" s="201">
        <v>0.4</v>
      </c>
      <c r="M639" s="278" t="s">
        <v>3308</v>
      </c>
      <c r="N639" s="205">
        <v>3355.51</v>
      </c>
      <c r="O639" s="254">
        <v>3355.51</v>
      </c>
      <c r="P639" s="254">
        <v>2684.41</v>
      </c>
      <c r="Q639" s="254">
        <v>2684.41</v>
      </c>
      <c r="R639" s="203" t="s">
        <v>3484</v>
      </c>
      <c r="S639" s="254">
        <v>1342.2</v>
      </c>
      <c r="T639" s="204">
        <v>44991</v>
      </c>
      <c r="U639" s="1262" t="s">
        <v>2080</v>
      </c>
      <c r="V639" s="254">
        <v>671.1</v>
      </c>
      <c r="W639" s="1262" t="s">
        <v>2133</v>
      </c>
      <c r="X639" s="258">
        <v>671.1</v>
      </c>
      <c r="Y639" s="192"/>
    </row>
    <row r="640" ht="37.5" customHeight="1" spans="1:25">
      <c r="A640" s="192">
        <f t="shared" si="20"/>
        <v>632</v>
      </c>
      <c r="B640" s="208">
        <v>2023</v>
      </c>
      <c r="C640" s="193" t="s">
        <v>37</v>
      </c>
      <c r="D640" s="277" t="s">
        <v>3591</v>
      </c>
      <c r="E640" s="195" t="s">
        <v>3592</v>
      </c>
      <c r="F640" s="196" t="s">
        <v>2073</v>
      </c>
      <c r="G640" s="197" t="s">
        <v>3239</v>
      </c>
      <c r="H640" s="198">
        <v>0.8</v>
      </c>
      <c r="I640" s="199">
        <v>14049.69</v>
      </c>
      <c r="J640" s="200" t="s">
        <v>2010</v>
      </c>
      <c r="K640" s="200" t="s">
        <v>3593</v>
      </c>
      <c r="L640" s="201">
        <v>0.4</v>
      </c>
      <c r="M640" s="278" t="s">
        <v>3539</v>
      </c>
      <c r="N640" s="205">
        <v>8500</v>
      </c>
      <c r="O640" s="254">
        <v>8500</v>
      </c>
      <c r="P640" s="254">
        <v>6800</v>
      </c>
      <c r="Q640" s="254">
        <v>6800</v>
      </c>
      <c r="R640" s="203" t="s">
        <v>3484</v>
      </c>
      <c r="S640" s="254">
        <v>3400</v>
      </c>
      <c r="T640" s="204">
        <v>44991</v>
      </c>
      <c r="U640" s="1262" t="s">
        <v>2080</v>
      </c>
      <c r="V640" s="254">
        <v>1700</v>
      </c>
      <c r="W640" s="1262" t="s">
        <v>2133</v>
      </c>
      <c r="X640" s="258">
        <v>1700</v>
      </c>
      <c r="Y640" s="192"/>
    </row>
    <row r="641" ht="37.5" customHeight="1" spans="1:25">
      <c r="A641" s="192">
        <f t="shared" si="20"/>
        <v>633</v>
      </c>
      <c r="B641" s="208">
        <v>2023</v>
      </c>
      <c r="C641" s="193" t="s">
        <v>37</v>
      </c>
      <c r="D641" s="277" t="s">
        <v>3594</v>
      </c>
      <c r="E641" s="195" t="s">
        <v>3595</v>
      </c>
      <c r="F641" s="196" t="s">
        <v>2073</v>
      </c>
      <c r="G641" s="197" t="s">
        <v>3239</v>
      </c>
      <c r="H641" s="198">
        <v>0.8</v>
      </c>
      <c r="I641" s="199">
        <v>10547.72</v>
      </c>
      <c r="J641" s="200" t="s">
        <v>2797</v>
      </c>
      <c r="K641" s="200" t="s">
        <v>2798</v>
      </c>
      <c r="L641" s="201">
        <v>0.4</v>
      </c>
      <c r="M641" s="278" t="s">
        <v>3209</v>
      </c>
      <c r="N641" s="205">
        <v>800</v>
      </c>
      <c r="O641" s="254">
        <v>800</v>
      </c>
      <c r="P641" s="254">
        <v>640</v>
      </c>
      <c r="Q641" s="254">
        <v>640</v>
      </c>
      <c r="R641" s="203" t="s">
        <v>3484</v>
      </c>
      <c r="S641" s="254">
        <v>320</v>
      </c>
      <c r="T641" s="204">
        <v>44991</v>
      </c>
      <c r="U641" s="1262" t="s">
        <v>2080</v>
      </c>
      <c r="V641" s="254">
        <v>160</v>
      </c>
      <c r="W641" s="1262" t="s">
        <v>2133</v>
      </c>
      <c r="X641" s="258">
        <v>160</v>
      </c>
      <c r="Y641" s="192"/>
    </row>
    <row r="642" ht="37.5" customHeight="1" spans="1:25">
      <c r="A642" s="192">
        <f t="shared" si="20"/>
        <v>634</v>
      </c>
      <c r="B642" s="208">
        <v>2023</v>
      </c>
      <c r="C642" s="193" t="s">
        <v>37</v>
      </c>
      <c r="D642" s="277" t="s">
        <v>3596</v>
      </c>
      <c r="E642" s="195" t="s">
        <v>3597</v>
      </c>
      <c r="F642" s="196" t="s">
        <v>2073</v>
      </c>
      <c r="G642" s="197" t="s">
        <v>3239</v>
      </c>
      <c r="H642" s="198">
        <v>0.8</v>
      </c>
      <c r="I642" s="199">
        <v>16000</v>
      </c>
      <c r="J642" s="200" t="s">
        <v>2220</v>
      </c>
      <c r="K642" s="200" t="s">
        <v>2221</v>
      </c>
      <c r="L642" s="201">
        <v>0.4</v>
      </c>
      <c r="M642" s="278" t="s">
        <v>3209</v>
      </c>
      <c r="N642" s="205">
        <v>3000.06</v>
      </c>
      <c r="O642" s="254">
        <v>3000.06</v>
      </c>
      <c r="P642" s="254">
        <v>2400.05</v>
      </c>
      <c r="Q642" s="254">
        <v>2400.05</v>
      </c>
      <c r="R642" s="203" t="s">
        <v>3484</v>
      </c>
      <c r="S642" s="254">
        <v>1200.02</v>
      </c>
      <c r="T642" s="204">
        <v>44991</v>
      </c>
      <c r="U642" s="1262" t="s">
        <v>2080</v>
      </c>
      <c r="V642" s="254">
        <v>600.01</v>
      </c>
      <c r="W642" s="1262" t="s">
        <v>2133</v>
      </c>
      <c r="X642" s="258">
        <v>600.01</v>
      </c>
      <c r="Y642" s="192"/>
    </row>
    <row r="643" ht="37.5" customHeight="1" spans="1:25">
      <c r="A643" s="192">
        <f t="shared" si="20"/>
        <v>635</v>
      </c>
      <c r="B643" s="208">
        <v>2023</v>
      </c>
      <c r="C643" s="193" t="s">
        <v>37</v>
      </c>
      <c r="D643" s="277" t="s">
        <v>3598</v>
      </c>
      <c r="E643" s="195" t="s">
        <v>3599</v>
      </c>
      <c r="F643" s="196" t="s">
        <v>2073</v>
      </c>
      <c r="G643" s="197" t="s">
        <v>3239</v>
      </c>
      <c r="H643" s="198">
        <v>0.8</v>
      </c>
      <c r="I643" s="199">
        <v>10316.23</v>
      </c>
      <c r="J643" s="200" t="s">
        <v>2970</v>
      </c>
      <c r="K643" s="200" t="s">
        <v>2971</v>
      </c>
      <c r="L643" s="201">
        <v>0.4</v>
      </c>
      <c r="M643" s="278" t="s">
        <v>3308</v>
      </c>
      <c r="N643" s="205">
        <v>3866.68</v>
      </c>
      <c r="O643" s="254">
        <v>3866.68</v>
      </c>
      <c r="P643" s="254">
        <v>3093.34</v>
      </c>
      <c r="Q643" s="254">
        <v>3093.34</v>
      </c>
      <c r="R643" s="203" t="s">
        <v>3484</v>
      </c>
      <c r="S643" s="254">
        <v>1546.67</v>
      </c>
      <c r="T643" s="204">
        <v>44991</v>
      </c>
      <c r="U643" s="1262" t="s">
        <v>2080</v>
      </c>
      <c r="V643" s="254">
        <v>773.34</v>
      </c>
      <c r="W643" s="1262" t="s">
        <v>2133</v>
      </c>
      <c r="X643" s="258">
        <v>773.34</v>
      </c>
      <c r="Y643" s="192"/>
    </row>
    <row r="644" ht="37.5" customHeight="1" spans="1:25">
      <c r="A644" s="192">
        <f t="shared" si="20"/>
        <v>636</v>
      </c>
      <c r="B644" s="208">
        <v>2023</v>
      </c>
      <c r="C644" s="193" t="s">
        <v>37</v>
      </c>
      <c r="D644" s="277" t="s">
        <v>3600</v>
      </c>
      <c r="E644" s="195" t="s">
        <v>3601</v>
      </c>
      <c r="F644" s="196" t="s">
        <v>2073</v>
      </c>
      <c r="G644" s="197" t="s">
        <v>3239</v>
      </c>
      <c r="H644" s="198">
        <v>0.8</v>
      </c>
      <c r="I644" s="199">
        <v>13478.51</v>
      </c>
      <c r="J644" s="200" t="s">
        <v>2761</v>
      </c>
      <c r="K644" s="200" t="s">
        <v>2762</v>
      </c>
      <c r="L644" s="201">
        <v>0.4</v>
      </c>
      <c r="M644" s="278" t="s">
        <v>3218</v>
      </c>
      <c r="N644" s="205">
        <v>1666.68</v>
      </c>
      <c r="O644" s="254">
        <v>1666.68</v>
      </c>
      <c r="P644" s="254">
        <v>1333.34</v>
      </c>
      <c r="Q644" s="254">
        <v>1333.34</v>
      </c>
      <c r="R644" s="203" t="s">
        <v>3484</v>
      </c>
      <c r="S644" s="254">
        <v>666.67</v>
      </c>
      <c r="T644" s="204">
        <v>44991</v>
      </c>
      <c r="U644" s="1262" t="s">
        <v>2080</v>
      </c>
      <c r="V644" s="254">
        <v>600</v>
      </c>
      <c r="W644" s="1262" t="s">
        <v>2133</v>
      </c>
      <c r="X644" s="258">
        <v>600</v>
      </c>
      <c r="Y644" s="192"/>
    </row>
    <row r="645" ht="37.5" customHeight="1" spans="1:25">
      <c r="A645" s="192">
        <f t="shared" si="20"/>
        <v>637</v>
      </c>
      <c r="B645" s="208">
        <v>2023</v>
      </c>
      <c r="C645" s="193" t="s">
        <v>37</v>
      </c>
      <c r="D645" s="277" t="s">
        <v>3600</v>
      </c>
      <c r="E645" s="195" t="s">
        <v>3602</v>
      </c>
      <c r="F645" s="196" t="s">
        <v>2073</v>
      </c>
      <c r="G645" s="197" t="s">
        <v>3239</v>
      </c>
      <c r="H645" s="198">
        <v>0.8</v>
      </c>
      <c r="I645" s="199">
        <v>13478.51</v>
      </c>
      <c r="J645" s="200" t="s">
        <v>1965</v>
      </c>
      <c r="K645" s="200" t="s">
        <v>3603</v>
      </c>
      <c r="L645" s="201">
        <v>0.4</v>
      </c>
      <c r="M645" s="278" t="s">
        <v>3218</v>
      </c>
      <c r="N645" s="205">
        <v>3000.01</v>
      </c>
      <c r="O645" s="205">
        <v>3000.01</v>
      </c>
      <c r="P645" s="254">
        <v>2400.01</v>
      </c>
      <c r="Q645" s="254">
        <v>2400.01</v>
      </c>
      <c r="R645" s="203" t="s">
        <v>3484</v>
      </c>
      <c r="S645" s="254">
        <v>1200</v>
      </c>
      <c r="T645" s="204">
        <v>44991</v>
      </c>
      <c r="U645" s="1262" t="s">
        <v>2080</v>
      </c>
      <c r="V645" s="254">
        <v>333.34</v>
      </c>
      <c r="W645" s="1262" t="s">
        <v>2133</v>
      </c>
      <c r="X645" s="258">
        <v>333.34</v>
      </c>
      <c r="Y645" s="192"/>
    </row>
    <row r="646" ht="37.5" customHeight="1" spans="1:25">
      <c r="A646" s="192">
        <f t="shared" si="20"/>
        <v>638</v>
      </c>
      <c r="B646" s="208">
        <v>2023</v>
      </c>
      <c r="C646" s="193" t="s">
        <v>37</v>
      </c>
      <c r="D646" s="277" t="s">
        <v>3604</v>
      </c>
      <c r="E646" s="195" t="s">
        <v>3605</v>
      </c>
      <c r="F646" s="196" t="s">
        <v>2073</v>
      </c>
      <c r="G646" s="197" t="s">
        <v>3239</v>
      </c>
      <c r="H646" s="198">
        <v>0.8</v>
      </c>
      <c r="I646" s="199">
        <v>80200</v>
      </c>
      <c r="J646" s="200" t="s">
        <v>1824</v>
      </c>
      <c r="K646" s="200" t="s">
        <v>2102</v>
      </c>
      <c r="L646" s="201">
        <v>0.4</v>
      </c>
      <c r="M646" s="278" t="s">
        <v>2008</v>
      </c>
      <c r="N646" s="205">
        <v>2200.04</v>
      </c>
      <c r="O646" s="254">
        <v>2200.04</v>
      </c>
      <c r="P646" s="254">
        <v>11009</v>
      </c>
      <c r="Q646" s="254">
        <v>11009</v>
      </c>
      <c r="R646" s="203" t="s">
        <v>3484</v>
      </c>
      <c r="S646" s="254">
        <v>880.02</v>
      </c>
      <c r="T646" s="204">
        <v>44991</v>
      </c>
      <c r="U646" s="1262" t="s">
        <v>2080</v>
      </c>
      <c r="V646" s="254">
        <v>440.01</v>
      </c>
      <c r="W646" s="1262" t="s">
        <v>2133</v>
      </c>
      <c r="X646" s="258">
        <v>440.01</v>
      </c>
      <c r="Y646" s="192"/>
    </row>
    <row r="647" ht="37.5" customHeight="1" spans="1:25">
      <c r="A647" s="192">
        <f t="shared" si="20"/>
        <v>639</v>
      </c>
      <c r="B647" s="208">
        <v>2023</v>
      </c>
      <c r="C647" s="193" t="s">
        <v>37</v>
      </c>
      <c r="D647" s="277" t="s">
        <v>3604</v>
      </c>
      <c r="E647" s="195" t="s">
        <v>3606</v>
      </c>
      <c r="F647" s="196" t="s">
        <v>2073</v>
      </c>
      <c r="G647" s="197" t="s">
        <v>3239</v>
      </c>
      <c r="H647" s="198">
        <v>0.8</v>
      </c>
      <c r="I647" s="199">
        <v>12846.05</v>
      </c>
      <c r="J647" s="200" t="s">
        <v>3607</v>
      </c>
      <c r="K647" s="200" t="s">
        <v>3608</v>
      </c>
      <c r="L647" s="201">
        <v>0.4</v>
      </c>
      <c r="M647" s="278" t="s">
        <v>2008</v>
      </c>
      <c r="N647" s="205">
        <v>2625.02</v>
      </c>
      <c r="O647" s="254">
        <v>2625.02</v>
      </c>
      <c r="P647" s="254">
        <v>1760.03</v>
      </c>
      <c r="Q647" s="254">
        <v>1760.03</v>
      </c>
      <c r="R647" s="203" t="s">
        <v>3484</v>
      </c>
      <c r="S647" s="254">
        <v>1050.01</v>
      </c>
      <c r="T647" s="204">
        <v>44991</v>
      </c>
      <c r="U647" s="1262" t="s">
        <v>2080</v>
      </c>
      <c r="V647" s="254">
        <v>525</v>
      </c>
      <c r="W647" s="1262" t="s">
        <v>2133</v>
      </c>
      <c r="X647" s="258">
        <v>525</v>
      </c>
      <c r="Y647" s="192"/>
    </row>
    <row r="648" ht="37.5" customHeight="1" spans="1:25">
      <c r="A648" s="192">
        <f t="shared" si="20"/>
        <v>640</v>
      </c>
      <c r="B648" s="208">
        <v>2023</v>
      </c>
      <c r="C648" s="193" t="s">
        <v>37</v>
      </c>
      <c r="D648" s="277" t="s">
        <v>3604</v>
      </c>
      <c r="E648" s="195" t="s">
        <v>3609</v>
      </c>
      <c r="F648" s="196" t="s">
        <v>2073</v>
      </c>
      <c r="G648" s="197" t="s">
        <v>3239</v>
      </c>
      <c r="H648" s="198">
        <v>0.8</v>
      </c>
      <c r="I648" s="199">
        <v>12846.05</v>
      </c>
      <c r="J648" s="200" t="s">
        <v>2209</v>
      </c>
      <c r="K648" s="200" t="s">
        <v>2902</v>
      </c>
      <c r="L648" s="201">
        <v>0.4</v>
      </c>
      <c r="M648" s="278" t="s">
        <v>2008</v>
      </c>
      <c r="N648" s="205">
        <v>13761.25</v>
      </c>
      <c r="O648" s="254">
        <v>13761.25</v>
      </c>
      <c r="P648" s="254">
        <v>2100.02</v>
      </c>
      <c r="Q648" s="254">
        <v>2100.02</v>
      </c>
      <c r="R648" s="203" t="s">
        <v>3484</v>
      </c>
      <c r="S648" s="254">
        <v>5504.5</v>
      </c>
      <c r="T648" s="204">
        <v>44991</v>
      </c>
      <c r="U648" s="1262" t="s">
        <v>2080</v>
      </c>
      <c r="V648" s="254">
        <v>2752.25</v>
      </c>
      <c r="W648" s="1262" t="s">
        <v>2133</v>
      </c>
      <c r="X648" s="258">
        <v>2752.25</v>
      </c>
      <c r="Y648" s="192"/>
    </row>
    <row r="649" ht="37.5" customHeight="1" spans="1:25">
      <c r="A649" s="192">
        <f t="shared" si="20"/>
        <v>641</v>
      </c>
      <c r="B649" s="208">
        <v>2023</v>
      </c>
      <c r="C649" s="193" t="s">
        <v>37</v>
      </c>
      <c r="D649" s="277" t="s">
        <v>3610</v>
      </c>
      <c r="E649" s="195" t="s">
        <v>3611</v>
      </c>
      <c r="F649" s="196" t="s">
        <v>2073</v>
      </c>
      <c r="G649" s="197" t="s">
        <v>3239</v>
      </c>
      <c r="H649" s="198">
        <v>0.8</v>
      </c>
      <c r="I649" s="199">
        <v>12800</v>
      </c>
      <c r="J649" s="200" t="s">
        <v>2677</v>
      </c>
      <c r="K649" s="200" t="s">
        <v>2678</v>
      </c>
      <c r="L649" s="201">
        <v>0.4</v>
      </c>
      <c r="M649" s="278" t="s">
        <v>3451</v>
      </c>
      <c r="N649" s="205">
        <v>8533.36</v>
      </c>
      <c r="O649" s="254">
        <v>8533.36</v>
      </c>
      <c r="P649" s="254">
        <v>6826.69</v>
      </c>
      <c r="Q649" s="254">
        <v>6826.69</v>
      </c>
      <c r="R649" s="203" t="s">
        <v>3484</v>
      </c>
      <c r="S649" s="254">
        <v>3413.34</v>
      </c>
      <c r="T649" s="204">
        <v>44991</v>
      </c>
      <c r="U649" s="1262" t="s">
        <v>2080</v>
      </c>
      <c r="V649" s="254">
        <v>1706.67</v>
      </c>
      <c r="W649" s="1262" t="s">
        <v>2133</v>
      </c>
      <c r="X649" s="258">
        <v>1706.67</v>
      </c>
      <c r="Y649" s="192"/>
    </row>
    <row r="650" ht="37.5" customHeight="1" spans="1:25">
      <c r="A650" s="192">
        <f t="shared" si="20"/>
        <v>642</v>
      </c>
      <c r="B650" s="208">
        <v>2023</v>
      </c>
      <c r="C650" s="193" t="s">
        <v>37</v>
      </c>
      <c r="D650" s="277" t="s">
        <v>3612</v>
      </c>
      <c r="E650" s="195" t="s">
        <v>3613</v>
      </c>
      <c r="F650" s="196" t="s">
        <v>2073</v>
      </c>
      <c r="G650" s="197" t="s">
        <v>3239</v>
      </c>
      <c r="H650" s="198">
        <v>0.8</v>
      </c>
      <c r="I650" s="199">
        <v>170020</v>
      </c>
      <c r="J650" s="200" t="s">
        <v>2689</v>
      </c>
      <c r="K650" s="200" t="s">
        <v>2690</v>
      </c>
      <c r="L650" s="201">
        <v>0.4</v>
      </c>
      <c r="M650" s="278" t="s">
        <v>3320</v>
      </c>
      <c r="N650" s="205">
        <v>8833.36</v>
      </c>
      <c r="O650" s="254">
        <v>8833.36</v>
      </c>
      <c r="P650" s="254">
        <v>7066.69</v>
      </c>
      <c r="Q650" s="254">
        <v>7066.69</v>
      </c>
      <c r="R650" s="203" t="s">
        <v>3484</v>
      </c>
      <c r="S650" s="254">
        <v>3533.34</v>
      </c>
      <c r="T650" s="204">
        <v>44991</v>
      </c>
      <c r="U650" s="1262" t="s">
        <v>2080</v>
      </c>
      <c r="V650" s="254">
        <v>1766.67</v>
      </c>
      <c r="W650" s="1262" t="s">
        <v>2133</v>
      </c>
      <c r="X650" s="258">
        <v>1766.67</v>
      </c>
      <c r="Y650" s="192"/>
    </row>
    <row r="651" ht="37.5" customHeight="1" spans="1:25">
      <c r="A651" s="192">
        <f t="shared" si="20"/>
        <v>643</v>
      </c>
      <c r="B651" s="208">
        <v>2023</v>
      </c>
      <c r="C651" s="193" t="s">
        <v>37</v>
      </c>
      <c r="D651" s="277" t="s">
        <v>3614</v>
      </c>
      <c r="E651" s="195" t="s">
        <v>3615</v>
      </c>
      <c r="F651" s="196" t="s">
        <v>2073</v>
      </c>
      <c r="G651" s="197" t="s">
        <v>3239</v>
      </c>
      <c r="H651" s="198">
        <v>0.8</v>
      </c>
      <c r="I651" s="199">
        <v>213670</v>
      </c>
      <c r="J651" s="200" t="s">
        <v>2743</v>
      </c>
      <c r="K651" s="200" t="s">
        <v>2744</v>
      </c>
      <c r="L651" s="201">
        <v>0.4</v>
      </c>
      <c r="M651" s="278" t="s">
        <v>3402</v>
      </c>
      <c r="N651" s="205">
        <v>16916.7</v>
      </c>
      <c r="O651" s="254">
        <v>16916.7</v>
      </c>
      <c r="P651" s="254">
        <v>13533.36</v>
      </c>
      <c r="Q651" s="254">
        <v>13533.36</v>
      </c>
      <c r="R651" s="203" t="s">
        <v>3484</v>
      </c>
      <c r="S651" s="254">
        <v>6766.68</v>
      </c>
      <c r="T651" s="204">
        <v>44991</v>
      </c>
      <c r="U651" s="1262" t="s">
        <v>2080</v>
      </c>
      <c r="V651" s="254">
        <v>3383.34</v>
      </c>
      <c r="W651" s="1262" t="s">
        <v>2133</v>
      </c>
      <c r="X651" s="258">
        <v>3383.34</v>
      </c>
      <c r="Y651" s="192"/>
    </row>
    <row r="652" ht="37.5" customHeight="1" spans="1:25">
      <c r="A652" s="192">
        <f t="shared" si="20"/>
        <v>644</v>
      </c>
      <c r="B652" s="208">
        <v>2023</v>
      </c>
      <c r="C652" s="193" t="s">
        <v>37</v>
      </c>
      <c r="D652" s="277" t="s">
        <v>3614</v>
      </c>
      <c r="E652" s="195" t="s">
        <v>3616</v>
      </c>
      <c r="F652" s="196" t="s">
        <v>2073</v>
      </c>
      <c r="G652" s="197" t="s">
        <v>3239</v>
      </c>
      <c r="H652" s="198">
        <v>0.8</v>
      </c>
      <c r="I652" s="199">
        <v>14560.7</v>
      </c>
      <c r="J652" s="200" t="s">
        <v>2429</v>
      </c>
      <c r="K652" s="200" t="s">
        <v>2820</v>
      </c>
      <c r="L652" s="201">
        <v>0.4</v>
      </c>
      <c r="M652" s="278" t="s">
        <v>3402</v>
      </c>
      <c r="N652" s="205">
        <v>4608.35</v>
      </c>
      <c r="O652" s="254">
        <v>4608.35</v>
      </c>
      <c r="P652" s="254">
        <v>3686.68</v>
      </c>
      <c r="Q652" s="254">
        <v>3686.68</v>
      </c>
      <c r="R652" s="203" t="s">
        <v>3484</v>
      </c>
      <c r="S652" s="254">
        <v>1843.34</v>
      </c>
      <c r="T652" s="204">
        <v>44991</v>
      </c>
      <c r="U652" s="1262" t="s">
        <v>2080</v>
      </c>
      <c r="V652" s="254">
        <v>921.67</v>
      </c>
      <c r="W652" s="1262" t="s">
        <v>2133</v>
      </c>
      <c r="X652" s="258">
        <v>921.67</v>
      </c>
      <c r="Y652" s="192"/>
    </row>
    <row r="653" ht="37.5" customHeight="1" spans="1:25">
      <c r="A653" s="192">
        <f t="shared" si="20"/>
        <v>645</v>
      </c>
      <c r="B653" s="208">
        <v>2023</v>
      </c>
      <c r="C653" s="193" t="s">
        <v>37</v>
      </c>
      <c r="D653" s="277" t="s">
        <v>3395</v>
      </c>
      <c r="E653" s="195" t="s">
        <v>3617</v>
      </c>
      <c r="F653" s="196" t="s">
        <v>2073</v>
      </c>
      <c r="G653" s="197" t="s">
        <v>3239</v>
      </c>
      <c r="H653" s="198">
        <v>0.8</v>
      </c>
      <c r="I653" s="199">
        <v>39387</v>
      </c>
      <c r="J653" s="200" t="s">
        <v>3028</v>
      </c>
      <c r="K653" s="200" t="s">
        <v>3029</v>
      </c>
      <c r="L653" s="201">
        <v>0.4</v>
      </c>
      <c r="M653" s="278" t="s">
        <v>3350</v>
      </c>
      <c r="N653" s="205">
        <v>26258</v>
      </c>
      <c r="O653" s="254">
        <v>26258</v>
      </c>
      <c r="P653" s="254">
        <v>21006.4</v>
      </c>
      <c r="Q653" s="254">
        <v>21006.4</v>
      </c>
      <c r="R653" s="203" t="s">
        <v>3484</v>
      </c>
      <c r="S653" s="254">
        <v>10503.2</v>
      </c>
      <c r="T653" s="204">
        <v>44991</v>
      </c>
      <c r="U653" s="1262" t="s">
        <v>2080</v>
      </c>
      <c r="V653" s="254">
        <v>5251.6</v>
      </c>
      <c r="W653" s="1262" t="s">
        <v>2133</v>
      </c>
      <c r="X653" s="258">
        <v>5251.6</v>
      </c>
      <c r="Y653" s="192"/>
    </row>
    <row r="654" ht="37.5" customHeight="1" spans="1:25">
      <c r="A654" s="192">
        <f t="shared" si="20"/>
        <v>646</v>
      </c>
      <c r="B654" s="208">
        <v>2023</v>
      </c>
      <c r="C654" s="193" t="s">
        <v>37</v>
      </c>
      <c r="D654" s="277" t="s">
        <v>3255</v>
      </c>
      <c r="E654" s="195" t="s">
        <v>3618</v>
      </c>
      <c r="F654" s="196" t="s">
        <v>2073</v>
      </c>
      <c r="G654" s="197" t="s">
        <v>3239</v>
      </c>
      <c r="H654" s="198">
        <v>0.8</v>
      </c>
      <c r="I654" s="199">
        <v>13016.62</v>
      </c>
      <c r="J654" s="200" t="s">
        <v>3032</v>
      </c>
      <c r="K654" s="200" t="s">
        <v>3033</v>
      </c>
      <c r="L654" s="201">
        <v>0.4</v>
      </c>
      <c r="M654" s="278" t="s">
        <v>3257</v>
      </c>
      <c r="N654" s="205">
        <v>5333.36</v>
      </c>
      <c r="O654" s="254">
        <v>5333.36</v>
      </c>
      <c r="P654" s="254">
        <v>4266.69</v>
      </c>
      <c r="Q654" s="254">
        <v>4266.69</v>
      </c>
      <c r="R654" s="203" t="s">
        <v>3484</v>
      </c>
      <c r="S654" s="254">
        <v>2133.34</v>
      </c>
      <c r="T654" s="204">
        <v>44991</v>
      </c>
      <c r="U654" s="1262" t="s">
        <v>2080</v>
      </c>
      <c r="V654" s="254">
        <v>1066.67</v>
      </c>
      <c r="W654" s="1262" t="s">
        <v>2133</v>
      </c>
      <c r="X654" s="258">
        <v>1066.67</v>
      </c>
      <c r="Y654" s="192"/>
    </row>
    <row r="655" ht="37.5" customHeight="1" spans="1:25">
      <c r="A655" s="192">
        <f t="shared" si="20"/>
        <v>647</v>
      </c>
      <c r="B655" s="208">
        <v>2023</v>
      </c>
      <c r="C655" s="193" t="s">
        <v>37</v>
      </c>
      <c r="D655" s="277" t="s">
        <v>3619</v>
      </c>
      <c r="E655" s="195" t="s">
        <v>3620</v>
      </c>
      <c r="F655" s="196" t="s">
        <v>2073</v>
      </c>
      <c r="G655" s="197" t="s">
        <v>3239</v>
      </c>
      <c r="H655" s="198">
        <v>0.8</v>
      </c>
      <c r="I655" s="199">
        <v>30010</v>
      </c>
      <c r="J655" s="200" t="s">
        <v>2272</v>
      </c>
      <c r="K655" s="200" t="s">
        <v>2273</v>
      </c>
      <c r="L655" s="201">
        <v>0.4</v>
      </c>
      <c r="M655" s="278" t="s">
        <v>3272</v>
      </c>
      <c r="N655" s="205">
        <v>2916.76</v>
      </c>
      <c r="O655" s="254">
        <v>2916.76</v>
      </c>
      <c r="P655" s="254">
        <v>2333.4</v>
      </c>
      <c r="Q655" s="254">
        <v>2333.4</v>
      </c>
      <c r="R655" s="203" t="s">
        <v>3484</v>
      </c>
      <c r="S655" s="254">
        <v>1166.7</v>
      </c>
      <c r="T655" s="204">
        <v>44991</v>
      </c>
      <c r="U655" s="1262" t="s">
        <v>2080</v>
      </c>
      <c r="V655" s="254">
        <v>583.35</v>
      </c>
      <c r="W655" s="1262" t="s">
        <v>2133</v>
      </c>
      <c r="X655" s="258">
        <v>583.35</v>
      </c>
      <c r="Y655" s="192"/>
    </row>
    <row r="656" ht="37.5" customHeight="1" spans="1:25">
      <c r="A656" s="192">
        <f t="shared" si="20"/>
        <v>648</v>
      </c>
      <c r="B656" s="208">
        <v>2023</v>
      </c>
      <c r="C656" s="193" t="s">
        <v>37</v>
      </c>
      <c r="D656" s="277" t="s">
        <v>3621</v>
      </c>
      <c r="E656" s="195" t="s">
        <v>3622</v>
      </c>
      <c r="F656" s="196" t="s">
        <v>2073</v>
      </c>
      <c r="G656" s="197" t="s">
        <v>3239</v>
      </c>
      <c r="H656" s="198">
        <v>0.8</v>
      </c>
      <c r="I656" s="199">
        <v>54000</v>
      </c>
      <c r="J656" s="200" t="s">
        <v>2865</v>
      </c>
      <c r="K656" s="200" t="s">
        <v>2866</v>
      </c>
      <c r="L656" s="201">
        <v>0.4</v>
      </c>
      <c r="M656" s="278" t="s">
        <v>3218</v>
      </c>
      <c r="N656" s="205">
        <v>2625</v>
      </c>
      <c r="O656" s="254">
        <v>2625</v>
      </c>
      <c r="P656" s="254">
        <v>2100</v>
      </c>
      <c r="Q656" s="254">
        <v>2100</v>
      </c>
      <c r="R656" s="203" t="s">
        <v>3484</v>
      </c>
      <c r="S656" s="254">
        <v>1050</v>
      </c>
      <c r="T656" s="204">
        <v>44991</v>
      </c>
      <c r="U656" s="1262" t="s">
        <v>2080</v>
      </c>
      <c r="V656" s="254">
        <v>525</v>
      </c>
      <c r="W656" s="1262" t="s">
        <v>2133</v>
      </c>
      <c r="X656" s="258">
        <v>525</v>
      </c>
      <c r="Y656" s="192"/>
    </row>
    <row r="657" ht="37.5" customHeight="1" spans="1:25">
      <c r="A657" s="192">
        <f t="shared" si="20"/>
        <v>649</v>
      </c>
      <c r="B657" s="208">
        <v>2023</v>
      </c>
      <c r="C657" s="193" t="s">
        <v>37</v>
      </c>
      <c r="D657" s="277" t="s">
        <v>3623</v>
      </c>
      <c r="E657" s="195" t="s">
        <v>3624</v>
      </c>
      <c r="F657" s="196" t="s">
        <v>2073</v>
      </c>
      <c r="G657" s="197" t="s">
        <v>3239</v>
      </c>
      <c r="H657" s="198">
        <v>0.8</v>
      </c>
      <c r="I657" s="199">
        <v>15753.26</v>
      </c>
      <c r="J657" s="200" t="s">
        <v>2125</v>
      </c>
      <c r="K657" s="200" t="s">
        <v>2887</v>
      </c>
      <c r="L657" s="201">
        <v>0.4</v>
      </c>
      <c r="M657" s="278" t="s">
        <v>2282</v>
      </c>
      <c r="N657" s="205">
        <v>266.68</v>
      </c>
      <c r="O657" s="254">
        <v>266.68</v>
      </c>
      <c r="P657" s="254">
        <v>213.34</v>
      </c>
      <c r="Q657" s="254">
        <v>213.34</v>
      </c>
      <c r="R657" s="203" t="s">
        <v>3484</v>
      </c>
      <c r="S657" s="254">
        <v>106.67</v>
      </c>
      <c r="T657" s="204">
        <v>44991</v>
      </c>
      <c r="U657" s="1262" t="s">
        <v>2080</v>
      </c>
      <c r="V657" s="254">
        <v>53.34</v>
      </c>
      <c r="W657" s="1262" t="s">
        <v>2133</v>
      </c>
      <c r="X657" s="258">
        <v>53.34</v>
      </c>
      <c r="Y657" s="192"/>
    </row>
    <row r="658" ht="37.5" customHeight="1" spans="1:25">
      <c r="A658" s="192">
        <f t="shared" si="20"/>
        <v>650</v>
      </c>
      <c r="B658" s="208">
        <v>2023</v>
      </c>
      <c r="C658" s="193" t="s">
        <v>37</v>
      </c>
      <c r="D658" s="277" t="s">
        <v>3625</v>
      </c>
      <c r="E658" s="195" t="s">
        <v>3626</v>
      </c>
      <c r="F658" s="196" t="s">
        <v>2073</v>
      </c>
      <c r="G658" s="197" t="s">
        <v>3239</v>
      </c>
      <c r="H658" s="198">
        <v>0.8</v>
      </c>
      <c r="I658" s="199">
        <v>205530</v>
      </c>
      <c r="J658" s="200" t="s">
        <v>1994</v>
      </c>
      <c r="K658" s="200" t="s">
        <v>2497</v>
      </c>
      <c r="L658" s="201">
        <v>0.4</v>
      </c>
      <c r="M658" s="278" t="s">
        <v>3350</v>
      </c>
      <c r="N658" s="205">
        <v>8125</v>
      </c>
      <c r="O658" s="254">
        <v>8125</v>
      </c>
      <c r="P658" s="254">
        <v>6500</v>
      </c>
      <c r="Q658" s="254">
        <v>6500</v>
      </c>
      <c r="R658" s="203" t="s">
        <v>3484</v>
      </c>
      <c r="S658" s="254">
        <v>3250</v>
      </c>
      <c r="T658" s="204">
        <v>44991</v>
      </c>
      <c r="U658" s="1262" t="s">
        <v>2080</v>
      </c>
      <c r="V658" s="254">
        <v>1625</v>
      </c>
      <c r="W658" s="1262" t="s">
        <v>2133</v>
      </c>
      <c r="X658" s="258">
        <v>1625</v>
      </c>
      <c r="Y658" s="192"/>
    </row>
    <row r="659" ht="37.5" customHeight="1" spans="1:25">
      <c r="A659" s="192">
        <f t="shared" si="20"/>
        <v>651</v>
      </c>
      <c r="B659" s="208">
        <v>2023</v>
      </c>
      <c r="C659" s="193" t="s">
        <v>37</v>
      </c>
      <c r="D659" s="277" t="s">
        <v>3627</v>
      </c>
      <c r="E659" s="195" t="s">
        <v>3628</v>
      </c>
      <c r="F659" s="196" t="s">
        <v>2073</v>
      </c>
      <c r="G659" s="197" t="s">
        <v>3239</v>
      </c>
      <c r="H659" s="198">
        <v>0.8</v>
      </c>
      <c r="I659" s="199">
        <v>13000</v>
      </c>
      <c r="J659" s="200" t="s">
        <v>3376</v>
      </c>
      <c r="K659" s="200" t="s">
        <v>3377</v>
      </c>
      <c r="L659" s="201">
        <v>0.4</v>
      </c>
      <c r="M659" s="278" t="s">
        <v>3451</v>
      </c>
      <c r="N659" s="205">
        <v>4808.76</v>
      </c>
      <c r="O659" s="254">
        <v>4808.76</v>
      </c>
      <c r="P659" s="254">
        <v>3847.01</v>
      </c>
      <c r="Q659" s="254">
        <v>3847.01</v>
      </c>
      <c r="R659" s="203" t="s">
        <v>3484</v>
      </c>
      <c r="S659" s="254">
        <v>1923.5</v>
      </c>
      <c r="T659" s="204">
        <v>44991</v>
      </c>
      <c r="U659" s="1262" t="s">
        <v>2080</v>
      </c>
      <c r="V659" s="254">
        <v>961.75</v>
      </c>
      <c r="W659" s="1262" t="s">
        <v>2133</v>
      </c>
      <c r="X659" s="258">
        <v>961.75</v>
      </c>
      <c r="Y659" s="192"/>
    </row>
    <row r="660" ht="37.5" customHeight="1" spans="1:25">
      <c r="A660" s="192">
        <f t="shared" si="20"/>
        <v>652</v>
      </c>
      <c r="B660" s="208">
        <v>2023</v>
      </c>
      <c r="C660" s="193" t="s">
        <v>37</v>
      </c>
      <c r="D660" s="277" t="s">
        <v>3627</v>
      </c>
      <c r="E660" s="195" t="s">
        <v>3629</v>
      </c>
      <c r="F660" s="196" t="s">
        <v>2073</v>
      </c>
      <c r="G660" s="197" t="s">
        <v>3239</v>
      </c>
      <c r="H660" s="198">
        <v>0.8</v>
      </c>
      <c r="I660" s="199">
        <v>14393.18</v>
      </c>
      <c r="J660" s="200" t="s">
        <v>1987</v>
      </c>
      <c r="K660" s="200" t="s">
        <v>2982</v>
      </c>
      <c r="L660" s="201">
        <v>0.4</v>
      </c>
      <c r="M660" s="278" t="s">
        <v>3451</v>
      </c>
      <c r="N660" s="205">
        <v>3000</v>
      </c>
      <c r="O660" s="254">
        <v>3000</v>
      </c>
      <c r="P660" s="254">
        <v>2400</v>
      </c>
      <c r="Q660" s="254">
        <v>2400</v>
      </c>
      <c r="R660" s="203" t="s">
        <v>3484</v>
      </c>
      <c r="S660" s="254">
        <v>1200</v>
      </c>
      <c r="T660" s="204">
        <v>44991</v>
      </c>
      <c r="U660" s="1262" t="s">
        <v>2080</v>
      </c>
      <c r="V660" s="254">
        <v>600</v>
      </c>
      <c r="W660" s="1262" t="s">
        <v>2133</v>
      </c>
      <c r="X660" s="258">
        <v>600</v>
      </c>
      <c r="Y660" s="192"/>
    </row>
    <row r="661" ht="37.5" customHeight="1" spans="1:25">
      <c r="A661" s="192">
        <f t="shared" si="20"/>
        <v>653</v>
      </c>
      <c r="B661" s="208">
        <v>2023</v>
      </c>
      <c r="C661" s="193" t="s">
        <v>37</v>
      </c>
      <c r="D661" s="277" t="s">
        <v>3630</v>
      </c>
      <c r="E661" s="195" t="s">
        <v>3631</v>
      </c>
      <c r="F661" s="196" t="s">
        <v>2073</v>
      </c>
      <c r="G661" s="197" t="s">
        <v>3239</v>
      </c>
      <c r="H661" s="198">
        <v>0.8</v>
      </c>
      <c r="I661" s="199">
        <v>92080</v>
      </c>
      <c r="J661" s="200" t="s">
        <v>2195</v>
      </c>
      <c r="K661" s="200" t="s">
        <v>2196</v>
      </c>
      <c r="L661" s="201">
        <v>0.4</v>
      </c>
      <c r="M661" s="278" t="s">
        <v>3257</v>
      </c>
      <c r="N661" s="205">
        <v>43995.25</v>
      </c>
      <c r="O661" s="254">
        <v>43995.25</v>
      </c>
      <c r="P661" s="254">
        <v>35196.2</v>
      </c>
      <c r="Q661" s="254">
        <v>35196.2</v>
      </c>
      <c r="R661" s="203" t="s">
        <v>3484</v>
      </c>
      <c r="S661" s="254">
        <v>17598.1</v>
      </c>
      <c r="T661" s="204">
        <v>44991</v>
      </c>
      <c r="U661" s="1262" t="s">
        <v>2080</v>
      </c>
      <c r="V661" s="254">
        <v>8799.05</v>
      </c>
      <c r="W661" s="1262" t="s">
        <v>2228</v>
      </c>
      <c r="X661" s="258">
        <v>8799.05</v>
      </c>
      <c r="Y661" s="192"/>
    </row>
    <row r="662" ht="37.5" customHeight="1" spans="1:25">
      <c r="A662" s="192">
        <f t="shared" si="20"/>
        <v>654</v>
      </c>
      <c r="B662" s="208">
        <v>2023</v>
      </c>
      <c r="C662" s="193" t="s">
        <v>37</v>
      </c>
      <c r="D662" s="277" t="s">
        <v>3630</v>
      </c>
      <c r="E662" s="195" t="s">
        <v>3632</v>
      </c>
      <c r="F662" s="196" t="s">
        <v>2073</v>
      </c>
      <c r="G662" s="197" t="s">
        <v>3239</v>
      </c>
      <c r="H662" s="198">
        <v>0.8</v>
      </c>
      <c r="I662" s="199">
        <v>13600</v>
      </c>
      <c r="J662" s="200" t="s">
        <v>2429</v>
      </c>
      <c r="K662" s="200" t="s">
        <v>2820</v>
      </c>
      <c r="L662" s="201">
        <v>0.4</v>
      </c>
      <c r="M662" s="278" t="s">
        <v>3257</v>
      </c>
      <c r="N662" s="205">
        <v>9066.68</v>
      </c>
      <c r="O662" s="254">
        <v>9066.68</v>
      </c>
      <c r="P662" s="254">
        <v>7253.34</v>
      </c>
      <c r="Q662" s="254">
        <v>7253.34</v>
      </c>
      <c r="R662" s="203" t="s">
        <v>3484</v>
      </c>
      <c r="S662" s="254">
        <v>3626.67</v>
      </c>
      <c r="T662" s="204">
        <v>44991</v>
      </c>
      <c r="U662" s="1262" t="s">
        <v>2080</v>
      </c>
      <c r="V662" s="254">
        <v>1813.336</v>
      </c>
      <c r="W662" s="1262" t="s">
        <v>2228</v>
      </c>
      <c r="X662" s="258">
        <v>1813.336</v>
      </c>
      <c r="Y662" s="192"/>
    </row>
    <row r="663" ht="37.5" customHeight="1" spans="1:25">
      <c r="A663" s="192">
        <f t="shared" si="20"/>
        <v>655</v>
      </c>
      <c r="B663" s="208">
        <v>2023</v>
      </c>
      <c r="C663" s="193" t="s">
        <v>37</v>
      </c>
      <c r="D663" s="277" t="s">
        <v>3633</v>
      </c>
      <c r="E663" s="195" t="s">
        <v>3634</v>
      </c>
      <c r="F663" s="196" t="s">
        <v>2073</v>
      </c>
      <c r="G663" s="197" t="s">
        <v>3239</v>
      </c>
      <c r="H663" s="198">
        <v>0.8</v>
      </c>
      <c r="I663" s="199">
        <v>100000</v>
      </c>
      <c r="J663" s="200" t="s">
        <v>3376</v>
      </c>
      <c r="K663" s="200" t="s">
        <v>3377</v>
      </c>
      <c r="L663" s="201">
        <v>0.4</v>
      </c>
      <c r="M663" s="278" t="s">
        <v>3308</v>
      </c>
      <c r="N663" s="205">
        <v>75000.01</v>
      </c>
      <c r="O663" s="254">
        <v>75000.01</v>
      </c>
      <c r="P663" s="254">
        <v>60000.01</v>
      </c>
      <c r="Q663" s="254">
        <v>60000.01</v>
      </c>
      <c r="R663" s="203" t="s">
        <v>3484</v>
      </c>
      <c r="S663" s="254">
        <v>30000</v>
      </c>
      <c r="T663" s="204">
        <v>44991</v>
      </c>
      <c r="U663" s="1262" t="s">
        <v>2080</v>
      </c>
      <c r="V663" s="254">
        <v>15000.002</v>
      </c>
      <c r="W663" s="1262" t="s">
        <v>2228</v>
      </c>
      <c r="X663" s="258">
        <v>15000.002</v>
      </c>
      <c r="Y663" s="192"/>
    </row>
    <row r="664" ht="37.5" customHeight="1" spans="1:25">
      <c r="A664" s="192">
        <f t="shared" si="20"/>
        <v>656</v>
      </c>
      <c r="B664" s="208">
        <v>2023</v>
      </c>
      <c r="C664" s="193" t="s">
        <v>37</v>
      </c>
      <c r="D664" s="277" t="s">
        <v>3635</v>
      </c>
      <c r="E664" s="1280" t="s">
        <v>3636</v>
      </c>
      <c r="F664" s="196" t="s">
        <v>2073</v>
      </c>
      <c r="G664" s="197" t="s">
        <v>3239</v>
      </c>
      <c r="H664" s="198">
        <v>0.8</v>
      </c>
      <c r="I664" s="199">
        <v>30000</v>
      </c>
      <c r="J664" s="200" t="s">
        <v>2785</v>
      </c>
      <c r="K664" s="200" t="s">
        <v>2786</v>
      </c>
      <c r="L664" s="201">
        <v>0.4</v>
      </c>
      <c r="M664" s="278" t="s">
        <v>2008</v>
      </c>
      <c r="N664" s="205">
        <v>20000</v>
      </c>
      <c r="O664" s="254">
        <v>20000</v>
      </c>
      <c r="P664" s="254">
        <v>16000</v>
      </c>
      <c r="Q664" s="254">
        <v>16000</v>
      </c>
      <c r="R664" s="203" t="s">
        <v>3484</v>
      </c>
      <c r="S664" s="254">
        <v>8000</v>
      </c>
      <c r="T664" s="204">
        <v>44991</v>
      </c>
      <c r="U664" s="203"/>
      <c r="V664" s="254"/>
      <c r="W664" s="203"/>
      <c r="X664" s="206"/>
      <c r="Y664" s="203" t="s">
        <v>2145</v>
      </c>
    </row>
    <row r="665" ht="37.5" customHeight="1" spans="1:25">
      <c r="A665" s="192">
        <f t="shared" si="20"/>
        <v>657</v>
      </c>
      <c r="B665" s="208">
        <v>2023</v>
      </c>
      <c r="C665" s="193" t="s">
        <v>37</v>
      </c>
      <c r="D665" s="277" t="s">
        <v>3637</v>
      </c>
      <c r="E665" s="195" t="s">
        <v>3638</v>
      </c>
      <c r="F665" s="196" t="s">
        <v>2073</v>
      </c>
      <c r="G665" s="197" t="s">
        <v>3239</v>
      </c>
      <c r="H665" s="198">
        <v>0.8</v>
      </c>
      <c r="I665" s="199">
        <v>10000</v>
      </c>
      <c r="J665" s="200" t="s">
        <v>2354</v>
      </c>
      <c r="K665" s="200" t="s">
        <v>2355</v>
      </c>
      <c r="L665" s="201">
        <v>0.4</v>
      </c>
      <c r="M665" s="278" t="s">
        <v>3241</v>
      </c>
      <c r="N665" s="205">
        <v>250.04</v>
      </c>
      <c r="O665" s="254">
        <v>250.04</v>
      </c>
      <c r="P665" s="254">
        <v>200.03</v>
      </c>
      <c r="Q665" s="254">
        <v>200.03</v>
      </c>
      <c r="R665" s="203" t="s">
        <v>3484</v>
      </c>
      <c r="S665" s="254">
        <v>100.02</v>
      </c>
      <c r="T665" s="204">
        <v>44991</v>
      </c>
      <c r="U665" s="1262" t="s">
        <v>2080</v>
      </c>
      <c r="V665" s="254">
        <v>50.008</v>
      </c>
      <c r="W665" s="1262" t="s">
        <v>2228</v>
      </c>
      <c r="X665" s="258">
        <v>50.008</v>
      </c>
      <c r="Y665" s="192"/>
    </row>
    <row r="666" ht="37.5" customHeight="1" spans="1:25">
      <c r="A666" s="192">
        <f t="shared" si="20"/>
        <v>658</v>
      </c>
      <c r="B666" s="208">
        <v>2023</v>
      </c>
      <c r="C666" s="193" t="s">
        <v>37</v>
      </c>
      <c r="D666" s="277" t="s">
        <v>3639</v>
      </c>
      <c r="E666" s="195" t="s">
        <v>3640</v>
      </c>
      <c r="F666" s="196" t="s">
        <v>2073</v>
      </c>
      <c r="G666" s="197" t="s">
        <v>3239</v>
      </c>
      <c r="H666" s="198">
        <v>0.8</v>
      </c>
      <c r="I666" s="199">
        <v>89040</v>
      </c>
      <c r="J666" s="200" t="s">
        <v>2295</v>
      </c>
      <c r="K666" s="200" t="s">
        <v>2296</v>
      </c>
      <c r="L666" s="201">
        <v>0.4</v>
      </c>
      <c r="M666" s="278" t="s">
        <v>3257</v>
      </c>
      <c r="N666" s="205">
        <v>44520</v>
      </c>
      <c r="O666" s="254">
        <v>44520</v>
      </c>
      <c r="P666" s="254">
        <v>35616</v>
      </c>
      <c r="Q666" s="254">
        <v>35616</v>
      </c>
      <c r="R666" s="203" t="s">
        <v>3484</v>
      </c>
      <c r="S666" s="254">
        <v>17808</v>
      </c>
      <c r="T666" s="204">
        <v>44991</v>
      </c>
      <c r="U666" s="1262" t="s">
        <v>2080</v>
      </c>
      <c r="V666" s="254">
        <v>8904</v>
      </c>
      <c r="W666" s="1262" t="s">
        <v>2228</v>
      </c>
      <c r="X666" s="258">
        <v>8904</v>
      </c>
      <c r="Y666" s="192"/>
    </row>
    <row r="667" ht="37.5" customHeight="1" spans="1:25">
      <c r="A667" s="192">
        <f t="shared" si="20"/>
        <v>659</v>
      </c>
      <c r="B667" s="208">
        <v>2023</v>
      </c>
      <c r="C667" s="193" t="s">
        <v>37</v>
      </c>
      <c r="D667" s="277" t="s">
        <v>3639</v>
      </c>
      <c r="E667" s="195" t="s">
        <v>3641</v>
      </c>
      <c r="F667" s="196" t="s">
        <v>2073</v>
      </c>
      <c r="G667" s="197" t="s">
        <v>3239</v>
      </c>
      <c r="H667" s="198">
        <v>0.8</v>
      </c>
      <c r="I667" s="199">
        <v>14880</v>
      </c>
      <c r="J667" s="200" t="s">
        <v>2677</v>
      </c>
      <c r="K667" s="200" t="s">
        <v>2678</v>
      </c>
      <c r="L667" s="201">
        <v>0.4</v>
      </c>
      <c r="M667" s="278" t="s">
        <v>3257</v>
      </c>
      <c r="N667" s="205">
        <v>9920</v>
      </c>
      <c r="O667" s="254">
        <v>9920</v>
      </c>
      <c r="P667" s="254">
        <v>7936</v>
      </c>
      <c r="Q667" s="254">
        <v>7936</v>
      </c>
      <c r="R667" s="203" t="s">
        <v>3484</v>
      </c>
      <c r="S667" s="254">
        <v>3968</v>
      </c>
      <c r="T667" s="204">
        <v>44991</v>
      </c>
      <c r="U667" s="1262" t="s">
        <v>2080</v>
      </c>
      <c r="V667" s="254">
        <v>1984</v>
      </c>
      <c r="W667" s="1262" t="s">
        <v>2228</v>
      </c>
      <c r="X667" s="258">
        <v>1984</v>
      </c>
      <c r="Y667" s="192"/>
    </row>
    <row r="668" ht="37.5" customHeight="1" spans="1:25">
      <c r="A668" s="192">
        <f t="shared" si="20"/>
        <v>660</v>
      </c>
      <c r="B668" s="208">
        <v>2023</v>
      </c>
      <c r="C668" s="193" t="s">
        <v>37</v>
      </c>
      <c r="D668" s="277" t="s">
        <v>3642</v>
      </c>
      <c r="E668" s="195" t="s">
        <v>3643</v>
      </c>
      <c r="F668" s="196" t="s">
        <v>2073</v>
      </c>
      <c r="G668" s="197" t="s">
        <v>3239</v>
      </c>
      <c r="H668" s="198">
        <v>0.8</v>
      </c>
      <c r="I668" s="199">
        <v>12000</v>
      </c>
      <c r="J668" s="200" t="s">
        <v>2743</v>
      </c>
      <c r="K668" s="200" t="s">
        <v>2744</v>
      </c>
      <c r="L668" s="201">
        <v>0.4</v>
      </c>
      <c r="M668" s="278" t="s">
        <v>3487</v>
      </c>
      <c r="N668" s="205">
        <v>11802.04</v>
      </c>
      <c r="O668" s="254">
        <v>11802.04</v>
      </c>
      <c r="P668" s="254">
        <v>9441.63</v>
      </c>
      <c r="Q668" s="254">
        <v>9441.63</v>
      </c>
      <c r="R668" s="203" t="s">
        <v>3484</v>
      </c>
      <c r="S668" s="254">
        <v>4720.82</v>
      </c>
      <c r="T668" s="204">
        <v>44991</v>
      </c>
      <c r="U668" s="1262" t="s">
        <v>2080</v>
      </c>
      <c r="V668" s="254">
        <v>2360.408</v>
      </c>
      <c r="W668" s="1262" t="s">
        <v>2228</v>
      </c>
      <c r="X668" s="258">
        <v>2360.408</v>
      </c>
      <c r="Y668" s="192"/>
    </row>
    <row r="669" ht="37.5" customHeight="1" spans="1:25">
      <c r="A669" s="192">
        <f t="shared" si="20"/>
        <v>661</v>
      </c>
      <c r="B669" s="208">
        <v>2023</v>
      </c>
      <c r="C669" s="193" t="s">
        <v>37</v>
      </c>
      <c r="D669" s="277" t="s">
        <v>3431</v>
      </c>
      <c r="E669" s="195" t="s">
        <v>3644</v>
      </c>
      <c r="F669" s="196" t="s">
        <v>2073</v>
      </c>
      <c r="G669" s="197" t="s">
        <v>3239</v>
      </c>
      <c r="H669" s="198">
        <v>0.8</v>
      </c>
      <c r="I669" s="199">
        <v>14600</v>
      </c>
      <c r="J669" s="200" t="s">
        <v>3032</v>
      </c>
      <c r="K669" s="200" t="s">
        <v>3033</v>
      </c>
      <c r="L669" s="201">
        <v>0.4</v>
      </c>
      <c r="M669" s="278" t="s">
        <v>3257</v>
      </c>
      <c r="N669" s="205">
        <v>9733.36</v>
      </c>
      <c r="O669" s="254">
        <v>9733.36</v>
      </c>
      <c r="P669" s="254">
        <v>7786.69</v>
      </c>
      <c r="Q669" s="254">
        <v>7786.69</v>
      </c>
      <c r="R669" s="203" t="s">
        <v>3484</v>
      </c>
      <c r="S669" s="254">
        <v>3893.34</v>
      </c>
      <c r="T669" s="204">
        <v>44991</v>
      </c>
      <c r="U669" s="1262" t="s">
        <v>2080</v>
      </c>
      <c r="V669" s="254">
        <v>1946.672</v>
      </c>
      <c r="W669" s="1262" t="s">
        <v>2228</v>
      </c>
      <c r="X669" s="258">
        <v>1946.672</v>
      </c>
      <c r="Y669" s="192"/>
    </row>
    <row r="670" ht="37.5" customHeight="1" spans="1:25">
      <c r="A670" s="192">
        <f t="shared" ref="A670:A733" si="21">ROW()-8</f>
        <v>662</v>
      </c>
      <c r="B670" s="208">
        <v>2023</v>
      </c>
      <c r="C670" s="193" t="s">
        <v>37</v>
      </c>
      <c r="D670" s="277" t="s">
        <v>3418</v>
      </c>
      <c r="E670" s="195" t="s">
        <v>3645</v>
      </c>
      <c r="F670" s="196" t="s">
        <v>2073</v>
      </c>
      <c r="G670" s="197" t="s">
        <v>3239</v>
      </c>
      <c r="H670" s="198">
        <v>0.8</v>
      </c>
      <c r="I670" s="199">
        <v>13885.87</v>
      </c>
      <c r="J670" s="200" t="s">
        <v>2812</v>
      </c>
      <c r="K670" s="200" t="s">
        <v>2813</v>
      </c>
      <c r="L670" s="201">
        <v>0.4</v>
      </c>
      <c r="M670" s="278" t="s">
        <v>3420</v>
      </c>
      <c r="N670" s="205">
        <v>3333.36</v>
      </c>
      <c r="O670" s="254">
        <v>3333.36</v>
      </c>
      <c r="P670" s="254">
        <v>2666.69</v>
      </c>
      <c r="Q670" s="254">
        <v>2666.69</v>
      </c>
      <c r="R670" s="203" t="s">
        <v>3484</v>
      </c>
      <c r="S670" s="254">
        <v>1333.34</v>
      </c>
      <c r="T670" s="204">
        <v>44991</v>
      </c>
      <c r="U670" s="1262" t="s">
        <v>2080</v>
      </c>
      <c r="V670" s="254">
        <v>666.672</v>
      </c>
      <c r="W670" s="1262" t="s">
        <v>2228</v>
      </c>
      <c r="X670" s="258">
        <v>666.672</v>
      </c>
      <c r="Y670" s="192"/>
    </row>
    <row r="671" ht="37.5" customHeight="1" spans="1:25">
      <c r="A671" s="192">
        <f t="shared" si="21"/>
        <v>663</v>
      </c>
      <c r="B671" s="208">
        <v>2023</v>
      </c>
      <c r="C671" s="193" t="s">
        <v>37</v>
      </c>
      <c r="D671" s="277" t="s">
        <v>3646</v>
      </c>
      <c r="E671" s="195" t="s">
        <v>3647</v>
      </c>
      <c r="F671" s="196" t="s">
        <v>2073</v>
      </c>
      <c r="G671" s="197" t="s">
        <v>3239</v>
      </c>
      <c r="H671" s="198">
        <v>0.8</v>
      </c>
      <c r="I671" s="199">
        <v>90000</v>
      </c>
      <c r="J671" s="200" t="s">
        <v>3119</v>
      </c>
      <c r="K671" s="200" t="s">
        <v>3120</v>
      </c>
      <c r="L671" s="201">
        <v>0.4</v>
      </c>
      <c r="M671" s="278" t="s">
        <v>3487</v>
      </c>
      <c r="N671" s="205">
        <v>52500</v>
      </c>
      <c r="O671" s="254">
        <v>52500</v>
      </c>
      <c r="P671" s="254">
        <v>42000</v>
      </c>
      <c r="Q671" s="254">
        <v>42000</v>
      </c>
      <c r="R671" s="203" t="s">
        <v>3484</v>
      </c>
      <c r="S671" s="254">
        <v>21000</v>
      </c>
      <c r="T671" s="204">
        <v>44991</v>
      </c>
      <c r="U671" s="1262" t="s">
        <v>2080</v>
      </c>
      <c r="V671" s="254">
        <v>10500</v>
      </c>
      <c r="W671" s="1262" t="s">
        <v>2228</v>
      </c>
      <c r="X671" s="258">
        <v>10500</v>
      </c>
      <c r="Y671" s="192"/>
    </row>
    <row r="672" ht="37.5" customHeight="1" spans="1:25">
      <c r="A672" s="192">
        <f t="shared" si="21"/>
        <v>664</v>
      </c>
      <c r="B672" s="208">
        <v>2023</v>
      </c>
      <c r="C672" s="193" t="s">
        <v>37</v>
      </c>
      <c r="D672" s="277" t="s">
        <v>3648</v>
      </c>
      <c r="E672" s="195" t="s">
        <v>3649</v>
      </c>
      <c r="F672" s="196" t="s">
        <v>2073</v>
      </c>
      <c r="G672" s="197" t="s">
        <v>3239</v>
      </c>
      <c r="H672" s="198">
        <v>0.8</v>
      </c>
      <c r="I672" s="199">
        <v>21000</v>
      </c>
      <c r="J672" s="200" t="s">
        <v>2418</v>
      </c>
      <c r="K672" s="200" t="s">
        <v>2619</v>
      </c>
      <c r="L672" s="201">
        <v>0.4</v>
      </c>
      <c r="M672" s="278" t="s">
        <v>2285</v>
      </c>
      <c r="N672" s="205">
        <v>2000.02</v>
      </c>
      <c r="O672" s="254">
        <v>2000.02</v>
      </c>
      <c r="P672" s="254">
        <v>1600.02</v>
      </c>
      <c r="Q672" s="254">
        <v>1600.02</v>
      </c>
      <c r="R672" s="203" t="s">
        <v>3484</v>
      </c>
      <c r="S672" s="254">
        <v>800.01</v>
      </c>
      <c r="T672" s="204">
        <v>44991</v>
      </c>
      <c r="U672" s="1262" t="s">
        <v>2080</v>
      </c>
      <c r="V672" s="254">
        <v>400.004</v>
      </c>
      <c r="W672" s="1262" t="s">
        <v>2228</v>
      </c>
      <c r="X672" s="258">
        <v>400.004</v>
      </c>
      <c r="Y672" s="192"/>
    </row>
    <row r="673" ht="37.5" customHeight="1" spans="1:25">
      <c r="A673" s="192">
        <f t="shared" si="21"/>
        <v>665</v>
      </c>
      <c r="B673" s="208">
        <v>2023</v>
      </c>
      <c r="C673" s="193" t="s">
        <v>37</v>
      </c>
      <c r="D673" s="277" t="s">
        <v>3650</v>
      </c>
      <c r="E673" s="195" t="s">
        <v>3651</v>
      </c>
      <c r="F673" s="196" t="s">
        <v>2073</v>
      </c>
      <c r="G673" s="197" t="s">
        <v>3239</v>
      </c>
      <c r="H673" s="198">
        <v>0.8</v>
      </c>
      <c r="I673" s="199">
        <v>15873.67</v>
      </c>
      <c r="J673" s="200" t="s">
        <v>3014</v>
      </c>
      <c r="K673" s="200" t="s">
        <v>3015</v>
      </c>
      <c r="L673" s="201">
        <v>0.4</v>
      </c>
      <c r="M673" s="278" t="s">
        <v>3652</v>
      </c>
      <c r="N673" s="205">
        <v>2358.34</v>
      </c>
      <c r="O673" s="254">
        <v>2358.34</v>
      </c>
      <c r="P673" s="254">
        <v>1886.67</v>
      </c>
      <c r="Q673" s="254">
        <v>1886.67</v>
      </c>
      <c r="R673" s="203" t="s">
        <v>3484</v>
      </c>
      <c r="S673" s="254">
        <v>943.34</v>
      </c>
      <c r="T673" s="204">
        <v>44991</v>
      </c>
      <c r="U673" s="1262" t="s">
        <v>2080</v>
      </c>
      <c r="V673" s="254">
        <v>471.668</v>
      </c>
      <c r="W673" s="1262" t="s">
        <v>2228</v>
      </c>
      <c r="X673" s="258">
        <v>471.668</v>
      </c>
      <c r="Y673" s="192"/>
    </row>
    <row r="674" ht="37.5" customHeight="1" spans="1:25">
      <c r="A674" s="192">
        <f t="shared" si="21"/>
        <v>666</v>
      </c>
      <c r="B674" s="208">
        <v>2023</v>
      </c>
      <c r="C674" s="193" t="s">
        <v>37</v>
      </c>
      <c r="D674" s="277" t="s">
        <v>3653</v>
      </c>
      <c r="E674" s="195" t="s">
        <v>3654</v>
      </c>
      <c r="F674" s="196" t="s">
        <v>2073</v>
      </c>
      <c r="G674" s="197" t="s">
        <v>3239</v>
      </c>
      <c r="H674" s="198">
        <v>0.8</v>
      </c>
      <c r="I674" s="199">
        <v>191820</v>
      </c>
      <c r="J674" s="200" t="s">
        <v>2083</v>
      </c>
      <c r="K674" s="200" t="s">
        <v>2084</v>
      </c>
      <c r="L674" s="201">
        <v>0.4</v>
      </c>
      <c r="M674" s="278" t="s">
        <v>3232</v>
      </c>
      <c r="N674" s="205">
        <v>33645.96</v>
      </c>
      <c r="O674" s="254">
        <v>33645.96</v>
      </c>
      <c r="P674" s="254">
        <v>26916.77</v>
      </c>
      <c r="Q674" s="254">
        <v>26916.77</v>
      </c>
      <c r="R674" s="203" t="s">
        <v>3484</v>
      </c>
      <c r="S674" s="254">
        <v>13458.38</v>
      </c>
      <c r="T674" s="204">
        <v>44991</v>
      </c>
      <c r="U674" s="1262" t="s">
        <v>2080</v>
      </c>
      <c r="V674" s="254">
        <v>6729.192</v>
      </c>
      <c r="W674" s="1262" t="s">
        <v>2228</v>
      </c>
      <c r="X674" s="258">
        <v>6729.192</v>
      </c>
      <c r="Y674" s="192"/>
    </row>
    <row r="675" ht="37.5" customHeight="1" spans="1:25">
      <c r="A675" s="192">
        <f t="shared" si="21"/>
        <v>667</v>
      </c>
      <c r="B675" s="208">
        <v>2023</v>
      </c>
      <c r="C675" s="193" t="s">
        <v>37</v>
      </c>
      <c r="D675" s="277" t="s">
        <v>3655</v>
      </c>
      <c r="E675" s="195" t="s">
        <v>3656</v>
      </c>
      <c r="F675" s="196" t="s">
        <v>2073</v>
      </c>
      <c r="G675" s="197" t="s">
        <v>3239</v>
      </c>
      <c r="H675" s="198">
        <v>0.8</v>
      </c>
      <c r="I675" s="199">
        <v>21950</v>
      </c>
      <c r="J675" s="200" t="s">
        <v>2402</v>
      </c>
      <c r="K675" s="200" t="s">
        <v>3657</v>
      </c>
      <c r="L675" s="201">
        <v>0.4</v>
      </c>
      <c r="M675" s="278" t="s">
        <v>3658</v>
      </c>
      <c r="N675" s="205">
        <v>9125</v>
      </c>
      <c r="O675" s="254">
        <v>9125</v>
      </c>
      <c r="P675" s="254">
        <v>7300</v>
      </c>
      <c r="Q675" s="254">
        <v>7300</v>
      </c>
      <c r="R675" s="203" t="s">
        <v>3484</v>
      </c>
      <c r="S675" s="254">
        <v>3650</v>
      </c>
      <c r="T675" s="204">
        <v>44991</v>
      </c>
      <c r="U675" s="1262" t="s">
        <v>2080</v>
      </c>
      <c r="V675" s="254">
        <v>1825</v>
      </c>
      <c r="W675" s="1262" t="s">
        <v>2228</v>
      </c>
      <c r="X675" s="258">
        <v>1825</v>
      </c>
      <c r="Y675" s="192"/>
    </row>
    <row r="676" ht="37.5" customHeight="1" spans="1:25">
      <c r="A676" s="192">
        <f t="shared" si="21"/>
        <v>668</v>
      </c>
      <c r="B676" s="208">
        <v>2023</v>
      </c>
      <c r="C676" s="193" t="s">
        <v>37</v>
      </c>
      <c r="D676" s="277" t="s">
        <v>3311</v>
      </c>
      <c r="E676" s="195" t="s">
        <v>3659</v>
      </c>
      <c r="F676" s="196" t="s">
        <v>2073</v>
      </c>
      <c r="G676" s="197" t="s">
        <v>3239</v>
      </c>
      <c r="H676" s="198">
        <v>0.8</v>
      </c>
      <c r="I676" s="199">
        <v>17556.45</v>
      </c>
      <c r="J676" s="200" t="s">
        <v>3119</v>
      </c>
      <c r="K676" s="200" t="s">
        <v>3120</v>
      </c>
      <c r="L676" s="201">
        <v>0.4</v>
      </c>
      <c r="M676" s="278" t="s">
        <v>2008</v>
      </c>
      <c r="N676" s="205">
        <v>513.35</v>
      </c>
      <c r="O676" s="254">
        <v>513.35</v>
      </c>
      <c r="P676" s="254">
        <v>410.68</v>
      </c>
      <c r="Q676" s="254">
        <v>410.68</v>
      </c>
      <c r="R676" s="203" t="s">
        <v>3484</v>
      </c>
      <c r="S676" s="254">
        <v>205.34</v>
      </c>
      <c r="T676" s="204">
        <v>44991</v>
      </c>
      <c r="U676" s="1262" t="s">
        <v>2080</v>
      </c>
      <c r="V676" s="254">
        <v>102.67</v>
      </c>
      <c r="W676" s="1262" t="s">
        <v>2228</v>
      </c>
      <c r="X676" s="258">
        <v>102.67</v>
      </c>
      <c r="Y676" s="192"/>
    </row>
    <row r="677" ht="37.5" customHeight="1" spans="1:25">
      <c r="A677" s="192">
        <f t="shared" si="21"/>
        <v>669</v>
      </c>
      <c r="B677" s="208">
        <v>2023</v>
      </c>
      <c r="C677" s="193" t="s">
        <v>37</v>
      </c>
      <c r="D677" s="277" t="s">
        <v>3660</v>
      </c>
      <c r="E677" s="195" t="s">
        <v>3661</v>
      </c>
      <c r="F677" s="196" t="s">
        <v>2073</v>
      </c>
      <c r="G677" s="197" t="s">
        <v>3239</v>
      </c>
      <c r="H677" s="198">
        <v>0.8</v>
      </c>
      <c r="I677" s="199">
        <v>22010</v>
      </c>
      <c r="J677" s="200" t="s">
        <v>1846</v>
      </c>
      <c r="K677" s="200" t="s">
        <v>2622</v>
      </c>
      <c r="L677" s="201">
        <v>0.4</v>
      </c>
      <c r="M677" s="278" t="s">
        <v>3292</v>
      </c>
      <c r="N677" s="205">
        <v>4000.04</v>
      </c>
      <c r="O677" s="254">
        <v>4000.04</v>
      </c>
      <c r="P677" s="254">
        <v>3200.03</v>
      </c>
      <c r="Q677" s="254">
        <v>3200.03</v>
      </c>
      <c r="R677" s="203" t="s">
        <v>3484</v>
      </c>
      <c r="S677" s="254">
        <v>1600.02</v>
      </c>
      <c r="T677" s="204">
        <v>44991</v>
      </c>
      <c r="U677" s="1262" t="s">
        <v>2080</v>
      </c>
      <c r="V677" s="254">
        <v>800.008</v>
      </c>
      <c r="W677" s="1262" t="s">
        <v>2228</v>
      </c>
      <c r="X677" s="258">
        <v>800.008</v>
      </c>
      <c r="Y677" s="192"/>
    </row>
    <row r="678" ht="37.5" customHeight="1" spans="1:25">
      <c r="A678" s="192">
        <f t="shared" si="21"/>
        <v>670</v>
      </c>
      <c r="B678" s="208">
        <v>2023</v>
      </c>
      <c r="C678" s="193" t="s">
        <v>37</v>
      </c>
      <c r="D678" s="277" t="s">
        <v>3662</v>
      </c>
      <c r="E678" s="195" t="s">
        <v>3663</v>
      </c>
      <c r="F678" s="196" t="s">
        <v>2073</v>
      </c>
      <c r="G678" s="197" t="s">
        <v>3239</v>
      </c>
      <c r="H678" s="198">
        <v>0.8</v>
      </c>
      <c r="I678" s="199">
        <v>26010</v>
      </c>
      <c r="J678" s="200" t="s">
        <v>2140</v>
      </c>
      <c r="K678" s="200" t="s">
        <v>3240</v>
      </c>
      <c r="L678" s="201">
        <v>0.4</v>
      </c>
      <c r="M678" s="278" t="s">
        <v>3526</v>
      </c>
      <c r="N678" s="205">
        <v>3500.02</v>
      </c>
      <c r="O678" s="254">
        <v>3500.02</v>
      </c>
      <c r="P678" s="254">
        <v>2800.02</v>
      </c>
      <c r="Q678" s="254">
        <v>2800.02</v>
      </c>
      <c r="R678" s="203" t="s">
        <v>3484</v>
      </c>
      <c r="S678" s="254">
        <v>1400.01</v>
      </c>
      <c r="T678" s="204">
        <v>44991</v>
      </c>
      <c r="U678" s="1262" t="s">
        <v>2080</v>
      </c>
      <c r="V678" s="254">
        <v>700.004</v>
      </c>
      <c r="W678" s="1262" t="s">
        <v>2228</v>
      </c>
      <c r="X678" s="258">
        <v>700.004</v>
      </c>
      <c r="Y678" s="192"/>
    </row>
    <row r="679" ht="37.5" customHeight="1" spans="1:25">
      <c r="A679" s="192">
        <f t="shared" si="21"/>
        <v>671</v>
      </c>
      <c r="B679" s="208">
        <v>2023</v>
      </c>
      <c r="C679" s="193" t="s">
        <v>37</v>
      </c>
      <c r="D679" s="277" t="s">
        <v>3664</v>
      </c>
      <c r="E679" s="195" t="s">
        <v>3665</v>
      </c>
      <c r="F679" s="196" t="s">
        <v>2073</v>
      </c>
      <c r="G679" s="197" t="s">
        <v>3239</v>
      </c>
      <c r="H679" s="198">
        <v>0.8</v>
      </c>
      <c r="I679" s="199">
        <v>10060</v>
      </c>
      <c r="J679" s="200" t="s">
        <v>3666</v>
      </c>
      <c r="K679" s="200" t="s">
        <v>2597</v>
      </c>
      <c r="L679" s="201">
        <v>0.4</v>
      </c>
      <c r="M679" s="278" t="s">
        <v>2008</v>
      </c>
      <c r="N679" s="205">
        <v>2736.85</v>
      </c>
      <c r="O679" s="254">
        <v>2736.85</v>
      </c>
      <c r="P679" s="254">
        <v>2189.48</v>
      </c>
      <c r="Q679" s="254">
        <v>2189.48</v>
      </c>
      <c r="R679" s="203" t="s">
        <v>3484</v>
      </c>
      <c r="S679" s="254">
        <v>1094.74</v>
      </c>
      <c r="T679" s="204">
        <v>44991</v>
      </c>
      <c r="U679" s="1262" t="s">
        <v>2080</v>
      </c>
      <c r="V679" s="254">
        <v>547.37</v>
      </c>
      <c r="W679" s="1262" t="s">
        <v>2228</v>
      </c>
      <c r="X679" s="258">
        <v>547.37</v>
      </c>
      <c r="Y679" s="192"/>
    </row>
    <row r="680" ht="37.5" customHeight="1" spans="1:25">
      <c r="A680" s="192">
        <f t="shared" si="21"/>
        <v>672</v>
      </c>
      <c r="B680" s="208">
        <v>2023</v>
      </c>
      <c r="C680" s="193" t="s">
        <v>37</v>
      </c>
      <c r="D680" s="277" t="s">
        <v>3664</v>
      </c>
      <c r="E680" s="195" t="s">
        <v>3667</v>
      </c>
      <c r="F680" s="196" t="s">
        <v>2073</v>
      </c>
      <c r="G680" s="197" t="s">
        <v>3239</v>
      </c>
      <c r="H680" s="198">
        <v>0.8</v>
      </c>
      <c r="I680" s="199">
        <v>13885.87</v>
      </c>
      <c r="J680" s="200" t="s">
        <v>2984</v>
      </c>
      <c r="K680" s="200" t="s">
        <v>2985</v>
      </c>
      <c r="L680" s="201">
        <v>0.4</v>
      </c>
      <c r="M680" s="278" t="s">
        <v>2008</v>
      </c>
      <c r="N680" s="205">
        <v>666.68</v>
      </c>
      <c r="O680" s="254">
        <v>666.68</v>
      </c>
      <c r="P680" s="254">
        <v>533.34</v>
      </c>
      <c r="Q680" s="254">
        <v>533.34</v>
      </c>
      <c r="R680" s="203" t="s">
        <v>3484</v>
      </c>
      <c r="S680" s="254">
        <v>266.67</v>
      </c>
      <c r="T680" s="204">
        <v>44991</v>
      </c>
      <c r="U680" s="1262" t="s">
        <v>2080</v>
      </c>
      <c r="V680" s="254">
        <v>133.336</v>
      </c>
      <c r="W680" s="1262" t="s">
        <v>2228</v>
      </c>
      <c r="X680" s="258">
        <v>133.336</v>
      </c>
      <c r="Y680" s="192"/>
    </row>
    <row r="681" ht="37.5" customHeight="1" spans="1:25">
      <c r="A681" s="192">
        <f t="shared" si="21"/>
        <v>673</v>
      </c>
      <c r="B681" s="208">
        <v>2023</v>
      </c>
      <c r="C681" s="193" t="s">
        <v>37</v>
      </c>
      <c r="D681" s="277" t="s">
        <v>3668</v>
      </c>
      <c r="E681" s="195" t="s">
        <v>3669</v>
      </c>
      <c r="F681" s="196" t="s">
        <v>2073</v>
      </c>
      <c r="G681" s="197" t="s">
        <v>3239</v>
      </c>
      <c r="H681" s="198">
        <v>0.8</v>
      </c>
      <c r="I681" s="199">
        <v>13674.23</v>
      </c>
      <c r="J681" s="200" t="s">
        <v>1952</v>
      </c>
      <c r="K681" s="200" t="s">
        <v>3097</v>
      </c>
      <c r="L681" s="201">
        <v>0.4</v>
      </c>
      <c r="M681" s="278" t="s">
        <v>3670</v>
      </c>
      <c r="N681" s="205">
        <v>2722.5</v>
      </c>
      <c r="O681" s="254">
        <v>2722.5</v>
      </c>
      <c r="P681" s="254">
        <v>2178</v>
      </c>
      <c r="Q681" s="254">
        <v>2178</v>
      </c>
      <c r="R681" s="203" t="s">
        <v>3484</v>
      </c>
      <c r="S681" s="254">
        <v>1089</v>
      </c>
      <c r="T681" s="204">
        <v>44991</v>
      </c>
      <c r="U681" s="1262" t="s">
        <v>2080</v>
      </c>
      <c r="V681" s="254">
        <v>450</v>
      </c>
      <c r="W681" s="1262" t="s">
        <v>2228</v>
      </c>
      <c r="X681" s="258">
        <v>450</v>
      </c>
      <c r="Y681" s="192"/>
    </row>
    <row r="682" ht="37.5" customHeight="1" spans="1:25">
      <c r="A682" s="192">
        <f t="shared" si="21"/>
        <v>674</v>
      </c>
      <c r="B682" s="208">
        <v>2023</v>
      </c>
      <c r="C682" s="193" t="s">
        <v>37</v>
      </c>
      <c r="D682" s="277" t="s">
        <v>3668</v>
      </c>
      <c r="E682" s="195" t="s">
        <v>3671</v>
      </c>
      <c r="F682" s="196" t="s">
        <v>2073</v>
      </c>
      <c r="G682" s="197" t="s">
        <v>3239</v>
      </c>
      <c r="H682" s="198">
        <v>0.8</v>
      </c>
      <c r="I682" s="199">
        <v>13674.23</v>
      </c>
      <c r="J682" s="200" t="s">
        <v>2053</v>
      </c>
      <c r="K682" s="200" t="s">
        <v>2709</v>
      </c>
      <c r="L682" s="201">
        <v>0.4</v>
      </c>
      <c r="M682" s="278" t="s">
        <v>3670</v>
      </c>
      <c r="N682" s="205">
        <v>2250</v>
      </c>
      <c r="O682" s="254">
        <v>2250</v>
      </c>
      <c r="P682" s="254">
        <v>1800</v>
      </c>
      <c r="Q682" s="254">
        <v>1800</v>
      </c>
      <c r="R682" s="203" t="s">
        <v>3484</v>
      </c>
      <c r="S682" s="254">
        <v>900</v>
      </c>
      <c r="T682" s="204">
        <v>44991</v>
      </c>
      <c r="U682" s="1262" t="s">
        <v>2080</v>
      </c>
      <c r="V682" s="254">
        <v>544.5</v>
      </c>
      <c r="W682" s="1262" t="s">
        <v>2228</v>
      </c>
      <c r="X682" s="258">
        <v>544.5</v>
      </c>
      <c r="Y682" s="192"/>
    </row>
    <row r="683" ht="37.5" customHeight="1" spans="1:25">
      <c r="A683" s="192">
        <f t="shared" si="21"/>
        <v>675</v>
      </c>
      <c r="B683" s="208">
        <v>2023</v>
      </c>
      <c r="C683" s="193" t="s">
        <v>37</v>
      </c>
      <c r="D683" s="277" t="s">
        <v>3672</v>
      </c>
      <c r="E683" s="195" t="s">
        <v>3673</v>
      </c>
      <c r="F683" s="196" t="s">
        <v>2073</v>
      </c>
      <c r="G683" s="197" t="s">
        <v>3239</v>
      </c>
      <c r="H683" s="198">
        <v>0.8</v>
      </c>
      <c r="I683" s="199">
        <v>12100</v>
      </c>
      <c r="J683" s="200" t="s">
        <v>1981</v>
      </c>
      <c r="K683" s="200" t="s">
        <v>3674</v>
      </c>
      <c r="L683" s="201">
        <v>0.4</v>
      </c>
      <c r="M683" s="278" t="s">
        <v>3675</v>
      </c>
      <c r="N683" s="205">
        <v>9366.7</v>
      </c>
      <c r="O683" s="254">
        <v>9366.7</v>
      </c>
      <c r="P683" s="254">
        <v>7493.36</v>
      </c>
      <c r="Q683" s="254">
        <v>7493.36</v>
      </c>
      <c r="R683" s="203" t="s">
        <v>3484</v>
      </c>
      <c r="S683" s="254">
        <v>3746.68</v>
      </c>
      <c r="T683" s="204">
        <v>44991</v>
      </c>
      <c r="U683" s="1262" t="s">
        <v>2080</v>
      </c>
      <c r="V683" s="254">
        <v>1873.34</v>
      </c>
      <c r="W683" s="1262" t="s">
        <v>2228</v>
      </c>
      <c r="X683" s="258">
        <v>1873.34</v>
      </c>
      <c r="Y683" s="192"/>
    </row>
    <row r="684" ht="37.5" customHeight="1" spans="1:25">
      <c r="A684" s="192">
        <f t="shared" si="21"/>
        <v>676</v>
      </c>
      <c r="B684" s="208">
        <v>2023</v>
      </c>
      <c r="C684" s="193" t="s">
        <v>37</v>
      </c>
      <c r="D684" s="277" t="s">
        <v>3676</v>
      </c>
      <c r="E684" s="195" t="s">
        <v>3677</v>
      </c>
      <c r="F684" s="196" t="s">
        <v>2073</v>
      </c>
      <c r="G684" s="197" t="s">
        <v>3239</v>
      </c>
      <c r="H684" s="198">
        <v>0.8</v>
      </c>
      <c r="I684" s="199">
        <v>65550</v>
      </c>
      <c r="J684" s="200" t="s">
        <v>2329</v>
      </c>
      <c r="K684" s="200" t="s">
        <v>2330</v>
      </c>
      <c r="L684" s="201">
        <v>0.4</v>
      </c>
      <c r="M684" s="278" t="s">
        <v>3218</v>
      </c>
      <c r="N684" s="205">
        <v>5169.88</v>
      </c>
      <c r="O684" s="254">
        <v>5169.88</v>
      </c>
      <c r="P684" s="254">
        <v>4135.9</v>
      </c>
      <c r="Q684" s="254">
        <v>4135.9</v>
      </c>
      <c r="R684" s="203" t="s">
        <v>3484</v>
      </c>
      <c r="S684" s="254">
        <v>2067.95</v>
      </c>
      <c r="T684" s="204">
        <v>44991</v>
      </c>
      <c r="U684" s="1262" t="s">
        <v>2080</v>
      </c>
      <c r="V684" s="254">
        <v>1033.976</v>
      </c>
      <c r="W684" s="1262" t="s">
        <v>2228</v>
      </c>
      <c r="X684" s="258">
        <v>1033.976</v>
      </c>
      <c r="Y684" s="192"/>
    </row>
    <row r="685" ht="37.5" customHeight="1" spans="1:25">
      <c r="A685" s="192">
        <f t="shared" si="21"/>
        <v>677</v>
      </c>
      <c r="B685" s="208">
        <v>2023</v>
      </c>
      <c r="C685" s="193" t="s">
        <v>37</v>
      </c>
      <c r="D685" s="277" t="s">
        <v>3678</v>
      </c>
      <c r="E685" s="195" t="s">
        <v>3679</v>
      </c>
      <c r="F685" s="196" t="s">
        <v>2073</v>
      </c>
      <c r="G685" s="197" t="s">
        <v>3239</v>
      </c>
      <c r="H685" s="198">
        <v>0.8</v>
      </c>
      <c r="I685" s="199">
        <v>332000</v>
      </c>
      <c r="J685" s="200" t="s">
        <v>3085</v>
      </c>
      <c r="K685" s="200" t="s">
        <v>3086</v>
      </c>
      <c r="L685" s="201">
        <v>0.4</v>
      </c>
      <c r="M685" s="278" t="s">
        <v>3680</v>
      </c>
      <c r="N685" s="205">
        <v>87166.75</v>
      </c>
      <c r="O685" s="254">
        <v>87166.75</v>
      </c>
      <c r="P685" s="254">
        <v>69733.4</v>
      </c>
      <c r="Q685" s="254">
        <v>69733.4</v>
      </c>
      <c r="R685" s="203" t="s">
        <v>3484</v>
      </c>
      <c r="S685" s="254">
        <v>34866.7</v>
      </c>
      <c r="T685" s="204">
        <v>44991</v>
      </c>
      <c r="U685" s="1262" t="s">
        <v>2080</v>
      </c>
      <c r="V685" s="254">
        <v>17433.35</v>
      </c>
      <c r="W685" s="1262" t="s">
        <v>2228</v>
      </c>
      <c r="X685" s="258">
        <v>17433.35</v>
      </c>
      <c r="Y685" s="192"/>
    </row>
    <row r="686" ht="37.5" customHeight="1" spans="1:25">
      <c r="A686" s="192">
        <f t="shared" si="21"/>
        <v>678</v>
      </c>
      <c r="B686" s="208">
        <v>2023</v>
      </c>
      <c r="C686" s="193" t="s">
        <v>37</v>
      </c>
      <c r="D686" s="277" t="s">
        <v>3681</v>
      </c>
      <c r="E686" s="195" t="s">
        <v>3682</v>
      </c>
      <c r="F686" s="196" t="s">
        <v>2073</v>
      </c>
      <c r="G686" s="197" t="s">
        <v>3239</v>
      </c>
      <c r="H686" s="198">
        <v>0.8</v>
      </c>
      <c r="I686" s="199">
        <v>230930</v>
      </c>
      <c r="J686" s="200" t="s">
        <v>2176</v>
      </c>
      <c r="K686" s="200" t="s">
        <v>2177</v>
      </c>
      <c r="L686" s="201">
        <v>0.4</v>
      </c>
      <c r="M686" s="278" t="s">
        <v>3402</v>
      </c>
      <c r="N686" s="205">
        <v>33333.38</v>
      </c>
      <c r="O686" s="254">
        <v>33333.38</v>
      </c>
      <c r="P686" s="254">
        <v>26666.7</v>
      </c>
      <c r="Q686" s="254">
        <v>26666.7</v>
      </c>
      <c r="R686" s="203" t="s">
        <v>3484</v>
      </c>
      <c r="S686" s="254">
        <v>13333.35</v>
      </c>
      <c r="T686" s="204">
        <v>44991</v>
      </c>
      <c r="U686" s="1262" t="s">
        <v>2080</v>
      </c>
      <c r="V686" s="254">
        <v>6666.676</v>
      </c>
      <c r="W686" s="1262" t="s">
        <v>2228</v>
      </c>
      <c r="X686" s="258">
        <v>6666.676</v>
      </c>
      <c r="Y686" s="192"/>
    </row>
    <row r="687" ht="37.5" customHeight="1" spans="1:25">
      <c r="A687" s="192">
        <f t="shared" si="21"/>
        <v>679</v>
      </c>
      <c r="B687" s="208">
        <v>2023</v>
      </c>
      <c r="C687" s="193" t="s">
        <v>37</v>
      </c>
      <c r="D687" s="277" t="s">
        <v>3683</v>
      </c>
      <c r="E687" s="195" t="s">
        <v>3684</v>
      </c>
      <c r="F687" s="196" t="s">
        <v>2073</v>
      </c>
      <c r="G687" s="197" t="s">
        <v>3239</v>
      </c>
      <c r="H687" s="198">
        <v>0.8</v>
      </c>
      <c r="I687" s="199">
        <v>80000</v>
      </c>
      <c r="J687" s="200" t="s">
        <v>2207</v>
      </c>
      <c r="K687" s="200" t="s">
        <v>2208</v>
      </c>
      <c r="L687" s="201">
        <v>0.4</v>
      </c>
      <c r="M687" s="278" t="s">
        <v>3539</v>
      </c>
      <c r="N687" s="205">
        <v>19666.71</v>
      </c>
      <c r="O687" s="254">
        <v>19666.71</v>
      </c>
      <c r="P687" s="254">
        <v>15733.37</v>
      </c>
      <c r="Q687" s="254">
        <v>15733.37</v>
      </c>
      <c r="R687" s="203" t="s">
        <v>3484</v>
      </c>
      <c r="S687" s="254">
        <v>7866.68</v>
      </c>
      <c r="T687" s="204">
        <v>44991</v>
      </c>
      <c r="U687" s="1262" t="s">
        <v>2080</v>
      </c>
      <c r="V687" s="254">
        <v>3933.342</v>
      </c>
      <c r="W687" s="1262" t="s">
        <v>2228</v>
      </c>
      <c r="X687" s="258">
        <v>3933.342</v>
      </c>
      <c r="Y687" s="192"/>
    </row>
    <row r="688" ht="37.5" customHeight="1" spans="1:25">
      <c r="A688" s="192">
        <f t="shared" si="21"/>
        <v>680</v>
      </c>
      <c r="B688" s="208">
        <v>2023</v>
      </c>
      <c r="C688" s="193" t="s">
        <v>37</v>
      </c>
      <c r="D688" s="277" t="s">
        <v>3685</v>
      </c>
      <c r="E688" s="195" t="s">
        <v>3686</v>
      </c>
      <c r="F688" s="196" t="s">
        <v>2073</v>
      </c>
      <c r="G688" s="197" t="s">
        <v>3239</v>
      </c>
      <c r="H688" s="198">
        <v>0.8</v>
      </c>
      <c r="I688" s="199">
        <v>15000</v>
      </c>
      <c r="J688" s="200" t="s">
        <v>2132</v>
      </c>
      <c r="K688" s="200" t="s">
        <v>2133</v>
      </c>
      <c r="L688" s="201">
        <v>0.4</v>
      </c>
      <c r="M688" s="278" t="s">
        <v>3567</v>
      </c>
      <c r="N688" s="205">
        <v>400.04</v>
      </c>
      <c r="O688" s="254">
        <v>400.04</v>
      </c>
      <c r="P688" s="254">
        <v>320.03</v>
      </c>
      <c r="Q688" s="254">
        <v>320.03</v>
      </c>
      <c r="R688" s="203" t="s">
        <v>3484</v>
      </c>
      <c r="S688" s="254">
        <v>160.02</v>
      </c>
      <c r="T688" s="204">
        <v>44991</v>
      </c>
      <c r="U688" s="1262" t="s">
        <v>2080</v>
      </c>
      <c r="V688" s="254">
        <v>80.008</v>
      </c>
      <c r="W688" s="1262" t="s">
        <v>2228</v>
      </c>
      <c r="X688" s="258">
        <v>80.008</v>
      </c>
      <c r="Y688" s="192"/>
    </row>
    <row r="689" ht="37.5" customHeight="1" spans="1:25">
      <c r="A689" s="192">
        <f t="shared" si="21"/>
        <v>681</v>
      </c>
      <c r="B689" s="208">
        <v>2023</v>
      </c>
      <c r="C689" s="193" t="s">
        <v>37</v>
      </c>
      <c r="D689" s="277" t="s">
        <v>3687</v>
      </c>
      <c r="E689" s="195" t="s">
        <v>3688</v>
      </c>
      <c r="F689" s="196" t="s">
        <v>2073</v>
      </c>
      <c r="G689" s="197" t="s">
        <v>3239</v>
      </c>
      <c r="H689" s="198">
        <v>0.8</v>
      </c>
      <c r="I689" s="199">
        <v>10000</v>
      </c>
      <c r="J689" s="200" t="s">
        <v>2363</v>
      </c>
      <c r="K689" s="200" t="s">
        <v>2364</v>
      </c>
      <c r="L689" s="201">
        <v>0.4</v>
      </c>
      <c r="M689" s="278" t="s">
        <v>3451</v>
      </c>
      <c r="N689" s="205">
        <v>2285.33</v>
      </c>
      <c r="O689" s="254">
        <v>2285.33</v>
      </c>
      <c r="P689" s="254">
        <v>1828.27</v>
      </c>
      <c r="Q689" s="254">
        <v>1828.27</v>
      </c>
      <c r="R689" s="203" t="s">
        <v>3484</v>
      </c>
      <c r="S689" s="254">
        <v>914.13</v>
      </c>
      <c r="T689" s="204">
        <v>44991</v>
      </c>
      <c r="U689" s="1262" t="s">
        <v>2080</v>
      </c>
      <c r="V689" s="254">
        <v>457.066</v>
      </c>
      <c r="W689" s="1262" t="s">
        <v>2228</v>
      </c>
      <c r="X689" s="258">
        <v>457.066</v>
      </c>
      <c r="Y689" s="192"/>
    </row>
    <row r="690" ht="37.5" customHeight="1" spans="1:25">
      <c r="A690" s="192">
        <f t="shared" si="21"/>
        <v>682</v>
      </c>
      <c r="B690" s="208">
        <v>2023</v>
      </c>
      <c r="C690" s="193" t="s">
        <v>37</v>
      </c>
      <c r="D690" s="277" t="s">
        <v>3689</v>
      </c>
      <c r="E690" s="195" t="s">
        <v>3690</v>
      </c>
      <c r="F690" s="196" t="s">
        <v>2073</v>
      </c>
      <c r="G690" s="197" t="s">
        <v>3239</v>
      </c>
      <c r="H690" s="198">
        <v>0.8</v>
      </c>
      <c r="I690" s="199">
        <v>34000</v>
      </c>
      <c r="J690" s="200" t="s">
        <v>1939</v>
      </c>
      <c r="K690" s="200" t="s">
        <v>2241</v>
      </c>
      <c r="L690" s="201">
        <v>0.4</v>
      </c>
      <c r="M690" s="278" t="s">
        <v>3241</v>
      </c>
      <c r="N690" s="205">
        <v>19266.78</v>
      </c>
      <c r="O690" s="254">
        <v>19266.78</v>
      </c>
      <c r="P690" s="254">
        <v>15413.43</v>
      </c>
      <c r="Q690" s="254">
        <v>15413.43</v>
      </c>
      <c r="R690" s="203" t="s">
        <v>3484</v>
      </c>
      <c r="S690" s="254">
        <v>7706.71</v>
      </c>
      <c r="T690" s="204">
        <v>44991</v>
      </c>
      <c r="U690" s="1262" t="s">
        <v>2080</v>
      </c>
      <c r="V690" s="254">
        <v>3853.356</v>
      </c>
      <c r="W690" s="1262" t="s">
        <v>2228</v>
      </c>
      <c r="X690" s="258">
        <v>3853.356</v>
      </c>
      <c r="Y690" s="192"/>
    </row>
    <row r="691" ht="37.5" customHeight="1" spans="1:25">
      <c r="A691" s="192">
        <f t="shared" si="21"/>
        <v>683</v>
      </c>
      <c r="B691" s="208">
        <v>2023</v>
      </c>
      <c r="C691" s="193" t="s">
        <v>37</v>
      </c>
      <c r="D691" s="277" t="s">
        <v>3691</v>
      </c>
      <c r="E691" s="195" t="s">
        <v>3692</v>
      </c>
      <c r="F691" s="196" t="s">
        <v>2073</v>
      </c>
      <c r="G691" s="197" t="s">
        <v>3239</v>
      </c>
      <c r="H691" s="198">
        <v>0.8</v>
      </c>
      <c r="I691" s="199">
        <v>50000</v>
      </c>
      <c r="J691" s="200" t="s">
        <v>1882</v>
      </c>
      <c r="K691" s="200" t="s">
        <v>3693</v>
      </c>
      <c r="L691" s="201">
        <v>0.4</v>
      </c>
      <c r="M691" s="278" t="s">
        <v>3492</v>
      </c>
      <c r="N691" s="205">
        <v>13333.36</v>
      </c>
      <c r="O691" s="254">
        <v>13333.36</v>
      </c>
      <c r="P691" s="254">
        <v>10666.69</v>
      </c>
      <c r="Q691" s="254">
        <v>10666.69</v>
      </c>
      <c r="R691" s="203" t="s">
        <v>3484</v>
      </c>
      <c r="S691" s="254">
        <v>5333.34</v>
      </c>
      <c r="T691" s="204">
        <v>44991</v>
      </c>
      <c r="U691" s="1262" t="s">
        <v>2080</v>
      </c>
      <c r="V691" s="254">
        <v>2666.67</v>
      </c>
      <c r="W691" s="1262" t="s">
        <v>2228</v>
      </c>
      <c r="X691" s="258">
        <v>2666.67</v>
      </c>
      <c r="Y691" s="192"/>
    </row>
    <row r="692" ht="37.5" customHeight="1" spans="1:25">
      <c r="A692" s="192">
        <f t="shared" si="21"/>
        <v>684</v>
      </c>
      <c r="B692" s="208">
        <v>2023</v>
      </c>
      <c r="C692" s="193" t="s">
        <v>37</v>
      </c>
      <c r="D692" s="277" t="s">
        <v>3694</v>
      </c>
      <c r="E692" s="195" t="s">
        <v>3695</v>
      </c>
      <c r="F692" s="196" t="s">
        <v>2073</v>
      </c>
      <c r="G692" s="197" t="s">
        <v>3239</v>
      </c>
      <c r="H692" s="198">
        <v>0.8</v>
      </c>
      <c r="I692" s="199">
        <v>15000</v>
      </c>
      <c r="J692" s="200" t="s">
        <v>3696</v>
      </c>
      <c r="K692" s="200" t="s">
        <v>3697</v>
      </c>
      <c r="L692" s="201">
        <v>0.4</v>
      </c>
      <c r="M692" s="278" t="s">
        <v>3350</v>
      </c>
      <c r="N692" s="205">
        <v>749.54</v>
      </c>
      <c r="O692" s="254">
        <v>749.54</v>
      </c>
      <c r="P692" s="254">
        <v>599.63</v>
      </c>
      <c r="Q692" s="254">
        <v>599.63</v>
      </c>
      <c r="R692" s="203" t="s">
        <v>3484</v>
      </c>
      <c r="S692" s="254">
        <v>299.82</v>
      </c>
      <c r="T692" s="204">
        <v>44991</v>
      </c>
      <c r="U692" s="1262" t="s">
        <v>2080</v>
      </c>
      <c r="V692" s="254">
        <v>149.91</v>
      </c>
      <c r="W692" s="1262" t="s">
        <v>2228</v>
      </c>
      <c r="X692" s="258">
        <v>149.91</v>
      </c>
      <c r="Y692" s="192"/>
    </row>
    <row r="693" ht="37.5" customHeight="1" spans="1:25">
      <c r="A693" s="192">
        <f t="shared" si="21"/>
        <v>685</v>
      </c>
      <c r="B693" s="208">
        <v>2023</v>
      </c>
      <c r="C693" s="193" t="s">
        <v>37</v>
      </c>
      <c r="D693" s="277" t="s">
        <v>3297</v>
      </c>
      <c r="E693" s="195" t="s">
        <v>3698</v>
      </c>
      <c r="F693" s="196" t="s">
        <v>2073</v>
      </c>
      <c r="G693" s="197" t="s">
        <v>3239</v>
      </c>
      <c r="H693" s="198">
        <v>0.8</v>
      </c>
      <c r="I693" s="199">
        <v>70000</v>
      </c>
      <c r="J693" s="200" t="s">
        <v>2009</v>
      </c>
      <c r="K693" s="200" t="s">
        <v>3699</v>
      </c>
      <c r="L693" s="201">
        <v>0.4</v>
      </c>
      <c r="M693" s="278" t="s">
        <v>3292</v>
      </c>
      <c r="N693" s="205">
        <v>47500.03</v>
      </c>
      <c r="O693" s="254">
        <v>47500.03</v>
      </c>
      <c r="P693" s="254">
        <v>38000.03</v>
      </c>
      <c r="Q693" s="254">
        <v>38000.03</v>
      </c>
      <c r="R693" s="203" t="s">
        <v>3484</v>
      </c>
      <c r="S693" s="254">
        <v>19000.01</v>
      </c>
      <c r="T693" s="204">
        <v>44991</v>
      </c>
      <c r="U693" s="1262" t="s">
        <v>2080</v>
      </c>
      <c r="V693" s="254">
        <v>9500.01</v>
      </c>
      <c r="W693" s="1262" t="s">
        <v>2228</v>
      </c>
      <c r="X693" s="258">
        <v>9500.01</v>
      </c>
      <c r="Y693" s="192"/>
    </row>
    <row r="694" ht="37.5" customHeight="1" spans="1:25">
      <c r="A694" s="192">
        <f t="shared" si="21"/>
        <v>686</v>
      </c>
      <c r="B694" s="208">
        <v>2023</v>
      </c>
      <c r="C694" s="193" t="s">
        <v>37</v>
      </c>
      <c r="D694" s="277" t="s">
        <v>3700</v>
      </c>
      <c r="E694" s="195" t="s">
        <v>3701</v>
      </c>
      <c r="F694" s="196" t="s">
        <v>2073</v>
      </c>
      <c r="G694" s="197" t="s">
        <v>3239</v>
      </c>
      <c r="H694" s="198">
        <v>0.8</v>
      </c>
      <c r="I694" s="199">
        <v>17500</v>
      </c>
      <c r="J694" s="200" t="s">
        <v>2200</v>
      </c>
      <c r="K694" s="200" t="s">
        <v>3702</v>
      </c>
      <c r="L694" s="201">
        <v>0.4</v>
      </c>
      <c r="M694" s="278" t="s">
        <v>2714</v>
      </c>
      <c r="N694" s="205">
        <v>17166.68</v>
      </c>
      <c r="O694" s="254">
        <v>17166.68</v>
      </c>
      <c r="P694" s="254">
        <v>13733.34</v>
      </c>
      <c r="Q694" s="254">
        <v>13733.34</v>
      </c>
      <c r="R694" s="203" t="s">
        <v>3484</v>
      </c>
      <c r="S694" s="254">
        <v>6866.67</v>
      </c>
      <c r="T694" s="204">
        <v>44991</v>
      </c>
      <c r="U694" s="1262" t="s">
        <v>2080</v>
      </c>
      <c r="V694" s="254">
        <v>3433.34</v>
      </c>
      <c r="W694" s="1262" t="s">
        <v>2228</v>
      </c>
      <c r="X694" s="258">
        <v>3433.34</v>
      </c>
      <c r="Y694" s="192"/>
    </row>
    <row r="695" ht="37.5" customHeight="1" spans="1:25">
      <c r="A695" s="192">
        <f t="shared" si="21"/>
        <v>687</v>
      </c>
      <c r="B695" s="208">
        <v>2023</v>
      </c>
      <c r="C695" s="193" t="s">
        <v>37</v>
      </c>
      <c r="D695" s="277" t="s">
        <v>3703</v>
      </c>
      <c r="E695" s="195" t="s">
        <v>3704</v>
      </c>
      <c r="F695" s="196" t="s">
        <v>2073</v>
      </c>
      <c r="G695" s="197" t="s">
        <v>3239</v>
      </c>
      <c r="H695" s="198">
        <v>0.8</v>
      </c>
      <c r="I695" s="199">
        <v>300410</v>
      </c>
      <c r="J695" s="200" t="s">
        <v>2704</v>
      </c>
      <c r="K695" s="200" t="s">
        <v>2705</v>
      </c>
      <c r="L695" s="201">
        <v>0.4</v>
      </c>
      <c r="M695" s="278" t="s">
        <v>3402</v>
      </c>
      <c r="N695" s="205">
        <v>25084.5</v>
      </c>
      <c r="O695" s="254">
        <v>25084.5</v>
      </c>
      <c r="P695" s="254">
        <v>20067.6</v>
      </c>
      <c r="Q695" s="254">
        <v>20067.6</v>
      </c>
      <c r="R695" s="203" t="s">
        <v>3484</v>
      </c>
      <c r="S695" s="254">
        <v>10033.8</v>
      </c>
      <c r="T695" s="204">
        <v>44991</v>
      </c>
      <c r="U695" s="1262" t="s">
        <v>2080</v>
      </c>
      <c r="V695" s="254">
        <v>5016.9</v>
      </c>
      <c r="W695" s="1262" t="s">
        <v>2228</v>
      </c>
      <c r="X695" s="258">
        <v>5016.9</v>
      </c>
      <c r="Y695" s="192"/>
    </row>
    <row r="696" ht="37.5" customHeight="1" spans="1:25">
      <c r="A696" s="192">
        <f t="shared" si="21"/>
        <v>688</v>
      </c>
      <c r="B696" s="208">
        <v>2023</v>
      </c>
      <c r="C696" s="193" t="s">
        <v>37</v>
      </c>
      <c r="D696" s="277" t="s">
        <v>3598</v>
      </c>
      <c r="E696" s="195" t="s">
        <v>3705</v>
      </c>
      <c r="F696" s="196" t="s">
        <v>2073</v>
      </c>
      <c r="G696" s="197" t="s">
        <v>3239</v>
      </c>
      <c r="H696" s="198">
        <v>0.8</v>
      </c>
      <c r="I696" s="199">
        <v>14000</v>
      </c>
      <c r="J696" s="200" t="s">
        <v>3164</v>
      </c>
      <c r="K696" s="200" t="s">
        <v>3165</v>
      </c>
      <c r="L696" s="201">
        <v>0.4</v>
      </c>
      <c r="M696" s="278" t="s">
        <v>3308</v>
      </c>
      <c r="N696" s="205">
        <v>9333.4</v>
      </c>
      <c r="O696" s="254">
        <v>9333.4</v>
      </c>
      <c r="P696" s="254">
        <v>7466.71</v>
      </c>
      <c r="Q696" s="254">
        <v>7466.71</v>
      </c>
      <c r="R696" s="203" t="s">
        <v>3484</v>
      </c>
      <c r="S696" s="254">
        <v>3733.36</v>
      </c>
      <c r="T696" s="204">
        <v>44991</v>
      </c>
      <c r="U696" s="1262" t="s">
        <v>2080</v>
      </c>
      <c r="V696" s="254">
        <v>1866.68</v>
      </c>
      <c r="W696" s="1262" t="s">
        <v>2228</v>
      </c>
      <c r="X696" s="258">
        <v>1866.68</v>
      </c>
      <c r="Y696" s="192"/>
    </row>
    <row r="697" ht="37.5" customHeight="1" spans="1:25">
      <c r="A697" s="192">
        <f t="shared" si="21"/>
        <v>689</v>
      </c>
      <c r="B697" s="208">
        <v>2023</v>
      </c>
      <c r="C697" s="193" t="s">
        <v>37</v>
      </c>
      <c r="D697" s="277" t="s">
        <v>3418</v>
      </c>
      <c r="E697" s="195" t="s">
        <v>3706</v>
      </c>
      <c r="F697" s="196" t="s">
        <v>2073</v>
      </c>
      <c r="G697" s="197" t="s">
        <v>3239</v>
      </c>
      <c r="H697" s="198">
        <v>0.8</v>
      </c>
      <c r="I697" s="199">
        <v>13885.87</v>
      </c>
      <c r="J697" s="200" t="s">
        <v>1848</v>
      </c>
      <c r="K697" s="200" t="s">
        <v>2671</v>
      </c>
      <c r="L697" s="201">
        <v>0.4</v>
      </c>
      <c r="M697" s="278" t="s">
        <v>3420</v>
      </c>
      <c r="N697" s="205">
        <v>1125</v>
      </c>
      <c r="O697" s="254">
        <v>1125</v>
      </c>
      <c r="P697" s="254">
        <v>900</v>
      </c>
      <c r="Q697" s="254">
        <v>900</v>
      </c>
      <c r="R697" s="203" t="s">
        <v>3484</v>
      </c>
      <c r="S697" s="254">
        <v>450</v>
      </c>
      <c r="T697" s="204">
        <v>44991</v>
      </c>
      <c r="U697" s="1262" t="s">
        <v>2080</v>
      </c>
      <c r="V697" s="254">
        <v>225</v>
      </c>
      <c r="W697" s="1262" t="s">
        <v>2228</v>
      </c>
      <c r="X697" s="258">
        <v>225</v>
      </c>
      <c r="Y697" s="192"/>
    </row>
    <row r="698" ht="37.5" customHeight="1" spans="1:25">
      <c r="A698" s="192">
        <f t="shared" si="21"/>
        <v>690</v>
      </c>
      <c r="B698" s="208">
        <v>2023</v>
      </c>
      <c r="C698" s="193" t="s">
        <v>37</v>
      </c>
      <c r="D698" s="277" t="s">
        <v>3707</v>
      </c>
      <c r="E698" s="195" t="s">
        <v>3708</v>
      </c>
      <c r="F698" s="196" t="s">
        <v>2073</v>
      </c>
      <c r="G698" s="197" t="s">
        <v>3239</v>
      </c>
      <c r="H698" s="198">
        <v>0.8</v>
      </c>
      <c r="I698" s="199">
        <v>61000</v>
      </c>
      <c r="J698" s="200" t="s">
        <v>3578</v>
      </c>
      <c r="K698" s="200" t="s">
        <v>3579</v>
      </c>
      <c r="L698" s="201">
        <v>0.4</v>
      </c>
      <c r="M698" s="278" t="s">
        <v>3670</v>
      </c>
      <c r="N698" s="205">
        <v>40666.68</v>
      </c>
      <c r="O698" s="254">
        <v>40666.68</v>
      </c>
      <c r="P698" s="254">
        <v>32533.34</v>
      </c>
      <c r="Q698" s="254">
        <v>32533.34</v>
      </c>
      <c r="R698" s="203" t="s">
        <v>3484</v>
      </c>
      <c r="S698" s="254">
        <v>16266.67</v>
      </c>
      <c r="T698" s="204">
        <v>44991</v>
      </c>
      <c r="U698" s="1262" t="s">
        <v>2080</v>
      </c>
      <c r="V698" s="254">
        <v>8133.34</v>
      </c>
      <c r="W698" s="1262" t="s">
        <v>2228</v>
      </c>
      <c r="X698" s="258">
        <v>8133.34</v>
      </c>
      <c r="Y698" s="192"/>
    </row>
    <row r="699" ht="37.5" customHeight="1" spans="1:25">
      <c r="A699" s="192">
        <f t="shared" si="21"/>
        <v>691</v>
      </c>
      <c r="B699" s="208">
        <v>2023</v>
      </c>
      <c r="C699" s="193" t="s">
        <v>37</v>
      </c>
      <c r="D699" s="277" t="s">
        <v>3709</v>
      </c>
      <c r="E699" s="195" t="s">
        <v>3710</v>
      </c>
      <c r="F699" s="196" t="s">
        <v>2073</v>
      </c>
      <c r="G699" s="197" t="s">
        <v>3239</v>
      </c>
      <c r="H699" s="198">
        <v>0.8</v>
      </c>
      <c r="I699" s="199">
        <v>68000</v>
      </c>
      <c r="J699" s="200" t="s">
        <v>3010</v>
      </c>
      <c r="K699" s="200" t="s">
        <v>2373</v>
      </c>
      <c r="L699" s="201">
        <v>0.4</v>
      </c>
      <c r="M699" s="278" t="s">
        <v>3711</v>
      </c>
      <c r="N699" s="205">
        <v>6000</v>
      </c>
      <c r="O699" s="254">
        <v>6000</v>
      </c>
      <c r="P699" s="254">
        <v>4800</v>
      </c>
      <c r="Q699" s="254">
        <v>4800</v>
      </c>
      <c r="R699" s="203" t="s">
        <v>3484</v>
      </c>
      <c r="S699" s="254">
        <v>2400</v>
      </c>
      <c r="T699" s="204">
        <v>44991</v>
      </c>
      <c r="U699" s="1262" t="s">
        <v>2080</v>
      </c>
      <c r="V699" s="254">
        <v>1200</v>
      </c>
      <c r="W699" s="1262" t="s">
        <v>2228</v>
      </c>
      <c r="X699" s="258">
        <v>1200</v>
      </c>
      <c r="Y699" s="192"/>
    </row>
    <row r="700" ht="37.5" customHeight="1" spans="1:25">
      <c r="A700" s="192">
        <f t="shared" si="21"/>
        <v>692</v>
      </c>
      <c r="B700" s="208">
        <v>2023</v>
      </c>
      <c r="C700" s="193" t="s">
        <v>37</v>
      </c>
      <c r="D700" s="277" t="s">
        <v>3712</v>
      </c>
      <c r="E700" s="195" t="s">
        <v>3713</v>
      </c>
      <c r="F700" s="196" t="s">
        <v>2073</v>
      </c>
      <c r="G700" s="197" t="s">
        <v>3239</v>
      </c>
      <c r="H700" s="198">
        <v>0.8</v>
      </c>
      <c r="I700" s="199">
        <v>121000</v>
      </c>
      <c r="J700" s="200" t="s">
        <v>2083</v>
      </c>
      <c r="K700" s="200" t="s">
        <v>2084</v>
      </c>
      <c r="L700" s="201">
        <v>0.4</v>
      </c>
      <c r="M700" s="278" t="s">
        <v>3670</v>
      </c>
      <c r="N700" s="205">
        <v>11616.57</v>
      </c>
      <c r="O700" s="254">
        <v>11616.57</v>
      </c>
      <c r="P700" s="254">
        <v>9293.26</v>
      </c>
      <c r="Q700" s="254">
        <v>9293.26</v>
      </c>
      <c r="R700" s="203" t="s">
        <v>3484</v>
      </c>
      <c r="S700" s="254">
        <v>4646.63</v>
      </c>
      <c r="T700" s="204">
        <v>44991</v>
      </c>
      <c r="U700" s="1262" t="s">
        <v>2080</v>
      </c>
      <c r="V700" s="254">
        <v>2323.32</v>
      </c>
      <c r="W700" s="1262" t="s">
        <v>2228</v>
      </c>
      <c r="X700" s="258">
        <v>2323.32</v>
      </c>
      <c r="Y700" s="192"/>
    </row>
    <row r="701" ht="37.5" customHeight="1" spans="1:25">
      <c r="A701" s="192">
        <f t="shared" si="21"/>
        <v>693</v>
      </c>
      <c r="B701" s="208">
        <v>2023</v>
      </c>
      <c r="C701" s="193" t="s">
        <v>37</v>
      </c>
      <c r="D701" s="277" t="s">
        <v>3714</v>
      </c>
      <c r="E701" s="195" t="s">
        <v>3715</v>
      </c>
      <c r="F701" s="196" t="s">
        <v>2073</v>
      </c>
      <c r="G701" s="197" t="s">
        <v>3239</v>
      </c>
      <c r="H701" s="198">
        <v>0.8</v>
      </c>
      <c r="I701" s="199">
        <v>19000</v>
      </c>
      <c r="J701" s="200" t="s">
        <v>2304</v>
      </c>
      <c r="K701" s="200" t="s">
        <v>3716</v>
      </c>
      <c r="L701" s="201">
        <v>0.4</v>
      </c>
      <c r="M701" s="278" t="s">
        <v>3717</v>
      </c>
      <c r="N701" s="205">
        <v>16139.49</v>
      </c>
      <c r="O701" s="254">
        <v>16139.49</v>
      </c>
      <c r="P701" s="254">
        <v>12911.59</v>
      </c>
      <c r="Q701" s="254">
        <v>12911.59</v>
      </c>
      <c r="R701" s="203" t="s">
        <v>3484</v>
      </c>
      <c r="S701" s="254">
        <v>6455.8</v>
      </c>
      <c r="T701" s="204">
        <v>44991</v>
      </c>
      <c r="U701" s="203"/>
      <c r="V701" s="254"/>
      <c r="W701" s="203"/>
      <c r="X701" s="206"/>
      <c r="Y701" s="203" t="s">
        <v>1077</v>
      </c>
    </row>
    <row r="702" ht="37.5" customHeight="1" spans="1:25">
      <c r="A702" s="192">
        <f t="shared" si="21"/>
        <v>694</v>
      </c>
      <c r="B702" s="208">
        <v>2023</v>
      </c>
      <c r="C702" s="193" t="s">
        <v>37</v>
      </c>
      <c r="D702" s="277" t="s">
        <v>3560</v>
      </c>
      <c r="E702" s="195" t="s">
        <v>3718</v>
      </c>
      <c r="F702" s="196" t="s">
        <v>2073</v>
      </c>
      <c r="G702" s="197" t="s">
        <v>3239</v>
      </c>
      <c r="H702" s="198">
        <v>0.8</v>
      </c>
      <c r="I702" s="199">
        <v>26500</v>
      </c>
      <c r="J702" s="200" t="s">
        <v>3719</v>
      </c>
      <c r="K702" s="200" t="s">
        <v>3720</v>
      </c>
      <c r="L702" s="201">
        <v>0.4</v>
      </c>
      <c r="M702" s="278" t="s">
        <v>3308</v>
      </c>
      <c r="N702" s="205">
        <v>24666.68</v>
      </c>
      <c r="O702" s="205">
        <v>24666.68</v>
      </c>
      <c r="P702" s="254">
        <v>19733.34</v>
      </c>
      <c r="Q702" s="254">
        <v>19733.34</v>
      </c>
      <c r="R702" s="203" t="s">
        <v>3484</v>
      </c>
      <c r="S702" s="254">
        <v>9866.67</v>
      </c>
      <c r="T702" s="204">
        <v>44991</v>
      </c>
      <c r="U702" s="203"/>
      <c r="V702" s="254"/>
      <c r="W702" s="203"/>
      <c r="X702" s="206"/>
      <c r="Y702" s="203" t="s">
        <v>1077</v>
      </c>
    </row>
    <row r="703" ht="37.5" customHeight="1" spans="1:25">
      <c r="A703" s="192">
        <f t="shared" si="21"/>
        <v>695</v>
      </c>
      <c r="B703" s="208">
        <v>2023</v>
      </c>
      <c r="C703" s="193" t="s">
        <v>37</v>
      </c>
      <c r="D703" s="277" t="s">
        <v>3547</v>
      </c>
      <c r="E703" s="195" t="s">
        <v>3721</v>
      </c>
      <c r="F703" s="196" t="s">
        <v>2073</v>
      </c>
      <c r="G703" s="197" t="s">
        <v>3239</v>
      </c>
      <c r="H703" s="198">
        <v>0.8</v>
      </c>
      <c r="I703" s="199">
        <v>15059.64</v>
      </c>
      <c r="J703" s="200" t="s">
        <v>2307</v>
      </c>
      <c r="K703" s="200" t="s">
        <v>3722</v>
      </c>
      <c r="L703" s="201">
        <v>0.4</v>
      </c>
      <c r="M703" s="278" t="s">
        <v>2008</v>
      </c>
      <c r="N703" s="205">
        <v>7051.68</v>
      </c>
      <c r="O703" s="254">
        <v>7051.68</v>
      </c>
      <c r="P703" s="254">
        <v>5641.34</v>
      </c>
      <c r="Q703" s="254">
        <v>5641.34</v>
      </c>
      <c r="R703" s="203" t="s">
        <v>3484</v>
      </c>
      <c r="S703" s="254">
        <v>2820.67</v>
      </c>
      <c r="T703" s="204">
        <v>44991</v>
      </c>
      <c r="U703" s="203"/>
      <c r="V703" s="254"/>
      <c r="W703" s="203"/>
      <c r="X703" s="206"/>
      <c r="Y703" s="203" t="s">
        <v>1077</v>
      </c>
    </row>
    <row r="704" ht="37.5" customHeight="1" spans="1:25">
      <c r="A704" s="192">
        <f t="shared" si="21"/>
        <v>696</v>
      </c>
      <c r="B704" s="208">
        <v>2023</v>
      </c>
      <c r="C704" s="193" t="s">
        <v>37</v>
      </c>
      <c r="D704" s="277" t="s">
        <v>3531</v>
      </c>
      <c r="E704" s="195" t="s">
        <v>3723</v>
      </c>
      <c r="F704" s="196" t="s">
        <v>2073</v>
      </c>
      <c r="G704" s="197" t="s">
        <v>3239</v>
      </c>
      <c r="H704" s="198">
        <v>0.8</v>
      </c>
      <c r="I704" s="199">
        <v>21000</v>
      </c>
      <c r="J704" s="200" t="s">
        <v>2368</v>
      </c>
      <c r="K704" s="200" t="s">
        <v>2955</v>
      </c>
      <c r="L704" s="201">
        <v>0.4</v>
      </c>
      <c r="M704" s="278" t="s">
        <v>2281</v>
      </c>
      <c r="N704" s="205">
        <v>19250</v>
      </c>
      <c r="O704" s="254">
        <v>19250</v>
      </c>
      <c r="P704" s="254">
        <v>15400</v>
      </c>
      <c r="Q704" s="254">
        <v>15400</v>
      </c>
      <c r="R704" s="203" t="s">
        <v>3484</v>
      </c>
      <c r="S704" s="254">
        <v>7700</v>
      </c>
      <c r="T704" s="204">
        <v>44991</v>
      </c>
      <c r="U704" s="203"/>
      <c r="V704" s="254"/>
      <c r="W704" s="203"/>
      <c r="X704" s="206"/>
      <c r="Y704" s="203" t="s">
        <v>1077</v>
      </c>
    </row>
    <row r="705" ht="37.5" customHeight="1" spans="1:25">
      <c r="A705" s="192">
        <f t="shared" si="21"/>
        <v>697</v>
      </c>
      <c r="B705" s="208">
        <v>2023</v>
      </c>
      <c r="C705" s="193" t="s">
        <v>37</v>
      </c>
      <c r="D705" s="277" t="s">
        <v>3724</v>
      </c>
      <c r="E705" s="195" t="s">
        <v>3725</v>
      </c>
      <c r="F705" s="196" t="s">
        <v>2073</v>
      </c>
      <c r="G705" s="197" t="s">
        <v>3239</v>
      </c>
      <c r="H705" s="198">
        <v>0.8</v>
      </c>
      <c r="I705" s="199">
        <v>802000</v>
      </c>
      <c r="J705" s="200" t="s">
        <v>2172</v>
      </c>
      <c r="K705" s="200" t="s">
        <v>2173</v>
      </c>
      <c r="L705" s="201">
        <v>0.4</v>
      </c>
      <c r="M705" s="278" t="s">
        <v>2714</v>
      </c>
      <c r="N705" s="205">
        <v>109250.07</v>
      </c>
      <c r="O705" s="254">
        <v>109250.07</v>
      </c>
      <c r="P705" s="254">
        <v>87400.05</v>
      </c>
      <c r="Q705" s="254">
        <v>87400.05</v>
      </c>
      <c r="R705" s="1262" t="s">
        <v>3726</v>
      </c>
      <c r="S705" s="254">
        <v>43700.03</v>
      </c>
      <c r="T705" s="204">
        <v>45016</v>
      </c>
      <c r="U705" s="1262" t="s">
        <v>2096</v>
      </c>
      <c r="V705" s="254">
        <v>21850.01</v>
      </c>
      <c r="W705" s="1262" t="s">
        <v>2228</v>
      </c>
      <c r="X705" s="258">
        <v>21850.01</v>
      </c>
      <c r="Y705" s="192"/>
    </row>
    <row r="706" ht="37.5" customHeight="1" spans="1:25">
      <c r="A706" s="192">
        <f t="shared" si="21"/>
        <v>698</v>
      </c>
      <c r="B706" s="208">
        <v>2023</v>
      </c>
      <c r="C706" s="193" t="s">
        <v>37</v>
      </c>
      <c r="D706" s="277" t="s">
        <v>3727</v>
      </c>
      <c r="E706" s="195" t="s">
        <v>3728</v>
      </c>
      <c r="F706" s="196" t="s">
        <v>2073</v>
      </c>
      <c r="G706" s="197" t="s">
        <v>3239</v>
      </c>
      <c r="H706" s="198">
        <v>0.8</v>
      </c>
      <c r="I706" s="199">
        <v>650600</v>
      </c>
      <c r="J706" s="200" t="s">
        <v>2132</v>
      </c>
      <c r="K706" s="200" t="s">
        <v>2133</v>
      </c>
      <c r="L706" s="201">
        <v>0.4</v>
      </c>
      <c r="M706" s="278" t="s">
        <v>3479</v>
      </c>
      <c r="N706" s="205">
        <v>46666.75</v>
      </c>
      <c r="O706" s="254">
        <v>46666.75</v>
      </c>
      <c r="P706" s="254">
        <v>37333.4</v>
      </c>
      <c r="Q706" s="254">
        <v>37333.4</v>
      </c>
      <c r="R706" s="1262" t="s">
        <v>3726</v>
      </c>
      <c r="S706" s="254">
        <v>18666.7</v>
      </c>
      <c r="T706" s="204">
        <v>45016</v>
      </c>
      <c r="U706" s="1262" t="s">
        <v>2096</v>
      </c>
      <c r="V706" s="254">
        <v>9333.35</v>
      </c>
      <c r="W706" s="1262" t="s">
        <v>2228</v>
      </c>
      <c r="X706" s="258">
        <v>9333.35</v>
      </c>
      <c r="Y706" s="192"/>
    </row>
    <row r="707" ht="37.5" customHeight="1" spans="1:25">
      <c r="A707" s="192">
        <f t="shared" si="21"/>
        <v>699</v>
      </c>
      <c r="B707" s="208">
        <v>2023</v>
      </c>
      <c r="C707" s="193" t="s">
        <v>37</v>
      </c>
      <c r="D707" s="277" t="s">
        <v>3729</v>
      </c>
      <c r="E707" s="195" t="s">
        <v>3730</v>
      </c>
      <c r="F707" s="196" t="s">
        <v>2073</v>
      </c>
      <c r="G707" s="197" t="s">
        <v>3239</v>
      </c>
      <c r="H707" s="198">
        <v>0.8</v>
      </c>
      <c r="I707" s="199">
        <v>700030</v>
      </c>
      <c r="J707" s="200" t="s">
        <v>2363</v>
      </c>
      <c r="K707" s="200" t="s">
        <v>2364</v>
      </c>
      <c r="L707" s="201">
        <v>0.4</v>
      </c>
      <c r="M707" s="278" t="s">
        <v>2446</v>
      </c>
      <c r="N707" s="205">
        <v>86875.92</v>
      </c>
      <c r="O707" s="254">
        <v>86875.92</v>
      </c>
      <c r="P707" s="254">
        <v>69500.74</v>
      </c>
      <c r="Q707" s="254">
        <v>69500.74</v>
      </c>
      <c r="R707" s="1262" t="s">
        <v>3726</v>
      </c>
      <c r="S707" s="254">
        <v>34750.37</v>
      </c>
      <c r="T707" s="204">
        <v>45016</v>
      </c>
      <c r="U707" s="1262" t="s">
        <v>2096</v>
      </c>
      <c r="V707" s="254">
        <v>17375.18</v>
      </c>
      <c r="W707" s="1262" t="s">
        <v>2228</v>
      </c>
      <c r="X707" s="258">
        <v>17375.18</v>
      </c>
      <c r="Y707" s="192"/>
    </row>
    <row r="708" ht="37.5" customHeight="1" spans="1:25">
      <c r="A708" s="192">
        <f t="shared" si="21"/>
        <v>700</v>
      </c>
      <c r="B708" s="208">
        <v>2023</v>
      </c>
      <c r="C708" s="193" t="s">
        <v>37</v>
      </c>
      <c r="D708" s="277" t="s">
        <v>3134</v>
      </c>
      <c r="E708" s="195" t="s">
        <v>3731</v>
      </c>
      <c r="F708" s="196" t="s">
        <v>2073</v>
      </c>
      <c r="G708" s="197" t="s">
        <v>3239</v>
      </c>
      <c r="H708" s="198">
        <v>0.8</v>
      </c>
      <c r="I708" s="199">
        <v>172000</v>
      </c>
      <c r="J708" s="200" t="s">
        <v>2349</v>
      </c>
      <c r="K708" s="200" t="s">
        <v>2350</v>
      </c>
      <c r="L708" s="201">
        <v>0.4</v>
      </c>
      <c r="M708" s="278" t="s">
        <v>3464</v>
      </c>
      <c r="N708" s="205">
        <v>22281.02</v>
      </c>
      <c r="O708" s="254">
        <v>22281.02</v>
      </c>
      <c r="P708" s="254">
        <v>17824.82</v>
      </c>
      <c r="Q708" s="254">
        <v>17824.82</v>
      </c>
      <c r="R708" s="1262" t="s">
        <v>3726</v>
      </c>
      <c r="S708" s="254">
        <v>8912.41</v>
      </c>
      <c r="T708" s="204">
        <v>45016</v>
      </c>
      <c r="U708" s="1262" t="s">
        <v>2096</v>
      </c>
      <c r="V708" s="254">
        <v>4456.2</v>
      </c>
      <c r="W708" s="1262" t="s">
        <v>2133</v>
      </c>
      <c r="X708" s="258">
        <v>4456.2</v>
      </c>
      <c r="Y708" s="192"/>
    </row>
    <row r="709" ht="37.5" customHeight="1" spans="1:25">
      <c r="A709" s="192">
        <f t="shared" si="21"/>
        <v>701</v>
      </c>
      <c r="B709" s="208">
        <v>2023</v>
      </c>
      <c r="C709" s="193" t="s">
        <v>37</v>
      </c>
      <c r="D709" s="277" t="s">
        <v>3732</v>
      </c>
      <c r="E709" s="195" t="s">
        <v>3733</v>
      </c>
      <c r="F709" s="196" t="s">
        <v>2073</v>
      </c>
      <c r="G709" s="197" t="s">
        <v>3239</v>
      </c>
      <c r="H709" s="198">
        <v>0.8</v>
      </c>
      <c r="I709" s="199">
        <v>301950</v>
      </c>
      <c r="J709" s="200" t="s">
        <v>3734</v>
      </c>
      <c r="K709" s="200" t="s">
        <v>2564</v>
      </c>
      <c r="L709" s="201">
        <v>0.4</v>
      </c>
      <c r="M709" s="278" t="s">
        <v>3735</v>
      </c>
      <c r="N709" s="205">
        <v>32295.05</v>
      </c>
      <c r="O709" s="254">
        <v>32295.05</v>
      </c>
      <c r="P709" s="254">
        <v>25836.04</v>
      </c>
      <c r="Q709" s="254">
        <v>25836.04</v>
      </c>
      <c r="R709" s="1262" t="s">
        <v>3726</v>
      </c>
      <c r="S709" s="254">
        <v>12918.02</v>
      </c>
      <c r="T709" s="204">
        <v>45016</v>
      </c>
      <c r="U709" s="1262" t="s">
        <v>2096</v>
      </c>
      <c r="V709" s="254">
        <v>6459.01</v>
      </c>
      <c r="W709" s="1262" t="s">
        <v>2133</v>
      </c>
      <c r="X709" s="206">
        <v>6459.01</v>
      </c>
      <c r="Y709" s="192"/>
    </row>
    <row r="710" s="87" customFormat="1" ht="37.5" customHeight="1" spans="1:25">
      <c r="A710" s="192">
        <f t="shared" si="21"/>
        <v>702</v>
      </c>
      <c r="B710" s="208">
        <v>2023</v>
      </c>
      <c r="C710" s="193" t="s">
        <v>37</v>
      </c>
      <c r="D710" s="277" t="s">
        <v>3736</v>
      </c>
      <c r="E710" s="195" t="s">
        <v>3737</v>
      </c>
      <c r="F710" s="196" t="s">
        <v>2073</v>
      </c>
      <c r="G710" s="197" t="s">
        <v>3239</v>
      </c>
      <c r="H710" s="198">
        <v>0.8</v>
      </c>
      <c r="I710" s="199">
        <v>65160</v>
      </c>
      <c r="J710" s="200" t="s">
        <v>1844</v>
      </c>
      <c r="K710" s="200" t="s">
        <v>2532</v>
      </c>
      <c r="L710" s="201">
        <v>0.4</v>
      </c>
      <c r="M710" s="278" t="s">
        <v>3738</v>
      </c>
      <c r="N710" s="205">
        <v>22000</v>
      </c>
      <c r="O710" s="254">
        <v>22000</v>
      </c>
      <c r="P710" s="254">
        <v>17600</v>
      </c>
      <c r="Q710" s="254">
        <v>17600</v>
      </c>
      <c r="R710" s="1262" t="s">
        <v>3726</v>
      </c>
      <c r="S710" s="254">
        <v>8800</v>
      </c>
      <c r="T710" s="204">
        <v>45016</v>
      </c>
      <c r="U710" s="1262" t="s">
        <v>2096</v>
      </c>
      <c r="V710" s="254">
        <v>4400</v>
      </c>
      <c r="W710" s="1262" t="s">
        <v>2133</v>
      </c>
      <c r="X710" s="258">
        <v>4400</v>
      </c>
      <c r="Y710" s="192"/>
    </row>
    <row r="711" ht="37.5" customHeight="1" spans="1:25">
      <c r="A711" s="192">
        <f t="shared" si="21"/>
        <v>703</v>
      </c>
      <c r="B711" s="208">
        <v>2023</v>
      </c>
      <c r="C711" s="193" t="s">
        <v>37</v>
      </c>
      <c r="D711" s="277" t="s">
        <v>3739</v>
      </c>
      <c r="E711" s="195" t="s">
        <v>3740</v>
      </c>
      <c r="F711" s="196" t="s">
        <v>2073</v>
      </c>
      <c r="G711" s="197" t="s">
        <v>3239</v>
      </c>
      <c r="H711" s="198">
        <v>0.8</v>
      </c>
      <c r="I711" s="199">
        <v>58500</v>
      </c>
      <c r="J711" s="200" t="s">
        <v>3127</v>
      </c>
      <c r="K711" s="200" t="s">
        <v>2535</v>
      </c>
      <c r="L711" s="201">
        <v>0.4</v>
      </c>
      <c r="M711" s="278" t="s">
        <v>3246</v>
      </c>
      <c r="N711" s="205">
        <v>4650</v>
      </c>
      <c r="O711" s="254">
        <v>4650</v>
      </c>
      <c r="P711" s="254">
        <v>3720</v>
      </c>
      <c r="Q711" s="254">
        <v>3720</v>
      </c>
      <c r="R711" s="1262" t="s">
        <v>3726</v>
      </c>
      <c r="S711" s="254">
        <v>1860</v>
      </c>
      <c r="T711" s="204">
        <v>45016</v>
      </c>
      <c r="U711" s="203"/>
      <c r="V711" s="254"/>
      <c r="W711" s="203"/>
      <c r="X711" s="258"/>
      <c r="Y711" s="258" t="s">
        <v>2145</v>
      </c>
    </row>
    <row r="712" ht="37.5" customHeight="1" spans="1:25">
      <c r="A712" s="192">
        <f t="shared" si="21"/>
        <v>704</v>
      </c>
      <c r="B712" s="208">
        <v>2023</v>
      </c>
      <c r="C712" s="193" t="s">
        <v>37</v>
      </c>
      <c r="D712" s="277" t="s">
        <v>3741</v>
      </c>
      <c r="E712" s="195" t="s">
        <v>3742</v>
      </c>
      <c r="F712" s="196" t="s">
        <v>2073</v>
      </c>
      <c r="G712" s="197" t="s">
        <v>3239</v>
      </c>
      <c r="H712" s="198">
        <v>0.8</v>
      </c>
      <c r="I712" s="199">
        <v>71950</v>
      </c>
      <c r="J712" s="200" t="s">
        <v>3743</v>
      </c>
      <c r="K712" s="200" t="s">
        <v>2538</v>
      </c>
      <c r="L712" s="201">
        <v>0.4</v>
      </c>
      <c r="M712" s="278" t="s">
        <v>3474</v>
      </c>
      <c r="N712" s="205">
        <v>2833.38</v>
      </c>
      <c r="O712" s="254">
        <v>2833.38</v>
      </c>
      <c r="P712" s="254">
        <v>2266.7</v>
      </c>
      <c r="Q712" s="254">
        <v>2266.7</v>
      </c>
      <c r="R712" s="1262" t="s">
        <v>3726</v>
      </c>
      <c r="S712" s="254">
        <v>1133.35</v>
      </c>
      <c r="T712" s="204">
        <v>45016</v>
      </c>
      <c r="U712" s="203"/>
      <c r="V712" s="254"/>
      <c r="W712" s="203"/>
      <c r="X712" s="258"/>
      <c r="Y712" s="258" t="s">
        <v>2145</v>
      </c>
    </row>
    <row r="713" s="88" customFormat="1" ht="37.5" customHeight="1" spans="1:25">
      <c r="A713" s="192">
        <f t="shared" si="21"/>
        <v>705</v>
      </c>
      <c r="B713" s="208">
        <v>2023</v>
      </c>
      <c r="C713" s="193" t="s">
        <v>37</v>
      </c>
      <c r="D713" s="277" t="s">
        <v>3744</v>
      </c>
      <c r="E713" s="195" t="s">
        <v>3745</v>
      </c>
      <c r="F713" s="196" t="s">
        <v>2073</v>
      </c>
      <c r="G713" s="197" t="s">
        <v>3239</v>
      </c>
      <c r="H713" s="198">
        <v>0.8</v>
      </c>
      <c r="I713" s="199">
        <v>63000</v>
      </c>
      <c r="J713" s="200" t="s">
        <v>2284</v>
      </c>
      <c r="K713" s="200" t="s">
        <v>2520</v>
      </c>
      <c r="L713" s="201">
        <v>0.4</v>
      </c>
      <c r="M713" s="278" t="s">
        <v>2447</v>
      </c>
      <c r="N713" s="205">
        <v>3750</v>
      </c>
      <c r="O713" s="254">
        <v>3750</v>
      </c>
      <c r="P713" s="254">
        <v>3000</v>
      </c>
      <c r="Q713" s="254">
        <v>3000</v>
      </c>
      <c r="R713" s="1262" t="s">
        <v>3726</v>
      </c>
      <c r="S713" s="254">
        <v>1500</v>
      </c>
      <c r="T713" s="204">
        <v>45016</v>
      </c>
      <c r="U713" s="1262" t="s">
        <v>2096</v>
      </c>
      <c r="V713" s="254">
        <v>750</v>
      </c>
      <c r="W713" s="1262" t="s">
        <v>2133</v>
      </c>
      <c r="X713" s="206">
        <v>750</v>
      </c>
      <c r="Y713" s="192"/>
    </row>
    <row r="714" ht="37.5" customHeight="1" spans="1:25">
      <c r="A714" s="192">
        <f t="shared" si="21"/>
        <v>706</v>
      </c>
      <c r="B714" s="208">
        <v>2023</v>
      </c>
      <c r="C714" s="193" t="s">
        <v>37</v>
      </c>
      <c r="D714" s="277" t="s">
        <v>3746</v>
      </c>
      <c r="E714" s="195" t="s">
        <v>3747</v>
      </c>
      <c r="F714" s="196" t="s">
        <v>2073</v>
      </c>
      <c r="G714" s="197" t="s">
        <v>3239</v>
      </c>
      <c r="H714" s="198">
        <v>0.8</v>
      </c>
      <c r="I714" s="199">
        <v>65000</v>
      </c>
      <c r="J714" s="200" t="s">
        <v>2203</v>
      </c>
      <c r="K714" s="200" t="s">
        <v>2204</v>
      </c>
      <c r="L714" s="201">
        <v>0.4</v>
      </c>
      <c r="M714" s="278" t="s">
        <v>3748</v>
      </c>
      <c r="N714" s="205">
        <v>17666.72</v>
      </c>
      <c r="O714" s="254">
        <v>17666.72</v>
      </c>
      <c r="P714" s="254">
        <v>14133.38</v>
      </c>
      <c r="Q714" s="254">
        <v>14133.38</v>
      </c>
      <c r="R714" s="1262" t="s">
        <v>3726</v>
      </c>
      <c r="S714" s="254">
        <v>7066.69</v>
      </c>
      <c r="T714" s="204">
        <v>45016</v>
      </c>
      <c r="U714" s="1262" t="s">
        <v>2096</v>
      </c>
      <c r="V714" s="254">
        <v>3533.34</v>
      </c>
      <c r="W714" s="1262" t="s">
        <v>2133</v>
      </c>
      <c r="X714" s="258">
        <v>3533.34</v>
      </c>
      <c r="Y714" s="192"/>
    </row>
    <row r="715" ht="37.5" customHeight="1" spans="1:25">
      <c r="A715" s="192">
        <f t="shared" si="21"/>
        <v>707</v>
      </c>
      <c r="B715" s="208">
        <v>2023</v>
      </c>
      <c r="C715" s="193" t="s">
        <v>37</v>
      </c>
      <c r="D715" s="277" t="s">
        <v>3749</v>
      </c>
      <c r="E715" s="195" t="s">
        <v>3750</v>
      </c>
      <c r="F715" s="196" t="s">
        <v>2073</v>
      </c>
      <c r="G715" s="197" t="s">
        <v>3239</v>
      </c>
      <c r="H715" s="198">
        <v>0.8</v>
      </c>
      <c r="I715" s="199">
        <v>242400</v>
      </c>
      <c r="J715" s="200" t="s">
        <v>2302</v>
      </c>
      <c r="K715" s="200" t="s">
        <v>2303</v>
      </c>
      <c r="L715" s="201">
        <v>0.4</v>
      </c>
      <c r="M715" s="278" t="s">
        <v>3246</v>
      </c>
      <c r="N715" s="205">
        <v>12750.1</v>
      </c>
      <c r="O715" s="254">
        <v>12750.1</v>
      </c>
      <c r="P715" s="254">
        <v>10200.08</v>
      </c>
      <c r="Q715" s="254">
        <v>10200.08</v>
      </c>
      <c r="R715" s="1262" t="s">
        <v>3726</v>
      </c>
      <c r="S715" s="254">
        <v>5100.04</v>
      </c>
      <c r="T715" s="204">
        <v>45016</v>
      </c>
      <c r="U715" s="1262" t="s">
        <v>2096</v>
      </c>
      <c r="V715" s="254">
        <v>2550.02</v>
      </c>
      <c r="W715" s="1262" t="s">
        <v>2133</v>
      </c>
      <c r="X715" s="258">
        <v>2550.02</v>
      </c>
      <c r="Y715" s="192"/>
    </row>
    <row r="716" ht="37.5" customHeight="1" spans="1:25">
      <c r="A716" s="192">
        <f t="shared" si="21"/>
        <v>708</v>
      </c>
      <c r="B716" s="208">
        <v>2023</v>
      </c>
      <c r="C716" s="193" t="s">
        <v>37</v>
      </c>
      <c r="D716" s="277" t="s">
        <v>3751</v>
      </c>
      <c r="E716" s="195" t="s">
        <v>3752</v>
      </c>
      <c r="F716" s="196" t="s">
        <v>2073</v>
      </c>
      <c r="G716" s="197" t="s">
        <v>3239</v>
      </c>
      <c r="H716" s="198">
        <v>0.8</v>
      </c>
      <c r="I716" s="199">
        <v>92130</v>
      </c>
      <c r="J716" s="200" t="s">
        <v>2302</v>
      </c>
      <c r="K716" s="200" t="s">
        <v>2303</v>
      </c>
      <c r="L716" s="201">
        <v>0.4</v>
      </c>
      <c r="M716" s="278" t="s">
        <v>3416</v>
      </c>
      <c r="N716" s="205">
        <v>17265.14</v>
      </c>
      <c r="O716" s="254">
        <v>17265.14</v>
      </c>
      <c r="P716" s="254">
        <v>13812.11</v>
      </c>
      <c r="Q716" s="254">
        <v>13812.11</v>
      </c>
      <c r="R716" s="1262" t="s">
        <v>3726</v>
      </c>
      <c r="S716" s="254">
        <v>6906.06</v>
      </c>
      <c r="T716" s="204">
        <v>45016</v>
      </c>
      <c r="U716" s="1262" t="s">
        <v>2096</v>
      </c>
      <c r="V716" s="254">
        <v>3453.03</v>
      </c>
      <c r="W716" s="1262" t="s">
        <v>2133</v>
      </c>
      <c r="X716" s="258">
        <v>3453.03</v>
      </c>
      <c r="Y716" s="192"/>
    </row>
    <row r="717" ht="37.5" customHeight="1" spans="1:25">
      <c r="A717" s="192">
        <f t="shared" si="21"/>
        <v>709</v>
      </c>
      <c r="B717" s="208">
        <v>2023</v>
      </c>
      <c r="C717" s="193" t="s">
        <v>37</v>
      </c>
      <c r="D717" s="277" t="s">
        <v>3753</v>
      </c>
      <c r="E717" s="195" t="s">
        <v>3754</v>
      </c>
      <c r="F717" s="196" t="s">
        <v>2073</v>
      </c>
      <c r="G717" s="197" t="s">
        <v>3239</v>
      </c>
      <c r="H717" s="198">
        <v>0.8</v>
      </c>
      <c r="I717" s="199">
        <v>181400</v>
      </c>
      <c r="J717" s="200" t="s">
        <v>2272</v>
      </c>
      <c r="K717" s="200" t="s">
        <v>2273</v>
      </c>
      <c r="L717" s="201">
        <v>0.4</v>
      </c>
      <c r="M717" s="278" t="s">
        <v>3246</v>
      </c>
      <c r="N717" s="205">
        <v>25133.45</v>
      </c>
      <c r="O717" s="254">
        <v>25133.45</v>
      </c>
      <c r="P717" s="254">
        <v>20106.76</v>
      </c>
      <c r="Q717" s="254">
        <v>20106.76</v>
      </c>
      <c r="R717" s="1262" t="s">
        <v>3726</v>
      </c>
      <c r="S717" s="254">
        <v>10053.38</v>
      </c>
      <c r="T717" s="204">
        <v>45016</v>
      </c>
      <c r="U717" s="1262" t="s">
        <v>2096</v>
      </c>
      <c r="V717" s="254">
        <v>5026.69</v>
      </c>
      <c r="W717" s="1262" t="s">
        <v>2133</v>
      </c>
      <c r="X717" s="258">
        <v>5026.69</v>
      </c>
      <c r="Y717" s="192"/>
    </row>
    <row r="718" ht="37.5" customHeight="1" spans="1:25">
      <c r="A718" s="192">
        <f t="shared" si="21"/>
        <v>710</v>
      </c>
      <c r="B718" s="208">
        <v>2023</v>
      </c>
      <c r="C718" s="193" t="s">
        <v>37</v>
      </c>
      <c r="D718" s="277" t="s">
        <v>3755</v>
      </c>
      <c r="E718" s="195" t="s">
        <v>3756</v>
      </c>
      <c r="F718" s="196" t="s">
        <v>2073</v>
      </c>
      <c r="G718" s="197" t="s">
        <v>3239</v>
      </c>
      <c r="H718" s="198">
        <v>0.8</v>
      </c>
      <c r="I718" s="199">
        <v>52430</v>
      </c>
      <c r="J718" s="200" t="s">
        <v>2272</v>
      </c>
      <c r="K718" s="200" t="s">
        <v>2273</v>
      </c>
      <c r="L718" s="201">
        <v>0.4</v>
      </c>
      <c r="M718" s="278" t="s">
        <v>3246</v>
      </c>
      <c r="N718" s="205">
        <v>10541.74</v>
      </c>
      <c r="O718" s="254">
        <v>10541.74</v>
      </c>
      <c r="P718" s="254">
        <v>8433.39</v>
      </c>
      <c r="Q718" s="254">
        <v>8433.39</v>
      </c>
      <c r="R718" s="1262" t="s">
        <v>3726</v>
      </c>
      <c r="S718" s="254">
        <v>4216.7</v>
      </c>
      <c r="T718" s="204">
        <v>45016</v>
      </c>
      <c r="U718" s="1262" t="s">
        <v>2096</v>
      </c>
      <c r="V718" s="254">
        <v>2108.35</v>
      </c>
      <c r="W718" s="1262" t="s">
        <v>2133</v>
      </c>
      <c r="X718" s="258">
        <v>2108.35</v>
      </c>
      <c r="Y718" s="192"/>
    </row>
    <row r="719" ht="37.5" customHeight="1" spans="1:25">
      <c r="A719" s="192">
        <f t="shared" si="21"/>
        <v>711</v>
      </c>
      <c r="B719" s="208">
        <v>2023</v>
      </c>
      <c r="C719" s="193" t="s">
        <v>37</v>
      </c>
      <c r="D719" s="277" t="s">
        <v>3757</v>
      </c>
      <c r="E719" s="195" t="s">
        <v>3758</v>
      </c>
      <c r="F719" s="196" t="s">
        <v>2073</v>
      </c>
      <c r="G719" s="197" t="s">
        <v>3239</v>
      </c>
      <c r="H719" s="198">
        <v>0.8</v>
      </c>
      <c r="I719" s="199">
        <v>121330</v>
      </c>
      <c r="J719" s="200" t="s">
        <v>1893</v>
      </c>
      <c r="K719" s="200" t="s">
        <v>2382</v>
      </c>
      <c r="L719" s="201">
        <v>0.4</v>
      </c>
      <c r="M719" s="278" t="s">
        <v>2448</v>
      </c>
      <c r="N719" s="205">
        <v>12060.36</v>
      </c>
      <c r="O719" s="254">
        <v>12060.36</v>
      </c>
      <c r="P719" s="254">
        <v>9648.29</v>
      </c>
      <c r="Q719" s="254">
        <v>9648.29</v>
      </c>
      <c r="R719" s="1262" t="s">
        <v>3726</v>
      </c>
      <c r="S719" s="254">
        <v>4824.14</v>
      </c>
      <c r="T719" s="204">
        <v>45016</v>
      </c>
      <c r="U719" s="1262" t="s">
        <v>2096</v>
      </c>
      <c r="V719" s="254">
        <v>2412.07</v>
      </c>
      <c r="W719" s="1262" t="s">
        <v>2133</v>
      </c>
      <c r="X719" s="258">
        <v>2412.07</v>
      </c>
      <c r="Y719" s="192"/>
    </row>
    <row r="720" ht="37.5" customHeight="1" spans="1:25">
      <c r="A720" s="192">
        <f t="shared" si="21"/>
        <v>712</v>
      </c>
      <c r="B720" s="208">
        <v>2023</v>
      </c>
      <c r="C720" s="193" t="s">
        <v>37</v>
      </c>
      <c r="D720" s="277" t="s">
        <v>3759</v>
      </c>
      <c r="E720" s="195" t="s">
        <v>3760</v>
      </c>
      <c r="F720" s="196" t="s">
        <v>2073</v>
      </c>
      <c r="G720" s="197" t="s">
        <v>3239</v>
      </c>
      <c r="H720" s="198">
        <v>0.8</v>
      </c>
      <c r="I720" s="199">
        <v>12000</v>
      </c>
      <c r="J720" s="200" t="s">
        <v>1845</v>
      </c>
      <c r="K720" s="200" t="s">
        <v>2257</v>
      </c>
      <c r="L720" s="201">
        <v>0.4</v>
      </c>
      <c r="M720" s="278" t="s">
        <v>3761</v>
      </c>
      <c r="N720" s="205">
        <v>1150.02</v>
      </c>
      <c r="O720" s="254">
        <v>1150.02</v>
      </c>
      <c r="P720" s="254">
        <v>920.02</v>
      </c>
      <c r="Q720" s="254">
        <v>920.02</v>
      </c>
      <c r="R720" s="1262" t="s">
        <v>3726</v>
      </c>
      <c r="S720" s="254">
        <v>460.01</v>
      </c>
      <c r="T720" s="204">
        <v>45016</v>
      </c>
      <c r="U720" s="1262" t="s">
        <v>2096</v>
      </c>
      <c r="V720" s="254">
        <v>230</v>
      </c>
      <c r="W720" s="1262" t="s">
        <v>2133</v>
      </c>
      <c r="X720" s="258">
        <v>230</v>
      </c>
      <c r="Y720" s="192"/>
    </row>
    <row r="721" ht="37.5" customHeight="1" spans="1:25">
      <c r="A721" s="192">
        <f t="shared" si="21"/>
        <v>713</v>
      </c>
      <c r="B721" s="208">
        <v>2023</v>
      </c>
      <c r="C721" s="193" t="s">
        <v>37</v>
      </c>
      <c r="D721" s="277" t="s">
        <v>3762</v>
      </c>
      <c r="E721" s="195" t="s">
        <v>3763</v>
      </c>
      <c r="F721" s="196" t="s">
        <v>2073</v>
      </c>
      <c r="G721" s="197" t="s">
        <v>3239</v>
      </c>
      <c r="H721" s="198">
        <v>0.8</v>
      </c>
      <c r="I721" s="199">
        <v>20110</v>
      </c>
      <c r="J721" s="200" t="s">
        <v>2747</v>
      </c>
      <c r="K721" s="200" t="s">
        <v>2594</v>
      </c>
      <c r="L721" s="201">
        <v>0.4</v>
      </c>
      <c r="M721" s="278" t="s">
        <v>3764</v>
      </c>
      <c r="N721" s="205">
        <v>775.36</v>
      </c>
      <c r="O721" s="254">
        <v>775.36</v>
      </c>
      <c r="P721" s="254">
        <v>620.29</v>
      </c>
      <c r="Q721" s="254">
        <v>620.29</v>
      </c>
      <c r="R721" s="1262" t="s">
        <v>3726</v>
      </c>
      <c r="S721" s="254">
        <v>310.14</v>
      </c>
      <c r="T721" s="204">
        <v>45016</v>
      </c>
      <c r="U721" s="1262" t="s">
        <v>2096</v>
      </c>
      <c r="V721" s="254">
        <v>155.07</v>
      </c>
      <c r="W721" s="1262" t="s">
        <v>2133</v>
      </c>
      <c r="X721" s="258">
        <v>155.07</v>
      </c>
      <c r="Y721" s="192"/>
    </row>
    <row r="722" ht="37.5" customHeight="1" spans="1:25">
      <c r="A722" s="192">
        <f t="shared" si="21"/>
        <v>714</v>
      </c>
      <c r="B722" s="208">
        <v>2023</v>
      </c>
      <c r="C722" s="193" t="s">
        <v>37</v>
      </c>
      <c r="D722" s="277" t="s">
        <v>3765</v>
      </c>
      <c r="E722" s="195" t="s">
        <v>3766</v>
      </c>
      <c r="F722" s="196" t="s">
        <v>2073</v>
      </c>
      <c r="G722" s="197" t="s">
        <v>3239</v>
      </c>
      <c r="H722" s="198">
        <v>0.8</v>
      </c>
      <c r="I722" s="199">
        <v>21000</v>
      </c>
      <c r="J722" s="200" t="s">
        <v>1970</v>
      </c>
      <c r="K722" s="200" t="s">
        <v>2245</v>
      </c>
      <c r="L722" s="201">
        <v>0.4</v>
      </c>
      <c r="M722" s="278" t="s">
        <v>2448</v>
      </c>
      <c r="N722" s="205">
        <v>750</v>
      </c>
      <c r="O722" s="254">
        <v>750</v>
      </c>
      <c r="P722" s="254">
        <v>600</v>
      </c>
      <c r="Q722" s="254">
        <v>600</v>
      </c>
      <c r="R722" s="1262" t="s">
        <v>3726</v>
      </c>
      <c r="S722" s="254">
        <v>300</v>
      </c>
      <c r="T722" s="204">
        <v>45016</v>
      </c>
      <c r="U722" s="1262" t="s">
        <v>2096</v>
      </c>
      <c r="V722" s="254">
        <v>150</v>
      </c>
      <c r="W722" s="1262" t="s">
        <v>2133</v>
      </c>
      <c r="X722" s="258">
        <v>150</v>
      </c>
      <c r="Y722" s="192"/>
    </row>
    <row r="723" ht="37.5" customHeight="1" spans="1:25">
      <c r="A723" s="192">
        <f t="shared" si="21"/>
        <v>715</v>
      </c>
      <c r="B723" s="208">
        <v>2023</v>
      </c>
      <c r="C723" s="193" t="s">
        <v>37</v>
      </c>
      <c r="D723" s="277" t="s">
        <v>3767</v>
      </c>
      <c r="E723" s="195" t="s">
        <v>3768</v>
      </c>
      <c r="F723" s="196" t="s">
        <v>2073</v>
      </c>
      <c r="G723" s="197" t="s">
        <v>3239</v>
      </c>
      <c r="H723" s="198">
        <v>0.8</v>
      </c>
      <c r="I723" s="199">
        <v>17000</v>
      </c>
      <c r="J723" s="200" t="s">
        <v>2248</v>
      </c>
      <c r="K723" s="200" t="s">
        <v>2249</v>
      </c>
      <c r="L723" s="201">
        <v>0.4</v>
      </c>
      <c r="M723" s="278" t="s">
        <v>3761</v>
      </c>
      <c r="N723" s="205">
        <v>1143.19</v>
      </c>
      <c r="O723" s="254">
        <v>1143.19</v>
      </c>
      <c r="P723" s="254">
        <v>914.55</v>
      </c>
      <c r="Q723" s="254">
        <v>914.55</v>
      </c>
      <c r="R723" s="1262" t="s">
        <v>3726</v>
      </c>
      <c r="S723" s="254">
        <v>457.28</v>
      </c>
      <c r="T723" s="204">
        <v>45016</v>
      </c>
      <c r="U723" s="1262" t="s">
        <v>2096</v>
      </c>
      <c r="V723" s="254">
        <v>228.64</v>
      </c>
      <c r="W723" s="1262" t="s">
        <v>2133</v>
      </c>
      <c r="X723" s="258">
        <v>228.64</v>
      </c>
      <c r="Y723" s="192"/>
    </row>
    <row r="724" ht="37.5" customHeight="1" spans="1:25">
      <c r="A724" s="192">
        <f t="shared" si="21"/>
        <v>716</v>
      </c>
      <c r="B724" s="208">
        <v>2023</v>
      </c>
      <c r="C724" s="193" t="s">
        <v>37</v>
      </c>
      <c r="D724" s="277" t="s">
        <v>3769</v>
      </c>
      <c r="E724" s="195" t="s">
        <v>3770</v>
      </c>
      <c r="F724" s="196" t="s">
        <v>2073</v>
      </c>
      <c r="G724" s="197" t="s">
        <v>3239</v>
      </c>
      <c r="H724" s="198">
        <v>0.8</v>
      </c>
      <c r="I724" s="199">
        <v>50000</v>
      </c>
      <c r="J724" s="200" t="s">
        <v>1846</v>
      </c>
      <c r="K724" s="200" t="s">
        <v>2622</v>
      </c>
      <c r="L724" s="201">
        <v>0.4</v>
      </c>
      <c r="M724" s="278" t="s">
        <v>3771</v>
      </c>
      <c r="N724" s="205">
        <v>1916.69</v>
      </c>
      <c r="O724" s="254">
        <v>1916.69</v>
      </c>
      <c r="P724" s="254">
        <v>1533.35</v>
      </c>
      <c r="Q724" s="254">
        <v>1533.35</v>
      </c>
      <c r="R724" s="1262" t="s">
        <v>3726</v>
      </c>
      <c r="S724" s="254">
        <v>766.68</v>
      </c>
      <c r="T724" s="204">
        <v>45016</v>
      </c>
      <c r="U724" s="1262" t="s">
        <v>2096</v>
      </c>
      <c r="V724" s="254">
        <v>383.34</v>
      </c>
      <c r="W724" s="1262" t="s">
        <v>2133</v>
      </c>
      <c r="X724" s="258">
        <v>383.34</v>
      </c>
      <c r="Y724" s="192"/>
    </row>
    <row r="725" ht="37.5" customHeight="1" spans="1:25">
      <c r="A725" s="192">
        <f t="shared" si="21"/>
        <v>717</v>
      </c>
      <c r="B725" s="208">
        <v>2023</v>
      </c>
      <c r="C725" s="193" t="s">
        <v>37</v>
      </c>
      <c r="D725" s="277" t="s">
        <v>3772</v>
      </c>
      <c r="E725" s="195" t="s">
        <v>3773</v>
      </c>
      <c r="F725" s="196" t="s">
        <v>2073</v>
      </c>
      <c r="G725" s="197" t="s">
        <v>3239</v>
      </c>
      <c r="H725" s="198">
        <v>0.8</v>
      </c>
      <c r="I725" s="199">
        <v>110070</v>
      </c>
      <c r="J725" s="200" t="s">
        <v>2264</v>
      </c>
      <c r="K725" s="200" t="s">
        <v>2265</v>
      </c>
      <c r="L725" s="201">
        <v>0.4</v>
      </c>
      <c r="M725" s="278" t="s">
        <v>3246</v>
      </c>
      <c r="N725" s="205">
        <v>12916.74</v>
      </c>
      <c r="O725" s="254">
        <v>12916.74</v>
      </c>
      <c r="P725" s="254">
        <v>10333.4</v>
      </c>
      <c r="Q725" s="254">
        <v>10333.4</v>
      </c>
      <c r="R725" s="1262" t="s">
        <v>3726</v>
      </c>
      <c r="S725" s="254">
        <v>5166.7</v>
      </c>
      <c r="T725" s="204">
        <v>45016</v>
      </c>
      <c r="U725" s="1262" t="s">
        <v>2096</v>
      </c>
      <c r="V725" s="254">
        <v>2583.35</v>
      </c>
      <c r="W725" s="1262" t="s">
        <v>2133</v>
      </c>
      <c r="X725" s="258">
        <v>2583.35</v>
      </c>
      <c r="Y725" s="192"/>
    </row>
    <row r="726" ht="37.5" customHeight="1" spans="1:25">
      <c r="A726" s="192">
        <f t="shared" si="21"/>
        <v>718</v>
      </c>
      <c r="B726" s="208">
        <v>2023</v>
      </c>
      <c r="C726" s="193" t="s">
        <v>37</v>
      </c>
      <c r="D726" s="277" t="s">
        <v>3774</v>
      </c>
      <c r="E726" s="195" t="s">
        <v>3775</v>
      </c>
      <c r="F726" s="196" t="s">
        <v>2073</v>
      </c>
      <c r="G726" s="197" t="s">
        <v>3239</v>
      </c>
      <c r="H726" s="198">
        <v>0.8</v>
      </c>
      <c r="I726" s="199">
        <v>52930</v>
      </c>
      <c r="J726" s="200" t="s">
        <v>3776</v>
      </c>
      <c r="K726" s="200" t="s">
        <v>3777</v>
      </c>
      <c r="L726" s="201">
        <v>0.4</v>
      </c>
      <c r="M726" s="278" t="s">
        <v>3658</v>
      </c>
      <c r="N726" s="205">
        <v>5601.69</v>
      </c>
      <c r="O726" s="254">
        <v>5601.69</v>
      </c>
      <c r="P726" s="254">
        <v>4481.35</v>
      </c>
      <c r="Q726" s="254">
        <v>4481.35</v>
      </c>
      <c r="R726" s="1262" t="s">
        <v>3726</v>
      </c>
      <c r="S726" s="254">
        <v>2240.68</v>
      </c>
      <c r="T726" s="204">
        <v>45016</v>
      </c>
      <c r="U726" s="1262" t="s">
        <v>2096</v>
      </c>
      <c r="V726" s="254">
        <v>1120.34</v>
      </c>
      <c r="W726" s="1262" t="s">
        <v>2133</v>
      </c>
      <c r="X726" s="258">
        <v>1120.34</v>
      </c>
      <c r="Y726" s="192"/>
    </row>
    <row r="727" ht="37.5" customHeight="1" spans="1:25">
      <c r="A727" s="192">
        <f t="shared" si="21"/>
        <v>719</v>
      </c>
      <c r="B727" s="208">
        <v>2023</v>
      </c>
      <c r="C727" s="193" t="s">
        <v>37</v>
      </c>
      <c r="D727" s="277" t="s">
        <v>3778</v>
      </c>
      <c r="E727" s="195" t="s">
        <v>3779</v>
      </c>
      <c r="F727" s="196" t="s">
        <v>2073</v>
      </c>
      <c r="G727" s="197" t="s">
        <v>3239</v>
      </c>
      <c r="H727" s="198">
        <v>0.8</v>
      </c>
      <c r="I727" s="199">
        <v>300000</v>
      </c>
      <c r="J727" s="200" t="s">
        <v>2861</v>
      </c>
      <c r="K727" s="200" t="s">
        <v>2862</v>
      </c>
      <c r="L727" s="201">
        <v>0.4</v>
      </c>
      <c r="M727" s="278" t="s">
        <v>2448</v>
      </c>
      <c r="N727" s="205">
        <v>4166.69</v>
      </c>
      <c r="O727" s="254">
        <v>4166.69</v>
      </c>
      <c r="P727" s="254">
        <v>3333.35</v>
      </c>
      <c r="Q727" s="254">
        <v>3333.35</v>
      </c>
      <c r="R727" s="1262" t="s">
        <v>3726</v>
      </c>
      <c r="S727" s="254">
        <v>1666.68</v>
      </c>
      <c r="T727" s="204">
        <v>45016</v>
      </c>
      <c r="U727" s="1262" t="s">
        <v>2096</v>
      </c>
      <c r="V727" s="254">
        <v>833.34</v>
      </c>
      <c r="W727" s="1262" t="s">
        <v>2133</v>
      </c>
      <c r="X727" s="258">
        <v>833.34</v>
      </c>
      <c r="Y727" s="192"/>
    </row>
    <row r="728" ht="37.5" customHeight="1" spans="1:25">
      <c r="A728" s="192">
        <f t="shared" si="21"/>
        <v>720</v>
      </c>
      <c r="B728" s="208">
        <v>2023</v>
      </c>
      <c r="C728" s="193" t="s">
        <v>37</v>
      </c>
      <c r="D728" s="277" t="s">
        <v>3780</v>
      </c>
      <c r="E728" s="195" t="s">
        <v>3781</v>
      </c>
      <c r="F728" s="196" t="s">
        <v>2073</v>
      </c>
      <c r="G728" s="197" t="s">
        <v>3239</v>
      </c>
      <c r="H728" s="198">
        <v>0.8</v>
      </c>
      <c r="I728" s="199">
        <v>23020</v>
      </c>
      <c r="J728" s="200" t="s">
        <v>2861</v>
      </c>
      <c r="K728" s="200" t="s">
        <v>2862</v>
      </c>
      <c r="L728" s="201">
        <v>0.4</v>
      </c>
      <c r="M728" s="278" t="s">
        <v>3782</v>
      </c>
      <c r="N728" s="205">
        <v>11500.04</v>
      </c>
      <c r="O728" s="254">
        <v>11500.04</v>
      </c>
      <c r="P728" s="254">
        <v>9200.03</v>
      </c>
      <c r="Q728" s="254">
        <v>9200.03</v>
      </c>
      <c r="R728" s="1262" t="s">
        <v>3726</v>
      </c>
      <c r="S728" s="254">
        <v>4600.02</v>
      </c>
      <c r="T728" s="204">
        <v>45016</v>
      </c>
      <c r="U728" s="1262" t="s">
        <v>2096</v>
      </c>
      <c r="V728" s="254">
        <v>2300.01</v>
      </c>
      <c r="W728" s="1262" t="s">
        <v>2133</v>
      </c>
      <c r="X728" s="258">
        <v>2300.01</v>
      </c>
      <c r="Y728" s="192"/>
    </row>
    <row r="729" ht="37.5" customHeight="1" spans="1:25">
      <c r="A729" s="192">
        <f t="shared" si="21"/>
        <v>721</v>
      </c>
      <c r="B729" s="208">
        <v>2023</v>
      </c>
      <c r="C729" s="193" t="s">
        <v>37</v>
      </c>
      <c r="D729" s="277" t="s">
        <v>3783</v>
      </c>
      <c r="E729" s="195" t="s">
        <v>3784</v>
      </c>
      <c r="F729" s="196" t="s">
        <v>2073</v>
      </c>
      <c r="G729" s="197" t="s">
        <v>3239</v>
      </c>
      <c r="H729" s="198">
        <v>0.8</v>
      </c>
      <c r="I729" s="199">
        <v>32010</v>
      </c>
      <c r="J729" s="200" t="s">
        <v>2861</v>
      </c>
      <c r="K729" s="200" t="s">
        <v>2862</v>
      </c>
      <c r="L729" s="201">
        <v>0.4</v>
      </c>
      <c r="M729" s="278" t="s">
        <v>2447</v>
      </c>
      <c r="N729" s="205">
        <v>2943</v>
      </c>
      <c r="O729" s="254">
        <v>2943</v>
      </c>
      <c r="P729" s="254">
        <v>2354.4</v>
      </c>
      <c r="Q729" s="254">
        <v>2354.4</v>
      </c>
      <c r="R729" s="1262" t="s">
        <v>3726</v>
      </c>
      <c r="S729" s="254">
        <v>1177.2</v>
      </c>
      <c r="T729" s="204">
        <v>45016</v>
      </c>
      <c r="U729" s="1262" t="s">
        <v>2096</v>
      </c>
      <c r="V729" s="254">
        <v>588.6</v>
      </c>
      <c r="W729" s="1262" t="s">
        <v>2133</v>
      </c>
      <c r="X729" s="206">
        <v>588.6</v>
      </c>
      <c r="Y729" s="192"/>
    </row>
    <row r="730" ht="37.5" customHeight="1" spans="1:25">
      <c r="A730" s="192">
        <f t="shared" si="21"/>
        <v>722</v>
      </c>
      <c r="B730" s="208">
        <v>2023</v>
      </c>
      <c r="C730" s="193" t="s">
        <v>37</v>
      </c>
      <c r="D730" s="277" t="s">
        <v>3785</v>
      </c>
      <c r="E730" s="195" t="s">
        <v>3786</v>
      </c>
      <c r="F730" s="196" t="s">
        <v>2073</v>
      </c>
      <c r="G730" s="197" t="s">
        <v>3239</v>
      </c>
      <c r="H730" s="198">
        <v>0.8</v>
      </c>
      <c r="I730" s="199">
        <v>10000</v>
      </c>
      <c r="J730" s="200" t="s">
        <v>1975</v>
      </c>
      <c r="K730" s="200" t="s">
        <v>3787</v>
      </c>
      <c r="L730" s="201">
        <v>0.4</v>
      </c>
      <c r="M730" s="278" t="s">
        <v>3788</v>
      </c>
      <c r="N730" s="205">
        <v>5000.02</v>
      </c>
      <c r="O730" s="254">
        <v>5000.02</v>
      </c>
      <c r="P730" s="254">
        <v>4000.02</v>
      </c>
      <c r="Q730" s="254">
        <v>4000.02</v>
      </c>
      <c r="R730" s="1262" t="s">
        <v>3726</v>
      </c>
      <c r="S730" s="254">
        <v>2000.01</v>
      </c>
      <c r="T730" s="204">
        <v>45016</v>
      </c>
      <c r="U730" s="1262" t="s">
        <v>2096</v>
      </c>
      <c r="V730" s="254">
        <v>1000</v>
      </c>
      <c r="W730" s="1262" t="s">
        <v>2133</v>
      </c>
      <c r="X730" s="258">
        <v>1000</v>
      </c>
      <c r="Y730" s="192"/>
    </row>
    <row r="731" ht="37.5" customHeight="1" spans="1:25">
      <c r="A731" s="192">
        <f t="shared" si="21"/>
        <v>723</v>
      </c>
      <c r="B731" s="208">
        <v>2023</v>
      </c>
      <c r="C731" s="193" t="s">
        <v>37</v>
      </c>
      <c r="D731" s="277" t="s">
        <v>3789</v>
      </c>
      <c r="E731" s="195" t="s">
        <v>3790</v>
      </c>
      <c r="F731" s="196" t="s">
        <v>2073</v>
      </c>
      <c r="G731" s="197" t="s">
        <v>3239</v>
      </c>
      <c r="H731" s="198">
        <v>0.8</v>
      </c>
      <c r="I731" s="199">
        <v>200000</v>
      </c>
      <c r="J731" s="200" t="s">
        <v>3791</v>
      </c>
      <c r="K731" s="200" t="s">
        <v>3792</v>
      </c>
      <c r="L731" s="201">
        <v>0.4</v>
      </c>
      <c r="M731" s="278" t="s">
        <v>3793</v>
      </c>
      <c r="N731" s="205">
        <v>6000</v>
      </c>
      <c r="O731" s="254">
        <v>6000</v>
      </c>
      <c r="P731" s="254">
        <v>4800</v>
      </c>
      <c r="Q731" s="254">
        <v>4800</v>
      </c>
      <c r="R731" s="1262" t="s">
        <v>3726</v>
      </c>
      <c r="S731" s="254">
        <v>2400</v>
      </c>
      <c r="T731" s="204">
        <v>45016</v>
      </c>
      <c r="U731" s="1262" t="s">
        <v>2096</v>
      </c>
      <c r="V731" s="254">
        <v>1200</v>
      </c>
      <c r="W731" s="1262" t="s">
        <v>2133</v>
      </c>
      <c r="X731" s="206">
        <v>1200</v>
      </c>
      <c r="Y731" s="192"/>
    </row>
    <row r="732" ht="37.5" customHeight="1" spans="1:25">
      <c r="A732" s="192">
        <f t="shared" si="21"/>
        <v>724</v>
      </c>
      <c r="B732" s="208">
        <v>2023</v>
      </c>
      <c r="C732" s="193" t="s">
        <v>37</v>
      </c>
      <c r="D732" s="277" t="s">
        <v>3794</v>
      </c>
      <c r="E732" s="195" t="s">
        <v>3795</v>
      </c>
      <c r="F732" s="196" t="s">
        <v>2073</v>
      </c>
      <c r="G732" s="197" t="s">
        <v>3239</v>
      </c>
      <c r="H732" s="198">
        <v>0.8</v>
      </c>
      <c r="I732" s="199">
        <v>55110</v>
      </c>
      <c r="J732" s="200" t="s">
        <v>3696</v>
      </c>
      <c r="K732" s="200" t="s">
        <v>3697</v>
      </c>
      <c r="L732" s="201">
        <v>0.4</v>
      </c>
      <c r="M732" s="278" t="s">
        <v>3233</v>
      </c>
      <c r="N732" s="205">
        <v>5666.75</v>
      </c>
      <c r="O732" s="254">
        <v>5666.75</v>
      </c>
      <c r="P732" s="254">
        <v>4533.4</v>
      </c>
      <c r="Q732" s="254">
        <v>4533.4</v>
      </c>
      <c r="R732" s="1262" t="s">
        <v>3726</v>
      </c>
      <c r="S732" s="254">
        <v>2266.7</v>
      </c>
      <c r="T732" s="204">
        <v>45016</v>
      </c>
      <c r="U732" s="1262" t="s">
        <v>2096</v>
      </c>
      <c r="V732" s="254">
        <v>1133.35</v>
      </c>
      <c r="W732" s="1262" t="s">
        <v>2133</v>
      </c>
      <c r="X732" s="258">
        <v>1133.35</v>
      </c>
      <c r="Y732" s="192"/>
    </row>
    <row r="733" ht="37.5" customHeight="1" spans="1:25">
      <c r="A733" s="192">
        <f t="shared" si="21"/>
        <v>725</v>
      </c>
      <c r="B733" s="208">
        <v>2023</v>
      </c>
      <c r="C733" s="193" t="s">
        <v>37</v>
      </c>
      <c r="D733" s="277" t="s">
        <v>3796</v>
      </c>
      <c r="E733" s="195" t="s">
        <v>3797</v>
      </c>
      <c r="F733" s="196" t="s">
        <v>2073</v>
      </c>
      <c r="G733" s="197" t="s">
        <v>3239</v>
      </c>
      <c r="H733" s="198">
        <v>0.8</v>
      </c>
      <c r="I733" s="199">
        <v>10000</v>
      </c>
      <c r="J733" s="200" t="s">
        <v>3478</v>
      </c>
      <c r="K733" s="200" t="s">
        <v>3798</v>
      </c>
      <c r="L733" s="201">
        <v>0.4</v>
      </c>
      <c r="M733" s="278" t="s">
        <v>3793</v>
      </c>
      <c r="N733" s="205">
        <v>500.02</v>
      </c>
      <c r="O733" s="254">
        <v>500.02</v>
      </c>
      <c r="P733" s="254">
        <v>400.02</v>
      </c>
      <c r="Q733" s="254">
        <v>400.02</v>
      </c>
      <c r="R733" s="1262" t="s">
        <v>3726</v>
      </c>
      <c r="S733" s="254">
        <v>200.01</v>
      </c>
      <c r="T733" s="204">
        <v>45016</v>
      </c>
      <c r="U733" s="1262" t="s">
        <v>2096</v>
      </c>
      <c r="V733" s="254">
        <v>100</v>
      </c>
      <c r="W733" s="1262" t="s">
        <v>2133</v>
      </c>
      <c r="X733" s="258">
        <v>100</v>
      </c>
      <c r="Y733" s="192"/>
    </row>
    <row r="734" ht="37.5" customHeight="1" spans="1:25">
      <c r="A734" s="192">
        <f t="shared" ref="A734:A797" si="22">ROW()-8</f>
        <v>726</v>
      </c>
      <c r="B734" s="208">
        <v>2023</v>
      </c>
      <c r="C734" s="193" t="s">
        <v>37</v>
      </c>
      <c r="D734" s="277" t="s">
        <v>3799</v>
      </c>
      <c r="E734" s="195" t="s">
        <v>3800</v>
      </c>
      <c r="F734" s="196" t="s">
        <v>2073</v>
      </c>
      <c r="G734" s="197" t="s">
        <v>3239</v>
      </c>
      <c r="H734" s="198">
        <v>0.8</v>
      </c>
      <c r="I734" s="199">
        <v>16332.46</v>
      </c>
      <c r="J734" s="200" t="s">
        <v>2429</v>
      </c>
      <c r="K734" s="200" t="s">
        <v>2820</v>
      </c>
      <c r="L734" s="201">
        <v>0.4</v>
      </c>
      <c r="M734" s="278" t="s">
        <v>3801</v>
      </c>
      <c r="N734" s="205">
        <v>5000.02</v>
      </c>
      <c r="O734" s="254">
        <v>5000.02</v>
      </c>
      <c r="P734" s="254">
        <v>4000.02</v>
      </c>
      <c r="Q734" s="254">
        <v>4000.02</v>
      </c>
      <c r="R734" s="1262" t="s">
        <v>3726</v>
      </c>
      <c r="S734" s="254">
        <v>2000.01</v>
      </c>
      <c r="T734" s="204">
        <v>45016</v>
      </c>
      <c r="U734" s="1262" t="s">
        <v>2096</v>
      </c>
      <c r="V734" s="254">
        <v>1000</v>
      </c>
      <c r="W734" s="1262" t="s">
        <v>2133</v>
      </c>
      <c r="X734" s="258">
        <v>1000</v>
      </c>
      <c r="Y734" s="192"/>
    </row>
    <row r="735" ht="37.5" customHeight="1" spans="1:25">
      <c r="A735" s="192">
        <f t="shared" si="22"/>
        <v>727</v>
      </c>
      <c r="B735" s="208">
        <v>2023</v>
      </c>
      <c r="C735" s="193" t="s">
        <v>37</v>
      </c>
      <c r="D735" s="277" t="s">
        <v>3802</v>
      </c>
      <c r="E735" s="195" t="s">
        <v>3803</v>
      </c>
      <c r="F735" s="196" t="s">
        <v>2073</v>
      </c>
      <c r="G735" s="197" t="s">
        <v>3239</v>
      </c>
      <c r="H735" s="198">
        <v>0.8</v>
      </c>
      <c r="I735" s="199">
        <v>220000</v>
      </c>
      <c r="J735" s="200" t="s">
        <v>2405</v>
      </c>
      <c r="K735" s="200" t="s">
        <v>2731</v>
      </c>
      <c r="L735" s="201">
        <v>0.4</v>
      </c>
      <c r="M735" s="278" t="s">
        <v>3804</v>
      </c>
      <c r="N735" s="205">
        <v>110000.02</v>
      </c>
      <c r="O735" s="254">
        <v>110000.02</v>
      </c>
      <c r="P735" s="254">
        <v>88000.02</v>
      </c>
      <c r="Q735" s="254">
        <v>88000.02</v>
      </c>
      <c r="R735" s="1262" t="s">
        <v>3726</v>
      </c>
      <c r="S735" s="254">
        <v>44000.01</v>
      </c>
      <c r="T735" s="204">
        <v>45016</v>
      </c>
      <c r="U735" s="1262" t="s">
        <v>2096</v>
      </c>
      <c r="V735" s="254">
        <v>22000</v>
      </c>
      <c r="W735" s="1262" t="s">
        <v>2133</v>
      </c>
      <c r="X735" s="258">
        <v>22000</v>
      </c>
      <c r="Y735" s="192"/>
    </row>
    <row r="736" ht="37.5" customHeight="1" spans="1:25">
      <c r="A736" s="192">
        <f t="shared" si="22"/>
        <v>728</v>
      </c>
      <c r="B736" s="208">
        <v>2023</v>
      </c>
      <c r="C736" s="193" t="s">
        <v>37</v>
      </c>
      <c r="D736" s="277" t="s">
        <v>3772</v>
      </c>
      <c r="E736" s="195" t="s">
        <v>3805</v>
      </c>
      <c r="F736" s="196" t="s">
        <v>2073</v>
      </c>
      <c r="G736" s="197" t="s">
        <v>3239</v>
      </c>
      <c r="H736" s="198">
        <v>0.8</v>
      </c>
      <c r="I736" s="199">
        <v>20000</v>
      </c>
      <c r="J736" s="200" t="s">
        <v>2016</v>
      </c>
      <c r="K736" s="200" t="s">
        <v>3330</v>
      </c>
      <c r="L736" s="201">
        <v>0.4</v>
      </c>
      <c r="M736" s="278" t="s">
        <v>3246</v>
      </c>
      <c r="N736" s="205">
        <v>11666.7</v>
      </c>
      <c r="O736" s="254">
        <v>11666.7</v>
      </c>
      <c r="P736" s="254">
        <v>9333.36</v>
      </c>
      <c r="Q736" s="254">
        <v>9333.36</v>
      </c>
      <c r="R736" s="1262" t="s">
        <v>3726</v>
      </c>
      <c r="S736" s="254">
        <v>4666.68</v>
      </c>
      <c r="T736" s="204">
        <v>45016</v>
      </c>
      <c r="U736" s="1262" t="s">
        <v>2096</v>
      </c>
      <c r="V736" s="254">
        <v>2333.34</v>
      </c>
      <c r="W736" s="1262" t="s">
        <v>2133</v>
      </c>
      <c r="X736" s="258">
        <v>2333.34</v>
      </c>
      <c r="Y736" s="192"/>
    </row>
    <row r="737" ht="37.5" customHeight="1" spans="1:25">
      <c r="A737" s="192">
        <f t="shared" si="22"/>
        <v>729</v>
      </c>
      <c r="B737" s="208">
        <v>2023</v>
      </c>
      <c r="C737" s="193" t="s">
        <v>37</v>
      </c>
      <c r="D737" s="277" t="s">
        <v>3242</v>
      </c>
      <c r="E737" s="195" t="s">
        <v>3806</v>
      </c>
      <c r="F737" s="196" t="s">
        <v>2073</v>
      </c>
      <c r="G737" s="197" t="s">
        <v>3239</v>
      </c>
      <c r="H737" s="198">
        <v>0.8</v>
      </c>
      <c r="I737" s="199">
        <v>72000</v>
      </c>
      <c r="J737" s="200" t="s">
        <v>3164</v>
      </c>
      <c r="K737" s="200" t="s">
        <v>3165</v>
      </c>
      <c r="L737" s="201">
        <v>0.4</v>
      </c>
      <c r="M737" s="278" t="s">
        <v>3246</v>
      </c>
      <c r="N737" s="205">
        <v>42000</v>
      </c>
      <c r="O737" s="254">
        <v>42000</v>
      </c>
      <c r="P737" s="254">
        <v>33600</v>
      </c>
      <c r="Q737" s="254">
        <v>33600</v>
      </c>
      <c r="R737" s="1262" t="s">
        <v>3726</v>
      </c>
      <c r="S737" s="254">
        <v>16800</v>
      </c>
      <c r="T737" s="204">
        <v>45016</v>
      </c>
      <c r="U737" s="1262" t="s">
        <v>2096</v>
      </c>
      <c r="V737" s="254">
        <v>8400</v>
      </c>
      <c r="W737" s="1262" t="s">
        <v>2133</v>
      </c>
      <c r="X737" s="258">
        <v>8400</v>
      </c>
      <c r="Y737" s="192"/>
    </row>
    <row r="738" ht="37.5" customHeight="1" spans="1:25">
      <c r="A738" s="192">
        <f t="shared" si="22"/>
        <v>730</v>
      </c>
      <c r="B738" s="208">
        <v>2023</v>
      </c>
      <c r="C738" s="193" t="s">
        <v>37</v>
      </c>
      <c r="D738" s="277" t="s">
        <v>3270</v>
      </c>
      <c r="E738" s="195" t="s">
        <v>3807</v>
      </c>
      <c r="F738" s="196" t="s">
        <v>2073</v>
      </c>
      <c r="G738" s="197" t="s">
        <v>3239</v>
      </c>
      <c r="H738" s="198">
        <v>0.8</v>
      </c>
      <c r="I738" s="199">
        <v>13700</v>
      </c>
      <c r="J738" s="200" t="s">
        <v>3578</v>
      </c>
      <c r="K738" s="200" t="s">
        <v>3579</v>
      </c>
      <c r="L738" s="201">
        <v>0.4</v>
      </c>
      <c r="M738" s="278" t="s">
        <v>3808</v>
      </c>
      <c r="N738" s="205">
        <v>7046.89</v>
      </c>
      <c r="O738" s="254">
        <v>7046.89</v>
      </c>
      <c r="P738" s="254">
        <v>5637.51</v>
      </c>
      <c r="Q738" s="254">
        <v>5637.51</v>
      </c>
      <c r="R738" s="1262" t="s">
        <v>3726</v>
      </c>
      <c r="S738" s="254">
        <v>2818.76</v>
      </c>
      <c r="T738" s="204">
        <v>45016</v>
      </c>
      <c r="U738" s="1262" t="s">
        <v>2096</v>
      </c>
      <c r="V738" s="254">
        <v>1409.38</v>
      </c>
      <c r="W738" s="1262" t="s">
        <v>2228</v>
      </c>
      <c r="X738" s="258">
        <v>1409.38</v>
      </c>
      <c r="Y738" s="192"/>
    </row>
    <row r="739" ht="37.5" customHeight="1" spans="1:25">
      <c r="A739" s="192">
        <f t="shared" si="22"/>
        <v>731</v>
      </c>
      <c r="B739" s="208">
        <v>2023</v>
      </c>
      <c r="C739" s="193" t="s">
        <v>37</v>
      </c>
      <c r="D739" s="277" t="s">
        <v>3809</v>
      </c>
      <c r="E739" s="195" t="s">
        <v>3810</v>
      </c>
      <c r="F739" s="196" t="s">
        <v>2073</v>
      </c>
      <c r="G739" s="197" t="s">
        <v>3239</v>
      </c>
      <c r="H739" s="198">
        <v>0.8</v>
      </c>
      <c r="I739" s="199">
        <v>10894.43</v>
      </c>
      <c r="J739" s="200" t="s">
        <v>3516</v>
      </c>
      <c r="K739" s="200" t="s">
        <v>3517</v>
      </c>
      <c r="L739" s="201">
        <v>0.4</v>
      </c>
      <c r="M739" s="278" t="s">
        <v>3748</v>
      </c>
      <c r="N739" s="205">
        <v>5250</v>
      </c>
      <c r="O739" s="254">
        <v>5250</v>
      </c>
      <c r="P739" s="254">
        <v>4200</v>
      </c>
      <c r="Q739" s="254">
        <v>4200</v>
      </c>
      <c r="R739" s="1262" t="s">
        <v>3726</v>
      </c>
      <c r="S739" s="254">
        <v>2100</v>
      </c>
      <c r="T739" s="204">
        <v>45016</v>
      </c>
      <c r="U739" s="1262" t="s">
        <v>2096</v>
      </c>
      <c r="V739" s="254">
        <v>1050</v>
      </c>
      <c r="W739" s="1262" t="s">
        <v>2228</v>
      </c>
      <c r="X739" s="258">
        <v>1050</v>
      </c>
      <c r="Y739" s="192"/>
    </row>
    <row r="740" ht="37.5" customHeight="1" spans="1:25">
      <c r="A740" s="192">
        <f t="shared" si="22"/>
        <v>732</v>
      </c>
      <c r="B740" s="208">
        <v>2023</v>
      </c>
      <c r="C740" s="193" t="s">
        <v>37</v>
      </c>
      <c r="D740" s="277" t="s">
        <v>3653</v>
      </c>
      <c r="E740" s="195" t="s">
        <v>3811</v>
      </c>
      <c r="F740" s="196" t="s">
        <v>2073</v>
      </c>
      <c r="G740" s="197" t="s">
        <v>3239</v>
      </c>
      <c r="H740" s="198">
        <v>0.8</v>
      </c>
      <c r="I740" s="199">
        <v>12898.28</v>
      </c>
      <c r="J740" s="200" t="s">
        <v>3005</v>
      </c>
      <c r="K740" s="200" t="s">
        <v>3006</v>
      </c>
      <c r="L740" s="201">
        <v>0.4</v>
      </c>
      <c r="M740" s="278" t="s">
        <v>3232</v>
      </c>
      <c r="N740" s="205">
        <v>5600</v>
      </c>
      <c r="O740" s="254">
        <v>5600</v>
      </c>
      <c r="P740" s="254">
        <v>4480</v>
      </c>
      <c r="Q740" s="254">
        <v>4480</v>
      </c>
      <c r="R740" s="1262" t="s">
        <v>3726</v>
      </c>
      <c r="S740" s="254">
        <v>2240</v>
      </c>
      <c r="T740" s="204">
        <v>45016</v>
      </c>
      <c r="U740" s="1262" t="s">
        <v>2096</v>
      </c>
      <c r="V740" s="254">
        <v>1120</v>
      </c>
      <c r="W740" s="1262" t="s">
        <v>2228</v>
      </c>
      <c r="X740" s="258">
        <v>1120</v>
      </c>
      <c r="Y740" s="192"/>
    </row>
    <row r="741" ht="37.5" customHeight="1" spans="1:25">
      <c r="A741" s="192">
        <f t="shared" si="22"/>
        <v>733</v>
      </c>
      <c r="B741" s="208">
        <v>2023</v>
      </c>
      <c r="C741" s="193" t="s">
        <v>37</v>
      </c>
      <c r="D741" s="277" t="s">
        <v>3247</v>
      </c>
      <c r="E741" s="195" t="s">
        <v>3812</v>
      </c>
      <c r="F741" s="196" t="s">
        <v>2073</v>
      </c>
      <c r="G741" s="197" t="s">
        <v>3239</v>
      </c>
      <c r="H741" s="198">
        <v>0.8</v>
      </c>
      <c r="I741" s="199">
        <v>98000</v>
      </c>
      <c r="J741" s="200" t="s">
        <v>2716</v>
      </c>
      <c r="K741" s="200" t="s">
        <v>2717</v>
      </c>
      <c r="L741" s="201">
        <v>0.4</v>
      </c>
      <c r="M741" s="278" t="s">
        <v>3232</v>
      </c>
      <c r="N741" s="205">
        <v>57166.7</v>
      </c>
      <c r="O741" s="254">
        <v>57166.7</v>
      </c>
      <c r="P741" s="254">
        <v>45733.36</v>
      </c>
      <c r="Q741" s="254">
        <v>45733.36</v>
      </c>
      <c r="R741" s="1262" t="s">
        <v>3726</v>
      </c>
      <c r="S741" s="254">
        <v>22866.68</v>
      </c>
      <c r="T741" s="204">
        <v>45016</v>
      </c>
      <c r="U741" s="1262" t="s">
        <v>2096</v>
      </c>
      <c r="V741" s="254">
        <v>11433.34</v>
      </c>
      <c r="W741" s="1262" t="s">
        <v>2228</v>
      </c>
      <c r="X741" s="258">
        <v>11433.34</v>
      </c>
      <c r="Y741" s="192"/>
    </row>
    <row r="742" ht="37.5" customHeight="1" spans="1:25">
      <c r="A742" s="192">
        <f t="shared" si="22"/>
        <v>734</v>
      </c>
      <c r="B742" s="208">
        <v>2023</v>
      </c>
      <c r="C742" s="193" t="s">
        <v>37</v>
      </c>
      <c r="D742" s="277" t="s">
        <v>3443</v>
      </c>
      <c r="E742" s="195" t="s">
        <v>3813</v>
      </c>
      <c r="F742" s="196" t="s">
        <v>2073</v>
      </c>
      <c r="G742" s="197" t="s">
        <v>3239</v>
      </c>
      <c r="H742" s="198">
        <v>0.8</v>
      </c>
      <c r="I742" s="199">
        <v>19492.1</v>
      </c>
      <c r="J742" s="200" t="s">
        <v>2716</v>
      </c>
      <c r="K742" s="200" t="s">
        <v>2717</v>
      </c>
      <c r="L742" s="201">
        <v>0.4</v>
      </c>
      <c r="M742" s="278" t="s">
        <v>3788</v>
      </c>
      <c r="N742" s="205">
        <v>2800</v>
      </c>
      <c r="O742" s="254">
        <v>2800</v>
      </c>
      <c r="P742" s="254">
        <v>2240</v>
      </c>
      <c r="Q742" s="254">
        <v>2240</v>
      </c>
      <c r="R742" s="1262" t="s">
        <v>3726</v>
      </c>
      <c r="S742" s="254">
        <v>1120</v>
      </c>
      <c r="T742" s="204">
        <v>45016</v>
      </c>
      <c r="U742" s="1262" t="s">
        <v>2096</v>
      </c>
      <c r="V742" s="254">
        <v>560</v>
      </c>
      <c r="W742" s="1262" t="s">
        <v>2228</v>
      </c>
      <c r="X742" s="258">
        <v>560</v>
      </c>
      <c r="Y742" s="192"/>
    </row>
    <row r="743" ht="37.5" customHeight="1" spans="1:25">
      <c r="A743" s="192">
        <f t="shared" si="22"/>
        <v>735</v>
      </c>
      <c r="B743" s="208">
        <v>2023</v>
      </c>
      <c r="C743" s="193" t="s">
        <v>37</v>
      </c>
      <c r="D743" s="277" t="s">
        <v>3753</v>
      </c>
      <c r="E743" s="195" t="s">
        <v>3814</v>
      </c>
      <c r="F743" s="196" t="s">
        <v>2073</v>
      </c>
      <c r="G743" s="197" t="s">
        <v>3239</v>
      </c>
      <c r="H743" s="198">
        <v>0.8</v>
      </c>
      <c r="I743" s="199">
        <v>15049.75</v>
      </c>
      <c r="J743" s="200" t="s">
        <v>2949</v>
      </c>
      <c r="K743" s="200" t="s">
        <v>2950</v>
      </c>
      <c r="L743" s="201">
        <v>0.4</v>
      </c>
      <c r="M743" s="278" t="s">
        <v>3246</v>
      </c>
      <c r="N743" s="205">
        <v>2333.35</v>
      </c>
      <c r="O743" s="254">
        <v>2333.35</v>
      </c>
      <c r="P743" s="254">
        <v>1866.68</v>
      </c>
      <c r="Q743" s="254">
        <v>1866.68</v>
      </c>
      <c r="R743" s="1262" t="s">
        <v>3726</v>
      </c>
      <c r="S743" s="254">
        <v>933.34</v>
      </c>
      <c r="T743" s="204">
        <v>45016</v>
      </c>
      <c r="U743" s="1262" t="s">
        <v>2096</v>
      </c>
      <c r="V743" s="254">
        <v>466.67</v>
      </c>
      <c r="W743" s="1262" t="s">
        <v>2228</v>
      </c>
      <c r="X743" s="258">
        <v>466.67</v>
      </c>
      <c r="Y743" s="192"/>
    </row>
    <row r="744" ht="37.5" customHeight="1" spans="1:25">
      <c r="A744" s="192">
        <f t="shared" si="22"/>
        <v>736</v>
      </c>
      <c r="B744" s="208">
        <v>2023</v>
      </c>
      <c r="C744" s="193" t="s">
        <v>37</v>
      </c>
      <c r="D744" s="277" t="s">
        <v>3815</v>
      </c>
      <c r="E744" s="195" t="s">
        <v>3816</v>
      </c>
      <c r="F744" s="196" t="s">
        <v>2073</v>
      </c>
      <c r="G744" s="197" t="s">
        <v>3239</v>
      </c>
      <c r="H744" s="198">
        <v>0.8</v>
      </c>
      <c r="I744" s="199">
        <v>32000</v>
      </c>
      <c r="J744" s="200" t="s">
        <v>3032</v>
      </c>
      <c r="K744" s="200" t="s">
        <v>3033</v>
      </c>
      <c r="L744" s="201">
        <v>0.4</v>
      </c>
      <c r="M744" s="278" t="s">
        <v>3817</v>
      </c>
      <c r="N744" s="205">
        <v>15833.39</v>
      </c>
      <c r="O744" s="254">
        <v>15833.39</v>
      </c>
      <c r="P744" s="254">
        <v>12666.71</v>
      </c>
      <c r="Q744" s="254">
        <v>12666.71</v>
      </c>
      <c r="R744" s="1262" t="s">
        <v>3726</v>
      </c>
      <c r="S744" s="254">
        <v>6333.36</v>
      </c>
      <c r="T744" s="204">
        <v>45016</v>
      </c>
      <c r="U744" s="1262" t="s">
        <v>2096</v>
      </c>
      <c r="V744" s="254">
        <v>3166.68</v>
      </c>
      <c r="W744" s="1262" t="s">
        <v>2228</v>
      </c>
      <c r="X744" s="258">
        <v>3166.68</v>
      </c>
      <c r="Y744" s="192"/>
    </row>
    <row r="745" ht="37.5" customHeight="1" spans="1:25">
      <c r="A745" s="192">
        <f t="shared" si="22"/>
        <v>737</v>
      </c>
      <c r="B745" s="208">
        <v>2023</v>
      </c>
      <c r="C745" s="193" t="s">
        <v>37</v>
      </c>
      <c r="D745" s="277" t="s">
        <v>3818</v>
      </c>
      <c r="E745" s="195" t="s">
        <v>3819</v>
      </c>
      <c r="F745" s="196" t="s">
        <v>2073</v>
      </c>
      <c r="G745" s="197" t="s">
        <v>3239</v>
      </c>
      <c r="H745" s="198">
        <v>0.8</v>
      </c>
      <c r="I745" s="199">
        <v>17503.33</v>
      </c>
      <c r="J745" s="200" t="s">
        <v>3032</v>
      </c>
      <c r="K745" s="200" t="s">
        <v>3033</v>
      </c>
      <c r="L745" s="201">
        <v>0.4</v>
      </c>
      <c r="M745" s="278" t="s">
        <v>3820</v>
      </c>
      <c r="N745" s="205">
        <v>2916.7</v>
      </c>
      <c r="O745" s="254">
        <v>2916.7</v>
      </c>
      <c r="P745" s="254">
        <v>2333.36</v>
      </c>
      <c r="Q745" s="254">
        <v>2333.36</v>
      </c>
      <c r="R745" s="1262" t="s">
        <v>3726</v>
      </c>
      <c r="S745" s="254">
        <v>1166.68</v>
      </c>
      <c r="T745" s="204">
        <v>45016</v>
      </c>
      <c r="U745" s="1262" t="s">
        <v>2096</v>
      </c>
      <c r="V745" s="254">
        <v>583.34</v>
      </c>
      <c r="W745" s="1262" t="s">
        <v>2228</v>
      </c>
      <c r="X745" s="258">
        <v>583.34</v>
      </c>
      <c r="Y745" s="192"/>
    </row>
    <row r="746" ht="37.5" customHeight="1" spans="1:25">
      <c r="A746" s="192">
        <f t="shared" si="22"/>
        <v>738</v>
      </c>
      <c r="B746" s="208">
        <v>2023</v>
      </c>
      <c r="C746" s="193" t="s">
        <v>37</v>
      </c>
      <c r="D746" s="277" t="s">
        <v>3821</v>
      </c>
      <c r="E746" s="195" t="s">
        <v>3822</v>
      </c>
      <c r="F746" s="196" t="s">
        <v>2073</v>
      </c>
      <c r="G746" s="197" t="s">
        <v>3239</v>
      </c>
      <c r="H746" s="198">
        <v>0.8</v>
      </c>
      <c r="I746" s="199">
        <v>288884</v>
      </c>
      <c r="J746" s="200" t="s">
        <v>3823</v>
      </c>
      <c r="K746" s="200" t="s">
        <v>3824</v>
      </c>
      <c r="L746" s="201">
        <v>0.4</v>
      </c>
      <c r="M746" s="278" t="s">
        <v>3825</v>
      </c>
      <c r="N746" s="205">
        <v>50000.06</v>
      </c>
      <c r="O746" s="254">
        <v>50000.06</v>
      </c>
      <c r="P746" s="254">
        <v>40000.05</v>
      </c>
      <c r="Q746" s="254">
        <v>40000.05</v>
      </c>
      <c r="R746" s="1262" t="s">
        <v>3726</v>
      </c>
      <c r="S746" s="254">
        <v>20000.02</v>
      </c>
      <c r="T746" s="204">
        <v>45016</v>
      </c>
      <c r="U746" s="1262" t="s">
        <v>2096</v>
      </c>
      <c r="V746" s="254">
        <v>10000.01</v>
      </c>
      <c r="W746" s="1262" t="s">
        <v>2228</v>
      </c>
      <c r="X746" s="258">
        <v>10000.01</v>
      </c>
      <c r="Y746" s="192"/>
    </row>
    <row r="747" ht="37.5" customHeight="1" spans="1:25">
      <c r="A747" s="192">
        <f t="shared" si="22"/>
        <v>739</v>
      </c>
      <c r="B747" s="208">
        <v>2023</v>
      </c>
      <c r="C747" s="193" t="s">
        <v>37</v>
      </c>
      <c r="D747" s="277" t="s">
        <v>3664</v>
      </c>
      <c r="E747" s="195" t="s">
        <v>3826</v>
      </c>
      <c r="F747" s="196" t="s">
        <v>2073</v>
      </c>
      <c r="G747" s="197" t="s">
        <v>3239</v>
      </c>
      <c r="H747" s="198">
        <v>0.8</v>
      </c>
      <c r="I747" s="199">
        <v>13885.87</v>
      </c>
      <c r="J747" s="200" t="s">
        <v>2076</v>
      </c>
      <c r="K747" s="200" t="s">
        <v>2996</v>
      </c>
      <c r="L747" s="201">
        <v>0.4</v>
      </c>
      <c r="M747" s="278" t="s">
        <v>3827</v>
      </c>
      <c r="N747" s="205">
        <v>1091.45</v>
      </c>
      <c r="O747" s="254">
        <v>1091.45</v>
      </c>
      <c r="P747" s="254">
        <v>873.16</v>
      </c>
      <c r="Q747" s="254">
        <v>873.16</v>
      </c>
      <c r="R747" s="1262" t="s">
        <v>3726</v>
      </c>
      <c r="S747" s="254">
        <v>436.58</v>
      </c>
      <c r="T747" s="204">
        <v>45016</v>
      </c>
      <c r="U747" s="1262" t="s">
        <v>2096</v>
      </c>
      <c r="V747" s="254">
        <v>218.29</v>
      </c>
      <c r="W747" s="1262" t="s">
        <v>2228</v>
      </c>
      <c r="X747" s="258">
        <v>218.29</v>
      </c>
      <c r="Y747" s="192"/>
    </row>
    <row r="748" ht="37.5" customHeight="1" spans="1:25">
      <c r="A748" s="192">
        <f t="shared" si="22"/>
        <v>740</v>
      </c>
      <c r="B748" s="208">
        <v>2023</v>
      </c>
      <c r="C748" s="193" t="s">
        <v>37</v>
      </c>
      <c r="D748" s="277" t="s">
        <v>3828</v>
      </c>
      <c r="E748" s="195" t="s">
        <v>3829</v>
      </c>
      <c r="F748" s="196" t="s">
        <v>2073</v>
      </c>
      <c r="G748" s="197" t="s">
        <v>3239</v>
      </c>
      <c r="H748" s="198">
        <v>0.8</v>
      </c>
      <c r="I748" s="199">
        <v>14254.41</v>
      </c>
      <c r="J748" s="200" t="s">
        <v>2812</v>
      </c>
      <c r="K748" s="200" t="s">
        <v>2813</v>
      </c>
      <c r="L748" s="201">
        <v>0.4</v>
      </c>
      <c r="M748" s="278" t="s">
        <v>2446</v>
      </c>
      <c r="N748" s="205">
        <v>1750</v>
      </c>
      <c r="O748" s="254">
        <v>1750</v>
      </c>
      <c r="P748" s="254">
        <v>1400</v>
      </c>
      <c r="Q748" s="254">
        <v>1400</v>
      </c>
      <c r="R748" s="1262" t="s">
        <v>3726</v>
      </c>
      <c r="S748" s="254">
        <v>700</v>
      </c>
      <c r="T748" s="204">
        <v>45016</v>
      </c>
      <c r="U748" s="1262" t="s">
        <v>2096</v>
      </c>
      <c r="V748" s="254">
        <v>350</v>
      </c>
      <c r="W748" s="1262" t="s">
        <v>2228</v>
      </c>
      <c r="X748" s="258">
        <v>350</v>
      </c>
      <c r="Y748" s="192"/>
    </row>
    <row r="749" ht="37.5" customHeight="1" spans="1:25">
      <c r="A749" s="192">
        <f t="shared" si="22"/>
        <v>741</v>
      </c>
      <c r="B749" s="208">
        <v>2023</v>
      </c>
      <c r="C749" s="193" t="s">
        <v>37</v>
      </c>
      <c r="D749" s="277" t="s">
        <v>3830</v>
      </c>
      <c r="E749" s="195" t="s">
        <v>3831</v>
      </c>
      <c r="F749" s="196" t="s">
        <v>2073</v>
      </c>
      <c r="G749" s="197" t="s">
        <v>3239</v>
      </c>
      <c r="H749" s="198">
        <v>0.8</v>
      </c>
      <c r="I749" s="199">
        <v>21000</v>
      </c>
      <c r="J749" s="200" t="s">
        <v>3361</v>
      </c>
      <c r="K749" s="200" t="s">
        <v>3362</v>
      </c>
      <c r="L749" s="201">
        <v>0.4</v>
      </c>
      <c r="M749" s="278" t="s">
        <v>3832</v>
      </c>
      <c r="N749" s="205">
        <v>12250</v>
      </c>
      <c r="O749" s="254">
        <v>12250</v>
      </c>
      <c r="P749" s="254">
        <v>9800</v>
      </c>
      <c r="Q749" s="254">
        <v>9800</v>
      </c>
      <c r="R749" s="1262" t="s">
        <v>3726</v>
      </c>
      <c r="S749" s="254">
        <v>4900</v>
      </c>
      <c r="T749" s="204">
        <v>45016</v>
      </c>
      <c r="U749" s="1262" t="s">
        <v>2096</v>
      </c>
      <c r="V749" s="254">
        <v>2450</v>
      </c>
      <c r="W749" s="1262" t="s">
        <v>2228</v>
      </c>
      <c r="X749" s="258">
        <v>2450</v>
      </c>
      <c r="Y749" s="192"/>
    </row>
    <row r="750" ht="37.5" customHeight="1" spans="1:25">
      <c r="A750" s="192">
        <f t="shared" si="22"/>
        <v>742</v>
      </c>
      <c r="B750" s="208">
        <v>2023</v>
      </c>
      <c r="C750" s="193" t="s">
        <v>37</v>
      </c>
      <c r="D750" s="277" t="s">
        <v>3518</v>
      </c>
      <c r="E750" s="195" t="s">
        <v>3833</v>
      </c>
      <c r="F750" s="196" t="s">
        <v>2073</v>
      </c>
      <c r="G750" s="197" t="s">
        <v>3239</v>
      </c>
      <c r="H750" s="198">
        <v>0.8</v>
      </c>
      <c r="I750" s="199">
        <v>20000</v>
      </c>
      <c r="J750" s="200" t="s">
        <v>2767</v>
      </c>
      <c r="K750" s="200" t="s">
        <v>2768</v>
      </c>
      <c r="L750" s="201">
        <v>0.4</v>
      </c>
      <c r="M750" s="278" t="s">
        <v>3521</v>
      </c>
      <c r="N750" s="205">
        <v>11666.7</v>
      </c>
      <c r="O750" s="254">
        <v>11666.7</v>
      </c>
      <c r="P750" s="254">
        <v>9333.36</v>
      </c>
      <c r="Q750" s="254">
        <v>9333.36</v>
      </c>
      <c r="R750" s="1262" t="s">
        <v>3726</v>
      </c>
      <c r="S750" s="254">
        <v>4666.68</v>
      </c>
      <c r="T750" s="204">
        <v>45016</v>
      </c>
      <c r="U750" s="1262" t="s">
        <v>2096</v>
      </c>
      <c r="V750" s="254">
        <v>2333.34</v>
      </c>
      <c r="W750" s="1262" t="s">
        <v>2228</v>
      </c>
      <c r="X750" s="258">
        <v>2333.34</v>
      </c>
      <c r="Y750" s="192"/>
    </row>
    <row r="751" ht="37.5" customHeight="1" spans="1:25">
      <c r="A751" s="192">
        <f t="shared" si="22"/>
        <v>743</v>
      </c>
      <c r="B751" s="208">
        <v>2023</v>
      </c>
      <c r="C751" s="193" t="s">
        <v>37</v>
      </c>
      <c r="D751" s="277" t="s">
        <v>3834</v>
      </c>
      <c r="E751" s="195" t="s">
        <v>3835</v>
      </c>
      <c r="F751" s="196" t="s">
        <v>2073</v>
      </c>
      <c r="G751" s="197" t="s">
        <v>3239</v>
      </c>
      <c r="H751" s="198">
        <v>0.8</v>
      </c>
      <c r="I751" s="199">
        <v>37500</v>
      </c>
      <c r="J751" s="200" t="s">
        <v>2125</v>
      </c>
      <c r="K751" s="200" t="s">
        <v>2887</v>
      </c>
      <c r="L751" s="201">
        <v>0.4</v>
      </c>
      <c r="M751" s="278" t="s">
        <v>2448</v>
      </c>
      <c r="N751" s="205">
        <v>20000</v>
      </c>
      <c r="O751" s="254">
        <v>20000</v>
      </c>
      <c r="P751" s="254">
        <v>16000</v>
      </c>
      <c r="Q751" s="254">
        <v>16000</v>
      </c>
      <c r="R751" s="1262" t="s">
        <v>3726</v>
      </c>
      <c r="S751" s="254">
        <v>8000</v>
      </c>
      <c r="T751" s="204">
        <v>45016</v>
      </c>
      <c r="U751" s="1262" t="s">
        <v>2096</v>
      </c>
      <c r="V751" s="254">
        <v>4000</v>
      </c>
      <c r="W751" s="1262" t="s">
        <v>2228</v>
      </c>
      <c r="X751" s="258">
        <v>4000</v>
      </c>
      <c r="Y751" s="192"/>
    </row>
    <row r="752" ht="37.5" customHeight="1" spans="1:25">
      <c r="A752" s="192">
        <f t="shared" si="22"/>
        <v>744</v>
      </c>
      <c r="B752" s="208">
        <v>2023</v>
      </c>
      <c r="C752" s="193" t="s">
        <v>37</v>
      </c>
      <c r="D752" s="277" t="s">
        <v>3836</v>
      </c>
      <c r="E752" s="1280" t="s">
        <v>3837</v>
      </c>
      <c r="F752" s="196" t="s">
        <v>2073</v>
      </c>
      <c r="G752" s="197" t="s">
        <v>3239</v>
      </c>
      <c r="H752" s="198">
        <v>0.8</v>
      </c>
      <c r="I752" s="199">
        <v>200000</v>
      </c>
      <c r="J752" s="200" t="s">
        <v>2125</v>
      </c>
      <c r="K752" s="200" t="s">
        <v>2887</v>
      </c>
      <c r="L752" s="201">
        <v>0.4</v>
      </c>
      <c r="M752" s="278" t="s">
        <v>3801</v>
      </c>
      <c r="N752" s="205">
        <v>116666.7</v>
      </c>
      <c r="O752" s="254">
        <v>116666.7</v>
      </c>
      <c r="P752" s="254">
        <v>93333.36</v>
      </c>
      <c r="Q752" s="254">
        <v>93333.36</v>
      </c>
      <c r="R752" s="1262" t="s">
        <v>3726</v>
      </c>
      <c r="S752" s="254">
        <v>46666.68</v>
      </c>
      <c r="T752" s="204">
        <v>45016</v>
      </c>
      <c r="U752" s="1262" t="s">
        <v>2096</v>
      </c>
      <c r="V752" s="254">
        <v>23333.34</v>
      </c>
      <c r="W752" s="1262" t="s">
        <v>2228</v>
      </c>
      <c r="X752" s="258">
        <v>23333.34</v>
      </c>
      <c r="Y752" s="192"/>
    </row>
    <row r="753" ht="37.5" customHeight="1" spans="1:25">
      <c r="A753" s="192">
        <f t="shared" si="22"/>
        <v>745</v>
      </c>
      <c r="B753" s="208">
        <v>2023</v>
      </c>
      <c r="C753" s="193" t="s">
        <v>37</v>
      </c>
      <c r="D753" s="277" t="s">
        <v>3838</v>
      </c>
      <c r="E753" s="195" t="s">
        <v>3839</v>
      </c>
      <c r="F753" s="196" t="s">
        <v>2073</v>
      </c>
      <c r="G753" s="197" t="s">
        <v>3239</v>
      </c>
      <c r="H753" s="198">
        <v>0.8</v>
      </c>
      <c r="I753" s="199">
        <v>16949.82</v>
      </c>
      <c r="J753" s="200" t="s">
        <v>2125</v>
      </c>
      <c r="K753" s="200" t="s">
        <v>2887</v>
      </c>
      <c r="L753" s="201">
        <v>0.4</v>
      </c>
      <c r="M753" s="278" t="s">
        <v>3464</v>
      </c>
      <c r="N753" s="205">
        <v>2333.35</v>
      </c>
      <c r="O753" s="254">
        <v>2333.35</v>
      </c>
      <c r="P753" s="254">
        <v>1866.68</v>
      </c>
      <c r="Q753" s="254">
        <v>1866.68</v>
      </c>
      <c r="R753" s="1262" t="s">
        <v>3726</v>
      </c>
      <c r="S753" s="254">
        <v>933.34</v>
      </c>
      <c r="T753" s="204">
        <v>45016</v>
      </c>
      <c r="U753" s="1262" t="s">
        <v>2096</v>
      </c>
      <c r="V753" s="254">
        <v>466.67</v>
      </c>
      <c r="W753" s="1262" t="s">
        <v>2228</v>
      </c>
      <c r="X753" s="258">
        <v>466.67</v>
      </c>
      <c r="Y753" s="192"/>
    </row>
    <row r="754" ht="37.5" customHeight="1" spans="1:25">
      <c r="A754" s="192">
        <f t="shared" si="22"/>
        <v>746</v>
      </c>
      <c r="B754" s="208">
        <v>2023</v>
      </c>
      <c r="C754" s="193" t="s">
        <v>37</v>
      </c>
      <c r="D754" s="277" t="s">
        <v>3709</v>
      </c>
      <c r="E754" s="195" t="s">
        <v>3840</v>
      </c>
      <c r="F754" s="196" t="s">
        <v>2073</v>
      </c>
      <c r="G754" s="197" t="s">
        <v>3239</v>
      </c>
      <c r="H754" s="198">
        <v>0.8</v>
      </c>
      <c r="I754" s="199">
        <v>16000</v>
      </c>
      <c r="J754" s="200" t="s">
        <v>3089</v>
      </c>
      <c r="K754" s="200" t="s">
        <v>3090</v>
      </c>
      <c r="L754" s="201">
        <v>0.4</v>
      </c>
      <c r="M754" s="278" t="s">
        <v>3675</v>
      </c>
      <c r="N754" s="205">
        <v>9333.35</v>
      </c>
      <c r="O754" s="254">
        <v>9333.35</v>
      </c>
      <c r="P754" s="254">
        <v>7466.68</v>
      </c>
      <c r="Q754" s="254">
        <v>7466.68</v>
      </c>
      <c r="R754" s="1262" t="s">
        <v>3726</v>
      </c>
      <c r="S754" s="254">
        <v>3733.34</v>
      </c>
      <c r="T754" s="204">
        <v>45016</v>
      </c>
      <c r="U754" s="1262" t="s">
        <v>2096</v>
      </c>
      <c r="V754" s="254">
        <v>1866.67</v>
      </c>
      <c r="W754" s="1262" t="s">
        <v>2228</v>
      </c>
      <c r="X754" s="258">
        <v>1866.67</v>
      </c>
      <c r="Y754" s="192"/>
    </row>
    <row r="755" ht="37.5" customHeight="1" spans="1:25">
      <c r="A755" s="192">
        <f t="shared" si="22"/>
        <v>747</v>
      </c>
      <c r="B755" s="208">
        <v>2023</v>
      </c>
      <c r="C755" s="193" t="s">
        <v>37</v>
      </c>
      <c r="D755" s="277" t="s">
        <v>3821</v>
      </c>
      <c r="E755" s="195" t="s">
        <v>3841</v>
      </c>
      <c r="F755" s="196" t="s">
        <v>2073</v>
      </c>
      <c r="G755" s="197" t="s">
        <v>3239</v>
      </c>
      <c r="H755" s="198">
        <v>0.8</v>
      </c>
      <c r="I755" s="199">
        <v>41963</v>
      </c>
      <c r="J755" s="200" t="s">
        <v>3543</v>
      </c>
      <c r="K755" s="200" t="s">
        <v>3544</v>
      </c>
      <c r="L755" s="201">
        <v>0.4</v>
      </c>
      <c r="M755" s="278" t="s">
        <v>3761</v>
      </c>
      <c r="N755" s="205">
        <v>2180.73</v>
      </c>
      <c r="O755" s="254">
        <v>2180.73</v>
      </c>
      <c r="P755" s="254">
        <v>1744.58</v>
      </c>
      <c r="Q755" s="254">
        <v>1744.58</v>
      </c>
      <c r="R755" s="1262" t="s">
        <v>3726</v>
      </c>
      <c r="S755" s="254">
        <v>872.29</v>
      </c>
      <c r="T755" s="204">
        <v>45016</v>
      </c>
      <c r="U755" s="1262" t="s">
        <v>2096</v>
      </c>
      <c r="V755" s="254">
        <v>436.15</v>
      </c>
      <c r="W755" s="1262" t="s">
        <v>2228</v>
      </c>
      <c r="X755" s="258">
        <v>436.15</v>
      </c>
      <c r="Y755" s="192"/>
    </row>
    <row r="756" ht="37.5" customHeight="1" spans="1:25">
      <c r="A756" s="192">
        <f t="shared" si="22"/>
        <v>748</v>
      </c>
      <c r="B756" s="208">
        <v>2023</v>
      </c>
      <c r="C756" s="193" t="s">
        <v>37</v>
      </c>
      <c r="D756" s="277" t="s">
        <v>3842</v>
      </c>
      <c r="E756" s="195" t="s">
        <v>3843</v>
      </c>
      <c r="F756" s="196" t="s">
        <v>2073</v>
      </c>
      <c r="G756" s="197" t="s">
        <v>3239</v>
      </c>
      <c r="H756" s="198">
        <v>0.8</v>
      </c>
      <c r="I756" s="199">
        <v>18800</v>
      </c>
      <c r="J756" s="200" t="s">
        <v>2103</v>
      </c>
      <c r="K756" s="200" t="s">
        <v>2740</v>
      </c>
      <c r="L756" s="201">
        <v>0.4</v>
      </c>
      <c r="M756" s="278" t="s">
        <v>2446</v>
      </c>
      <c r="N756" s="205">
        <v>11700.03</v>
      </c>
      <c r="O756" s="254">
        <v>11700.03</v>
      </c>
      <c r="P756" s="254">
        <v>9360.02</v>
      </c>
      <c r="Q756" s="254">
        <v>9360.02</v>
      </c>
      <c r="R756" s="1262" t="s">
        <v>3726</v>
      </c>
      <c r="S756" s="254">
        <v>4680.01</v>
      </c>
      <c r="T756" s="204">
        <v>45016</v>
      </c>
      <c r="U756" s="1262" t="s">
        <v>2096</v>
      </c>
      <c r="V756" s="254">
        <v>2340.01</v>
      </c>
      <c r="W756" s="1262" t="s">
        <v>2228</v>
      </c>
      <c r="X756" s="258">
        <v>2340.01</v>
      </c>
      <c r="Y756" s="192"/>
    </row>
    <row r="757" ht="37.5" customHeight="1" spans="1:25">
      <c r="A757" s="192">
        <f t="shared" si="22"/>
        <v>749</v>
      </c>
      <c r="B757" s="208">
        <v>2023</v>
      </c>
      <c r="C757" s="193" t="s">
        <v>37</v>
      </c>
      <c r="D757" s="277" t="s">
        <v>3844</v>
      </c>
      <c r="E757" s="195" t="s">
        <v>3845</v>
      </c>
      <c r="F757" s="196" t="s">
        <v>2073</v>
      </c>
      <c r="G757" s="197" t="s">
        <v>3239</v>
      </c>
      <c r="H757" s="198">
        <v>0.8</v>
      </c>
      <c r="I757" s="199">
        <v>13000</v>
      </c>
      <c r="J757" s="200" t="s">
        <v>2103</v>
      </c>
      <c r="K757" s="200" t="s">
        <v>2740</v>
      </c>
      <c r="L757" s="201">
        <v>0.4</v>
      </c>
      <c r="M757" s="278" t="s">
        <v>2652</v>
      </c>
      <c r="N757" s="205">
        <v>8166.68</v>
      </c>
      <c r="O757" s="254">
        <v>8166.68</v>
      </c>
      <c r="P757" s="254">
        <v>6533.34</v>
      </c>
      <c r="Q757" s="254">
        <v>6533.34</v>
      </c>
      <c r="R757" s="1262" t="s">
        <v>3726</v>
      </c>
      <c r="S757" s="254">
        <v>3266.67</v>
      </c>
      <c r="T757" s="204">
        <v>45016</v>
      </c>
      <c r="U757" s="1262" t="s">
        <v>2096</v>
      </c>
      <c r="V757" s="254">
        <v>1633.34</v>
      </c>
      <c r="W757" s="1262" t="s">
        <v>2228</v>
      </c>
      <c r="X757" s="258">
        <v>1633.34</v>
      </c>
      <c r="Y757" s="192"/>
    </row>
    <row r="758" ht="37.5" customHeight="1" spans="1:25">
      <c r="A758" s="192">
        <f t="shared" si="22"/>
        <v>750</v>
      </c>
      <c r="B758" s="208">
        <v>2023</v>
      </c>
      <c r="C758" s="193" t="s">
        <v>37</v>
      </c>
      <c r="D758" s="277" t="s">
        <v>3739</v>
      </c>
      <c r="E758" s="195" t="s">
        <v>3846</v>
      </c>
      <c r="F758" s="196" t="s">
        <v>2073</v>
      </c>
      <c r="G758" s="197" t="s">
        <v>3239</v>
      </c>
      <c r="H758" s="198">
        <v>0.8</v>
      </c>
      <c r="I758" s="199">
        <v>11800</v>
      </c>
      <c r="J758" s="200" t="s">
        <v>3376</v>
      </c>
      <c r="K758" s="200" t="s">
        <v>3377</v>
      </c>
      <c r="L758" s="201">
        <v>0.4</v>
      </c>
      <c r="M758" s="278" t="s">
        <v>3246</v>
      </c>
      <c r="N758" s="205">
        <v>7866.68</v>
      </c>
      <c r="O758" s="254">
        <v>7866.68</v>
      </c>
      <c r="P758" s="254">
        <v>6293.34</v>
      </c>
      <c r="Q758" s="254">
        <v>6293.34</v>
      </c>
      <c r="R758" s="1262" t="s">
        <v>3726</v>
      </c>
      <c r="S758" s="254">
        <v>3146.67</v>
      </c>
      <c r="T758" s="204">
        <v>45016</v>
      </c>
      <c r="U758" s="1262" t="s">
        <v>2096</v>
      </c>
      <c r="V758" s="254">
        <v>1573.34</v>
      </c>
      <c r="W758" s="1262" t="s">
        <v>2228</v>
      </c>
      <c r="X758" s="258">
        <v>1573.34</v>
      </c>
      <c r="Y758" s="192"/>
    </row>
    <row r="759" ht="37.5" customHeight="1" spans="1:25">
      <c r="A759" s="192">
        <f t="shared" si="22"/>
        <v>751</v>
      </c>
      <c r="B759" s="208">
        <v>2023</v>
      </c>
      <c r="C759" s="193" t="s">
        <v>37</v>
      </c>
      <c r="D759" s="277" t="s">
        <v>3134</v>
      </c>
      <c r="E759" s="195" t="s">
        <v>3847</v>
      </c>
      <c r="F759" s="196" t="s">
        <v>2073</v>
      </c>
      <c r="G759" s="197" t="s">
        <v>3239</v>
      </c>
      <c r="H759" s="198">
        <v>0.8</v>
      </c>
      <c r="I759" s="199">
        <v>26655</v>
      </c>
      <c r="J759" s="200" t="s">
        <v>3376</v>
      </c>
      <c r="K759" s="200" t="s">
        <v>3377</v>
      </c>
      <c r="L759" s="201">
        <v>0.4</v>
      </c>
      <c r="M759" s="278" t="s">
        <v>2714</v>
      </c>
      <c r="N759" s="205">
        <v>16521</v>
      </c>
      <c r="O759" s="254">
        <v>16521</v>
      </c>
      <c r="P759" s="254">
        <v>13216.8</v>
      </c>
      <c r="Q759" s="254">
        <v>13216.8</v>
      </c>
      <c r="R759" s="1262" t="s">
        <v>3726</v>
      </c>
      <c r="S759" s="254">
        <v>6608.4</v>
      </c>
      <c r="T759" s="204">
        <v>45016</v>
      </c>
      <c r="U759" s="1262" t="s">
        <v>2096</v>
      </c>
      <c r="V759" s="254">
        <v>3304.2</v>
      </c>
      <c r="W759" s="1262" t="s">
        <v>2228</v>
      </c>
      <c r="X759" s="258">
        <v>3304.2</v>
      </c>
      <c r="Y759" s="192"/>
    </row>
    <row r="760" ht="37.5" customHeight="1" spans="1:25">
      <c r="A760" s="192">
        <f t="shared" si="22"/>
        <v>752</v>
      </c>
      <c r="B760" s="208">
        <v>2023</v>
      </c>
      <c r="C760" s="193" t="s">
        <v>37</v>
      </c>
      <c r="D760" s="277" t="s">
        <v>3848</v>
      </c>
      <c r="E760" s="195" t="s">
        <v>3849</v>
      </c>
      <c r="F760" s="196" t="s">
        <v>2073</v>
      </c>
      <c r="G760" s="197" t="s">
        <v>3239</v>
      </c>
      <c r="H760" s="198">
        <v>0.8</v>
      </c>
      <c r="I760" s="199">
        <v>190000</v>
      </c>
      <c r="J760" s="200" t="s">
        <v>1946</v>
      </c>
      <c r="K760" s="200" t="s">
        <v>3068</v>
      </c>
      <c r="L760" s="201">
        <v>0.4</v>
      </c>
      <c r="M760" s="278" t="s">
        <v>3801</v>
      </c>
      <c r="N760" s="205">
        <v>126666.68</v>
      </c>
      <c r="O760" s="254">
        <v>126666.68</v>
      </c>
      <c r="P760" s="254">
        <v>101333.34</v>
      </c>
      <c r="Q760" s="254">
        <v>101333.34</v>
      </c>
      <c r="R760" s="1262" t="s">
        <v>3726</v>
      </c>
      <c r="S760" s="254">
        <v>50666.67</v>
      </c>
      <c r="T760" s="204">
        <v>45016</v>
      </c>
      <c r="U760" s="1262" t="s">
        <v>2096</v>
      </c>
      <c r="V760" s="254">
        <v>25333.34</v>
      </c>
      <c r="W760" s="1262" t="s">
        <v>2228</v>
      </c>
      <c r="X760" s="258">
        <v>25333.34</v>
      </c>
      <c r="Y760" s="192"/>
    </row>
    <row r="761" ht="37.5" customHeight="1" spans="1:25">
      <c r="A761" s="192">
        <f t="shared" si="22"/>
        <v>753</v>
      </c>
      <c r="B761" s="208">
        <v>2023</v>
      </c>
      <c r="C761" s="193" t="s">
        <v>37</v>
      </c>
      <c r="D761" s="277" t="s">
        <v>3772</v>
      </c>
      <c r="E761" s="195" t="s">
        <v>3850</v>
      </c>
      <c r="F761" s="196" t="s">
        <v>2073</v>
      </c>
      <c r="G761" s="197" t="s">
        <v>3239</v>
      </c>
      <c r="H761" s="198">
        <v>0.8</v>
      </c>
      <c r="I761" s="199">
        <v>14919.35</v>
      </c>
      <c r="J761" s="200" t="s">
        <v>2053</v>
      </c>
      <c r="K761" s="200" t="s">
        <v>2709</v>
      </c>
      <c r="L761" s="201">
        <v>0.4</v>
      </c>
      <c r="M761" s="278" t="s">
        <v>3246</v>
      </c>
      <c r="N761" s="205">
        <v>4666.64</v>
      </c>
      <c r="O761" s="254">
        <v>4666.64</v>
      </c>
      <c r="P761" s="254">
        <v>3733.31</v>
      </c>
      <c r="Q761" s="254">
        <v>3733.31</v>
      </c>
      <c r="R761" s="1262" t="s">
        <v>3726</v>
      </c>
      <c r="S761" s="254">
        <v>1866.66</v>
      </c>
      <c r="T761" s="204">
        <v>45016</v>
      </c>
      <c r="U761" s="1262" t="s">
        <v>2096</v>
      </c>
      <c r="V761" s="254">
        <v>933.33</v>
      </c>
      <c r="W761" s="1262" t="s">
        <v>2228</v>
      </c>
      <c r="X761" s="258">
        <v>933.33</v>
      </c>
      <c r="Y761" s="192"/>
    </row>
    <row r="762" ht="37.5" customHeight="1" spans="1:25">
      <c r="A762" s="192">
        <f t="shared" si="22"/>
        <v>754</v>
      </c>
      <c r="B762" s="208">
        <v>2023</v>
      </c>
      <c r="C762" s="193" t="s">
        <v>37</v>
      </c>
      <c r="D762" s="277" t="s">
        <v>3851</v>
      </c>
      <c r="E762" s="195" t="s">
        <v>3852</v>
      </c>
      <c r="F762" s="196" t="s">
        <v>2073</v>
      </c>
      <c r="G762" s="197" t="s">
        <v>3239</v>
      </c>
      <c r="H762" s="198">
        <v>0.8</v>
      </c>
      <c r="I762" s="199">
        <v>26800</v>
      </c>
      <c r="J762" s="200" t="s">
        <v>2761</v>
      </c>
      <c r="K762" s="200" t="s">
        <v>2762</v>
      </c>
      <c r="L762" s="201">
        <v>0.4</v>
      </c>
      <c r="M762" s="278" t="s">
        <v>3853</v>
      </c>
      <c r="N762" s="205">
        <v>17866.68</v>
      </c>
      <c r="O762" s="254">
        <v>17866.68</v>
      </c>
      <c r="P762" s="254">
        <v>14293.34</v>
      </c>
      <c r="Q762" s="254">
        <v>14293.34</v>
      </c>
      <c r="R762" s="1262" t="s">
        <v>3726</v>
      </c>
      <c r="S762" s="254">
        <v>7146.67</v>
      </c>
      <c r="T762" s="204">
        <v>45016</v>
      </c>
      <c r="U762" s="1262" t="s">
        <v>2096</v>
      </c>
      <c r="V762" s="254">
        <v>3573.34</v>
      </c>
      <c r="W762" s="1262" t="s">
        <v>2228</v>
      </c>
      <c r="X762" s="258">
        <v>3573.34</v>
      </c>
      <c r="Y762" s="192"/>
    </row>
    <row r="763" ht="37.5" customHeight="1" spans="1:25">
      <c r="A763" s="192">
        <f t="shared" si="22"/>
        <v>755</v>
      </c>
      <c r="B763" s="208">
        <v>2023</v>
      </c>
      <c r="C763" s="193" t="s">
        <v>37</v>
      </c>
      <c r="D763" s="277" t="s">
        <v>3854</v>
      </c>
      <c r="E763" s="195" t="s">
        <v>3855</v>
      </c>
      <c r="F763" s="196" t="s">
        <v>2073</v>
      </c>
      <c r="G763" s="197" t="s">
        <v>3239</v>
      </c>
      <c r="H763" s="198">
        <v>0.8</v>
      </c>
      <c r="I763" s="199">
        <v>25000</v>
      </c>
      <c r="J763" s="200" t="s">
        <v>2761</v>
      </c>
      <c r="K763" s="200" t="s">
        <v>2762</v>
      </c>
      <c r="L763" s="201">
        <v>0.4</v>
      </c>
      <c r="M763" s="278" t="s">
        <v>3521</v>
      </c>
      <c r="N763" s="205">
        <v>16666.72</v>
      </c>
      <c r="O763" s="254">
        <v>16666.72</v>
      </c>
      <c r="P763" s="254">
        <v>13333.38</v>
      </c>
      <c r="Q763" s="254">
        <v>13333.38</v>
      </c>
      <c r="R763" s="1262" t="s">
        <v>3726</v>
      </c>
      <c r="S763" s="254">
        <v>6666.69</v>
      </c>
      <c r="T763" s="204">
        <v>45016</v>
      </c>
      <c r="U763" s="1262" t="s">
        <v>2096</v>
      </c>
      <c r="V763" s="254">
        <v>3333.34</v>
      </c>
      <c r="W763" s="1262" t="s">
        <v>2228</v>
      </c>
      <c r="X763" s="258">
        <v>3333.34</v>
      </c>
      <c r="Y763" s="192"/>
    </row>
    <row r="764" ht="37.5" customHeight="1" spans="1:25">
      <c r="A764" s="192">
        <f t="shared" si="22"/>
        <v>756</v>
      </c>
      <c r="B764" s="208">
        <v>2023</v>
      </c>
      <c r="C764" s="193" t="s">
        <v>37</v>
      </c>
      <c r="D764" s="277" t="s">
        <v>3815</v>
      </c>
      <c r="E764" s="195" t="s">
        <v>3856</v>
      </c>
      <c r="F764" s="196" t="s">
        <v>2073</v>
      </c>
      <c r="G764" s="197" t="s">
        <v>3239</v>
      </c>
      <c r="H764" s="198">
        <v>0.8</v>
      </c>
      <c r="I764" s="199">
        <v>43648</v>
      </c>
      <c r="J764" s="200" t="s">
        <v>2092</v>
      </c>
      <c r="K764" s="200" t="s">
        <v>2926</v>
      </c>
      <c r="L764" s="201">
        <v>0.4</v>
      </c>
      <c r="M764" s="278" t="s">
        <v>3817</v>
      </c>
      <c r="N764" s="205">
        <v>27848.68</v>
      </c>
      <c r="O764" s="254">
        <v>27848.68</v>
      </c>
      <c r="P764" s="254">
        <v>22278.94</v>
      </c>
      <c r="Q764" s="254">
        <v>22278.94</v>
      </c>
      <c r="R764" s="1262" t="s">
        <v>3726</v>
      </c>
      <c r="S764" s="254">
        <v>11139.47</v>
      </c>
      <c r="T764" s="204">
        <v>45016</v>
      </c>
      <c r="U764" s="1262" t="s">
        <v>2096</v>
      </c>
      <c r="V764" s="254">
        <v>5569.74</v>
      </c>
      <c r="W764" s="1262" t="s">
        <v>2228</v>
      </c>
      <c r="X764" s="258">
        <v>5569.74</v>
      </c>
      <c r="Y764" s="192"/>
    </row>
    <row r="765" ht="37.5" customHeight="1" spans="1:25">
      <c r="A765" s="192">
        <f t="shared" si="22"/>
        <v>757</v>
      </c>
      <c r="B765" s="208">
        <v>2023</v>
      </c>
      <c r="C765" s="193" t="s">
        <v>37</v>
      </c>
      <c r="D765" s="277" t="s">
        <v>3857</v>
      </c>
      <c r="E765" s="195" t="s">
        <v>3858</v>
      </c>
      <c r="F765" s="196" t="s">
        <v>2073</v>
      </c>
      <c r="G765" s="197" t="s">
        <v>3239</v>
      </c>
      <c r="H765" s="198">
        <v>0.8</v>
      </c>
      <c r="I765" s="199">
        <v>11760.68</v>
      </c>
      <c r="J765" s="200" t="s">
        <v>2092</v>
      </c>
      <c r="K765" s="200" t="s">
        <v>2926</v>
      </c>
      <c r="L765" s="201">
        <v>0.4</v>
      </c>
      <c r="M765" s="278" t="s">
        <v>3820</v>
      </c>
      <c r="N765" s="205">
        <v>2666.68</v>
      </c>
      <c r="O765" s="254">
        <v>2666.68</v>
      </c>
      <c r="P765" s="254">
        <v>2133.34</v>
      </c>
      <c r="Q765" s="254">
        <v>2133.34</v>
      </c>
      <c r="R765" s="1262" t="s">
        <v>3726</v>
      </c>
      <c r="S765" s="254">
        <v>1066.67</v>
      </c>
      <c r="T765" s="204">
        <v>45016</v>
      </c>
      <c r="U765" s="1262" t="s">
        <v>2096</v>
      </c>
      <c r="V765" s="254">
        <v>533.34</v>
      </c>
      <c r="W765" s="1262" t="s">
        <v>2228</v>
      </c>
      <c r="X765" s="258">
        <v>533.34</v>
      </c>
      <c r="Y765" s="192"/>
    </row>
    <row r="766" ht="37.5" customHeight="1" spans="1:25">
      <c r="A766" s="192">
        <f t="shared" si="22"/>
        <v>758</v>
      </c>
      <c r="B766" s="208">
        <v>2023</v>
      </c>
      <c r="C766" s="193" t="s">
        <v>37</v>
      </c>
      <c r="D766" s="277" t="s">
        <v>3859</v>
      </c>
      <c r="E766" s="195" t="s">
        <v>3860</v>
      </c>
      <c r="F766" s="196" t="s">
        <v>2073</v>
      </c>
      <c r="G766" s="197" t="s">
        <v>3239</v>
      </c>
      <c r="H766" s="198">
        <v>0.8</v>
      </c>
      <c r="I766" s="199">
        <v>10900</v>
      </c>
      <c r="J766" s="200" t="s">
        <v>2961</v>
      </c>
      <c r="K766" s="200" t="s">
        <v>2962</v>
      </c>
      <c r="L766" s="201">
        <v>0.4</v>
      </c>
      <c r="M766" s="278" t="s">
        <v>3521</v>
      </c>
      <c r="N766" s="205">
        <v>6666.68</v>
      </c>
      <c r="O766" s="254">
        <v>6666.68</v>
      </c>
      <c r="P766" s="254">
        <v>5333.34</v>
      </c>
      <c r="Q766" s="254">
        <v>5333.34</v>
      </c>
      <c r="R766" s="1262" t="s">
        <v>3726</v>
      </c>
      <c r="S766" s="254">
        <v>2666.67</v>
      </c>
      <c r="T766" s="204">
        <v>45016</v>
      </c>
      <c r="U766" s="1262" t="s">
        <v>2096</v>
      </c>
      <c r="V766" s="254">
        <v>1333.34</v>
      </c>
      <c r="W766" s="1262" t="s">
        <v>2228</v>
      </c>
      <c r="X766" s="258">
        <v>1333.34</v>
      </c>
      <c r="Y766" s="192"/>
    </row>
    <row r="767" ht="37.5" customHeight="1" spans="1:25">
      <c r="A767" s="192">
        <f t="shared" si="22"/>
        <v>759</v>
      </c>
      <c r="B767" s="208">
        <v>2023</v>
      </c>
      <c r="C767" s="193" t="s">
        <v>37</v>
      </c>
      <c r="D767" s="277" t="s">
        <v>3861</v>
      </c>
      <c r="E767" s="195" t="s">
        <v>3862</v>
      </c>
      <c r="F767" s="196" t="s">
        <v>2073</v>
      </c>
      <c r="G767" s="197" t="s">
        <v>3239</v>
      </c>
      <c r="H767" s="198">
        <v>0.8</v>
      </c>
      <c r="I767" s="199">
        <v>12024.85</v>
      </c>
      <c r="J767" s="200" t="s">
        <v>1932</v>
      </c>
      <c r="K767" s="200" t="s">
        <v>3863</v>
      </c>
      <c r="L767" s="201">
        <v>0.4</v>
      </c>
      <c r="M767" s="278" t="s">
        <v>3680</v>
      </c>
      <c r="N767" s="205">
        <v>2000</v>
      </c>
      <c r="O767" s="254">
        <v>2000</v>
      </c>
      <c r="P767" s="254">
        <v>1600</v>
      </c>
      <c r="Q767" s="254">
        <v>1600</v>
      </c>
      <c r="R767" s="1262" t="s">
        <v>3726</v>
      </c>
      <c r="S767" s="254">
        <v>800</v>
      </c>
      <c r="T767" s="204">
        <v>45016</v>
      </c>
      <c r="U767" s="1262" t="s">
        <v>2096</v>
      </c>
      <c r="V767" s="254">
        <v>400</v>
      </c>
      <c r="W767" s="1262" t="s">
        <v>2228</v>
      </c>
      <c r="X767" s="258">
        <v>400</v>
      </c>
      <c r="Y767" s="192"/>
    </row>
    <row r="768" ht="37.5" customHeight="1" spans="1:25">
      <c r="A768" s="192">
        <f t="shared" si="22"/>
        <v>760</v>
      </c>
      <c r="B768" s="208">
        <v>2023</v>
      </c>
      <c r="C768" s="193" t="s">
        <v>37</v>
      </c>
      <c r="D768" s="277" t="s">
        <v>3864</v>
      </c>
      <c r="E768" s="195" t="s">
        <v>3865</v>
      </c>
      <c r="F768" s="196" t="s">
        <v>2073</v>
      </c>
      <c r="G768" s="197" t="s">
        <v>3239</v>
      </c>
      <c r="H768" s="198">
        <v>0.8</v>
      </c>
      <c r="I768" s="199">
        <v>25000</v>
      </c>
      <c r="J768" s="200" t="s">
        <v>2186</v>
      </c>
      <c r="K768" s="200" t="s">
        <v>3866</v>
      </c>
      <c r="L768" s="201">
        <v>0.4</v>
      </c>
      <c r="M768" s="278" t="s">
        <v>3521</v>
      </c>
      <c r="N768" s="205">
        <v>25000</v>
      </c>
      <c r="O768" s="254">
        <v>25000</v>
      </c>
      <c r="P768" s="254">
        <v>20000</v>
      </c>
      <c r="Q768" s="254">
        <v>20000</v>
      </c>
      <c r="R768" s="1262" t="s">
        <v>3726</v>
      </c>
      <c r="S768" s="254">
        <v>10000</v>
      </c>
      <c r="T768" s="204">
        <v>45016</v>
      </c>
      <c r="U768" s="1262" t="s">
        <v>2096</v>
      </c>
      <c r="V768" s="254">
        <v>5000</v>
      </c>
      <c r="W768" s="1262" t="s">
        <v>2228</v>
      </c>
      <c r="X768" s="258">
        <v>5000</v>
      </c>
      <c r="Y768" s="192"/>
    </row>
    <row r="769" ht="37.5" customHeight="1" spans="1:25">
      <c r="A769" s="192">
        <f t="shared" si="22"/>
        <v>761</v>
      </c>
      <c r="B769" s="208">
        <v>2023</v>
      </c>
      <c r="C769" s="193" t="s">
        <v>37</v>
      </c>
      <c r="D769" s="277" t="s">
        <v>3867</v>
      </c>
      <c r="E769" s="195" t="s">
        <v>3868</v>
      </c>
      <c r="F769" s="196" t="s">
        <v>2073</v>
      </c>
      <c r="G769" s="197" t="s">
        <v>3239</v>
      </c>
      <c r="H769" s="198">
        <v>0.8</v>
      </c>
      <c r="I769" s="199">
        <v>15300.94</v>
      </c>
      <c r="J769" s="200" t="s">
        <v>1959</v>
      </c>
      <c r="K769" s="200" t="s">
        <v>3391</v>
      </c>
      <c r="L769" s="201">
        <v>0.4</v>
      </c>
      <c r="M769" s="278" t="s">
        <v>3869</v>
      </c>
      <c r="N769" s="205">
        <v>3333.36</v>
      </c>
      <c r="O769" s="254">
        <v>3333.36</v>
      </c>
      <c r="P769" s="254">
        <v>2666.69</v>
      </c>
      <c r="Q769" s="254">
        <v>2666.69</v>
      </c>
      <c r="R769" s="1262" t="s">
        <v>3726</v>
      </c>
      <c r="S769" s="254">
        <v>1333.34</v>
      </c>
      <c r="T769" s="204">
        <v>45016</v>
      </c>
      <c r="U769" s="1262" t="s">
        <v>2096</v>
      </c>
      <c r="V769" s="254">
        <v>666.67</v>
      </c>
      <c r="W769" s="1262" t="s">
        <v>2228</v>
      </c>
      <c r="X769" s="258">
        <v>666.67</v>
      </c>
      <c r="Y769" s="192"/>
    </row>
    <row r="770" ht="37.5" customHeight="1" spans="1:25">
      <c r="A770" s="192">
        <f t="shared" si="22"/>
        <v>762</v>
      </c>
      <c r="B770" s="208">
        <v>2023</v>
      </c>
      <c r="C770" s="193" t="s">
        <v>37</v>
      </c>
      <c r="D770" s="277" t="s">
        <v>3870</v>
      </c>
      <c r="E770" s="195" t="s">
        <v>3871</v>
      </c>
      <c r="F770" s="196" t="s">
        <v>2073</v>
      </c>
      <c r="G770" s="197" t="s">
        <v>3239</v>
      </c>
      <c r="H770" s="198">
        <v>0.8</v>
      </c>
      <c r="I770" s="199">
        <v>34010</v>
      </c>
      <c r="J770" s="200" t="s">
        <v>1959</v>
      </c>
      <c r="K770" s="200" t="s">
        <v>3391</v>
      </c>
      <c r="L770" s="201">
        <v>0.4</v>
      </c>
      <c r="M770" s="278" t="s">
        <v>3872</v>
      </c>
      <c r="N770" s="205">
        <v>25507.52</v>
      </c>
      <c r="O770" s="254">
        <v>25507.52</v>
      </c>
      <c r="P770" s="254">
        <v>20406.02</v>
      </c>
      <c r="Q770" s="254">
        <v>20406.02</v>
      </c>
      <c r="R770" s="1262" t="s">
        <v>3726</v>
      </c>
      <c r="S770" s="254">
        <v>10203.01</v>
      </c>
      <c r="T770" s="204">
        <v>45016</v>
      </c>
      <c r="U770" s="1262" t="s">
        <v>2096</v>
      </c>
      <c r="V770" s="254">
        <v>5101.5</v>
      </c>
      <c r="W770" s="1262" t="s">
        <v>2228</v>
      </c>
      <c r="X770" s="258">
        <v>5101.5</v>
      </c>
      <c r="Y770" s="192"/>
    </row>
    <row r="771" ht="37.5" customHeight="1" spans="1:25">
      <c r="A771" s="192">
        <f t="shared" si="22"/>
        <v>763</v>
      </c>
      <c r="B771" s="208">
        <v>2023</v>
      </c>
      <c r="C771" s="193" t="s">
        <v>37</v>
      </c>
      <c r="D771" s="277" t="s">
        <v>3873</v>
      </c>
      <c r="E771" s="195" t="s">
        <v>3874</v>
      </c>
      <c r="F771" s="196" t="s">
        <v>2073</v>
      </c>
      <c r="G771" s="197" t="s">
        <v>3239</v>
      </c>
      <c r="H771" s="198">
        <v>0.8</v>
      </c>
      <c r="I771" s="199">
        <v>128200</v>
      </c>
      <c r="J771" s="200" t="s">
        <v>2919</v>
      </c>
      <c r="K771" s="200" t="s">
        <v>2920</v>
      </c>
      <c r="L771" s="201">
        <v>0.4</v>
      </c>
      <c r="M771" s="278" t="s">
        <v>3875</v>
      </c>
      <c r="N771" s="205">
        <v>78033.46</v>
      </c>
      <c r="O771" s="254">
        <v>78033.46</v>
      </c>
      <c r="P771" s="254">
        <v>62426.78</v>
      </c>
      <c r="Q771" s="254">
        <v>62426.78</v>
      </c>
      <c r="R771" s="1262" t="s">
        <v>3726</v>
      </c>
      <c r="S771" s="254">
        <v>31213.38</v>
      </c>
      <c r="T771" s="204">
        <v>45016</v>
      </c>
      <c r="U771" s="1262" t="s">
        <v>2096</v>
      </c>
      <c r="V771" s="254">
        <v>15606.69</v>
      </c>
      <c r="W771" s="1262" t="s">
        <v>2228</v>
      </c>
      <c r="X771" s="258">
        <v>15606.69</v>
      </c>
      <c r="Y771" s="192"/>
    </row>
    <row r="772" ht="37.5" customHeight="1" spans="1:25">
      <c r="A772" s="192">
        <f t="shared" si="22"/>
        <v>764</v>
      </c>
      <c r="B772" s="208">
        <v>2023</v>
      </c>
      <c r="C772" s="193" t="s">
        <v>37</v>
      </c>
      <c r="D772" s="277" t="s">
        <v>3876</v>
      </c>
      <c r="E772" s="195" t="s">
        <v>3877</v>
      </c>
      <c r="F772" s="196" t="s">
        <v>2073</v>
      </c>
      <c r="G772" s="197" t="s">
        <v>3239</v>
      </c>
      <c r="H772" s="198">
        <v>0.8</v>
      </c>
      <c r="I772" s="199">
        <v>63000</v>
      </c>
      <c r="J772" s="200" t="s">
        <v>2919</v>
      </c>
      <c r="K772" s="200" t="s">
        <v>2920</v>
      </c>
      <c r="L772" s="201">
        <v>0.4</v>
      </c>
      <c r="M772" s="278" t="s">
        <v>3820</v>
      </c>
      <c r="N772" s="205">
        <v>46705.02</v>
      </c>
      <c r="O772" s="254">
        <v>46705.02</v>
      </c>
      <c r="P772" s="254">
        <v>37364.02</v>
      </c>
      <c r="Q772" s="254">
        <v>37364.02</v>
      </c>
      <c r="R772" s="1262" t="s">
        <v>3726</v>
      </c>
      <c r="S772" s="254">
        <v>18682.01</v>
      </c>
      <c r="T772" s="204">
        <v>45016</v>
      </c>
      <c r="U772" s="1262" t="s">
        <v>2096</v>
      </c>
      <c r="V772" s="254">
        <v>9341</v>
      </c>
      <c r="W772" s="1262" t="s">
        <v>2228</v>
      </c>
      <c r="X772" s="258">
        <v>9341</v>
      </c>
      <c r="Y772" s="192"/>
    </row>
    <row r="773" ht="37.5" customHeight="1" spans="1:25">
      <c r="A773" s="192">
        <f t="shared" si="22"/>
        <v>765</v>
      </c>
      <c r="B773" s="208">
        <v>2023</v>
      </c>
      <c r="C773" s="193" t="s">
        <v>37</v>
      </c>
      <c r="D773" s="277" t="s">
        <v>3859</v>
      </c>
      <c r="E773" s="195" t="s">
        <v>3878</v>
      </c>
      <c r="F773" s="196" t="s">
        <v>2073</v>
      </c>
      <c r="G773" s="197" t="s">
        <v>3239</v>
      </c>
      <c r="H773" s="198">
        <v>0.8</v>
      </c>
      <c r="I773" s="199">
        <v>16212.89</v>
      </c>
      <c r="J773" s="200" t="s">
        <v>2919</v>
      </c>
      <c r="K773" s="200" t="s">
        <v>2920</v>
      </c>
      <c r="L773" s="201">
        <v>0.4</v>
      </c>
      <c r="M773" s="278" t="s">
        <v>3521</v>
      </c>
      <c r="N773" s="205">
        <v>4000</v>
      </c>
      <c r="O773" s="254">
        <v>4000</v>
      </c>
      <c r="P773" s="254">
        <v>3200</v>
      </c>
      <c r="Q773" s="254">
        <v>3200</v>
      </c>
      <c r="R773" s="1262" t="s">
        <v>3726</v>
      </c>
      <c r="S773" s="254">
        <v>1600</v>
      </c>
      <c r="T773" s="204">
        <v>45016</v>
      </c>
      <c r="U773" s="1262" t="s">
        <v>2096</v>
      </c>
      <c r="V773" s="254">
        <v>800</v>
      </c>
      <c r="W773" s="1262" t="s">
        <v>2228</v>
      </c>
      <c r="X773" s="258">
        <v>800</v>
      </c>
      <c r="Y773" s="192"/>
    </row>
    <row r="774" ht="37.5" customHeight="1" spans="1:25">
      <c r="A774" s="192">
        <f t="shared" si="22"/>
        <v>766</v>
      </c>
      <c r="B774" s="208">
        <v>2023</v>
      </c>
      <c r="C774" s="193" t="s">
        <v>37</v>
      </c>
      <c r="D774" s="277" t="s">
        <v>3854</v>
      </c>
      <c r="E774" s="195" t="s">
        <v>3879</v>
      </c>
      <c r="F774" s="196" t="s">
        <v>2073</v>
      </c>
      <c r="G774" s="197" t="s">
        <v>3239</v>
      </c>
      <c r="H774" s="198">
        <v>0.8</v>
      </c>
      <c r="I774" s="199">
        <v>15000</v>
      </c>
      <c r="J774" s="200" t="s">
        <v>1987</v>
      </c>
      <c r="K774" s="200" t="s">
        <v>2982</v>
      </c>
      <c r="L774" s="201">
        <v>0.4</v>
      </c>
      <c r="M774" s="278" t="s">
        <v>3521</v>
      </c>
      <c r="N774" s="205">
        <v>10833.37</v>
      </c>
      <c r="O774" s="254">
        <v>10833.37</v>
      </c>
      <c r="P774" s="254">
        <v>8666.7</v>
      </c>
      <c r="Q774" s="254">
        <v>8666.7</v>
      </c>
      <c r="R774" s="1262" t="s">
        <v>3726</v>
      </c>
      <c r="S774" s="254">
        <v>4333.35</v>
      </c>
      <c r="T774" s="204">
        <v>45016</v>
      </c>
      <c r="U774" s="1262" t="s">
        <v>2096</v>
      </c>
      <c r="V774" s="254">
        <v>2166.67</v>
      </c>
      <c r="W774" s="1262" t="s">
        <v>2228</v>
      </c>
      <c r="X774" s="258">
        <v>2166.67</v>
      </c>
      <c r="Y774" s="192"/>
    </row>
    <row r="775" ht="37.5" customHeight="1" spans="1:25">
      <c r="A775" s="192">
        <f t="shared" si="22"/>
        <v>767</v>
      </c>
      <c r="B775" s="208">
        <v>2023</v>
      </c>
      <c r="C775" s="193" t="s">
        <v>37</v>
      </c>
      <c r="D775" s="277" t="s">
        <v>3867</v>
      </c>
      <c r="E775" s="195" t="s">
        <v>3880</v>
      </c>
      <c r="F775" s="196" t="s">
        <v>2073</v>
      </c>
      <c r="G775" s="197" t="s">
        <v>3239</v>
      </c>
      <c r="H775" s="198">
        <v>0.8</v>
      </c>
      <c r="I775" s="199">
        <v>30000</v>
      </c>
      <c r="J775" s="200" t="s">
        <v>2209</v>
      </c>
      <c r="K775" s="200" t="s">
        <v>2902</v>
      </c>
      <c r="L775" s="201">
        <v>0.4</v>
      </c>
      <c r="M775" s="278" t="s">
        <v>3869</v>
      </c>
      <c r="N775" s="205">
        <v>18333.38</v>
      </c>
      <c r="O775" s="254">
        <v>18333.38</v>
      </c>
      <c r="P775" s="254">
        <v>14666.71</v>
      </c>
      <c r="Q775" s="254">
        <v>14666.71</v>
      </c>
      <c r="R775" s="1262" t="s">
        <v>3726</v>
      </c>
      <c r="S775" s="254">
        <v>7333.35</v>
      </c>
      <c r="T775" s="204">
        <v>45016</v>
      </c>
      <c r="U775" s="1262" t="s">
        <v>2096</v>
      </c>
      <c r="V775" s="254">
        <v>3666.68</v>
      </c>
      <c r="W775" s="1262" t="s">
        <v>2228</v>
      </c>
      <c r="X775" s="258">
        <v>3666.68</v>
      </c>
      <c r="Y775" s="192"/>
    </row>
    <row r="776" ht="37.5" customHeight="1" spans="1:25">
      <c r="A776" s="192">
        <f t="shared" si="22"/>
        <v>768</v>
      </c>
      <c r="B776" s="208">
        <v>2023</v>
      </c>
      <c r="C776" s="193" t="s">
        <v>37</v>
      </c>
      <c r="D776" s="277" t="s">
        <v>3881</v>
      </c>
      <c r="E776" s="195" t="s">
        <v>3882</v>
      </c>
      <c r="F776" s="196" t="s">
        <v>2073</v>
      </c>
      <c r="G776" s="197" t="s">
        <v>3239</v>
      </c>
      <c r="H776" s="198">
        <v>0.8</v>
      </c>
      <c r="I776" s="199">
        <v>18000</v>
      </c>
      <c r="J776" s="200" t="s">
        <v>2209</v>
      </c>
      <c r="K776" s="200" t="s">
        <v>2902</v>
      </c>
      <c r="L776" s="201">
        <v>0.4</v>
      </c>
      <c r="M776" s="278" t="s">
        <v>3680</v>
      </c>
      <c r="N776" s="205">
        <v>9000</v>
      </c>
      <c r="O776" s="254">
        <v>9000</v>
      </c>
      <c r="P776" s="254">
        <v>7200</v>
      </c>
      <c r="Q776" s="254">
        <v>7200</v>
      </c>
      <c r="R776" s="1262" t="s">
        <v>3726</v>
      </c>
      <c r="S776" s="254">
        <v>3600</v>
      </c>
      <c r="T776" s="204">
        <v>45016</v>
      </c>
      <c r="U776" s="1262" t="s">
        <v>2096</v>
      </c>
      <c r="V776" s="254">
        <v>1800</v>
      </c>
      <c r="W776" s="1262" t="s">
        <v>2228</v>
      </c>
      <c r="X776" s="258">
        <v>1800</v>
      </c>
      <c r="Y776" s="192"/>
    </row>
    <row r="777" ht="37.5" customHeight="1" spans="1:25">
      <c r="A777" s="192">
        <f t="shared" si="22"/>
        <v>769</v>
      </c>
      <c r="B777" s="208">
        <v>2023</v>
      </c>
      <c r="C777" s="193" t="s">
        <v>37</v>
      </c>
      <c r="D777" s="277" t="s">
        <v>3883</v>
      </c>
      <c r="E777" s="195" t="s">
        <v>3884</v>
      </c>
      <c r="F777" s="196" t="s">
        <v>2073</v>
      </c>
      <c r="G777" s="197" t="s">
        <v>3239</v>
      </c>
      <c r="H777" s="198">
        <v>0.8</v>
      </c>
      <c r="I777" s="199">
        <v>18000</v>
      </c>
      <c r="J777" s="200" t="s">
        <v>2209</v>
      </c>
      <c r="K777" s="200" t="s">
        <v>2902</v>
      </c>
      <c r="L777" s="201">
        <v>0.4</v>
      </c>
      <c r="M777" s="278" t="s">
        <v>3675</v>
      </c>
      <c r="N777" s="205">
        <v>18000</v>
      </c>
      <c r="O777" s="254">
        <v>18000</v>
      </c>
      <c r="P777" s="254">
        <v>14400</v>
      </c>
      <c r="Q777" s="254">
        <v>14400</v>
      </c>
      <c r="R777" s="1262" t="s">
        <v>3726</v>
      </c>
      <c r="S777" s="254">
        <v>7200</v>
      </c>
      <c r="T777" s="204">
        <v>45016</v>
      </c>
      <c r="U777" s="1262" t="s">
        <v>2096</v>
      </c>
      <c r="V777" s="254">
        <v>3600</v>
      </c>
      <c r="W777" s="1262" t="s">
        <v>2228</v>
      </c>
      <c r="X777" s="258">
        <v>3600</v>
      </c>
      <c r="Y777" s="192"/>
    </row>
    <row r="778" ht="37.5" customHeight="1" spans="1:25">
      <c r="A778" s="192">
        <f t="shared" si="22"/>
        <v>770</v>
      </c>
      <c r="B778" s="208">
        <v>2023</v>
      </c>
      <c r="C778" s="193" t="s">
        <v>37</v>
      </c>
      <c r="D778" s="277" t="s">
        <v>3328</v>
      </c>
      <c r="E778" s="195" t="s">
        <v>3885</v>
      </c>
      <c r="F778" s="196" t="s">
        <v>2073</v>
      </c>
      <c r="G778" s="197" t="s">
        <v>3239</v>
      </c>
      <c r="H778" s="198">
        <v>0.8</v>
      </c>
      <c r="I778" s="199">
        <v>17900</v>
      </c>
      <c r="J778" s="200" t="s">
        <v>2209</v>
      </c>
      <c r="K778" s="200" t="s">
        <v>2902</v>
      </c>
      <c r="L778" s="201">
        <v>0.4</v>
      </c>
      <c r="M778" s="278" t="s">
        <v>2714</v>
      </c>
      <c r="N778" s="205">
        <v>5333.38</v>
      </c>
      <c r="O778" s="254">
        <v>5333.38</v>
      </c>
      <c r="P778" s="254">
        <v>4266.71</v>
      </c>
      <c r="Q778" s="254">
        <v>4266.71</v>
      </c>
      <c r="R778" s="1262" t="s">
        <v>3726</v>
      </c>
      <c r="S778" s="254">
        <v>2133.35</v>
      </c>
      <c r="T778" s="204">
        <v>45016</v>
      </c>
      <c r="U778" s="1262" t="s">
        <v>2096</v>
      </c>
      <c r="V778" s="254">
        <v>1066.68</v>
      </c>
      <c r="W778" s="1262" t="s">
        <v>2228</v>
      </c>
      <c r="X778" s="258">
        <v>1066.68</v>
      </c>
      <c r="Y778" s="192"/>
    </row>
    <row r="779" ht="37.5" customHeight="1" spans="1:25">
      <c r="A779" s="192">
        <f t="shared" si="22"/>
        <v>771</v>
      </c>
      <c r="B779" s="208">
        <v>2023</v>
      </c>
      <c r="C779" s="193" t="s">
        <v>37</v>
      </c>
      <c r="D779" s="277" t="s">
        <v>3772</v>
      </c>
      <c r="E779" s="195" t="s">
        <v>3886</v>
      </c>
      <c r="F779" s="196" t="s">
        <v>2073</v>
      </c>
      <c r="G779" s="197" t="s">
        <v>3239</v>
      </c>
      <c r="H779" s="198">
        <v>0.8</v>
      </c>
      <c r="I779" s="199">
        <v>18556</v>
      </c>
      <c r="J779" s="200" t="s">
        <v>2149</v>
      </c>
      <c r="K779" s="200" t="s">
        <v>2923</v>
      </c>
      <c r="L779" s="201">
        <v>0.4</v>
      </c>
      <c r="M779" s="278" t="s">
        <v>3246</v>
      </c>
      <c r="N779" s="205">
        <v>13917.01</v>
      </c>
      <c r="O779" s="254">
        <v>13917.01</v>
      </c>
      <c r="P779" s="254">
        <v>11133.61</v>
      </c>
      <c r="Q779" s="254">
        <v>11133.61</v>
      </c>
      <c r="R779" s="1262" t="s">
        <v>3726</v>
      </c>
      <c r="S779" s="254">
        <v>5566.8</v>
      </c>
      <c r="T779" s="204">
        <v>45016</v>
      </c>
      <c r="U779" s="1262" t="s">
        <v>2096</v>
      </c>
      <c r="V779" s="254">
        <v>2783.4</v>
      </c>
      <c r="W779" s="1262" t="s">
        <v>2228</v>
      </c>
      <c r="X779" s="258">
        <v>2783.4</v>
      </c>
      <c r="Y779" s="192"/>
    </row>
    <row r="780" ht="37.5" customHeight="1" spans="1:25">
      <c r="A780" s="192">
        <f t="shared" si="22"/>
        <v>772</v>
      </c>
      <c r="B780" s="208">
        <v>2023</v>
      </c>
      <c r="C780" s="193" t="s">
        <v>37</v>
      </c>
      <c r="D780" s="277" t="s">
        <v>3887</v>
      </c>
      <c r="E780" s="195" t="s">
        <v>3888</v>
      </c>
      <c r="F780" s="196" t="s">
        <v>2073</v>
      </c>
      <c r="G780" s="197" t="s">
        <v>3239</v>
      </c>
      <c r="H780" s="198">
        <v>0.8</v>
      </c>
      <c r="I780" s="199">
        <v>25700</v>
      </c>
      <c r="J780" s="200" t="s">
        <v>2149</v>
      </c>
      <c r="K780" s="200" t="s">
        <v>2923</v>
      </c>
      <c r="L780" s="201">
        <v>0.4</v>
      </c>
      <c r="M780" s="278" t="s">
        <v>3889</v>
      </c>
      <c r="N780" s="205">
        <v>24100.04</v>
      </c>
      <c r="O780" s="254">
        <v>24100.04</v>
      </c>
      <c r="P780" s="254">
        <v>19280.04</v>
      </c>
      <c r="Q780" s="254">
        <v>19280.04</v>
      </c>
      <c r="R780" s="1262" t="s">
        <v>3726</v>
      </c>
      <c r="S780" s="254">
        <v>9640.02</v>
      </c>
      <c r="T780" s="204">
        <v>45016</v>
      </c>
      <c r="U780" s="1262" t="s">
        <v>2096</v>
      </c>
      <c r="V780" s="254">
        <v>4820.01</v>
      </c>
      <c r="W780" s="1262" t="s">
        <v>2228</v>
      </c>
      <c r="X780" s="258">
        <v>4820.01</v>
      </c>
      <c r="Y780" s="192"/>
    </row>
    <row r="781" ht="37.5" customHeight="1" spans="1:25">
      <c r="A781" s="192">
        <f t="shared" si="22"/>
        <v>773</v>
      </c>
      <c r="B781" s="208">
        <v>2023</v>
      </c>
      <c r="C781" s="193" t="s">
        <v>37</v>
      </c>
      <c r="D781" s="277" t="s">
        <v>3834</v>
      </c>
      <c r="E781" s="195" t="s">
        <v>3890</v>
      </c>
      <c r="F781" s="196" t="s">
        <v>2073</v>
      </c>
      <c r="G781" s="197" t="s">
        <v>3239</v>
      </c>
      <c r="H781" s="198">
        <v>0.8</v>
      </c>
      <c r="I781" s="199">
        <v>120000</v>
      </c>
      <c r="J781" s="200" t="s">
        <v>3891</v>
      </c>
      <c r="K781" s="200" t="s">
        <v>3892</v>
      </c>
      <c r="L781" s="201">
        <v>0.4</v>
      </c>
      <c r="M781" s="278" t="s">
        <v>2448</v>
      </c>
      <c r="N781" s="205">
        <v>80000.02</v>
      </c>
      <c r="O781" s="254">
        <v>80000.02</v>
      </c>
      <c r="P781" s="254">
        <v>64000.02</v>
      </c>
      <c r="Q781" s="254">
        <v>64000.02</v>
      </c>
      <c r="R781" s="1262" t="s">
        <v>3726</v>
      </c>
      <c r="S781" s="254">
        <v>32000.01</v>
      </c>
      <c r="T781" s="204">
        <v>45016</v>
      </c>
      <c r="U781" s="1262" t="s">
        <v>2096</v>
      </c>
      <c r="V781" s="254">
        <v>16000</v>
      </c>
      <c r="W781" s="1262" t="s">
        <v>2228</v>
      </c>
      <c r="X781" s="258">
        <v>16000</v>
      </c>
      <c r="Y781" s="192"/>
    </row>
    <row r="782" ht="37.5" customHeight="1" spans="1:25">
      <c r="A782" s="192">
        <f t="shared" si="22"/>
        <v>774</v>
      </c>
      <c r="B782" s="208">
        <v>2023</v>
      </c>
      <c r="C782" s="193" t="s">
        <v>37</v>
      </c>
      <c r="D782" s="277" t="s">
        <v>3893</v>
      </c>
      <c r="E782" s="195" t="s">
        <v>3894</v>
      </c>
      <c r="F782" s="196" t="s">
        <v>2073</v>
      </c>
      <c r="G782" s="197" t="s">
        <v>3239</v>
      </c>
      <c r="H782" s="198">
        <v>0.8</v>
      </c>
      <c r="I782" s="199">
        <v>21600</v>
      </c>
      <c r="J782" s="200" t="s">
        <v>3891</v>
      </c>
      <c r="K782" s="200" t="s">
        <v>3892</v>
      </c>
      <c r="L782" s="201">
        <v>0.4</v>
      </c>
      <c r="M782" s="278" t="s">
        <v>3233</v>
      </c>
      <c r="N782" s="205">
        <v>9300.09</v>
      </c>
      <c r="O782" s="254">
        <v>9300.09</v>
      </c>
      <c r="P782" s="254">
        <v>7440.08</v>
      </c>
      <c r="Q782" s="254">
        <v>7440.08</v>
      </c>
      <c r="R782" s="1262" t="s">
        <v>3726</v>
      </c>
      <c r="S782" s="254">
        <v>3720.04</v>
      </c>
      <c r="T782" s="204">
        <v>45016</v>
      </c>
      <c r="U782" s="1262" t="s">
        <v>2096</v>
      </c>
      <c r="V782" s="254">
        <v>1860.02</v>
      </c>
      <c r="W782" s="1262" t="s">
        <v>2228</v>
      </c>
      <c r="X782" s="258">
        <v>1860.02</v>
      </c>
      <c r="Y782" s="192"/>
    </row>
    <row r="783" ht="37.5" customHeight="1" spans="1:25">
      <c r="A783" s="192">
        <f t="shared" si="22"/>
        <v>775</v>
      </c>
      <c r="B783" s="208">
        <v>2023</v>
      </c>
      <c r="C783" s="193" t="s">
        <v>37</v>
      </c>
      <c r="D783" s="277" t="s">
        <v>3895</v>
      </c>
      <c r="E783" s="195" t="s">
        <v>3896</v>
      </c>
      <c r="F783" s="196" t="s">
        <v>2073</v>
      </c>
      <c r="G783" s="197" t="s">
        <v>3239</v>
      </c>
      <c r="H783" s="198">
        <v>0.8</v>
      </c>
      <c r="I783" s="199">
        <v>120000</v>
      </c>
      <c r="J783" s="200" t="s">
        <v>2908</v>
      </c>
      <c r="K783" s="200" t="s">
        <v>2909</v>
      </c>
      <c r="L783" s="201">
        <v>0.4</v>
      </c>
      <c r="M783" s="278" t="s">
        <v>3897</v>
      </c>
      <c r="N783" s="205">
        <v>59978</v>
      </c>
      <c r="O783" s="254">
        <v>59978</v>
      </c>
      <c r="P783" s="254">
        <v>47982.4</v>
      </c>
      <c r="Q783" s="254">
        <v>47982.4</v>
      </c>
      <c r="R783" s="1262" t="s">
        <v>3726</v>
      </c>
      <c r="S783" s="254">
        <v>23991.2</v>
      </c>
      <c r="T783" s="204">
        <v>45016</v>
      </c>
      <c r="U783" s="1262" t="s">
        <v>2096</v>
      </c>
      <c r="V783" s="254">
        <v>11995.6</v>
      </c>
      <c r="W783" s="1262" t="s">
        <v>2228</v>
      </c>
      <c r="X783" s="258">
        <v>11995.6</v>
      </c>
      <c r="Y783" s="192"/>
    </row>
    <row r="784" ht="37.5" customHeight="1" spans="1:25">
      <c r="A784" s="192">
        <f t="shared" si="22"/>
        <v>776</v>
      </c>
      <c r="B784" s="208">
        <v>2023</v>
      </c>
      <c r="C784" s="193" t="s">
        <v>37</v>
      </c>
      <c r="D784" s="277" t="s">
        <v>3851</v>
      </c>
      <c r="E784" s="195" t="s">
        <v>3898</v>
      </c>
      <c r="F784" s="196" t="s">
        <v>2073</v>
      </c>
      <c r="G784" s="197" t="s">
        <v>3239</v>
      </c>
      <c r="H784" s="198">
        <v>0.8</v>
      </c>
      <c r="I784" s="199">
        <v>19082.95</v>
      </c>
      <c r="J784" s="200" t="s">
        <v>2039</v>
      </c>
      <c r="K784" s="200" t="s">
        <v>3899</v>
      </c>
      <c r="L784" s="201">
        <v>0.4</v>
      </c>
      <c r="M784" s="278" t="s">
        <v>3853</v>
      </c>
      <c r="N784" s="205">
        <v>1800</v>
      </c>
      <c r="O784" s="254">
        <v>1800</v>
      </c>
      <c r="P784" s="254">
        <v>1440</v>
      </c>
      <c r="Q784" s="254">
        <v>1440</v>
      </c>
      <c r="R784" s="1262" t="s">
        <v>3726</v>
      </c>
      <c r="S784" s="254">
        <v>720</v>
      </c>
      <c r="T784" s="204">
        <v>45016</v>
      </c>
      <c r="U784" s="1262" t="s">
        <v>2096</v>
      </c>
      <c r="V784" s="254">
        <v>360</v>
      </c>
      <c r="W784" s="1262" t="s">
        <v>2228</v>
      </c>
      <c r="X784" s="258">
        <v>360</v>
      </c>
      <c r="Y784" s="192"/>
    </row>
    <row r="785" ht="37.5" customHeight="1" spans="1:25">
      <c r="A785" s="192">
        <f t="shared" si="22"/>
        <v>777</v>
      </c>
      <c r="B785" s="208">
        <v>2023</v>
      </c>
      <c r="C785" s="193" t="s">
        <v>37</v>
      </c>
      <c r="D785" s="277" t="s">
        <v>3653</v>
      </c>
      <c r="E785" s="195" t="s">
        <v>3900</v>
      </c>
      <c r="F785" s="196" t="s">
        <v>2073</v>
      </c>
      <c r="G785" s="197" t="s">
        <v>3239</v>
      </c>
      <c r="H785" s="198">
        <v>0.8</v>
      </c>
      <c r="I785" s="199">
        <v>26000</v>
      </c>
      <c r="J785" s="200" t="s">
        <v>2039</v>
      </c>
      <c r="K785" s="200" t="s">
        <v>3899</v>
      </c>
      <c r="L785" s="201">
        <v>0.4</v>
      </c>
      <c r="M785" s="278" t="s">
        <v>3232</v>
      </c>
      <c r="N785" s="205">
        <v>19500.02</v>
      </c>
      <c r="O785" s="254">
        <v>19500.02</v>
      </c>
      <c r="P785" s="254">
        <v>15600.02</v>
      </c>
      <c r="Q785" s="254">
        <v>15600.02</v>
      </c>
      <c r="R785" s="1262" t="s">
        <v>3726</v>
      </c>
      <c r="S785" s="254">
        <v>7800.01</v>
      </c>
      <c r="T785" s="204">
        <v>45016</v>
      </c>
      <c r="U785" s="1262" t="s">
        <v>2096</v>
      </c>
      <c r="V785" s="254">
        <v>3900</v>
      </c>
      <c r="W785" s="1262" t="s">
        <v>2228</v>
      </c>
      <c r="X785" s="258">
        <v>3900</v>
      </c>
      <c r="Y785" s="192"/>
    </row>
    <row r="786" ht="37.5" customHeight="1" spans="1:25">
      <c r="A786" s="192">
        <f t="shared" si="22"/>
        <v>778</v>
      </c>
      <c r="B786" s="208">
        <v>2023</v>
      </c>
      <c r="C786" s="193" t="s">
        <v>37</v>
      </c>
      <c r="D786" s="277" t="s">
        <v>3270</v>
      </c>
      <c r="E786" s="195" t="s">
        <v>3901</v>
      </c>
      <c r="F786" s="196" t="s">
        <v>2073</v>
      </c>
      <c r="G786" s="197" t="s">
        <v>3239</v>
      </c>
      <c r="H786" s="198">
        <v>0.8</v>
      </c>
      <c r="I786" s="199">
        <v>15753.26</v>
      </c>
      <c r="J786" s="200" t="s">
        <v>2039</v>
      </c>
      <c r="K786" s="200" t="s">
        <v>3899</v>
      </c>
      <c r="L786" s="201">
        <v>0.4</v>
      </c>
      <c r="M786" s="278" t="s">
        <v>3232</v>
      </c>
      <c r="N786" s="205">
        <v>2543.1</v>
      </c>
      <c r="O786" s="254">
        <v>2543.1</v>
      </c>
      <c r="P786" s="254">
        <v>2034.48</v>
      </c>
      <c r="Q786" s="254">
        <v>2034.48</v>
      </c>
      <c r="R786" s="1262" t="s">
        <v>3726</v>
      </c>
      <c r="S786" s="254">
        <v>1017.24</v>
      </c>
      <c r="T786" s="204">
        <v>45016</v>
      </c>
      <c r="U786" s="1262" t="s">
        <v>2096</v>
      </c>
      <c r="V786" s="254">
        <v>508.62</v>
      </c>
      <c r="W786" s="1262" t="s">
        <v>2228</v>
      </c>
      <c r="X786" s="258">
        <v>508.62</v>
      </c>
      <c r="Y786" s="192"/>
    </row>
    <row r="787" ht="37.5" customHeight="1" spans="1:25">
      <c r="A787" s="192">
        <f t="shared" si="22"/>
        <v>779</v>
      </c>
      <c r="B787" s="208">
        <v>2023</v>
      </c>
      <c r="C787" s="193" t="s">
        <v>37</v>
      </c>
      <c r="D787" s="277" t="s">
        <v>3902</v>
      </c>
      <c r="E787" s="195" t="s">
        <v>3903</v>
      </c>
      <c r="F787" s="196" t="s">
        <v>2073</v>
      </c>
      <c r="G787" s="197" t="s">
        <v>3239</v>
      </c>
      <c r="H787" s="198">
        <v>0.8</v>
      </c>
      <c r="I787" s="199">
        <v>11483.24</v>
      </c>
      <c r="J787" s="200" t="s">
        <v>2039</v>
      </c>
      <c r="K787" s="200" t="s">
        <v>3899</v>
      </c>
      <c r="L787" s="201">
        <v>0.4</v>
      </c>
      <c r="M787" s="278" t="s">
        <v>3793</v>
      </c>
      <c r="N787" s="205">
        <v>10000</v>
      </c>
      <c r="O787" s="254">
        <v>10000</v>
      </c>
      <c r="P787" s="254">
        <v>8000</v>
      </c>
      <c r="Q787" s="254">
        <v>8000</v>
      </c>
      <c r="R787" s="1262" t="s">
        <v>3726</v>
      </c>
      <c r="S787" s="254">
        <v>4000</v>
      </c>
      <c r="T787" s="204">
        <v>45016</v>
      </c>
      <c r="U787" s="1262" t="s">
        <v>2096</v>
      </c>
      <c r="V787" s="254">
        <v>2000</v>
      </c>
      <c r="W787" s="1262" t="s">
        <v>2228</v>
      </c>
      <c r="X787" s="258">
        <v>2000</v>
      </c>
      <c r="Y787" s="192"/>
    </row>
    <row r="788" ht="37.5" customHeight="1" spans="1:25">
      <c r="A788" s="192">
        <f t="shared" si="22"/>
        <v>780</v>
      </c>
      <c r="B788" s="208">
        <v>2023</v>
      </c>
      <c r="C788" s="193" t="s">
        <v>37</v>
      </c>
      <c r="D788" s="277" t="s">
        <v>3861</v>
      </c>
      <c r="E788" s="195" t="s">
        <v>3904</v>
      </c>
      <c r="F788" s="196" t="s">
        <v>2073</v>
      </c>
      <c r="G788" s="197" t="s">
        <v>3239</v>
      </c>
      <c r="H788" s="198">
        <v>0.8</v>
      </c>
      <c r="I788" s="199">
        <v>12024.85</v>
      </c>
      <c r="J788" s="200" t="s">
        <v>3014</v>
      </c>
      <c r="K788" s="200" t="s">
        <v>3015</v>
      </c>
      <c r="L788" s="201">
        <v>0.4</v>
      </c>
      <c r="M788" s="278" t="s">
        <v>3680</v>
      </c>
      <c r="N788" s="205">
        <v>1500.02</v>
      </c>
      <c r="O788" s="254">
        <v>1500.02</v>
      </c>
      <c r="P788" s="254">
        <v>1200.02</v>
      </c>
      <c r="Q788" s="254">
        <v>1200.02</v>
      </c>
      <c r="R788" s="1262" t="s">
        <v>3726</v>
      </c>
      <c r="S788" s="254">
        <v>600.01</v>
      </c>
      <c r="T788" s="204">
        <v>45016</v>
      </c>
      <c r="U788" s="1262" t="s">
        <v>2096</v>
      </c>
      <c r="V788" s="254">
        <v>300</v>
      </c>
      <c r="W788" s="1262" t="s">
        <v>2228</v>
      </c>
      <c r="X788" s="258">
        <v>300</v>
      </c>
      <c r="Y788" s="192"/>
    </row>
    <row r="789" ht="37.5" customHeight="1" spans="1:25">
      <c r="A789" s="192">
        <f t="shared" si="22"/>
        <v>781</v>
      </c>
      <c r="B789" s="208">
        <v>2023</v>
      </c>
      <c r="C789" s="193" t="s">
        <v>37</v>
      </c>
      <c r="D789" s="277" t="s">
        <v>3905</v>
      </c>
      <c r="E789" s="195" t="s">
        <v>3906</v>
      </c>
      <c r="F789" s="196" t="s">
        <v>2073</v>
      </c>
      <c r="G789" s="197" t="s">
        <v>3239</v>
      </c>
      <c r="H789" s="198">
        <v>0.8</v>
      </c>
      <c r="I789" s="199">
        <v>40000</v>
      </c>
      <c r="J789" s="200" t="s">
        <v>2113</v>
      </c>
      <c r="K789" s="200" t="s">
        <v>3559</v>
      </c>
      <c r="L789" s="201">
        <v>0.4</v>
      </c>
      <c r="M789" s="278" t="s">
        <v>3804</v>
      </c>
      <c r="N789" s="205">
        <v>30000.01</v>
      </c>
      <c r="O789" s="254">
        <v>30000.01</v>
      </c>
      <c r="P789" s="254">
        <v>24000.01</v>
      </c>
      <c r="Q789" s="254">
        <v>24000.01</v>
      </c>
      <c r="R789" s="1262" t="s">
        <v>3726</v>
      </c>
      <c r="S789" s="254">
        <v>12000</v>
      </c>
      <c r="T789" s="204">
        <v>45016</v>
      </c>
      <c r="U789" s="1262" t="s">
        <v>2096</v>
      </c>
      <c r="V789" s="254">
        <v>6000</v>
      </c>
      <c r="W789" s="1262" t="s">
        <v>2228</v>
      </c>
      <c r="X789" s="258">
        <v>6000</v>
      </c>
      <c r="Y789" s="192"/>
    </row>
    <row r="790" ht="37.5" customHeight="1" spans="1:25">
      <c r="A790" s="192">
        <f t="shared" si="22"/>
        <v>782</v>
      </c>
      <c r="B790" s="208">
        <v>2023</v>
      </c>
      <c r="C790" s="193" t="s">
        <v>37</v>
      </c>
      <c r="D790" s="277" t="s">
        <v>3907</v>
      </c>
      <c r="E790" s="195" t="s">
        <v>3908</v>
      </c>
      <c r="F790" s="196" t="s">
        <v>2073</v>
      </c>
      <c r="G790" s="197" t="s">
        <v>3239</v>
      </c>
      <c r="H790" s="198">
        <v>0.8</v>
      </c>
      <c r="I790" s="199">
        <v>32000</v>
      </c>
      <c r="J790" s="200" t="s">
        <v>2197</v>
      </c>
      <c r="K790" s="200" t="s">
        <v>3909</v>
      </c>
      <c r="L790" s="201">
        <v>0.4</v>
      </c>
      <c r="M790" s="278" t="s">
        <v>3853</v>
      </c>
      <c r="N790" s="205">
        <v>22500</v>
      </c>
      <c r="O790" s="254">
        <v>22500</v>
      </c>
      <c r="P790" s="254">
        <v>18000</v>
      </c>
      <c r="Q790" s="254">
        <v>18000</v>
      </c>
      <c r="R790" s="1262" t="s">
        <v>3726</v>
      </c>
      <c r="S790" s="254">
        <v>9000</v>
      </c>
      <c r="T790" s="204">
        <v>45016</v>
      </c>
      <c r="U790" s="1262" t="s">
        <v>2096</v>
      </c>
      <c r="V790" s="254">
        <v>4500</v>
      </c>
      <c r="W790" s="1262" t="s">
        <v>2228</v>
      </c>
      <c r="X790" s="258">
        <v>4500</v>
      </c>
      <c r="Y790" s="192"/>
    </row>
    <row r="791" ht="37.5" customHeight="1" spans="1:25">
      <c r="A791" s="192">
        <f t="shared" si="22"/>
        <v>783</v>
      </c>
      <c r="B791" s="208">
        <v>2023</v>
      </c>
      <c r="C791" s="193" t="s">
        <v>37</v>
      </c>
      <c r="D791" s="277" t="s">
        <v>3864</v>
      </c>
      <c r="E791" s="195" t="s">
        <v>3910</v>
      </c>
      <c r="F791" s="196" t="s">
        <v>2073</v>
      </c>
      <c r="G791" s="197" t="s">
        <v>3239</v>
      </c>
      <c r="H791" s="198">
        <v>0.8</v>
      </c>
      <c r="I791" s="199">
        <v>23500</v>
      </c>
      <c r="J791" s="200" t="s">
        <v>2197</v>
      </c>
      <c r="K791" s="200" t="s">
        <v>3909</v>
      </c>
      <c r="L791" s="201">
        <v>0.4</v>
      </c>
      <c r="M791" s="278" t="s">
        <v>3521</v>
      </c>
      <c r="N791" s="205">
        <v>23500</v>
      </c>
      <c r="O791" s="254">
        <v>23500</v>
      </c>
      <c r="P791" s="254">
        <v>18800</v>
      </c>
      <c r="Q791" s="254">
        <v>18800</v>
      </c>
      <c r="R791" s="1262" t="s">
        <v>3726</v>
      </c>
      <c r="S791" s="254">
        <v>9400</v>
      </c>
      <c r="T791" s="204">
        <v>45016</v>
      </c>
      <c r="U791" s="1262" t="s">
        <v>2096</v>
      </c>
      <c r="V791" s="254">
        <v>4700</v>
      </c>
      <c r="W791" s="1262" t="s">
        <v>2228</v>
      </c>
      <c r="X791" s="258">
        <v>4700</v>
      </c>
      <c r="Y791" s="192"/>
    </row>
    <row r="792" ht="37.5" customHeight="1" spans="1:25">
      <c r="A792" s="192">
        <f t="shared" si="22"/>
        <v>784</v>
      </c>
      <c r="B792" s="208">
        <v>2023</v>
      </c>
      <c r="C792" s="193" t="s">
        <v>37</v>
      </c>
      <c r="D792" s="277" t="s">
        <v>3911</v>
      </c>
      <c r="E792" s="195" t="s">
        <v>3912</v>
      </c>
      <c r="F792" s="196" t="s">
        <v>2073</v>
      </c>
      <c r="G792" s="197" t="s">
        <v>3239</v>
      </c>
      <c r="H792" s="198">
        <v>0.8</v>
      </c>
      <c r="I792" s="199">
        <v>16268.97</v>
      </c>
      <c r="J792" s="200" t="s">
        <v>3913</v>
      </c>
      <c r="K792" s="200" t="s">
        <v>3914</v>
      </c>
      <c r="L792" s="201">
        <v>0.4</v>
      </c>
      <c r="M792" s="278" t="s">
        <v>3416</v>
      </c>
      <c r="N792" s="205">
        <v>750.01</v>
      </c>
      <c r="O792" s="254">
        <v>750.01</v>
      </c>
      <c r="P792" s="254">
        <v>600.01</v>
      </c>
      <c r="Q792" s="254">
        <v>600.01</v>
      </c>
      <c r="R792" s="1262" t="s">
        <v>3726</v>
      </c>
      <c r="S792" s="254">
        <v>300</v>
      </c>
      <c r="T792" s="204">
        <v>45016</v>
      </c>
      <c r="U792" s="1262" t="s">
        <v>2096</v>
      </c>
      <c r="V792" s="254">
        <v>150</v>
      </c>
      <c r="W792" s="1262" t="s">
        <v>2228</v>
      </c>
      <c r="X792" s="258">
        <v>150</v>
      </c>
      <c r="Y792" s="192"/>
    </row>
    <row r="793" ht="37.5" customHeight="1" spans="1:25">
      <c r="A793" s="192">
        <f t="shared" si="22"/>
        <v>785</v>
      </c>
      <c r="B793" s="208">
        <v>2023</v>
      </c>
      <c r="C793" s="193" t="s">
        <v>37</v>
      </c>
      <c r="D793" s="277" t="s">
        <v>3854</v>
      </c>
      <c r="E793" s="195" t="s">
        <v>3915</v>
      </c>
      <c r="F793" s="196" t="s">
        <v>2073</v>
      </c>
      <c r="G793" s="197" t="s">
        <v>3239</v>
      </c>
      <c r="H793" s="198">
        <v>0.8</v>
      </c>
      <c r="I793" s="199">
        <v>18860.02</v>
      </c>
      <c r="J793" s="200" t="s">
        <v>2469</v>
      </c>
      <c r="K793" s="200" t="s">
        <v>3916</v>
      </c>
      <c r="L793" s="201">
        <v>0.4</v>
      </c>
      <c r="M793" s="278" t="s">
        <v>3521</v>
      </c>
      <c r="N793" s="205">
        <v>3116.67</v>
      </c>
      <c r="O793" s="254">
        <v>3116.67</v>
      </c>
      <c r="P793" s="254">
        <v>2493.34</v>
      </c>
      <c r="Q793" s="254">
        <v>2493.34</v>
      </c>
      <c r="R793" s="1262" t="s">
        <v>3726</v>
      </c>
      <c r="S793" s="254">
        <v>1246.67</v>
      </c>
      <c r="T793" s="204">
        <v>45016</v>
      </c>
      <c r="U793" s="1262" t="s">
        <v>2096</v>
      </c>
      <c r="V793" s="254">
        <v>623.33</v>
      </c>
      <c r="W793" s="1262" t="s">
        <v>2228</v>
      </c>
      <c r="X793" s="258">
        <v>623.33</v>
      </c>
      <c r="Y793" s="192"/>
    </row>
    <row r="794" ht="37.5" customHeight="1" spans="1:25">
      <c r="A794" s="192">
        <f t="shared" si="22"/>
        <v>786</v>
      </c>
      <c r="B794" s="208">
        <v>2023</v>
      </c>
      <c r="C794" s="193" t="s">
        <v>37</v>
      </c>
      <c r="D794" s="277" t="s">
        <v>3672</v>
      </c>
      <c r="E794" s="195" t="s">
        <v>3917</v>
      </c>
      <c r="F794" s="196" t="s">
        <v>2073</v>
      </c>
      <c r="G794" s="197" t="s">
        <v>3239</v>
      </c>
      <c r="H794" s="198">
        <v>0.8</v>
      </c>
      <c r="I794" s="199">
        <v>18300</v>
      </c>
      <c r="J794" s="200" t="s">
        <v>2454</v>
      </c>
      <c r="K794" s="200" t="s">
        <v>3918</v>
      </c>
      <c r="L794" s="201">
        <v>0.4</v>
      </c>
      <c r="M794" s="278" t="s">
        <v>3464</v>
      </c>
      <c r="N794" s="205">
        <v>15991.68</v>
      </c>
      <c r="O794" s="254">
        <v>15991.68</v>
      </c>
      <c r="P794" s="254">
        <v>12793.34</v>
      </c>
      <c r="Q794" s="254">
        <v>12793.34</v>
      </c>
      <c r="R794" s="1262" t="s">
        <v>3726</v>
      </c>
      <c r="S794" s="254">
        <v>6396.67</v>
      </c>
      <c r="T794" s="204">
        <v>45016</v>
      </c>
      <c r="U794" s="1262" t="s">
        <v>2096</v>
      </c>
      <c r="V794" s="254">
        <v>3198.34</v>
      </c>
      <c r="W794" s="1262" t="s">
        <v>2228</v>
      </c>
      <c r="X794" s="258">
        <v>3198.34</v>
      </c>
      <c r="Y794" s="192"/>
    </row>
    <row r="795" ht="37.5" customHeight="1" spans="1:25">
      <c r="A795" s="192">
        <f t="shared" si="22"/>
        <v>787</v>
      </c>
      <c r="B795" s="208">
        <v>2023</v>
      </c>
      <c r="C795" s="193" t="s">
        <v>37</v>
      </c>
      <c r="D795" s="277" t="s">
        <v>3919</v>
      </c>
      <c r="E795" s="195" t="s">
        <v>3920</v>
      </c>
      <c r="F795" s="196" t="s">
        <v>2073</v>
      </c>
      <c r="G795" s="197" t="s">
        <v>3239</v>
      </c>
      <c r="H795" s="198">
        <v>0.8</v>
      </c>
      <c r="I795" s="199">
        <v>14701.06</v>
      </c>
      <c r="J795" s="200" t="s">
        <v>2454</v>
      </c>
      <c r="K795" s="200" t="s">
        <v>3918</v>
      </c>
      <c r="L795" s="201">
        <v>0.4</v>
      </c>
      <c r="M795" s="278" t="s">
        <v>3771</v>
      </c>
      <c r="N795" s="205">
        <v>5316.67</v>
      </c>
      <c r="O795" s="254">
        <v>5316.67</v>
      </c>
      <c r="P795" s="254">
        <v>4253.34</v>
      </c>
      <c r="Q795" s="254">
        <v>4253.34</v>
      </c>
      <c r="R795" s="1262" t="s">
        <v>3726</v>
      </c>
      <c r="S795" s="254">
        <v>2126.67</v>
      </c>
      <c r="T795" s="204">
        <v>45016</v>
      </c>
      <c r="U795" s="1262" t="s">
        <v>2096</v>
      </c>
      <c r="V795" s="254">
        <v>1063.33</v>
      </c>
      <c r="W795" s="1262" t="s">
        <v>2228</v>
      </c>
      <c r="X795" s="258">
        <v>1063.33</v>
      </c>
      <c r="Y795" s="192"/>
    </row>
    <row r="796" ht="37.5" customHeight="1" spans="1:25">
      <c r="A796" s="192">
        <f t="shared" si="22"/>
        <v>788</v>
      </c>
      <c r="B796" s="208">
        <v>2023</v>
      </c>
      <c r="C796" s="193" t="s">
        <v>37</v>
      </c>
      <c r="D796" s="277" t="s">
        <v>3867</v>
      </c>
      <c r="E796" s="195" t="s">
        <v>3921</v>
      </c>
      <c r="F796" s="196" t="s">
        <v>2073</v>
      </c>
      <c r="G796" s="197" t="s">
        <v>3239</v>
      </c>
      <c r="H796" s="198">
        <v>0.8</v>
      </c>
      <c r="I796" s="199">
        <v>15300.94</v>
      </c>
      <c r="J796" s="200" t="s">
        <v>2484</v>
      </c>
      <c r="K796" s="200" t="s">
        <v>3564</v>
      </c>
      <c r="L796" s="201">
        <v>0.4</v>
      </c>
      <c r="M796" s="278" t="s">
        <v>3869</v>
      </c>
      <c r="N796" s="205">
        <v>8333.34</v>
      </c>
      <c r="O796" s="254">
        <v>8333.34</v>
      </c>
      <c r="P796" s="254">
        <v>6666.67</v>
      </c>
      <c r="Q796" s="254">
        <v>6666.67</v>
      </c>
      <c r="R796" s="1262" t="s">
        <v>3726</v>
      </c>
      <c r="S796" s="254">
        <v>3333.34</v>
      </c>
      <c r="T796" s="204">
        <v>45016</v>
      </c>
      <c r="U796" s="1262" t="s">
        <v>2096</v>
      </c>
      <c r="V796" s="254">
        <v>1666.67</v>
      </c>
      <c r="W796" s="1262" t="s">
        <v>2228</v>
      </c>
      <c r="X796" s="258">
        <v>1666.67</v>
      </c>
      <c r="Y796" s="192"/>
    </row>
    <row r="797" ht="37.5" customHeight="1" spans="1:25">
      <c r="A797" s="192">
        <f t="shared" si="22"/>
        <v>789</v>
      </c>
      <c r="B797" s="208">
        <v>2023</v>
      </c>
      <c r="C797" s="193" t="s">
        <v>37</v>
      </c>
      <c r="D797" s="277" t="s">
        <v>3922</v>
      </c>
      <c r="E797" s="195" t="s">
        <v>3923</v>
      </c>
      <c r="F797" s="196" t="s">
        <v>2073</v>
      </c>
      <c r="G797" s="197" t="s">
        <v>3239</v>
      </c>
      <c r="H797" s="198">
        <v>0.8</v>
      </c>
      <c r="I797" s="199">
        <v>60000</v>
      </c>
      <c r="J797" s="200" t="s">
        <v>2481</v>
      </c>
      <c r="K797" s="200" t="s">
        <v>3924</v>
      </c>
      <c r="L797" s="201">
        <v>0.4</v>
      </c>
      <c r="M797" s="278" t="s">
        <v>2446</v>
      </c>
      <c r="N797" s="205">
        <v>55000.01</v>
      </c>
      <c r="O797" s="254">
        <v>55000.01</v>
      </c>
      <c r="P797" s="254">
        <v>44000.01</v>
      </c>
      <c r="Q797" s="254">
        <v>44000.01</v>
      </c>
      <c r="R797" s="1262" t="s">
        <v>3726</v>
      </c>
      <c r="S797" s="254">
        <v>22000</v>
      </c>
      <c r="T797" s="204">
        <v>45016</v>
      </c>
      <c r="U797" s="1262" t="s">
        <v>2096</v>
      </c>
      <c r="V797" s="254">
        <v>11000</v>
      </c>
      <c r="W797" s="1262" t="s">
        <v>2228</v>
      </c>
      <c r="X797" s="258">
        <v>11000</v>
      </c>
      <c r="Y797" s="192"/>
    </row>
    <row r="798" ht="37.5" customHeight="1" spans="1:25">
      <c r="A798" s="192">
        <f t="shared" ref="A798:A861" si="23">ROW()-8</f>
        <v>790</v>
      </c>
      <c r="B798" s="208">
        <v>2023</v>
      </c>
      <c r="C798" s="193" t="s">
        <v>37</v>
      </c>
      <c r="D798" s="277" t="s">
        <v>3134</v>
      </c>
      <c r="E798" s="195" t="s">
        <v>3925</v>
      </c>
      <c r="F798" s="196" t="s">
        <v>2073</v>
      </c>
      <c r="G798" s="197" t="s">
        <v>3239</v>
      </c>
      <c r="H798" s="198">
        <v>0.8</v>
      </c>
      <c r="I798" s="199">
        <v>15907.62</v>
      </c>
      <c r="J798" s="200" t="s">
        <v>2589</v>
      </c>
      <c r="K798" s="200" t="s">
        <v>3926</v>
      </c>
      <c r="L798" s="201">
        <v>0.4</v>
      </c>
      <c r="M798" s="278" t="s">
        <v>3464</v>
      </c>
      <c r="N798" s="205">
        <v>8158.34</v>
      </c>
      <c r="O798" s="254">
        <v>8158.34</v>
      </c>
      <c r="P798" s="254">
        <v>6526.67</v>
      </c>
      <c r="Q798" s="254">
        <v>6526.67</v>
      </c>
      <c r="R798" s="1262" t="s">
        <v>3726</v>
      </c>
      <c r="S798" s="254">
        <v>3263.34</v>
      </c>
      <c r="T798" s="204">
        <v>45016</v>
      </c>
      <c r="U798" s="1262" t="s">
        <v>2096</v>
      </c>
      <c r="V798" s="254">
        <v>1631.67</v>
      </c>
      <c r="W798" s="1262" t="s">
        <v>2228</v>
      </c>
      <c r="X798" s="258">
        <v>1631.67</v>
      </c>
      <c r="Y798" s="192"/>
    </row>
    <row r="799" ht="37.5" customHeight="1" spans="1:25">
      <c r="A799" s="192">
        <f t="shared" si="23"/>
        <v>791</v>
      </c>
      <c r="B799" s="208">
        <v>2023</v>
      </c>
      <c r="C799" s="193" t="s">
        <v>37</v>
      </c>
      <c r="D799" s="277" t="s">
        <v>3907</v>
      </c>
      <c r="E799" s="195" t="s">
        <v>3927</v>
      </c>
      <c r="F799" s="196" t="s">
        <v>2073</v>
      </c>
      <c r="G799" s="197" t="s">
        <v>3239</v>
      </c>
      <c r="H799" s="198">
        <v>0.8</v>
      </c>
      <c r="I799" s="199">
        <v>13848</v>
      </c>
      <c r="J799" s="200" t="s">
        <v>2589</v>
      </c>
      <c r="K799" s="200" t="s">
        <v>3926</v>
      </c>
      <c r="L799" s="201">
        <v>0.4</v>
      </c>
      <c r="M799" s="278" t="s">
        <v>3853</v>
      </c>
      <c r="N799" s="205">
        <v>12694</v>
      </c>
      <c r="O799" s="254">
        <v>12694</v>
      </c>
      <c r="P799" s="254">
        <v>10155.2</v>
      </c>
      <c r="Q799" s="254">
        <v>10155.2</v>
      </c>
      <c r="R799" s="1262" t="s">
        <v>3726</v>
      </c>
      <c r="S799" s="254">
        <v>5077.6</v>
      </c>
      <c r="T799" s="204">
        <v>45016</v>
      </c>
      <c r="U799" s="1262" t="s">
        <v>2096</v>
      </c>
      <c r="V799" s="254">
        <v>2538.8</v>
      </c>
      <c r="W799" s="1262" t="s">
        <v>2228</v>
      </c>
      <c r="X799" s="258">
        <v>2538.8</v>
      </c>
      <c r="Y799" s="192"/>
    </row>
    <row r="800" ht="37.5" customHeight="1" spans="1:25">
      <c r="A800" s="192">
        <f t="shared" si="23"/>
        <v>792</v>
      </c>
      <c r="B800" s="208">
        <v>2023</v>
      </c>
      <c r="C800" s="193" t="s">
        <v>37</v>
      </c>
      <c r="D800" s="277" t="s">
        <v>3928</v>
      </c>
      <c r="E800" s="195" t="s">
        <v>3929</v>
      </c>
      <c r="F800" s="196" t="s">
        <v>2073</v>
      </c>
      <c r="G800" s="197" t="s">
        <v>3239</v>
      </c>
      <c r="H800" s="198">
        <v>0.8</v>
      </c>
      <c r="I800" s="199">
        <v>15000</v>
      </c>
      <c r="J800" s="200" t="s">
        <v>2492</v>
      </c>
      <c r="K800" s="200" t="s">
        <v>3930</v>
      </c>
      <c r="L800" s="201">
        <v>0.4</v>
      </c>
      <c r="M800" s="278" t="s">
        <v>3464</v>
      </c>
      <c r="N800" s="205">
        <v>13750</v>
      </c>
      <c r="O800" s="254">
        <v>13750</v>
      </c>
      <c r="P800" s="254">
        <v>11000</v>
      </c>
      <c r="Q800" s="254">
        <v>11000</v>
      </c>
      <c r="R800" s="1262" t="s">
        <v>3726</v>
      </c>
      <c r="S800" s="254">
        <v>5500</v>
      </c>
      <c r="T800" s="204">
        <v>45016</v>
      </c>
      <c r="U800" s="1262" t="s">
        <v>2096</v>
      </c>
      <c r="V800" s="254">
        <v>2750</v>
      </c>
      <c r="W800" s="1262" t="s">
        <v>2228</v>
      </c>
      <c r="X800" s="258">
        <v>2750</v>
      </c>
      <c r="Y800" s="192"/>
    </row>
    <row r="801" ht="37.5" customHeight="1" spans="1:25">
      <c r="A801" s="192">
        <f t="shared" si="23"/>
        <v>793</v>
      </c>
      <c r="B801" s="208">
        <v>2023</v>
      </c>
      <c r="C801" s="193" t="s">
        <v>37</v>
      </c>
      <c r="D801" s="277" t="s">
        <v>3714</v>
      </c>
      <c r="E801" s="195" t="s">
        <v>3931</v>
      </c>
      <c r="F801" s="196" t="s">
        <v>2073</v>
      </c>
      <c r="G801" s="197" t="s">
        <v>3239</v>
      </c>
      <c r="H801" s="198">
        <v>0.8</v>
      </c>
      <c r="I801" s="199">
        <v>16008.33</v>
      </c>
      <c r="J801" s="200" t="s">
        <v>2021</v>
      </c>
      <c r="K801" s="200" t="s">
        <v>3932</v>
      </c>
      <c r="L801" s="201">
        <v>0.4</v>
      </c>
      <c r="M801" s="278" t="s">
        <v>3827</v>
      </c>
      <c r="N801" s="205">
        <v>619</v>
      </c>
      <c r="O801" s="254">
        <v>619</v>
      </c>
      <c r="P801" s="254">
        <v>495.2</v>
      </c>
      <c r="Q801" s="254">
        <v>495.2</v>
      </c>
      <c r="R801" s="1262" t="s">
        <v>3726</v>
      </c>
      <c r="S801" s="254">
        <v>247.6</v>
      </c>
      <c r="T801" s="204">
        <v>45016</v>
      </c>
      <c r="U801" s="1262" t="s">
        <v>2096</v>
      </c>
      <c r="V801" s="254">
        <v>123.8</v>
      </c>
      <c r="W801" s="1262" t="s">
        <v>2228</v>
      </c>
      <c r="X801" s="258">
        <v>123.8</v>
      </c>
      <c r="Y801" s="192"/>
    </row>
    <row r="802" ht="37.5" customHeight="1" spans="1:25">
      <c r="A802" s="192">
        <f t="shared" si="23"/>
        <v>794</v>
      </c>
      <c r="B802" s="208">
        <v>2023</v>
      </c>
      <c r="C802" s="193" t="s">
        <v>37</v>
      </c>
      <c r="D802" s="277" t="s">
        <v>3772</v>
      </c>
      <c r="E802" s="195" t="s">
        <v>3933</v>
      </c>
      <c r="F802" s="196" t="s">
        <v>2073</v>
      </c>
      <c r="G802" s="197" t="s">
        <v>3239</v>
      </c>
      <c r="H802" s="198">
        <v>0.8</v>
      </c>
      <c r="I802" s="199">
        <v>16600</v>
      </c>
      <c r="J802" s="200" t="s">
        <v>2672</v>
      </c>
      <c r="K802" s="200" t="s">
        <v>3934</v>
      </c>
      <c r="L802" s="201">
        <v>0.4</v>
      </c>
      <c r="M802" s="278" t="s">
        <v>3246</v>
      </c>
      <c r="N802" s="205">
        <v>16600</v>
      </c>
      <c r="O802" s="254">
        <v>16600</v>
      </c>
      <c r="P802" s="254">
        <v>13280</v>
      </c>
      <c r="Q802" s="254">
        <v>13280</v>
      </c>
      <c r="R802" s="1262" t="s">
        <v>3726</v>
      </c>
      <c r="S802" s="254">
        <v>6640</v>
      </c>
      <c r="T802" s="204">
        <v>45016</v>
      </c>
      <c r="U802" s="1262" t="s">
        <v>2096</v>
      </c>
      <c r="V802" s="254">
        <v>3320</v>
      </c>
      <c r="W802" s="1262" t="s">
        <v>2228</v>
      </c>
      <c r="X802" s="258">
        <v>3320</v>
      </c>
      <c r="Y802" s="192"/>
    </row>
    <row r="803" ht="37.5" customHeight="1" spans="1:25">
      <c r="A803" s="192">
        <f t="shared" si="23"/>
        <v>795</v>
      </c>
      <c r="B803" s="208">
        <v>2023</v>
      </c>
      <c r="C803" s="193" t="s">
        <v>37</v>
      </c>
      <c r="D803" s="277" t="s">
        <v>3867</v>
      </c>
      <c r="E803" s="195" t="s">
        <v>3935</v>
      </c>
      <c r="F803" s="196" t="s">
        <v>2073</v>
      </c>
      <c r="G803" s="197" t="s">
        <v>3239</v>
      </c>
      <c r="H803" s="198">
        <v>0.8</v>
      </c>
      <c r="I803" s="199">
        <v>15300.94</v>
      </c>
      <c r="J803" s="200" t="s">
        <v>3491</v>
      </c>
      <c r="K803" s="200" t="s">
        <v>3936</v>
      </c>
      <c r="L803" s="201">
        <v>0.4</v>
      </c>
      <c r="M803" s="278" t="s">
        <v>3869</v>
      </c>
      <c r="N803" s="205">
        <v>7500</v>
      </c>
      <c r="O803" s="254">
        <v>7500</v>
      </c>
      <c r="P803" s="254">
        <v>6000</v>
      </c>
      <c r="Q803" s="254">
        <v>6000</v>
      </c>
      <c r="R803" s="1262" t="s">
        <v>3726</v>
      </c>
      <c r="S803" s="254">
        <v>3000</v>
      </c>
      <c r="T803" s="204">
        <v>45016</v>
      </c>
      <c r="U803" s="1262" t="s">
        <v>2096</v>
      </c>
      <c r="V803" s="254">
        <v>1500</v>
      </c>
      <c r="W803" s="1262" t="s">
        <v>2228</v>
      </c>
      <c r="X803" s="258">
        <v>1500</v>
      </c>
      <c r="Y803" s="192"/>
    </row>
    <row r="804" ht="37.5" customHeight="1" spans="1:25">
      <c r="A804" s="192">
        <f t="shared" si="23"/>
        <v>796</v>
      </c>
      <c r="B804" s="208">
        <v>2023</v>
      </c>
      <c r="C804" s="193" t="s">
        <v>37</v>
      </c>
      <c r="D804" s="277" t="s">
        <v>3922</v>
      </c>
      <c r="E804" s="195" t="s">
        <v>3937</v>
      </c>
      <c r="F804" s="196" t="s">
        <v>2073</v>
      </c>
      <c r="G804" s="197" t="s">
        <v>3239</v>
      </c>
      <c r="H804" s="198">
        <v>0.8</v>
      </c>
      <c r="I804" s="199">
        <v>65000</v>
      </c>
      <c r="J804" s="200" t="s">
        <v>2695</v>
      </c>
      <c r="K804" s="200" t="s">
        <v>3938</v>
      </c>
      <c r="L804" s="201">
        <v>0.4</v>
      </c>
      <c r="M804" s="278" t="s">
        <v>2446</v>
      </c>
      <c r="N804" s="205">
        <v>65000</v>
      </c>
      <c r="O804" s="254">
        <v>65000</v>
      </c>
      <c r="P804" s="254">
        <v>52000</v>
      </c>
      <c r="Q804" s="254">
        <v>52000</v>
      </c>
      <c r="R804" s="1262" t="s">
        <v>3726</v>
      </c>
      <c r="S804" s="254">
        <v>26000</v>
      </c>
      <c r="T804" s="204">
        <v>45016</v>
      </c>
      <c r="U804" s="1262" t="s">
        <v>2096</v>
      </c>
      <c r="V804" s="254">
        <v>13000</v>
      </c>
      <c r="W804" s="1262" t="s">
        <v>2228</v>
      </c>
      <c r="X804" s="258">
        <v>13000</v>
      </c>
      <c r="Y804" s="192"/>
    </row>
    <row r="805" ht="37.5" customHeight="1" spans="1:25">
      <c r="A805" s="192">
        <f t="shared" si="23"/>
        <v>797</v>
      </c>
      <c r="B805" s="208">
        <v>2023</v>
      </c>
      <c r="C805" s="193" t="s">
        <v>37</v>
      </c>
      <c r="D805" s="277" t="s">
        <v>3919</v>
      </c>
      <c r="E805" s="195" t="s">
        <v>3939</v>
      </c>
      <c r="F805" s="196" t="s">
        <v>2073</v>
      </c>
      <c r="G805" s="197" t="s">
        <v>3239</v>
      </c>
      <c r="H805" s="198">
        <v>0.8</v>
      </c>
      <c r="I805" s="199">
        <v>14701.06</v>
      </c>
      <c r="J805" s="200" t="s">
        <v>2695</v>
      </c>
      <c r="K805" s="200" t="s">
        <v>3938</v>
      </c>
      <c r="L805" s="201">
        <v>0.4</v>
      </c>
      <c r="M805" s="278" t="s">
        <v>3771</v>
      </c>
      <c r="N805" s="205">
        <v>2849</v>
      </c>
      <c r="O805" s="254">
        <v>2849</v>
      </c>
      <c r="P805" s="254">
        <v>2279.2</v>
      </c>
      <c r="Q805" s="254">
        <v>2279.2</v>
      </c>
      <c r="R805" s="1262" t="s">
        <v>3726</v>
      </c>
      <c r="S805" s="254">
        <v>1139.6</v>
      </c>
      <c r="T805" s="204">
        <v>45016</v>
      </c>
      <c r="U805" s="1262" t="s">
        <v>2096</v>
      </c>
      <c r="V805" s="254">
        <v>569.8</v>
      </c>
      <c r="W805" s="1262" t="s">
        <v>2228</v>
      </c>
      <c r="X805" s="258">
        <v>569.8</v>
      </c>
      <c r="Y805" s="192"/>
    </row>
    <row r="806" ht="37.5" customHeight="1" spans="1:25">
      <c r="A806" s="192">
        <f t="shared" si="23"/>
        <v>798</v>
      </c>
      <c r="B806" s="208">
        <v>2023</v>
      </c>
      <c r="C806" s="193" t="s">
        <v>37</v>
      </c>
      <c r="D806" s="277" t="s">
        <v>3940</v>
      </c>
      <c r="E806" s="195" t="s">
        <v>3941</v>
      </c>
      <c r="F806" s="196" t="s">
        <v>2073</v>
      </c>
      <c r="G806" s="197" t="s">
        <v>3239</v>
      </c>
      <c r="H806" s="198">
        <v>0.8</v>
      </c>
      <c r="I806" s="199">
        <v>50000</v>
      </c>
      <c r="J806" s="200" t="s">
        <v>2111</v>
      </c>
      <c r="K806" s="200" t="s">
        <v>2112</v>
      </c>
      <c r="L806" s="201">
        <v>0.4</v>
      </c>
      <c r="M806" s="278" t="s">
        <v>3232</v>
      </c>
      <c r="N806" s="205">
        <v>3000.05</v>
      </c>
      <c r="O806" s="254">
        <v>3000.05</v>
      </c>
      <c r="P806" s="254">
        <v>2400.04</v>
      </c>
      <c r="Q806" s="254">
        <v>2400.04</v>
      </c>
      <c r="R806" s="1262" t="s">
        <v>3726</v>
      </c>
      <c r="S806" s="254">
        <v>1200.02</v>
      </c>
      <c r="T806" s="204">
        <v>45016</v>
      </c>
      <c r="U806" s="1262" t="s">
        <v>2096</v>
      </c>
      <c r="V806" s="254">
        <v>600.01</v>
      </c>
      <c r="W806" s="1262" t="s">
        <v>2228</v>
      </c>
      <c r="X806" s="258">
        <v>600.01</v>
      </c>
      <c r="Y806" s="192"/>
    </row>
    <row r="807" ht="37.5" customHeight="1" spans="1:25">
      <c r="A807" s="192">
        <f t="shared" si="23"/>
        <v>799</v>
      </c>
      <c r="B807" s="208">
        <v>2023</v>
      </c>
      <c r="C807" s="193" t="s">
        <v>37</v>
      </c>
      <c r="D807" s="277" t="s">
        <v>3942</v>
      </c>
      <c r="E807" s="195" t="s">
        <v>3943</v>
      </c>
      <c r="F807" s="196" t="s">
        <v>2073</v>
      </c>
      <c r="G807" s="197" t="s">
        <v>3239</v>
      </c>
      <c r="H807" s="198">
        <v>0.8</v>
      </c>
      <c r="I807" s="199">
        <v>90230</v>
      </c>
      <c r="J807" s="200" t="s">
        <v>2111</v>
      </c>
      <c r="K807" s="200" t="s">
        <v>2112</v>
      </c>
      <c r="L807" s="201">
        <v>0.4</v>
      </c>
      <c r="M807" s="278" t="s">
        <v>2447</v>
      </c>
      <c r="N807" s="205">
        <v>2921.25</v>
      </c>
      <c r="O807" s="254">
        <v>2921.25</v>
      </c>
      <c r="P807" s="254">
        <v>2337</v>
      </c>
      <c r="Q807" s="254">
        <v>2337</v>
      </c>
      <c r="R807" s="1262" t="s">
        <v>3726</v>
      </c>
      <c r="S807" s="254">
        <v>1168.5</v>
      </c>
      <c r="T807" s="204">
        <v>45016</v>
      </c>
      <c r="U807" s="1262" t="s">
        <v>2096</v>
      </c>
      <c r="V807" s="254">
        <v>584.25</v>
      </c>
      <c r="W807" s="1262" t="s">
        <v>2228</v>
      </c>
      <c r="X807" s="258">
        <v>584.25</v>
      </c>
      <c r="Y807" s="192"/>
    </row>
    <row r="808" ht="37.5" customHeight="1" spans="1:25">
      <c r="A808" s="192">
        <f t="shared" si="23"/>
        <v>800</v>
      </c>
      <c r="B808" s="208">
        <v>2023</v>
      </c>
      <c r="C808" s="193" t="s">
        <v>37</v>
      </c>
      <c r="D808" s="277" t="s">
        <v>3911</v>
      </c>
      <c r="E808" s="195" t="s">
        <v>3944</v>
      </c>
      <c r="F808" s="196" t="s">
        <v>2073</v>
      </c>
      <c r="G808" s="197" t="s">
        <v>3239</v>
      </c>
      <c r="H808" s="198">
        <v>0.8</v>
      </c>
      <c r="I808" s="199">
        <v>81000</v>
      </c>
      <c r="J808" s="200" t="s">
        <v>3945</v>
      </c>
      <c r="K808" s="200" t="s">
        <v>3946</v>
      </c>
      <c r="L808" s="201">
        <v>0.4</v>
      </c>
      <c r="M808" s="278" t="s">
        <v>3947</v>
      </c>
      <c r="N808" s="205">
        <v>27583.46</v>
      </c>
      <c r="O808" s="254">
        <v>27583.46</v>
      </c>
      <c r="P808" s="254">
        <v>22066.77</v>
      </c>
      <c r="Q808" s="254">
        <v>22066.77</v>
      </c>
      <c r="R808" s="1262" t="s">
        <v>3726</v>
      </c>
      <c r="S808" s="254">
        <v>11033.38</v>
      </c>
      <c r="T808" s="204">
        <v>45016</v>
      </c>
      <c r="U808" s="1262" t="s">
        <v>2096</v>
      </c>
      <c r="V808" s="254">
        <v>5516.69</v>
      </c>
      <c r="W808" s="1262" t="s">
        <v>2228</v>
      </c>
      <c r="X808" s="258">
        <v>5516.69</v>
      </c>
      <c r="Y808" s="192"/>
    </row>
    <row r="809" ht="37.5" customHeight="1" spans="1:25">
      <c r="A809" s="192">
        <f t="shared" si="23"/>
        <v>801</v>
      </c>
      <c r="B809" s="208">
        <v>2023</v>
      </c>
      <c r="C809" s="193" t="s">
        <v>37</v>
      </c>
      <c r="D809" s="277" t="s">
        <v>3948</v>
      </c>
      <c r="E809" s="195" t="s">
        <v>3949</v>
      </c>
      <c r="F809" s="196" t="s">
        <v>2073</v>
      </c>
      <c r="G809" s="197" t="s">
        <v>3239</v>
      </c>
      <c r="H809" s="198">
        <v>0.8</v>
      </c>
      <c r="I809" s="199">
        <v>140060</v>
      </c>
      <c r="J809" s="200" t="s">
        <v>2095</v>
      </c>
      <c r="K809" s="200" t="s">
        <v>2096</v>
      </c>
      <c r="L809" s="201">
        <v>0.4</v>
      </c>
      <c r="M809" s="278" t="s">
        <v>3748</v>
      </c>
      <c r="N809" s="205">
        <v>5000.06</v>
      </c>
      <c r="O809" s="254">
        <v>5000.06</v>
      </c>
      <c r="P809" s="254">
        <v>4000.05</v>
      </c>
      <c r="Q809" s="254">
        <v>4000.05</v>
      </c>
      <c r="R809" s="1262" t="s">
        <v>3726</v>
      </c>
      <c r="S809" s="254">
        <v>2000.02</v>
      </c>
      <c r="T809" s="204">
        <v>45016</v>
      </c>
      <c r="U809" s="1262" t="s">
        <v>2096</v>
      </c>
      <c r="V809" s="254">
        <v>1000.01</v>
      </c>
      <c r="W809" s="1262" t="s">
        <v>2228</v>
      </c>
      <c r="X809" s="258">
        <v>1000.01</v>
      </c>
      <c r="Y809" s="192"/>
    </row>
    <row r="810" ht="37.5" customHeight="1" spans="1:25">
      <c r="A810" s="192">
        <f t="shared" si="23"/>
        <v>802</v>
      </c>
      <c r="B810" s="208">
        <v>2023</v>
      </c>
      <c r="C810" s="193" t="s">
        <v>37</v>
      </c>
      <c r="D810" s="277" t="s">
        <v>3950</v>
      </c>
      <c r="E810" s="195" t="s">
        <v>3951</v>
      </c>
      <c r="F810" s="196" t="s">
        <v>2073</v>
      </c>
      <c r="G810" s="197" t="s">
        <v>3239</v>
      </c>
      <c r="H810" s="198">
        <v>0.8</v>
      </c>
      <c r="I810" s="199">
        <v>12000</v>
      </c>
      <c r="J810" s="200" t="s">
        <v>1928</v>
      </c>
      <c r="K810" s="200" t="s">
        <v>2136</v>
      </c>
      <c r="L810" s="201">
        <v>0.4</v>
      </c>
      <c r="M810" s="278" t="s">
        <v>3464</v>
      </c>
      <c r="N810" s="205">
        <v>250.03</v>
      </c>
      <c r="O810" s="254">
        <v>250.03</v>
      </c>
      <c r="P810" s="254">
        <v>200.02</v>
      </c>
      <c r="Q810" s="254">
        <v>200.02</v>
      </c>
      <c r="R810" s="1262" t="s">
        <v>3726</v>
      </c>
      <c r="S810" s="254">
        <v>100.01</v>
      </c>
      <c r="T810" s="204">
        <v>45016</v>
      </c>
      <c r="U810" s="1262" t="s">
        <v>2096</v>
      </c>
      <c r="V810" s="254">
        <v>50.01</v>
      </c>
      <c r="W810" s="1262" t="s">
        <v>2228</v>
      </c>
      <c r="X810" s="258">
        <v>50.01</v>
      </c>
      <c r="Y810" s="192"/>
    </row>
    <row r="811" ht="37.5" customHeight="1" spans="1:25">
      <c r="A811" s="192">
        <f t="shared" si="23"/>
        <v>803</v>
      </c>
      <c r="B811" s="208">
        <v>2023</v>
      </c>
      <c r="C811" s="193" t="s">
        <v>37</v>
      </c>
      <c r="D811" s="277" t="s">
        <v>3952</v>
      </c>
      <c r="E811" s="195" t="s">
        <v>3953</v>
      </c>
      <c r="F811" s="196" t="s">
        <v>2073</v>
      </c>
      <c r="G811" s="197" t="s">
        <v>3239</v>
      </c>
      <c r="H811" s="198">
        <v>0.8</v>
      </c>
      <c r="I811" s="199">
        <v>110670</v>
      </c>
      <c r="J811" s="200" t="s">
        <v>1969</v>
      </c>
      <c r="K811" s="200" t="s">
        <v>2480</v>
      </c>
      <c r="L811" s="201">
        <v>0.4</v>
      </c>
      <c r="M811" s="278" t="s">
        <v>3761</v>
      </c>
      <c r="N811" s="205">
        <v>9333.36</v>
      </c>
      <c r="O811" s="254">
        <v>9333.36</v>
      </c>
      <c r="P811" s="254">
        <v>7466.69</v>
      </c>
      <c r="Q811" s="254">
        <v>7466.69</v>
      </c>
      <c r="R811" s="1262" t="s">
        <v>3726</v>
      </c>
      <c r="S811" s="254">
        <v>3733.34</v>
      </c>
      <c r="T811" s="204">
        <v>45016</v>
      </c>
      <c r="U811" s="1262" t="s">
        <v>2096</v>
      </c>
      <c r="V811" s="254">
        <v>1866.67</v>
      </c>
      <c r="W811" s="1262" t="s">
        <v>2228</v>
      </c>
      <c r="X811" s="258">
        <v>1866.67</v>
      </c>
      <c r="Y811" s="192"/>
    </row>
    <row r="812" ht="37.5" customHeight="1" spans="1:25">
      <c r="A812" s="192">
        <f t="shared" si="23"/>
        <v>804</v>
      </c>
      <c r="B812" s="208">
        <v>2023</v>
      </c>
      <c r="C812" s="193" t="s">
        <v>37</v>
      </c>
      <c r="D812" s="277" t="s">
        <v>3954</v>
      </c>
      <c r="E812" s="195" t="s">
        <v>3955</v>
      </c>
      <c r="F812" s="196" t="s">
        <v>2073</v>
      </c>
      <c r="G812" s="197" t="s">
        <v>3239</v>
      </c>
      <c r="H812" s="198">
        <v>0.8</v>
      </c>
      <c r="I812" s="199">
        <v>37530</v>
      </c>
      <c r="J812" s="200" t="s">
        <v>2106</v>
      </c>
      <c r="K812" s="200" t="s">
        <v>2107</v>
      </c>
      <c r="L812" s="201">
        <v>0.4</v>
      </c>
      <c r="M812" s="278" t="s">
        <v>3788</v>
      </c>
      <c r="N812" s="205">
        <v>6883</v>
      </c>
      <c r="O812" s="254">
        <v>6883</v>
      </c>
      <c r="P812" s="254">
        <v>5506.4</v>
      </c>
      <c r="Q812" s="254">
        <v>5506.4</v>
      </c>
      <c r="R812" s="1262" t="s">
        <v>3726</v>
      </c>
      <c r="S812" s="254">
        <v>2753.2</v>
      </c>
      <c r="T812" s="204">
        <v>45016</v>
      </c>
      <c r="U812" s="1262" t="s">
        <v>2096</v>
      </c>
      <c r="V812" s="254">
        <v>1376.6</v>
      </c>
      <c r="W812" s="1262" t="s">
        <v>2228</v>
      </c>
      <c r="X812" s="258">
        <v>1376.6</v>
      </c>
      <c r="Y812" s="192"/>
    </row>
    <row r="813" ht="37.5" customHeight="1" spans="1:25">
      <c r="A813" s="192">
        <f t="shared" si="23"/>
        <v>805</v>
      </c>
      <c r="B813" s="208">
        <v>2023</v>
      </c>
      <c r="C813" s="193" t="s">
        <v>37</v>
      </c>
      <c r="D813" s="277" t="s">
        <v>3956</v>
      </c>
      <c r="E813" s="195" t="s">
        <v>3957</v>
      </c>
      <c r="F813" s="196" t="s">
        <v>2073</v>
      </c>
      <c r="G813" s="197" t="s">
        <v>3239</v>
      </c>
      <c r="H813" s="198">
        <v>0.8</v>
      </c>
      <c r="I813" s="199">
        <v>150400</v>
      </c>
      <c r="J813" s="200" t="s">
        <v>1814</v>
      </c>
      <c r="K813" s="200" t="s">
        <v>3958</v>
      </c>
      <c r="L813" s="201">
        <v>0.4</v>
      </c>
      <c r="M813" s="278" t="s">
        <v>2292</v>
      </c>
      <c r="N813" s="205">
        <v>20333.4</v>
      </c>
      <c r="O813" s="254">
        <v>20333.4</v>
      </c>
      <c r="P813" s="254">
        <v>16266.72</v>
      </c>
      <c r="Q813" s="254">
        <v>16266.72</v>
      </c>
      <c r="R813" s="1262" t="s">
        <v>3726</v>
      </c>
      <c r="S813" s="254">
        <v>8133.36</v>
      </c>
      <c r="T813" s="204">
        <v>45016</v>
      </c>
      <c r="U813" s="1262" t="s">
        <v>2096</v>
      </c>
      <c r="V813" s="254">
        <v>4066.68</v>
      </c>
      <c r="W813" s="1262" t="s">
        <v>2228</v>
      </c>
      <c r="X813" s="258">
        <v>4066.68</v>
      </c>
      <c r="Y813" s="192"/>
    </row>
    <row r="814" ht="37.5" customHeight="1" spans="1:25">
      <c r="A814" s="192">
        <f t="shared" si="23"/>
        <v>806</v>
      </c>
      <c r="B814" s="208">
        <v>2023</v>
      </c>
      <c r="C814" s="193" t="s">
        <v>37</v>
      </c>
      <c r="D814" s="277" t="s">
        <v>3959</v>
      </c>
      <c r="E814" s="195" t="s">
        <v>3960</v>
      </c>
      <c r="F814" s="196" t="s">
        <v>2073</v>
      </c>
      <c r="G814" s="197" t="s">
        <v>3239</v>
      </c>
      <c r="H814" s="198">
        <v>0.8</v>
      </c>
      <c r="I814" s="199">
        <v>384020</v>
      </c>
      <c r="J814" s="200" t="s">
        <v>2215</v>
      </c>
      <c r="K814" s="200" t="s">
        <v>2216</v>
      </c>
      <c r="L814" s="201">
        <v>0.4</v>
      </c>
      <c r="M814" s="278" t="s">
        <v>3199</v>
      </c>
      <c r="N814" s="205">
        <v>232000.1</v>
      </c>
      <c r="O814" s="254">
        <v>232000.1</v>
      </c>
      <c r="P814" s="254">
        <v>185600.08</v>
      </c>
      <c r="Q814" s="254">
        <v>185600.08</v>
      </c>
      <c r="R814" s="1262" t="s">
        <v>3726</v>
      </c>
      <c r="S814" s="254">
        <v>92800.04</v>
      </c>
      <c r="T814" s="204">
        <v>45016</v>
      </c>
      <c r="U814" s="1262" t="s">
        <v>2096</v>
      </c>
      <c r="V814" s="254">
        <v>46400.02</v>
      </c>
      <c r="W814" s="1262" t="s">
        <v>2228</v>
      </c>
      <c r="X814" s="258">
        <v>46400.02</v>
      </c>
      <c r="Y814" s="192"/>
    </row>
    <row r="815" ht="37.5" customHeight="1" spans="1:25">
      <c r="A815" s="192">
        <f t="shared" si="23"/>
        <v>807</v>
      </c>
      <c r="B815" s="208">
        <v>2023</v>
      </c>
      <c r="C815" s="193" t="s">
        <v>37</v>
      </c>
      <c r="D815" s="277" t="s">
        <v>3961</v>
      </c>
      <c r="E815" s="195" t="s">
        <v>3962</v>
      </c>
      <c r="F815" s="196" t="s">
        <v>2073</v>
      </c>
      <c r="G815" s="197" t="s">
        <v>3239</v>
      </c>
      <c r="H815" s="198">
        <v>0.8</v>
      </c>
      <c r="I815" s="199">
        <v>73600</v>
      </c>
      <c r="J815" s="200" t="s">
        <v>2083</v>
      </c>
      <c r="K815" s="200" t="s">
        <v>2084</v>
      </c>
      <c r="L815" s="201">
        <v>0.4</v>
      </c>
      <c r="M815" s="278" t="s">
        <v>3947</v>
      </c>
      <c r="N815" s="205">
        <v>4633.45</v>
      </c>
      <c r="O815" s="254">
        <v>4633.45</v>
      </c>
      <c r="P815" s="254">
        <v>3706.77</v>
      </c>
      <c r="Q815" s="254">
        <v>3706.77</v>
      </c>
      <c r="R815" s="1262" t="s">
        <v>3726</v>
      </c>
      <c r="S815" s="254">
        <v>1853.38</v>
      </c>
      <c r="T815" s="204">
        <v>45016</v>
      </c>
      <c r="U815" s="1262" t="s">
        <v>2096</v>
      </c>
      <c r="V815" s="254">
        <v>926.69</v>
      </c>
      <c r="W815" s="1262" t="s">
        <v>2228</v>
      </c>
      <c r="X815" s="258">
        <v>926.69</v>
      </c>
      <c r="Y815" s="192"/>
    </row>
    <row r="816" ht="37.5" customHeight="1" spans="1:25">
      <c r="A816" s="192">
        <f t="shared" si="23"/>
        <v>808</v>
      </c>
      <c r="B816" s="208">
        <v>2023</v>
      </c>
      <c r="C816" s="193" t="s">
        <v>37</v>
      </c>
      <c r="D816" s="277" t="s">
        <v>3963</v>
      </c>
      <c r="E816" s="195" t="s">
        <v>3964</v>
      </c>
      <c r="F816" s="196" t="s">
        <v>2073</v>
      </c>
      <c r="G816" s="197" t="s">
        <v>3239</v>
      </c>
      <c r="H816" s="198">
        <v>0.8</v>
      </c>
      <c r="I816" s="199">
        <v>300000</v>
      </c>
      <c r="J816" s="200" t="s">
        <v>1927</v>
      </c>
      <c r="K816" s="200" t="s">
        <v>2116</v>
      </c>
      <c r="L816" s="201">
        <v>0.4</v>
      </c>
      <c r="M816" s="278" t="s">
        <v>3521</v>
      </c>
      <c r="N816" s="205">
        <v>10000.03</v>
      </c>
      <c r="O816" s="254">
        <v>10000.03</v>
      </c>
      <c r="P816" s="254">
        <v>8000.02</v>
      </c>
      <c r="Q816" s="254">
        <v>8000.02</v>
      </c>
      <c r="R816" s="1262" t="s">
        <v>3726</v>
      </c>
      <c r="S816" s="254">
        <v>4000.01</v>
      </c>
      <c r="T816" s="204">
        <v>45016</v>
      </c>
      <c r="U816" s="1262" t="s">
        <v>2096</v>
      </c>
      <c r="V816" s="254">
        <v>2000.01</v>
      </c>
      <c r="W816" s="1262" t="s">
        <v>2228</v>
      </c>
      <c r="X816" s="258">
        <v>2000.01</v>
      </c>
      <c r="Y816" s="192"/>
    </row>
    <row r="817" ht="37.5" customHeight="1" spans="1:25">
      <c r="A817" s="192">
        <f t="shared" si="23"/>
        <v>809</v>
      </c>
      <c r="B817" s="208">
        <v>2023</v>
      </c>
      <c r="C817" s="193" t="s">
        <v>37</v>
      </c>
      <c r="D817" s="277" t="s">
        <v>3965</v>
      </c>
      <c r="E817" s="195" t="s">
        <v>3966</v>
      </c>
      <c r="F817" s="196" t="s">
        <v>2073</v>
      </c>
      <c r="G817" s="197" t="s">
        <v>3239</v>
      </c>
      <c r="H817" s="198">
        <v>0.8</v>
      </c>
      <c r="I817" s="199">
        <v>300000</v>
      </c>
      <c r="J817" s="200" t="s">
        <v>2363</v>
      </c>
      <c r="K817" s="200" t="s">
        <v>2364</v>
      </c>
      <c r="L817" s="201">
        <v>0.4</v>
      </c>
      <c r="M817" s="278" t="s">
        <v>2292</v>
      </c>
      <c r="N817" s="205">
        <v>15491.93</v>
      </c>
      <c r="O817" s="254">
        <v>15491.93</v>
      </c>
      <c r="P817" s="254">
        <v>12393.55</v>
      </c>
      <c r="Q817" s="254">
        <v>12393.55</v>
      </c>
      <c r="R817" s="1262" t="s">
        <v>3726</v>
      </c>
      <c r="S817" s="254">
        <v>6196.77</v>
      </c>
      <c r="T817" s="204">
        <v>45016</v>
      </c>
      <c r="U817" s="1262" t="s">
        <v>2096</v>
      </c>
      <c r="V817" s="254">
        <v>3098.39</v>
      </c>
      <c r="W817" s="1262" t="s">
        <v>2228</v>
      </c>
      <c r="X817" s="258">
        <v>3098.39</v>
      </c>
      <c r="Y817" s="192"/>
    </row>
    <row r="818" ht="37.5" customHeight="1" spans="1:25">
      <c r="A818" s="192">
        <f t="shared" si="23"/>
        <v>810</v>
      </c>
      <c r="B818" s="208">
        <v>2023</v>
      </c>
      <c r="C818" s="193" t="s">
        <v>37</v>
      </c>
      <c r="D818" s="277" t="s">
        <v>3844</v>
      </c>
      <c r="E818" s="195" t="s">
        <v>3967</v>
      </c>
      <c r="F818" s="196" t="s">
        <v>2073</v>
      </c>
      <c r="G818" s="197" t="s">
        <v>3239</v>
      </c>
      <c r="H818" s="198">
        <v>0.8</v>
      </c>
      <c r="I818" s="199">
        <v>104000</v>
      </c>
      <c r="J818" s="200" t="s">
        <v>1928</v>
      </c>
      <c r="K818" s="200" t="s">
        <v>2136</v>
      </c>
      <c r="L818" s="201">
        <v>0.4</v>
      </c>
      <c r="M818" s="278" t="s">
        <v>2652</v>
      </c>
      <c r="N818" s="205">
        <v>11000.08</v>
      </c>
      <c r="O818" s="254">
        <v>11000.08</v>
      </c>
      <c r="P818" s="254">
        <v>8800.07</v>
      </c>
      <c r="Q818" s="254">
        <v>8800.07</v>
      </c>
      <c r="R818" s="1262" t="s">
        <v>3726</v>
      </c>
      <c r="S818" s="254">
        <v>4400.03</v>
      </c>
      <c r="T818" s="204">
        <v>45016</v>
      </c>
      <c r="U818" s="1262" t="s">
        <v>2096</v>
      </c>
      <c r="V818" s="254">
        <v>2200.02</v>
      </c>
      <c r="W818" s="1262" t="s">
        <v>2228</v>
      </c>
      <c r="X818" s="258">
        <v>2200.02</v>
      </c>
      <c r="Y818" s="192"/>
    </row>
    <row r="819" ht="37.5" customHeight="1" spans="1:25">
      <c r="A819" s="192">
        <f t="shared" si="23"/>
        <v>811</v>
      </c>
      <c r="B819" s="208">
        <v>2023</v>
      </c>
      <c r="C819" s="193" t="s">
        <v>37</v>
      </c>
      <c r="D819" s="277" t="s">
        <v>3772</v>
      </c>
      <c r="E819" s="195" t="s">
        <v>3968</v>
      </c>
      <c r="F819" s="196" t="s">
        <v>2073</v>
      </c>
      <c r="G819" s="197" t="s">
        <v>3239</v>
      </c>
      <c r="H819" s="198">
        <v>0.8</v>
      </c>
      <c r="I819" s="199">
        <v>15000</v>
      </c>
      <c r="J819" s="200" t="s">
        <v>2612</v>
      </c>
      <c r="K819" s="200" t="s">
        <v>3969</v>
      </c>
      <c r="L819" s="201">
        <v>0.4</v>
      </c>
      <c r="M819" s="278" t="s">
        <v>3246</v>
      </c>
      <c r="N819" s="205">
        <v>13750.01</v>
      </c>
      <c r="O819" s="254">
        <v>13750.01</v>
      </c>
      <c r="P819" s="254">
        <v>11000.01</v>
      </c>
      <c r="Q819" s="254">
        <v>11000.01</v>
      </c>
      <c r="R819" s="1262" t="s">
        <v>3726</v>
      </c>
      <c r="S819" s="254">
        <v>5500</v>
      </c>
      <c r="T819" s="204">
        <v>45016</v>
      </c>
      <c r="U819" s="203"/>
      <c r="V819" s="254"/>
      <c r="W819" s="203"/>
      <c r="X819" s="206"/>
      <c r="Y819" s="203" t="s">
        <v>1077</v>
      </c>
    </row>
    <row r="820" ht="37.5" customHeight="1" spans="1:25">
      <c r="A820" s="192">
        <f t="shared" si="23"/>
        <v>812</v>
      </c>
      <c r="B820" s="208">
        <v>2023</v>
      </c>
      <c r="C820" s="193" t="s">
        <v>37</v>
      </c>
      <c r="D820" s="277" t="s">
        <v>3970</v>
      </c>
      <c r="E820" s="195" t="s">
        <v>3971</v>
      </c>
      <c r="F820" s="196" t="s">
        <v>2073</v>
      </c>
      <c r="G820" s="197" t="s">
        <v>3239</v>
      </c>
      <c r="H820" s="198">
        <v>0.8</v>
      </c>
      <c r="I820" s="199">
        <v>17204.17</v>
      </c>
      <c r="J820" s="200" t="s">
        <v>3719</v>
      </c>
      <c r="K820" s="200" t="s">
        <v>3720</v>
      </c>
      <c r="L820" s="201">
        <v>0.4</v>
      </c>
      <c r="M820" s="278" t="s">
        <v>3738</v>
      </c>
      <c r="N820" s="205">
        <v>4166.68</v>
      </c>
      <c r="O820" s="254">
        <v>4166.68</v>
      </c>
      <c r="P820" s="254">
        <v>3333.34</v>
      </c>
      <c r="Q820" s="254">
        <v>3333.34</v>
      </c>
      <c r="R820" s="1262" t="s">
        <v>3726</v>
      </c>
      <c r="S820" s="254">
        <v>1666.67</v>
      </c>
      <c r="T820" s="204">
        <v>45016</v>
      </c>
      <c r="U820" s="203"/>
      <c r="V820" s="254"/>
      <c r="W820" s="203"/>
      <c r="X820" s="206"/>
      <c r="Y820" s="203" t="s">
        <v>1077</v>
      </c>
    </row>
    <row r="821" ht="37.5" customHeight="1" spans="1:25">
      <c r="A821" s="192">
        <f t="shared" si="23"/>
        <v>813</v>
      </c>
      <c r="B821" s="208">
        <v>2023</v>
      </c>
      <c r="C821" s="193" t="s">
        <v>37</v>
      </c>
      <c r="D821" s="277" t="s">
        <v>3772</v>
      </c>
      <c r="E821" s="195" t="s">
        <v>3972</v>
      </c>
      <c r="F821" s="196" t="s">
        <v>2073</v>
      </c>
      <c r="G821" s="197" t="s">
        <v>3239</v>
      </c>
      <c r="H821" s="198">
        <v>0.8</v>
      </c>
      <c r="I821" s="199">
        <v>15000</v>
      </c>
      <c r="J821" s="200" t="s">
        <v>2399</v>
      </c>
      <c r="K821" s="200" t="s">
        <v>3973</v>
      </c>
      <c r="L821" s="201">
        <v>0.4</v>
      </c>
      <c r="M821" s="278" t="s">
        <v>3246</v>
      </c>
      <c r="N821" s="205">
        <v>12500.02</v>
      </c>
      <c r="O821" s="254">
        <v>12500.02</v>
      </c>
      <c r="P821" s="254">
        <v>10000.01</v>
      </c>
      <c r="Q821" s="254">
        <v>10000.01</v>
      </c>
      <c r="R821" s="1262" t="s">
        <v>3726</v>
      </c>
      <c r="S821" s="254">
        <v>5000.01</v>
      </c>
      <c r="T821" s="204">
        <v>45016</v>
      </c>
      <c r="U821" s="203"/>
      <c r="V821" s="254"/>
      <c r="W821" s="203"/>
      <c r="X821" s="206"/>
      <c r="Y821" s="203" t="s">
        <v>1077</v>
      </c>
    </row>
    <row r="822" ht="37.5" customHeight="1" spans="1:25">
      <c r="A822" s="192">
        <f t="shared" si="23"/>
        <v>814</v>
      </c>
      <c r="B822" s="208">
        <v>2023</v>
      </c>
      <c r="C822" s="193" t="s">
        <v>37</v>
      </c>
      <c r="D822" s="277" t="s">
        <v>3876</v>
      </c>
      <c r="E822" s="195" t="s">
        <v>3974</v>
      </c>
      <c r="F822" s="196" t="s">
        <v>2073</v>
      </c>
      <c r="G822" s="197" t="s">
        <v>3239</v>
      </c>
      <c r="H822" s="198">
        <v>0.8</v>
      </c>
      <c r="I822" s="199">
        <v>13521.36</v>
      </c>
      <c r="J822" s="200" t="s">
        <v>2368</v>
      </c>
      <c r="K822" s="200" t="s">
        <v>2955</v>
      </c>
      <c r="L822" s="201">
        <v>0.4</v>
      </c>
      <c r="M822" s="278" t="s">
        <v>3820</v>
      </c>
      <c r="N822" s="205">
        <v>5833.34</v>
      </c>
      <c r="O822" s="254">
        <v>5833.34</v>
      </c>
      <c r="P822" s="254">
        <v>4666.67</v>
      </c>
      <c r="Q822" s="254">
        <v>4666.67</v>
      </c>
      <c r="R822" s="1262" t="s">
        <v>3726</v>
      </c>
      <c r="S822" s="254">
        <v>2333.34</v>
      </c>
      <c r="T822" s="204">
        <v>45016</v>
      </c>
      <c r="U822" s="203"/>
      <c r="V822" s="254"/>
      <c r="W822" s="203"/>
      <c r="X822" s="206"/>
      <c r="Y822" s="203" t="s">
        <v>1077</v>
      </c>
    </row>
    <row r="823" ht="37.5" customHeight="1" spans="1:25">
      <c r="A823" s="192">
        <f t="shared" si="23"/>
        <v>815</v>
      </c>
      <c r="B823" s="208">
        <v>2023</v>
      </c>
      <c r="C823" s="193" t="s">
        <v>37</v>
      </c>
      <c r="D823" s="277" t="s">
        <v>3834</v>
      </c>
      <c r="E823" s="195" t="s">
        <v>3975</v>
      </c>
      <c r="F823" s="196" t="s">
        <v>2073</v>
      </c>
      <c r="G823" s="197" t="s">
        <v>3239</v>
      </c>
      <c r="H823" s="198">
        <v>0.8</v>
      </c>
      <c r="I823" s="199">
        <v>13346.64</v>
      </c>
      <c r="J823" s="200" t="s">
        <v>1126</v>
      </c>
      <c r="K823" s="200" t="s">
        <v>3976</v>
      </c>
      <c r="L823" s="201">
        <v>0.4</v>
      </c>
      <c r="M823" s="278" t="s">
        <v>2448</v>
      </c>
      <c r="N823" s="205">
        <v>7500.01</v>
      </c>
      <c r="O823" s="254">
        <v>7500.01</v>
      </c>
      <c r="P823" s="254">
        <v>6000.01</v>
      </c>
      <c r="Q823" s="254">
        <v>6000.01</v>
      </c>
      <c r="R823" s="1262" t="s">
        <v>3726</v>
      </c>
      <c r="S823" s="254">
        <v>3000</v>
      </c>
      <c r="T823" s="204">
        <v>45016</v>
      </c>
      <c r="U823" s="203"/>
      <c r="V823" s="254"/>
      <c r="W823" s="203"/>
      <c r="X823" s="206"/>
      <c r="Y823" s="203" t="s">
        <v>1077</v>
      </c>
    </row>
    <row r="824" ht="37.5" customHeight="1" spans="1:25">
      <c r="A824" s="192">
        <f t="shared" si="23"/>
        <v>816</v>
      </c>
      <c r="B824" s="208">
        <v>2023</v>
      </c>
      <c r="C824" s="193" t="s">
        <v>37</v>
      </c>
      <c r="D824" s="277" t="s">
        <v>3854</v>
      </c>
      <c r="E824" s="195" t="s">
        <v>3977</v>
      </c>
      <c r="F824" s="196" t="s">
        <v>2073</v>
      </c>
      <c r="G824" s="197" t="s">
        <v>3239</v>
      </c>
      <c r="H824" s="198">
        <v>0.8</v>
      </c>
      <c r="I824" s="199">
        <v>14000</v>
      </c>
      <c r="J824" s="200" t="s">
        <v>2167</v>
      </c>
      <c r="K824" s="200" t="s">
        <v>3978</v>
      </c>
      <c r="L824" s="201">
        <v>0.4</v>
      </c>
      <c r="M824" s="278" t="s">
        <v>3521</v>
      </c>
      <c r="N824" s="205">
        <v>11666.68</v>
      </c>
      <c r="O824" s="254">
        <v>11666.68</v>
      </c>
      <c r="P824" s="254">
        <v>9333.34</v>
      </c>
      <c r="Q824" s="254">
        <v>9333.34</v>
      </c>
      <c r="R824" s="1262" t="s">
        <v>3726</v>
      </c>
      <c r="S824" s="254">
        <v>4666.67</v>
      </c>
      <c r="T824" s="204">
        <v>45016</v>
      </c>
      <c r="U824" s="203"/>
      <c r="V824" s="254"/>
      <c r="W824" s="203"/>
      <c r="X824" s="206"/>
      <c r="Y824" s="203" t="s">
        <v>1077</v>
      </c>
    </row>
    <row r="825" ht="37.5" customHeight="1" spans="1:25">
      <c r="A825" s="192">
        <f t="shared" si="23"/>
        <v>817</v>
      </c>
      <c r="B825" s="208">
        <v>2023</v>
      </c>
      <c r="C825" s="193" t="s">
        <v>37</v>
      </c>
      <c r="D825" s="277" t="s">
        <v>3887</v>
      </c>
      <c r="E825" s="195" t="s">
        <v>3979</v>
      </c>
      <c r="F825" s="196" t="s">
        <v>2073</v>
      </c>
      <c r="G825" s="197" t="s">
        <v>3239</v>
      </c>
      <c r="H825" s="198">
        <v>0.8</v>
      </c>
      <c r="I825" s="199">
        <v>13000</v>
      </c>
      <c r="J825" s="200" t="s">
        <v>2167</v>
      </c>
      <c r="K825" s="200" t="s">
        <v>3978</v>
      </c>
      <c r="L825" s="201">
        <v>0.4</v>
      </c>
      <c r="M825" s="278" t="s">
        <v>3889</v>
      </c>
      <c r="N825" s="205">
        <v>10166.7</v>
      </c>
      <c r="O825" s="254">
        <v>10166.7</v>
      </c>
      <c r="P825" s="254">
        <v>8133.36</v>
      </c>
      <c r="Q825" s="254">
        <v>8133.36</v>
      </c>
      <c r="R825" s="1262" t="s">
        <v>3726</v>
      </c>
      <c r="S825" s="254">
        <v>4066.68</v>
      </c>
      <c r="T825" s="204">
        <v>45016</v>
      </c>
      <c r="U825" s="203"/>
      <c r="V825" s="254"/>
      <c r="W825" s="203"/>
      <c r="X825" s="206"/>
      <c r="Y825" s="203" t="s">
        <v>1077</v>
      </c>
    </row>
    <row r="826" ht="37.5" customHeight="1" spans="1:25">
      <c r="A826" s="192">
        <f t="shared" si="23"/>
        <v>818</v>
      </c>
      <c r="B826" s="208">
        <v>2023</v>
      </c>
      <c r="C826" s="193" t="s">
        <v>37</v>
      </c>
      <c r="D826" s="277" t="s">
        <v>3328</v>
      </c>
      <c r="E826" s="195" t="s">
        <v>3980</v>
      </c>
      <c r="F826" s="196" t="s">
        <v>2073</v>
      </c>
      <c r="G826" s="197" t="s">
        <v>3239</v>
      </c>
      <c r="H826" s="198">
        <v>0.8</v>
      </c>
      <c r="I826" s="199">
        <v>11870.83</v>
      </c>
      <c r="J826" s="200" t="s">
        <v>2351</v>
      </c>
      <c r="K826" s="200" t="s">
        <v>3981</v>
      </c>
      <c r="L826" s="201">
        <v>0.4</v>
      </c>
      <c r="M826" s="278" t="s">
        <v>2446</v>
      </c>
      <c r="N826" s="205">
        <v>4000</v>
      </c>
      <c r="O826" s="254">
        <v>4000</v>
      </c>
      <c r="P826" s="254">
        <v>3200</v>
      </c>
      <c r="Q826" s="254">
        <v>3200</v>
      </c>
      <c r="R826" s="1262" t="s">
        <v>3726</v>
      </c>
      <c r="S826" s="254">
        <v>1600</v>
      </c>
      <c r="T826" s="204">
        <v>45016</v>
      </c>
      <c r="U826" s="203"/>
      <c r="V826" s="254"/>
      <c r="W826" s="203"/>
      <c r="X826" s="206"/>
      <c r="Y826" s="203" t="s">
        <v>1077</v>
      </c>
    </row>
    <row r="827" ht="37.5" customHeight="1" spans="1:25">
      <c r="A827" s="192">
        <f t="shared" si="23"/>
        <v>819</v>
      </c>
      <c r="B827" s="208">
        <v>2023</v>
      </c>
      <c r="C827" s="193" t="s">
        <v>37</v>
      </c>
      <c r="D827" s="277" t="s">
        <v>3982</v>
      </c>
      <c r="E827" s="195" t="s">
        <v>3983</v>
      </c>
      <c r="F827" s="196" t="s">
        <v>2073</v>
      </c>
      <c r="G827" s="197" t="s">
        <v>3239</v>
      </c>
      <c r="H827" s="198">
        <v>0.8</v>
      </c>
      <c r="I827" s="199">
        <v>151150</v>
      </c>
      <c r="J827" s="200" t="s">
        <v>2349</v>
      </c>
      <c r="K827" s="200" t="s">
        <v>2350</v>
      </c>
      <c r="L827" s="201">
        <v>0.4</v>
      </c>
      <c r="M827" s="278" t="s">
        <v>3825</v>
      </c>
      <c r="N827" s="205">
        <v>6666.72</v>
      </c>
      <c r="O827" s="254">
        <v>6666.72</v>
      </c>
      <c r="P827" s="254">
        <v>5333.38</v>
      </c>
      <c r="Q827" s="254">
        <v>5333.38</v>
      </c>
      <c r="R827" s="1262" t="s">
        <v>2107</v>
      </c>
      <c r="S827" s="254">
        <v>2666.69</v>
      </c>
      <c r="T827" s="204">
        <v>45035</v>
      </c>
      <c r="U827" s="1262" t="s">
        <v>2364</v>
      </c>
      <c r="V827" s="254">
        <v>1333.34</v>
      </c>
      <c r="W827" s="1262" t="s">
        <v>2228</v>
      </c>
      <c r="X827" s="206">
        <v>1333.34</v>
      </c>
      <c r="Y827" s="192"/>
    </row>
    <row r="828" ht="37.5" customHeight="1" spans="1:25">
      <c r="A828" s="192">
        <f t="shared" si="23"/>
        <v>820</v>
      </c>
      <c r="B828" s="208">
        <v>2023</v>
      </c>
      <c r="C828" s="193" t="s">
        <v>37</v>
      </c>
      <c r="D828" s="277" t="s">
        <v>3984</v>
      </c>
      <c r="E828" s="195" t="s">
        <v>3985</v>
      </c>
      <c r="F828" s="196" t="s">
        <v>2073</v>
      </c>
      <c r="G828" s="197" t="s">
        <v>3239</v>
      </c>
      <c r="H828" s="198">
        <v>0.8</v>
      </c>
      <c r="I828" s="199">
        <v>55000</v>
      </c>
      <c r="J828" s="200" t="s">
        <v>2220</v>
      </c>
      <c r="K828" s="200" t="s">
        <v>2221</v>
      </c>
      <c r="L828" s="201">
        <v>0.4</v>
      </c>
      <c r="M828" s="278" t="s">
        <v>3897</v>
      </c>
      <c r="N828" s="205">
        <v>12155.35</v>
      </c>
      <c r="O828" s="254">
        <v>12155.35</v>
      </c>
      <c r="P828" s="254">
        <v>9724.28</v>
      </c>
      <c r="Q828" s="254">
        <v>9724.28</v>
      </c>
      <c r="R828" s="1262" t="s">
        <v>2107</v>
      </c>
      <c r="S828" s="254">
        <v>4862.14</v>
      </c>
      <c r="T828" s="204">
        <v>45035</v>
      </c>
      <c r="U828" s="1262" t="s">
        <v>2364</v>
      </c>
      <c r="V828" s="254">
        <v>2431.07</v>
      </c>
      <c r="W828" s="1262" t="s">
        <v>2228</v>
      </c>
      <c r="X828" s="258">
        <v>2431.07</v>
      </c>
      <c r="Y828" s="192"/>
    </row>
    <row r="829" ht="37.5" customHeight="1" spans="1:25">
      <c r="A829" s="192">
        <f t="shared" si="23"/>
        <v>821</v>
      </c>
      <c r="B829" s="208">
        <v>2023</v>
      </c>
      <c r="C829" s="193" t="s">
        <v>37</v>
      </c>
      <c r="D829" s="277" t="s">
        <v>3986</v>
      </c>
      <c r="E829" s="195" t="s">
        <v>3987</v>
      </c>
      <c r="F829" s="196" t="s">
        <v>2073</v>
      </c>
      <c r="G829" s="197" t="s">
        <v>3239</v>
      </c>
      <c r="H829" s="198">
        <v>0.8</v>
      </c>
      <c r="I829" s="199">
        <v>50060</v>
      </c>
      <c r="J829" s="200" t="s">
        <v>2345</v>
      </c>
      <c r="K829" s="200" t="s">
        <v>2346</v>
      </c>
      <c r="L829" s="201">
        <v>0.4</v>
      </c>
      <c r="M829" s="278" t="s">
        <v>2292</v>
      </c>
      <c r="N829" s="205">
        <v>9663.5</v>
      </c>
      <c r="O829" s="254">
        <v>9663.5</v>
      </c>
      <c r="P829" s="254">
        <v>7730.8</v>
      </c>
      <c r="Q829" s="254">
        <v>7730.8</v>
      </c>
      <c r="R829" s="1262" t="s">
        <v>2107</v>
      </c>
      <c r="S829" s="254">
        <v>3865.4</v>
      </c>
      <c r="T829" s="204">
        <v>45035</v>
      </c>
      <c r="U829" s="1262" t="s">
        <v>2364</v>
      </c>
      <c r="V829" s="254">
        <v>1932.7</v>
      </c>
      <c r="W829" s="1262" t="s">
        <v>2228</v>
      </c>
      <c r="X829" s="258">
        <v>1932.7</v>
      </c>
      <c r="Y829" s="192"/>
    </row>
    <row r="830" ht="37.5" customHeight="1" spans="1:25">
      <c r="A830" s="192">
        <f t="shared" si="23"/>
        <v>822</v>
      </c>
      <c r="B830" s="208">
        <v>2023</v>
      </c>
      <c r="C830" s="193" t="s">
        <v>37</v>
      </c>
      <c r="D830" s="277" t="s">
        <v>3988</v>
      </c>
      <c r="E830" s="195" t="s">
        <v>3989</v>
      </c>
      <c r="F830" s="196" t="s">
        <v>2073</v>
      </c>
      <c r="G830" s="197" t="s">
        <v>3239</v>
      </c>
      <c r="H830" s="198">
        <v>0.8</v>
      </c>
      <c r="I830" s="199">
        <v>130000</v>
      </c>
      <c r="J830" s="200" t="s">
        <v>2317</v>
      </c>
      <c r="K830" s="200" t="s">
        <v>2318</v>
      </c>
      <c r="L830" s="201">
        <v>0.4</v>
      </c>
      <c r="M830" s="278" t="s">
        <v>3233</v>
      </c>
      <c r="N830" s="205">
        <v>22500.03</v>
      </c>
      <c r="O830" s="254">
        <v>22500.03</v>
      </c>
      <c r="P830" s="254">
        <v>18000.02</v>
      </c>
      <c r="Q830" s="254">
        <v>18000.02</v>
      </c>
      <c r="R830" s="1262" t="s">
        <v>2107</v>
      </c>
      <c r="S830" s="254">
        <v>9000.01</v>
      </c>
      <c r="T830" s="204">
        <v>45035</v>
      </c>
      <c r="U830" s="1262" t="s">
        <v>2364</v>
      </c>
      <c r="V830" s="254">
        <v>4500.01</v>
      </c>
      <c r="W830" s="1262" t="s">
        <v>2228</v>
      </c>
      <c r="X830" s="258">
        <v>4500.01</v>
      </c>
      <c r="Y830" s="192"/>
    </row>
    <row r="831" ht="37.5" customHeight="1" spans="1:25">
      <c r="A831" s="192">
        <f t="shared" si="23"/>
        <v>823</v>
      </c>
      <c r="B831" s="208">
        <v>2023</v>
      </c>
      <c r="C831" s="193" t="s">
        <v>37</v>
      </c>
      <c r="D831" s="277" t="s">
        <v>3990</v>
      </c>
      <c r="E831" s="195" t="s">
        <v>3991</v>
      </c>
      <c r="F831" s="196" t="s">
        <v>2073</v>
      </c>
      <c r="G831" s="197" t="s">
        <v>3239</v>
      </c>
      <c r="H831" s="198">
        <v>0.8</v>
      </c>
      <c r="I831" s="199">
        <v>20000</v>
      </c>
      <c r="J831" s="200" t="s">
        <v>2284</v>
      </c>
      <c r="K831" s="200" t="s">
        <v>2520</v>
      </c>
      <c r="L831" s="201">
        <v>0.4</v>
      </c>
      <c r="M831" s="278" t="s">
        <v>2654</v>
      </c>
      <c r="N831" s="205">
        <v>1300</v>
      </c>
      <c r="O831" s="254">
        <v>1300</v>
      </c>
      <c r="P831" s="254">
        <v>1040</v>
      </c>
      <c r="Q831" s="254">
        <v>1040</v>
      </c>
      <c r="R831" s="1262" t="s">
        <v>2107</v>
      </c>
      <c r="S831" s="254">
        <v>520</v>
      </c>
      <c r="T831" s="204">
        <v>45035</v>
      </c>
      <c r="U831" s="1262" t="s">
        <v>2364</v>
      </c>
      <c r="V831" s="254">
        <v>260</v>
      </c>
      <c r="W831" s="1262" t="s">
        <v>2228</v>
      </c>
      <c r="X831" s="258">
        <v>260</v>
      </c>
      <c r="Y831" s="192"/>
    </row>
    <row r="832" ht="37.5" customHeight="1" spans="1:25">
      <c r="A832" s="192">
        <f t="shared" si="23"/>
        <v>824</v>
      </c>
      <c r="B832" s="208">
        <v>2023</v>
      </c>
      <c r="C832" s="193" t="s">
        <v>37</v>
      </c>
      <c r="D832" s="277" t="s">
        <v>3992</v>
      </c>
      <c r="E832" s="195" t="s">
        <v>3993</v>
      </c>
      <c r="F832" s="196" t="s">
        <v>2073</v>
      </c>
      <c r="G832" s="197" t="s">
        <v>3239</v>
      </c>
      <c r="H832" s="198">
        <v>0.8</v>
      </c>
      <c r="I832" s="199">
        <v>171622</v>
      </c>
      <c r="J832" s="200" t="s">
        <v>2203</v>
      </c>
      <c r="K832" s="200" t="s">
        <v>2204</v>
      </c>
      <c r="L832" s="201">
        <v>0.4</v>
      </c>
      <c r="M832" s="278" t="s">
        <v>3994</v>
      </c>
      <c r="N832" s="205">
        <v>100000</v>
      </c>
      <c r="O832" s="254">
        <v>100000</v>
      </c>
      <c r="P832" s="254">
        <v>80000</v>
      </c>
      <c r="Q832" s="254">
        <v>80000</v>
      </c>
      <c r="R832" s="1262" t="s">
        <v>2107</v>
      </c>
      <c r="S832" s="254">
        <v>40000</v>
      </c>
      <c r="T832" s="204">
        <v>45035</v>
      </c>
      <c r="U832" s="1262" t="s">
        <v>2364</v>
      </c>
      <c r="V832" s="254">
        <v>20000</v>
      </c>
      <c r="W832" s="1262" t="s">
        <v>2228</v>
      </c>
      <c r="X832" s="258">
        <v>20000</v>
      </c>
      <c r="Y832" s="192"/>
    </row>
    <row r="833" ht="37.5" customHeight="1" spans="1:25">
      <c r="A833" s="192">
        <f t="shared" si="23"/>
        <v>825</v>
      </c>
      <c r="B833" s="208">
        <v>2023</v>
      </c>
      <c r="C833" s="193" t="s">
        <v>37</v>
      </c>
      <c r="D833" s="277" t="s">
        <v>3995</v>
      </c>
      <c r="E833" s="195" t="s">
        <v>3996</v>
      </c>
      <c r="F833" s="196" t="s">
        <v>2073</v>
      </c>
      <c r="G833" s="197" t="s">
        <v>3239</v>
      </c>
      <c r="H833" s="198">
        <v>0.8</v>
      </c>
      <c r="I833" s="199">
        <v>130020</v>
      </c>
      <c r="J833" s="200" t="s">
        <v>2302</v>
      </c>
      <c r="K833" s="200" t="s">
        <v>2303</v>
      </c>
      <c r="L833" s="201">
        <v>0.4</v>
      </c>
      <c r="M833" s="278" t="s">
        <v>2292</v>
      </c>
      <c r="N833" s="205">
        <v>21484</v>
      </c>
      <c r="O833" s="254">
        <v>21484</v>
      </c>
      <c r="P833" s="254">
        <v>17187.2</v>
      </c>
      <c r="Q833" s="254">
        <v>17187.2</v>
      </c>
      <c r="R833" s="1262" t="s">
        <v>2107</v>
      </c>
      <c r="S833" s="254">
        <v>8593.6</v>
      </c>
      <c r="T833" s="204">
        <v>45035</v>
      </c>
      <c r="U833" s="1262" t="s">
        <v>2364</v>
      </c>
      <c r="V833" s="254">
        <v>4296.8</v>
      </c>
      <c r="W833" s="1262" t="s">
        <v>2228</v>
      </c>
      <c r="X833" s="258">
        <v>4296.8</v>
      </c>
      <c r="Y833" s="192"/>
    </row>
    <row r="834" ht="37.5" customHeight="1" spans="1:25">
      <c r="A834" s="192">
        <f t="shared" si="23"/>
        <v>826</v>
      </c>
      <c r="B834" s="208">
        <v>2023</v>
      </c>
      <c r="C834" s="193" t="s">
        <v>37</v>
      </c>
      <c r="D834" s="277" t="s">
        <v>3997</v>
      </c>
      <c r="E834" s="195" t="s">
        <v>3998</v>
      </c>
      <c r="F834" s="196" t="s">
        <v>2073</v>
      </c>
      <c r="G834" s="197" t="s">
        <v>3239</v>
      </c>
      <c r="H834" s="198">
        <v>0.8</v>
      </c>
      <c r="I834" s="199">
        <v>45060</v>
      </c>
      <c r="J834" s="200" t="s">
        <v>2195</v>
      </c>
      <c r="K834" s="200" t="s">
        <v>2196</v>
      </c>
      <c r="L834" s="201">
        <v>0.4</v>
      </c>
      <c r="M834" s="278" t="s">
        <v>3999</v>
      </c>
      <c r="N834" s="205">
        <v>3284.72</v>
      </c>
      <c r="O834" s="254">
        <v>3284.72</v>
      </c>
      <c r="P834" s="254">
        <v>2627.78</v>
      </c>
      <c r="Q834" s="254">
        <v>2627.78</v>
      </c>
      <c r="R834" s="1262" t="s">
        <v>2107</v>
      </c>
      <c r="S834" s="254">
        <v>1313.89</v>
      </c>
      <c r="T834" s="204">
        <v>45035</v>
      </c>
      <c r="U834" s="1262" t="s">
        <v>2364</v>
      </c>
      <c r="V834" s="254">
        <v>656.94</v>
      </c>
      <c r="W834" s="1262" t="s">
        <v>2228</v>
      </c>
      <c r="X834" s="258">
        <v>656.94</v>
      </c>
      <c r="Y834" s="192"/>
    </row>
    <row r="835" ht="37.5" customHeight="1" spans="1:25">
      <c r="A835" s="192">
        <f t="shared" si="23"/>
        <v>827</v>
      </c>
      <c r="B835" s="208">
        <v>2023</v>
      </c>
      <c r="C835" s="193" t="s">
        <v>37</v>
      </c>
      <c r="D835" s="277" t="s">
        <v>4000</v>
      </c>
      <c r="E835" s="195" t="s">
        <v>4001</v>
      </c>
      <c r="F835" s="196" t="s">
        <v>2073</v>
      </c>
      <c r="G835" s="197" t="s">
        <v>3239</v>
      </c>
      <c r="H835" s="198">
        <v>0.8</v>
      </c>
      <c r="I835" s="199">
        <v>10000</v>
      </c>
      <c r="J835" s="200" t="s">
        <v>2195</v>
      </c>
      <c r="K835" s="200" t="s">
        <v>2196</v>
      </c>
      <c r="L835" s="201">
        <v>0.4</v>
      </c>
      <c r="M835" s="278" t="s">
        <v>2652</v>
      </c>
      <c r="N835" s="205">
        <v>500.06</v>
      </c>
      <c r="O835" s="254">
        <v>500.06</v>
      </c>
      <c r="P835" s="254">
        <v>400.05</v>
      </c>
      <c r="Q835" s="254">
        <v>400.05</v>
      </c>
      <c r="R835" s="1262" t="s">
        <v>2107</v>
      </c>
      <c r="S835" s="254">
        <v>200.02</v>
      </c>
      <c r="T835" s="204">
        <v>45035</v>
      </c>
      <c r="U835" s="1262" t="s">
        <v>2364</v>
      </c>
      <c r="V835" s="254">
        <v>100.01</v>
      </c>
      <c r="W835" s="1262" t="s">
        <v>2228</v>
      </c>
      <c r="X835" s="258">
        <v>100.01</v>
      </c>
      <c r="Y835" s="192"/>
    </row>
    <row r="836" ht="37.5" customHeight="1" spans="1:25">
      <c r="A836" s="192">
        <f t="shared" si="23"/>
        <v>828</v>
      </c>
      <c r="B836" s="208">
        <v>2023</v>
      </c>
      <c r="C836" s="193" t="s">
        <v>37</v>
      </c>
      <c r="D836" s="277" t="s">
        <v>4002</v>
      </c>
      <c r="E836" s="195" t="s">
        <v>4003</v>
      </c>
      <c r="F836" s="196" t="s">
        <v>2073</v>
      </c>
      <c r="G836" s="197" t="s">
        <v>3239</v>
      </c>
      <c r="H836" s="198">
        <v>0.8</v>
      </c>
      <c r="I836" s="199">
        <v>110070</v>
      </c>
      <c r="J836" s="200" t="s">
        <v>2354</v>
      </c>
      <c r="K836" s="200" t="s">
        <v>2355</v>
      </c>
      <c r="L836" s="201">
        <v>0.4</v>
      </c>
      <c r="M836" s="278" t="s">
        <v>4004</v>
      </c>
      <c r="N836" s="205">
        <v>50000</v>
      </c>
      <c r="O836" s="254">
        <v>50000</v>
      </c>
      <c r="P836" s="254">
        <v>40000</v>
      </c>
      <c r="Q836" s="254">
        <v>40000</v>
      </c>
      <c r="R836" s="1262" t="s">
        <v>2107</v>
      </c>
      <c r="S836" s="254">
        <v>20000</v>
      </c>
      <c r="T836" s="204">
        <v>45035</v>
      </c>
      <c r="U836" s="1262" t="s">
        <v>2364</v>
      </c>
      <c r="V836" s="254">
        <v>10000</v>
      </c>
      <c r="W836" s="1262" t="s">
        <v>2228</v>
      </c>
      <c r="X836" s="258">
        <v>10000</v>
      </c>
      <c r="Y836" s="192"/>
    </row>
    <row r="837" ht="37.5" customHeight="1" spans="1:25">
      <c r="A837" s="192">
        <f t="shared" si="23"/>
        <v>829</v>
      </c>
      <c r="B837" s="208">
        <v>2023</v>
      </c>
      <c r="C837" s="193" t="s">
        <v>37</v>
      </c>
      <c r="D837" s="277" t="s">
        <v>4005</v>
      </c>
      <c r="E837" s="195" t="s">
        <v>4006</v>
      </c>
      <c r="F837" s="196" t="s">
        <v>2073</v>
      </c>
      <c r="G837" s="197" t="s">
        <v>3239</v>
      </c>
      <c r="H837" s="198">
        <v>0.8</v>
      </c>
      <c r="I837" s="199">
        <v>99980</v>
      </c>
      <c r="J837" s="200" t="s">
        <v>1845</v>
      </c>
      <c r="K837" s="200" t="s">
        <v>2257</v>
      </c>
      <c r="L837" s="201">
        <v>0.4</v>
      </c>
      <c r="M837" s="278" t="s">
        <v>3825</v>
      </c>
      <c r="N837" s="205">
        <v>9899.82</v>
      </c>
      <c r="O837" s="254">
        <v>9899.82</v>
      </c>
      <c r="P837" s="254">
        <v>7919.86</v>
      </c>
      <c r="Q837" s="254">
        <v>7919.86</v>
      </c>
      <c r="R837" s="1262" t="s">
        <v>2107</v>
      </c>
      <c r="S837" s="254">
        <v>3959.93</v>
      </c>
      <c r="T837" s="204">
        <v>45035</v>
      </c>
      <c r="U837" s="1262" t="s">
        <v>2364</v>
      </c>
      <c r="V837" s="254">
        <v>1979.96</v>
      </c>
      <c r="W837" s="1262" t="s">
        <v>2228</v>
      </c>
      <c r="X837" s="258">
        <v>1979.96</v>
      </c>
      <c r="Y837" s="192"/>
    </row>
    <row r="838" ht="37.5" customHeight="1" spans="1:25">
      <c r="A838" s="192">
        <f t="shared" si="23"/>
        <v>830</v>
      </c>
      <c r="B838" s="208">
        <v>2023</v>
      </c>
      <c r="C838" s="193" t="s">
        <v>37</v>
      </c>
      <c r="D838" s="277" t="s">
        <v>4007</v>
      </c>
      <c r="E838" s="195" t="s">
        <v>4008</v>
      </c>
      <c r="F838" s="196" t="s">
        <v>2073</v>
      </c>
      <c r="G838" s="197" t="s">
        <v>3239</v>
      </c>
      <c r="H838" s="198">
        <v>0.8</v>
      </c>
      <c r="I838" s="199">
        <v>259670</v>
      </c>
      <c r="J838" s="200" t="s">
        <v>1939</v>
      </c>
      <c r="K838" s="200" t="s">
        <v>2241</v>
      </c>
      <c r="L838" s="201">
        <v>0.4</v>
      </c>
      <c r="M838" s="278" t="s">
        <v>4004</v>
      </c>
      <c r="N838" s="205">
        <v>20000</v>
      </c>
      <c r="O838" s="254">
        <v>20000</v>
      </c>
      <c r="P838" s="254">
        <v>16000</v>
      </c>
      <c r="Q838" s="254">
        <v>16000</v>
      </c>
      <c r="R838" s="1262" t="s">
        <v>2107</v>
      </c>
      <c r="S838" s="254">
        <v>8000</v>
      </c>
      <c r="T838" s="204">
        <v>45035</v>
      </c>
      <c r="U838" s="1262" t="s">
        <v>2364</v>
      </c>
      <c r="V838" s="254">
        <v>4000</v>
      </c>
      <c r="W838" s="1262" t="s">
        <v>2228</v>
      </c>
      <c r="X838" s="258">
        <v>4000</v>
      </c>
      <c r="Y838" s="192"/>
    </row>
    <row r="839" ht="37.5" customHeight="1" spans="1:25">
      <c r="A839" s="192">
        <f t="shared" si="23"/>
        <v>831</v>
      </c>
      <c r="B839" s="208">
        <v>2023</v>
      </c>
      <c r="C839" s="193" t="s">
        <v>37</v>
      </c>
      <c r="D839" s="277" t="s">
        <v>4009</v>
      </c>
      <c r="E839" s="195" t="s">
        <v>4010</v>
      </c>
      <c r="F839" s="196" t="s">
        <v>2073</v>
      </c>
      <c r="G839" s="197" t="s">
        <v>3239</v>
      </c>
      <c r="H839" s="198">
        <v>0.8</v>
      </c>
      <c r="I839" s="199">
        <v>40000</v>
      </c>
      <c r="J839" s="200" t="s">
        <v>1894</v>
      </c>
      <c r="K839" s="200" t="s">
        <v>2606</v>
      </c>
      <c r="L839" s="201">
        <v>0.4</v>
      </c>
      <c r="M839" s="278" t="s">
        <v>2653</v>
      </c>
      <c r="N839" s="205">
        <v>3472</v>
      </c>
      <c r="O839" s="254">
        <v>3472</v>
      </c>
      <c r="P839" s="254">
        <v>2777.6</v>
      </c>
      <c r="Q839" s="254">
        <v>2777.6</v>
      </c>
      <c r="R839" s="1262" t="s">
        <v>2107</v>
      </c>
      <c r="S839" s="254">
        <v>1388.8</v>
      </c>
      <c r="T839" s="204">
        <v>45035</v>
      </c>
      <c r="U839" s="1262" t="s">
        <v>2364</v>
      </c>
      <c r="V839" s="254">
        <v>694.4</v>
      </c>
      <c r="W839" s="1262" t="s">
        <v>2228</v>
      </c>
      <c r="X839" s="258">
        <v>694.4</v>
      </c>
      <c r="Y839" s="192"/>
    </row>
    <row r="840" ht="37.5" customHeight="1" spans="1:25">
      <c r="A840" s="192">
        <f t="shared" si="23"/>
        <v>832</v>
      </c>
      <c r="B840" s="208">
        <v>2023</v>
      </c>
      <c r="C840" s="193" t="s">
        <v>37</v>
      </c>
      <c r="D840" s="277" t="s">
        <v>4011</v>
      </c>
      <c r="E840" s="195" t="s">
        <v>4012</v>
      </c>
      <c r="F840" s="196" t="s">
        <v>2073</v>
      </c>
      <c r="G840" s="197" t="s">
        <v>3239</v>
      </c>
      <c r="H840" s="198">
        <v>0.8</v>
      </c>
      <c r="I840" s="199">
        <v>21020</v>
      </c>
      <c r="J840" s="200" t="s">
        <v>3305</v>
      </c>
      <c r="K840" s="200" t="s">
        <v>2609</v>
      </c>
      <c r="L840" s="201">
        <v>0.4</v>
      </c>
      <c r="M840" s="278" t="s">
        <v>3764</v>
      </c>
      <c r="N840" s="205">
        <v>5416.74</v>
      </c>
      <c r="O840" s="254">
        <v>5416.74</v>
      </c>
      <c r="P840" s="254">
        <v>4333.39</v>
      </c>
      <c r="Q840" s="254">
        <v>4333.39</v>
      </c>
      <c r="R840" s="1262" t="s">
        <v>2107</v>
      </c>
      <c r="S840" s="254">
        <v>2166.7</v>
      </c>
      <c r="T840" s="204">
        <v>45035</v>
      </c>
      <c r="U840" s="1262" t="s">
        <v>2364</v>
      </c>
      <c r="V840" s="254">
        <v>1083.35</v>
      </c>
      <c r="W840" s="1262" t="s">
        <v>2228</v>
      </c>
      <c r="X840" s="258">
        <v>1083.35</v>
      </c>
      <c r="Y840" s="192"/>
    </row>
    <row r="841" ht="37.5" customHeight="1" spans="1:25">
      <c r="A841" s="192">
        <f t="shared" si="23"/>
        <v>833</v>
      </c>
      <c r="B841" s="208">
        <v>2023</v>
      </c>
      <c r="C841" s="193" t="s">
        <v>37</v>
      </c>
      <c r="D841" s="277" t="s">
        <v>4013</v>
      </c>
      <c r="E841" s="195" t="s">
        <v>4014</v>
      </c>
      <c r="F841" s="196" t="s">
        <v>2073</v>
      </c>
      <c r="G841" s="197" t="s">
        <v>3239</v>
      </c>
      <c r="H841" s="198">
        <v>0.8</v>
      </c>
      <c r="I841" s="199">
        <v>21000</v>
      </c>
      <c r="J841" s="200" t="s">
        <v>2736</v>
      </c>
      <c r="K841" s="200" t="s">
        <v>2616</v>
      </c>
      <c r="L841" s="201">
        <v>0.4</v>
      </c>
      <c r="M841" s="278" t="s">
        <v>2665</v>
      </c>
      <c r="N841" s="205">
        <v>666.72</v>
      </c>
      <c r="O841" s="254">
        <v>666.72</v>
      </c>
      <c r="P841" s="254">
        <v>533.38</v>
      </c>
      <c r="Q841" s="254">
        <v>533.38</v>
      </c>
      <c r="R841" s="1262" t="s">
        <v>2107</v>
      </c>
      <c r="S841" s="254">
        <v>266.69</v>
      </c>
      <c r="T841" s="204">
        <v>45035</v>
      </c>
      <c r="U841" s="1262" t="s">
        <v>2364</v>
      </c>
      <c r="V841" s="254">
        <v>133.34</v>
      </c>
      <c r="W841" s="1262" t="s">
        <v>2228</v>
      </c>
      <c r="X841" s="258">
        <v>133.34</v>
      </c>
      <c r="Y841" s="192"/>
    </row>
    <row r="842" ht="37.5" customHeight="1" spans="1:25">
      <c r="A842" s="192">
        <f t="shared" si="23"/>
        <v>834</v>
      </c>
      <c r="B842" s="208">
        <v>2023</v>
      </c>
      <c r="C842" s="193" t="s">
        <v>37</v>
      </c>
      <c r="D842" s="277" t="s">
        <v>4015</v>
      </c>
      <c r="E842" s="195" t="s">
        <v>4016</v>
      </c>
      <c r="F842" s="196" t="s">
        <v>2073</v>
      </c>
      <c r="G842" s="197" t="s">
        <v>3239</v>
      </c>
      <c r="H842" s="198">
        <v>0.8</v>
      </c>
      <c r="I842" s="199">
        <v>65050</v>
      </c>
      <c r="J842" s="200" t="s">
        <v>1846</v>
      </c>
      <c r="K842" s="200" t="s">
        <v>2622</v>
      </c>
      <c r="L842" s="201">
        <v>0.4</v>
      </c>
      <c r="M842" s="278" t="s">
        <v>4017</v>
      </c>
      <c r="N842" s="205">
        <v>9333.36</v>
      </c>
      <c r="O842" s="254">
        <v>9333.36</v>
      </c>
      <c r="P842" s="254">
        <v>7466.69</v>
      </c>
      <c r="Q842" s="254">
        <v>7466.69</v>
      </c>
      <c r="R842" s="1262" t="s">
        <v>2107</v>
      </c>
      <c r="S842" s="254">
        <v>3733.34</v>
      </c>
      <c r="T842" s="204">
        <v>45035</v>
      </c>
      <c r="U842" s="1262" t="s">
        <v>2364</v>
      </c>
      <c r="V842" s="254">
        <v>1866.67</v>
      </c>
      <c r="W842" s="1262" t="s">
        <v>2228</v>
      </c>
      <c r="X842" s="258">
        <v>1866.67</v>
      </c>
      <c r="Y842" s="192"/>
    </row>
    <row r="843" ht="37.5" customHeight="1" spans="1:25">
      <c r="A843" s="192">
        <f t="shared" si="23"/>
        <v>835</v>
      </c>
      <c r="B843" s="208">
        <v>2023</v>
      </c>
      <c r="C843" s="193" t="s">
        <v>37</v>
      </c>
      <c r="D843" s="277" t="s">
        <v>4018</v>
      </c>
      <c r="E843" s="195" t="s">
        <v>4019</v>
      </c>
      <c r="F843" s="196" t="s">
        <v>2073</v>
      </c>
      <c r="G843" s="197" t="s">
        <v>3239</v>
      </c>
      <c r="H843" s="198">
        <v>0.8</v>
      </c>
      <c r="I843" s="199">
        <v>36020</v>
      </c>
      <c r="J843" s="200" t="s">
        <v>4020</v>
      </c>
      <c r="K843" s="200" t="s">
        <v>2630</v>
      </c>
      <c r="L843" s="201">
        <v>0.4</v>
      </c>
      <c r="M843" s="278" t="s">
        <v>4021</v>
      </c>
      <c r="N843" s="205">
        <v>2250.03</v>
      </c>
      <c r="O843" s="254">
        <v>2250.03</v>
      </c>
      <c r="P843" s="254">
        <v>1800.02</v>
      </c>
      <c r="Q843" s="254">
        <v>1800.02</v>
      </c>
      <c r="R843" s="1262" t="s">
        <v>2107</v>
      </c>
      <c r="S843" s="254">
        <v>900.01</v>
      </c>
      <c r="T843" s="204">
        <v>45035</v>
      </c>
      <c r="U843" s="1262" t="s">
        <v>2364</v>
      </c>
      <c r="V843" s="254">
        <v>450.01</v>
      </c>
      <c r="W843" s="1262" t="s">
        <v>2228</v>
      </c>
      <c r="X843" s="258">
        <v>450.01</v>
      </c>
      <c r="Y843" s="192"/>
    </row>
    <row r="844" ht="37.5" customHeight="1" spans="1:25">
      <c r="A844" s="192">
        <f t="shared" si="23"/>
        <v>836</v>
      </c>
      <c r="B844" s="208">
        <v>2023</v>
      </c>
      <c r="C844" s="193" t="s">
        <v>37</v>
      </c>
      <c r="D844" s="277" t="s">
        <v>4022</v>
      </c>
      <c r="E844" s="195" t="s">
        <v>4023</v>
      </c>
      <c r="F844" s="196" t="s">
        <v>2073</v>
      </c>
      <c r="G844" s="197" t="s">
        <v>3239</v>
      </c>
      <c r="H844" s="198">
        <v>0.8</v>
      </c>
      <c r="I844" s="199">
        <v>300000</v>
      </c>
      <c r="J844" s="200" t="s">
        <v>1958</v>
      </c>
      <c r="K844" s="200" t="s">
        <v>2360</v>
      </c>
      <c r="L844" s="201">
        <v>0.4</v>
      </c>
      <c r="M844" s="278" t="s">
        <v>2292</v>
      </c>
      <c r="N844" s="205">
        <v>33333.38</v>
      </c>
      <c r="O844" s="254">
        <v>33333.38</v>
      </c>
      <c r="P844" s="254">
        <v>26666.7</v>
      </c>
      <c r="Q844" s="254">
        <v>26666.7</v>
      </c>
      <c r="R844" s="1262" t="s">
        <v>2107</v>
      </c>
      <c r="S844" s="254">
        <v>13333.35</v>
      </c>
      <c r="T844" s="204">
        <v>45035</v>
      </c>
      <c r="U844" s="1262" t="s">
        <v>2364</v>
      </c>
      <c r="V844" s="254">
        <v>6666.68</v>
      </c>
      <c r="W844" s="1262" t="s">
        <v>2228</v>
      </c>
      <c r="X844" s="258">
        <v>6666.68</v>
      </c>
      <c r="Y844" s="192"/>
    </row>
    <row r="845" ht="37.5" customHeight="1" spans="1:25">
      <c r="A845" s="192">
        <f t="shared" si="23"/>
        <v>837</v>
      </c>
      <c r="B845" s="208">
        <v>2023</v>
      </c>
      <c r="C845" s="193" t="s">
        <v>37</v>
      </c>
      <c r="D845" s="277" t="s">
        <v>4024</v>
      </c>
      <c r="E845" s="195" t="s">
        <v>4025</v>
      </c>
      <c r="F845" s="196" t="s">
        <v>2073</v>
      </c>
      <c r="G845" s="197" t="s">
        <v>3239</v>
      </c>
      <c r="H845" s="198">
        <v>0.8</v>
      </c>
      <c r="I845" s="199">
        <v>92390</v>
      </c>
      <c r="J845" s="200" t="s">
        <v>3776</v>
      </c>
      <c r="K845" s="200" t="s">
        <v>3777</v>
      </c>
      <c r="L845" s="201">
        <v>0.4</v>
      </c>
      <c r="M845" s="278" t="s">
        <v>2652</v>
      </c>
      <c r="N845" s="205">
        <v>30000</v>
      </c>
      <c r="O845" s="254">
        <v>30000</v>
      </c>
      <c r="P845" s="254">
        <v>24000</v>
      </c>
      <c r="Q845" s="254">
        <v>24000</v>
      </c>
      <c r="R845" s="1262" t="s">
        <v>2107</v>
      </c>
      <c r="S845" s="254">
        <v>12000</v>
      </c>
      <c r="T845" s="204">
        <v>45035</v>
      </c>
      <c r="U845" s="1262" t="s">
        <v>2364</v>
      </c>
      <c r="V845" s="254">
        <v>6000</v>
      </c>
      <c r="W845" s="1262" t="s">
        <v>2228</v>
      </c>
      <c r="X845" s="258">
        <v>6000</v>
      </c>
      <c r="Y845" s="192"/>
    </row>
    <row r="846" ht="37.5" customHeight="1" spans="1:25">
      <c r="A846" s="192">
        <f t="shared" si="23"/>
        <v>838</v>
      </c>
      <c r="B846" s="208">
        <v>2023</v>
      </c>
      <c r="C846" s="193" t="s">
        <v>37</v>
      </c>
      <c r="D846" s="277" t="s">
        <v>4026</v>
      </c>
      <c r="E846" s="195" t="s">
        <v>4027</v>
      </c>
      <c r="F846" s="196" t="s">
        <v>2073</v>
      </c>
      <c r="G846" s="197" t="s">
        <v>3239</v>
      </c>
      <c r="H846" s="198">
        <v>0.8</v>
      </c>
      <c r="I846" s="199">
        <v>15200</v>
      </c>
      <c r="J846" s="200" t="s">
        <v>2776</v>
      </c>
      <c r="K846" s="200" t="s">
        <v>2777</v>
      </c>
      <c r="L846" s="201">
        <v>0.4</v>
      </c>
      <c r="M846" s="278" t="s">
        <v>2391</v>
      </c>
      <c r="N846" s="205">
        <v>833.38</v>
      </c>
      <c r="O846" s="254">
        <v>833.38</v>
      </c>
      <c r="P846" s="254">
        <v>666.7</v>
      </c>
      <c r="Q846" s="254">
        <v>666.7</v>
      </c>
      <c r="R846" s="1262" t="s">
        <v>2107</v>
      </c>
      <c r="S846" s="254">
        <v>333.35</v>
      </c>
      <c r="T846" s="204">
        <v>45035</v>
      </c>
      <c r="U846" s="1262" t="s">
        <v>2364</v>
      </c>
      <c r="V846" s="254">
        <v>166.68</v>
      </c>
      <c r="W846" s="1262" t="s">
        <v>2228</v>
      </c>
      <c r="X846" s="258">
        <v>166.68</v>
      </c>
      <c r="Y846" s="192"/>
    </row>
    <row r="847" ht="37.5" customHeight="1" spans="1:25">
      <c r="A847" s="192">
        <f t="shared" si="23"/>
        <v>839</v>
      </c>
      <c r="B847" s="208">
        <v>2023</v>
      </c>
      <c r="C847" s="193" t="s">
        <v>37</v>
      </c>
      <c r="D847" s="277" t="s">
        <v>4028</v>
      </c>
      <c r="E847" s="195" t="s">
        <v>4029</v>
      </c>
      <c r="F847" s="196" t="s">
        <v>2073</v>
      </c>
      <c r="G847" s="197" t="s">
        <v>3239</v>
      </c>
      <c r="H847" s="198">
        <v>0.8</v>
      </c>
      <c r="I847" s="199">
        <v>85590</v>
      </c>
      <c r="J847" s="200" t="s">
        <v>2936</v>
      </c>
      <c r="K847" s="200" t="s">
        <v>2937</v>
      </c>
      <c r="L847" s="201">
        <v>0.4</v>
      </c>
      <c r="M847" s="278" t="s">
        <v>4030</v>
      </c>
      <c r="N847" s="205">
        <v>30000.07</v>
      </c>
      <c r="O847" s="254">
        <v>30000.07</v>
      </c>
      <c r="P847" s="254">
        <v>24000.05</v>
      </c>
      <c r="Q847" s="254">
        <v>24000.05</v>
      </c>
      <c r="R847" s="1262" t="s">
        <v>2107</v>
      </c>
      <c r="S847" s="254">
        <v>12000.03</v>
      </c>
      <c r="T847" s="204">
        <v>45035</v>
      </c>
      <c r="U847" s="1262" t="s">
        <v>2364</v>
      </c>
      <c r="V847" s="254">
        <v>6000.01</v>
      </c>
      <c r="W847" s="1262" t="s">
        <v>2228</v>
      </c>
      <c r="X847" s="258">
        <v>6000.01</v>
      </c>
      <c r="Y847" s="192"/>
    </row>
    <row r="848" ht="37.5" customHeight="1" spans="1:25">
      <c r="A848" s="192">
        <f t="shared" si="23"/>
        <v>840</v>
      </c>
      <c r="B848" s="208">
        <v>2023</v>
      </c>
      <c r="C848" s="193" t="s">
        <v>37</v>
      </c>
      <c r="D848" s="277" t="s">
        <v>4031</v>
      </c>
      <c r="E848" s="195" t="s">
        <v>4032</v>
      </c>
      <c r="F848" s="196" t="s">
        <v>2073</v>
      </c>
      <c r="G848" s="197" t="s">
        <v>3239</v>
      </c>
      <c r="H848" s="198">
        <v>0.8</v>
      </c>
      <c r="I848" s="199">
        <v>44060</v>
      </c>
      <c r="J848" s="200" t="s">
        <v>3056</v>
      </c>
      <c r="K848" s="200" t="s">
        <v>3057</v>
      </c>
      <c r="L848" s="201">
        <v>0.4</v>
      </c>
      <c r="M848" s="278" t="s">
        <v>3999</v>
      </c>
      <c r="N848" s="205">
        <v>1547.72</v>
      </c>
      <c r="O848" s="254">
        <v>1547.72</v>
      </c>
      <c r="P848" s="254">
        <v>1238.18</v>
      </c>
      <c r="Q848" s="254">
        <v>1238.18</v>
      </c>
      <c r="R848" s="1262" t="s">
        <v>2107</v>
      </c>
      <c r="S848" s="254">
        <v>619.09</v>
      </c>
      <c r="T848" s="204">
        <v>45035</v>
      </c>
      <c r="U848" s="1262" t="s">
        <v>2364</v>
      </c>
      <c r="V848" s="254">
        <v>309.54</v>
      </c>
      <c r="W848" s="1262" t="s">
        <v>2228</v>
      </c>
      <c r="X848" s="258">
        <v>309.54</v>
      </c>
      <c r="Y848" s="192"/>
    </row>
    <row r="849" ht="37.5" customHeight="1" spans="1:25">
      <c r="A849" s="192">
        <f t="shared" si="23"/>
        <v>841</v>
      </c>
      <c r="B849" s="208">
        <v>2023</v>
      </c>
      <c r="C849" s="193" t="s">
        <v>37</v>
      </c>
      <c r="D849" s="277" t="s">
        <v>4033</v>
      </c>
      <c r="E849" s="195" t="s">
        <v>4034</v>
      </c>
      <c r="F849" s="196" t="s">
        <v>2073</v>
      </c>
      <c r="G849" s="197" t="s">
        <v>3239</v>
      </c>
      <c r="H849" s="198">
        <v>0.8</v>
      </c>
      <c r="I849" s="199">
        <v>18100</v>
      </c>
      <c r="J849" s="200" t="s">
        <v>3509</v>
      </c>
      <c r="K849" s="200" t="s">
        <v>3510</v>
      </c>
      <c r="L849" s="201">
        <v>0.4</v>
      </c>
      <c r="M849" s="278" t="s">
        <v>2666</v>
      </c>
      <c r="N849" s="205">
        <v>2872.86</v>
      </c>
      <c r="O849" s="254">
        <v>2872.86</v>
      </c>
      <c r="P849" s="254">
        <v>2298.29</v>
      </c>
      <c r="Q849" s="254">
        <v>2298.29</v>
      </c>
      <c r="R849" s="1262" t="s">
        <v>2107</v>
      </c>
      <c r="S849" s="254">
        <v>1149.14</v>
      </c>
      <c r="T849" s="204">
        <v>45035</v>
      </c>
      <c r="U849" s="1262" t="s">
        <v>2364</v>
      </c>
      <c r="V849" s="254">
        <v>574.57</v>
      </c>
      <c r="W849" s="1262" t="s">
        <v>2228</v>
      </c>
      <c r="X849" s="258">
        <v>574.57</v>
      </c>
      <c r="Y849" s="192"/>
    </row>
    <row r="850" ht="37.5" customHeight="1" spans="1:25">
      <c r="A850" s="192">
        <f t="shared" si="23"/>
        <v>842</v>
      </c>
      <c r="B850" s="208">
        <v>2023</v>
      </c>
      <c r="C850" s="193" t="s">
        <v>37</v>
      </c>
      <c r="D850" s="277" t="s">
        <v>4035</v>
      </c>
      <c r="E850" s="195" t="s">
        <v>4036</v>
      </c>
      <c r="F850" s="196" t="s">
        <v>2073</v>
      </c>
      <c r="G850" s="197" t="s">
        <v>3239</v>
      </c>
      <c r="H850" s="198">
        <v>0.8</v>
      </c>
      <c r="I850" s="199">
        <v>50000</v>
      </c>
      <c r="J850" s="200" t="s">
        <v>4037</v>
      </c>
      <c r="K850" s="200" t="s">
        <v>4038</v>
      </c>
      <c r="L850" s="201">
        <v>0.4</v>
      </c>
      <c r="M850" s="278" t="s">
        <v>4039</v>
      </c>
      <c r="N850" s="205">
        <v>20833.3</v>
      </c>
      <c r="O850" s="254">
        <v>20833.3</v>
      </c>
      <c r="P850" s="254">
        <v>16666.64</v>
      </c>
      <c r="Q850" s="254">
        <v>16666.64</v>
      </c>
      <c r="R850" s="1262" t="s">
        <v>2107</v>
      </c>
      <c r="S850" s="254">
        <v>8333.32</v>
      </c>
      <c r="T850" s="204">
        <v>45035</v>
      </c>
      <c r="U850" s="1262" t="s">
        <v>2364</v>
      </c>
      <c r="V850" s="254">
        <v>4166.66</v>
      </c>
      <c r="W850" s="1262" t="s">
        <v>2228</v>
      </c>
      <c r="X850" s="258">
        <v>4166.66</v>
      </c>
      <c r="Y850" s="192"/>
    </row>
    <row r="851" ht="37.5" customHeight="1" spans="1:25">
      <c r="A851" s="192">
        <f t="shared" si="23"/>
        <v>843</v>
      </c>
      <c r="B851" s="208">
        <v>2023</v>
      </c>
      <c r="C851" s="193" t="s">
        <v>37</v>
      </c>
      <c r="D851" s="277" t="s">
        <v>4040</v>
      </c>
      <c r="E851" s="195" t="s">
        <v>4041</v>
      </c>
      <c r="F851" s="196" t="s">
        <v>2073</v>
      </c>
      <c r="G851" s="197" t="s">
        <v>3239</v>
      </c>
      <c r="H851" s="198">
        <v>0.8</v>
      </c>
      <c r="I851" s="199">
        <v>200000</v>
      </c>
      <c r="J851" s="200" t="s">
        <v>1873</v>
      </c>
      <c r="K851" s="200" t="s">
        <v>4042</v>
      </c>
      <c r="L851" s="201">
        <v>0.4</v>
      </c>
      <c r="M851" s="278" t="s">
        <v>3735</v>
      </c>
      <c r="N851" s="205">
        <v>28588.44</v>
      </c>
      <c r="O851" s="254">
        <v>28588.44</v>
      </c>
      <c r="P851" s="254">
        <v>22870.75</v>
      </c>
      <c r="Q851" s="254">
        <v>22870.75</v>
      </c>
      <c r="R851" s="1262" t="s">
        <v>2107</v>
      </c>
      <c r="S851" s="254">
        <v>11435.38</v>
      </c>
      <c r="T851" s="204">
        <v>45035</v>
      </c>
      <c r="U851" s="1262" t="s">
        <v>2364</v>
      </c>
      <c r="V851" s="254">
        <v>5717.69</v>
      </c>
      <c r="W851" s="1262" t="s">
        <v>2228</v>
      </c>
      <c r="X851" s="258">
        <v>5717.69</v>
      </c>
      <c r="Y851" s="192"/>
    </row>
    <row r="852" ht="37.5" customHeight="1" spans="1:25">
      <c r="A852" s="192">
        <f t="shared" si="23"/>
        <v>844</v>
      </c>
      <c r="B852" s="208">
        <v>2023</v>
      </c>
      <c r="C852" s="193" t="s">
        <v>37</v>
      </c>
      <c r="D852" s="277" t="s">
        <v>4043</v>
      </c>
      <c r="E852" s="195" t="s">
        <v>4044</v>
      </c>
      <c r="F852" s="196" t="s">
        <v>2073</v>
      </c>
      <c r="G852" s="197" t="s">
        <v>3239</v>
      </c>
      <c r="H852" s="198">
        <v>0.8</v>
      </c>
      <c r="I852" s="199">
        <v>82832</v>
      </c>
      <c r="J852" s="200" t="s">
        <v>3119</v>
      </c>
      <c r="K852" s="200" t="s">
        <v>3120</v>
      </c>
      <c r="L852" s="201">
        <v>0.4</v>
      </c>
      <c r="M852" s="278" t="s">
        <v>3825</v>
      </c>
      <c r="N852" s="205">
        <v>25000.04</v>
      </c>
      <c r="O852" s="254">
        <v>25000.04</v>
      </c>
      <c r="P852" s="254">
        <v>20000.04</v>
      </c>
      <c r="Q852" s="254">
        <v>20000.04</v>
      </c>
      <c r="R852" s="1262" t="s">
        <v>2107</v>
      </c>
      <c r="S852" s="254">
        <v>10000.02</v>
      </c>
      <c r="T852" s="204">
        <v>45035</v>
      </c>
      <c r="U852" s="1262" t="s">
        <v>2364</v>
      </c>
      <c r="V852" s="254">
        <v>5000.01</v>
      </c>
      <c r="W852" s="1262" t="s">
        <v>2228</v>
      </c>
      <c r="X852" s="258">
        <v>5000.01</v>
      </c>
      <c r="Y852" s="192"/>
    </row>
    <row r="853" ht="37.5" customHeight="1" spans="1:25">
      <c r="A853" s="192">
        <f t="shared" si="23"/>
        <v>845</v>
      </c>
      <c r="B853" s="208">
        <v>2023</v>
      </c>
      <c r="C853" s="193" t="s">
        <v>37</v>
      </c>
      <c r="D853" s="277" t="s">
        <v>4045</v>
      </c>
      <c r="E853" s="195" t="s">
        <v>4046</v>
      </c>
      <c r="F853" s="196" t="s">
        <v>2073</v>
      </c>
      <c r="G853" s="197" t="s">
        <v>3239</v>
      </c>
      <c r="H853" s="198">
        <v>0.8</v>
      </c>
      <c r="I853" s="199">
        <v>40423</v>
      </c>
      <c r="J853" s="200" t="s">
        <v>3119</v>
      </c>
      <c r="K853" s="200" t="s">
        <v>3120</v>
      </c>
      <c r="L853" s="201">
        <v>0.4</v>
      </c>
      <c r="M853" s="278" t="s">
        <v>3825</v>
      </c>
      <c r="N853" s="205">
        <v>20211.52</v>
      </c>
      <c r="O853" s="254">
        <v>20211.52</v>
      </c>
      <c r="P853" s="254">
        <v>16169.22</v>
      </c>
      <c r="Q853" s="254">
        <v>16169.22</v>
      </c>
      <c r="R853" s="1262" t="s">
        <v>2107</v>
      </c>
      <c r="S853" s="254">
        <v>8084.61</v>
      </c>
      <c r="T853" s="204">
        <v>45035</v>
      </c>
      <c r="U853" s="1262" t="s">
        <v>2364</v>
      </c>
      <c r="V853" s="254">
        <v>4042.3</v>
      </c>
      <c r="W853" s="1262" t="s">
        <v>2228</v>
      </c>
      <c r="X853" s="258">
        <v>4042.3</v>
      </c>
      <c r="Y853" s="192"/>
    </row>
    <row r="854" ht="37.5" customHeight="1" spans="1:25">
      <c r="A854" s="192">
        <f t="shared" si="23"/>
        <v>846</v>
      </c>
      <c r="B854" s="208">
        <v>2023</v>
      </c>
      <c r="C854" s="193" t="s">
        <v>37</v>
      </c>
      <c r="D854" s="277" t="s">
        <v>4047</v>
      </c>
      <c r="E854" s="195" t="s">
        <v>4048</v>
      </c>
      <c r="F854" s="196" t="s">
        <v>2073</v>
      </c>
      <c r="G854" s="197" t="s">
        <v>3239</v>
      </c>
      <c r="H854" s="198">
        <v>0.8</v>
      </c>
      <c r="I854" s="199">
        <v>58000</v>
      </c>
      <c r="J854" s="200" t="s">
        <v>3119</v>
      </c>
      <c r="K854" s="200" t="s">
        <v>3120</v>
      </c>
      <c r="L854" s="201">
        <v>0.4</v>
      </c>
      <c r="M854" s="278" t="s">
        <v>1881</v>
      </c>
      <c r="N854" s="205">
        <v>23500.06</v>
      </c>
      <c r="O854" s="254">
        <v>23500.06</v>
      </c>
      <c r="P854" s="254">
        <v>18800.05</v>
      </c>
      <c r="Q854" s="254">
        <v>18800.05</v>
      </c>
      <c r="R854" s="1262" t="s">
        <v>2107</v>
      </c>
      <c r="S854" s="254">
        <v>9400.02</v>
      </c>
      <c r="T854" s="204">
        <v>45035</v>
      </c>
      <c r="U854" s="1262" t="s">
        <v>2364</v>
      </c>
      <c r="V854" s="254">
        <v>4700.01</v>
      </c>
      <c r="W854" s="1262" t="s">
        <v>2228</v>
      </c>
      <c r="X854" s="258">
        <v>4700.01</v>
      </c>
      <c r="Y854" s="192"/>
    </row>
    <row r="855" ht="37.5" customHeight="1" spans="1:25">
      <c r="A855" s="192">
        <f t="shared" si="23"/>
        <v>847</v>
      </c>
      <c r="B855" s="208">
        <v>2023</v>
      </c>
      <c r="C855" s="193" t="s">
        <v>37</v>
      </c>
      <c r="D855" s="277" t="s">
        <v>3732</v>
      </c>
      <c r="E855" s="195" t="s">
        <v>4049</v>
      </c>
      <c r="F855" s="196" t="s">
        <v>2073</v>
      </c>
      <c r="G855" s="197" t="s">
        <v>3239</v>
      </c>
      <c r="H855" s="198">
        <v>0.8</v>
      </c>
      <c r="I855" s="199">
        <v>18514.69</v>
      </c>
      <c r="J855" s="200" t="s">
        <v>2405</v>
      </c>
      <c r="K855" s="200" t="s">
        <v>2731</v>
      </c>
      <c r="L855" s="201">
        <v>0.4</v>
      </c>
      <c r="M855" s="278" t="s">
        <v>3735</v>
      </c>
      <c r="N855" s="205">
        <v>2083.38</v>
      </c>
      <c r="O855" s="254">
        <v>2083.38</v>
      </c>
      <c r="P855" s="254">
        <v>1666.7</v>
      </c>
      <c r="Q855" s="254">
        <v>1666.7</v>
      </c>
      <c r="R855" s="1262" t="s">
        <v>2107</v>
      </c>
      <c r="S855" s="254">
        <v>833.35</v>
      </c>
      <c r="T855" s="204">
        <v>45035</v>
      </c>
      <c r="U855" s="1262" t="s">
        <v>2364</v>
      </c>
      <c r="V855" s="254">
        <v>416.68</v>
      </c>
      <c r="W855" s="1262" t="s">
        <v>2228</v>
      </c>
      <c r="X855" s="258">
        <v>416.68</v>
      </c>
      <c r="Y855" s="192"/>
    </row>
    <row r="856" ht="37.5" customHeight="1" spans="1:25">
      <c r="A856" s="192">
        <f t="shared" si="23"/>
        <v>848</v>
      </c>
      <c r="B856" s="208">
        <v>2023</v>
      </c>
      <c r="C856" s="193" t="s">
        <v>37</v>
      </c>
      <c r="D856" s="277" t="s">
        <v>4050</v>
      </c>
      <c r="E856" s="195" t="s">
        <v>4051</v>
      </c>
      <c r="F856" s="196" t="s">
        <v>2073</v>
      </c>
      <c r="G856" s="197" t="s">
        <v>3239</v>
      </c>
      <c r="H856" s="198">
        <v>0.8</v>
      </c>
      <c r="I856" s="199">
        <v>73812</v>
      </c>
      <c r="J856" s="200" t="s">
        <v>2405</v>
      </c>
      <c r="K856" s="200" t="s">
        <v>2731</v>
      </c>
      <c r="L856" s="201">
        <v>0.4</v>
      </c>
      <c r="M856" s="278" t="s">
        <v>2896</v>
      </c>
      <c r="N856" s="205">
        <v>25500.04</v>
      </c>
      <c r="O856" s="254">
        <v>25500.04</v>
      </c>
      <c r="P856" s="254">
        <v>20400.04</v>
      </c>
      <c r="Q856" s="254">
        <v>20400.04</v>
      </c>
      <c r="R856" s="1262" t="s">
        <v>2107</v>
      </c>
      <c r="S856" s="254">
        <v>10200.02</v>
      </c>
      <c r="T856" s="204">
        <v>45035</v>
      </c>
      <c r="U856" s="1262" t="s">
        <v>2364</v>
      </c>
      <c r="V856" s="254">
        <v>5100.01</v>
      </c>
      <c r="W856" s="1262" t="s">
        <v>2228</v>
      </c>
      <c r="X856" s="258">
        <v>5100.01</v>
      </c>
      <c r="Y856" s="192"/>
    </row>
    <row r="857" ht="37.5" customHeight="1" spans="1:25">
      <c r="A857" s="192">
        <f t="shared" si="23"/>
        <v>849</v>
      </c>
      <c r="B857" s="208">
        <v>2023</v>
      </c>
      <c r="C857" s="193" t="s">
        <v>37</v>
      </c>
      <c r="D857" s="277" t="s">
        <v>4052</v>
      </c>
      <c r="E857" s="195" t="s">
        <v>4053</v>
      </c>
      <c r="F857" s="196" t="s">
        <v>2073</v>
      </c>
      <c r="G857" s="197" t="s">
        <v>3239</v>
      </c>
      <c r="H857" s="198">
        <v>0.8</v>
      </c>
      <c r="I857" s="199">
        <v>21020</v>
      </c>
      <c r="J857" s="200" t="s">
        <v>2908</v>
      </c>
      <c r="K857" s="200" t="s">
        <v>2909</v>
      </c>
      <c r="L857" s="201">
        <v>0.4</v>
      </c>
      <c r="M857" s="278" t="s">
        <v>3764</v>
      </c>
      <c r="N857" s="205">
        <v>15606.27</v>
      </c>
      <c r="O857" s="254">
        <v>15606.27</v>
      </c>
      <c r="P857" s="254">
        <v>12485.02</v>
      </c>
      <c r="Q857" s="254">
        <v>12485.02</v>
      </c>
      <c r="R857" s="1262" t="s">
        <v>2107</v>
      </c>
      <c r="S857" s="254">
        <v>6242.51</v>
      </c>
      <c r="T857" s="204">
        <v>45035</v>
      </c>
      <c r="U857" s="1262" t="s">
        <v>2364</v>
      </c>
      <c r="V857" s="254">
        <v>3121.25</v>
      </c>
      <c r="W857" s="1262" t="s">
        <v>2228</v>
      </c>
      <c r="X857" s="258">
        <v>3121.25</v>
      </c>
      <c r="Y857" s="192"/>
    </row>
    <row r="858" ht="37.5" customHeight="1" spans="1:25">
      <c r="A858" s="192">
        <f t="shared" si="23"/>
        <v>850</v>
      </c>
      <c r="B858" s="208">
        <v>2023</v>
      </c>
      <c r="C858" s="193" t="s">
        <v>37</v>
      </c>
      <c r="D858" s="277" t="s">
        <v>4054</v>
      </c>
      <c r="E858" s="195" t="s">
        <v>4055</v>
      </c>
      <c r="F858" s="196" t="s">
        <v>2073</v>
      </c>
      <c r="G858" s="197" t="s">
        <v>3239</v>
      </c>
      <c r="H858" s="198">
        <v>0.8</v>
      </c>
      <c r="I858" s="199">
        <v>11897.37</v>
      </c>
      <c r="J858" s="200" t="s">
        <v>2039</v>
      </c>
      <c r="K858" s="200" t="s">
        <v>3899</v>
      </c>
      <c r="L858" s="201">
        <v>0.4</v>
      </c>
      <c r="M858" s="278" t="s">
        <v>3817</v>
      </c>
      <c r="N858" s="205">
        <v>2333.36</v>
      </c>
      <c r="O858" s="254">
        <v>2333.36</v>
      </c>
      <c r="P858" s="254">
        <v>1866.69</v>
      </c>
      <c r="Q858" s="254">
        <v>1866.69</v>
      </c>
      <c r="R858" s="1262" t="s">
        <v>2107</v>
      </c>
      <c r="S858" s="254">
        <v>933.34</v>
      </c>
      <c r="T858" s="204">
        <v>45035</v>
      </c>
      <c r="U858" s="1262" t="s">
        <v>2364</v>
      </c>
      <c r="V858" s="254">
        <v>466.67</v>
      </c>
      <c r="W858" s="1262" t="s">
        <v>2228</v>
      </c>
      <c r="X858" s="258">
        <v>466.67</v>
      </c>
      <c r="Y858" s="192"/>
    </row>
    <row r="859" ht="37.5" customHeight="1" spans="1:25">
      <c r="A859" s="192">
        <f t="shared" si="23"/>
        <v>851</v>
      </c>
      <c r="B859" s="208">
        <v>2023</v>
      </c>
      <c r="C859" s="193" t="s">
        <v>37</v>
      </c>
      <c r="D859" s="277" t="s">
        <v>4056</v>
      </c>
      <c r="E859" s="195" t="s">
        <v>4057</v>
      </c>
      <c r="F859" s="196" t="s">
        <v>2073</v>
      </c>
      <c r="G859" s="197" t="s">
        <v>3239</v>
      </c>
      <c r="H859" s="198">
        <v>0.8</v>
      </c>
      <c r="I859" s="199">
        <v>18899.44</v>
      </c>
      <c r="J859" s="200" t="s">
        <v>2039</v>
      </c>
      <c r="K859" s="200" t="s">
        <v>3899</v>
      </c>
      <c r="L859" s="201">
        <v>0.4</v>
      </c>
      <c r="M859" s="278" t="s">
        <v>2391</v>
      </c>
      <c r="N859" s="205">
        <v>882.26</v>
      </c>
      <c r="O859" s="254">
        <v>882.26</v>
      </c>
      <c r="P859" s="254">
        <v>705.81</v>
      </c>
      <c r="Q859" s="254">
        <v>705.81</v>
      </c>
      <c r="R859" s="1262" t="s">
        <v>2107</v>
      </c>
      <c r="S859" s="254">
        <v>352.9</v>
      </c>
      <c r="T859" s="204">
        <v>45035</v>
      </c>
      <c r="U859" s="1262" t="s">
        <v>2364</v>
      </c>
      <c r="V859" s="254">
        <v>176.45</v>
      </c>
      <c r="W859" s="1262" t="s">
        <v>2228</v>
      </c>
      <c r="X859" s="258">
        <v>176.45</v>
      </c>
      <c r="Y859" s="192"/>
    </row>
    <row r="860" ht="37.5" customHeight="1" spans="1:25">
      <c r="A860" s="192">
        <f t="shared" si="23"/>
        <v>852</v>
      </c>
      <c r="B860" s="208">
        <v>2023</v>
      </c>
      <c r="C860" s="193" t="s">
        <v>37</v>
      </c>
      <c r="D860" s="277" t="s">
        <v>3270</v>
      </c>
      <c r="E860" s="195" t="s">
        <v>4058</v>
      </c>
      <c r="F860" s="196" t="s">
        <v>2073</v>
      </c>
      <c r="G860" s="197" t="s">
        <v>3239</v>
      </c>
      <c r="H860" s="198">
        <v>0.8</v>
      </c>
      <c r="I860" s="199">
        <v>15300</v>
      </c>
      <c r="J860" s="200" t="s">
        <v>2178</v>
      </c>
      <c r="K860" s="200" t="s">
        <v>4059</v>
      </c>
      <c r="L860" s="201">
        <v>0.4</v>
      </c>
      <c r="M860" s="278" t="s">
        <v>3808</v>
      </c>
      <c r="N860" s="205">
        <v>10200</v>
      </c>
      <c r="O860" s="254">
        <v>10200</v>
      </c>
      <c r="P860" s="254">
        <v>8160</v>
      </c>
      <c r="Q860" s="254">
        <v>8160</v>
      </c>
      <c r="R860" s="1262" t="s">
        <v>2107</v>
      </c>
      <c r="S860" s="254">
        <v>4080</v>
      </c>
      <c r="T860" s="204">
        <v>45035</v>
      </c>
      <c r="U860" s="1262" t="s">
        <v>2364</v>
      </c>
      <c r="V860" s="254">
        <v>2040</v>
      </c>
      <c r="W860" s="1262" t="s">
        <v>2228</v>
      </c>
      <c r="X860" s="258">
        <v>2040</v>
      </c>
      <c r="Y860" s="192"/>
    </row>
    <row r="861" ht="37.5" customHeight="1" spans="1:25">
      <c r="A861" s="192">
        <f t="shared" si="23"/>
        <v>853</v>
      </c>
      <c r="B861" s="208">
        <v>2023</v>
      </c>
      <c r="C861" s="193" t="s">
        <v>37</v>
      </c>
      <c r="D861" s="277" t="s">
        <v>3970</v>
      </c>
      <c r="E861" s="195" t="s">
        <v>4060</v>
      </c>
      <c r="F861" s="196" t="s">
        <v>2073</v>
      </c>
      <c r="G861" s="197" t="s">
        <v>3239</v>
      </c>
      <c r="H861" s="198">
        <v>0.8</v>
      </c>
      <c r="I861" s="199">
        <v>50000</v>
      </c>
      <c r="J861" s="200" t="s">
        <v>2010</v>
      </c>
      <c r="K861" s="200" t="s">
        <v>3593</v>
      </c>
      <c r="L861" s="201">
        <v>0.4</v>
      </c>
      <c r="M861" s="278" t="s">
        <v>3764</v>
      </c>
      <c r="N861" s="205">
        <v>50000</v>
      </c>
      <c r="O861" s="254">
        <v>50000</v>
      </c>
      <c r="P861" s="254">
        <v>40000</v>
      </c>
      <c r="Q861" s="254">
        <v>40000</v>
      </c>
      <c r="R861" s="1262" t="s">
        <v>2107</v>
      </c>
      <c r="S861" s="254">
        <v>20000</v>
      </c>
      <c r="T861" s="204">
        <v>45035</v>
      </c>
      <c r="U861" s="1262" t="s">
        <v>2364</v>
      </c>
      <c r="V861" s="254">
        <v>10000</v>
      </c>
      <c r="W861" s="1262" t="s">
        <v>2228</v>
      </c>
      <c r="X861" s="258">
        <v>10000</v>
      </c>
      <c r="Y861" s="192"/>
    </row>
    <row r="862" ht="37.5" customHeight="1" spans="1:25">
      <c r="A862" s="192">
        <f t="shared" ref="A862:A925" si="24">ROW()-8</f>
        <v>854</v>
      </c>
      <c r="B862" s="208">
        <v>2023</v>
      </c>
      <c r="C862" s="193" t="s">
        <v>37</v>
      </c>
      <c r="D862" s="277" t="s">
        <v>4061</v>
      </c>
      <c r="E862" s="195" t="s">
        <v>4062</v>
      </c>
      <c r="F862" s="196" t="s">
        <v>2073</v>
      </c>
      <c r="G862" s="197" t="s">
        <v>3239</v>
      </c>
      <c r="H862" s="198">
        <v>0.8</v>
      </c>
      <c r="I862" s="199">
        <v>30000</v>
      </c>
      <c r="J862" s="200" t="s">
        <v>2454</v>
      </c>
      <c r="K862" s="200" t="s">
        <v>3918</v>
      </c>
      <c r="L862" s="201">
        <v>0.4</v>
      </c>
      <c r="M862" s="278" t="s">
        <v>3889</v>
      </c>
      <c r="N862" s="205">
        <v>30000</v>
      </c>
      <c r="O862" s="254">
        <v>30000</v>
      </c>
      <c r="P862" s="254">
        <v>24000</v>
      </c>
      <c r="Q862" s="254">
        <v>24000</v>
      </c>
      <c r="R862" s="1262" t="s">
        <v>2107</v>
      </c>
      <c r="S862" s="254">
        <v>12000</v>
      </c>
      <c r="T862" s="204">
        <v>45035</v>
      </c>
      <c r="U862" s="1262" t="s">
        <v>2364</v>
      </c>
      <c r="V862" s="254">
        <v>6000</v>
      </c>
      <c r="W862" s="1262" t="s">
        <v>2228</v>
      </c>
      <c r="X862" s="258">
        <v>6000</v>
      </c>
      <c r="Y862" s="192"/>
    </row>
    <row r="863" ht="37.5" customHeight="1" spans="1:25">
      <c r="A863" s="192">
        <f t="shared" si="24"/>
        <v>855</v>
      </c>
      <c r="B863" s="208">
        <v>2023</v>
      </c>
      <c r="C863" s="193" t="s">
        <v>37</v>
      </c>
      <c r="D863" s="277" t="s">
        <v>4063</v>
      </c>
      <c r="E863" s="195" t="s">
        <v>4064</v>
      </c>
      <c r="F863" s="196" t="s">
        <v>2073</v>
      </c>
      <c r="G863" s="197" t="s">
        <v>3239</v>
      </c>
      <c r="H863" s="198">
        <v>0.8</v>
      </c>
      <c r="I863" s="199">
        <v>13331.67</v>
      </c>
      <c r="J863" s="200" t="s">
        <v>2390</v>
      </c>
      <c r="K863" s="200" t="s">
        <v>3570</v>
      </c>
      <c r="L863" s="201">
        <v>0.4</v>
      </c>
      <c r="M863" s="278" t="s">
        <v>4065</v>
      </c>
      <c r="N863" s="205">
        <v>1666.68</v>
      </c>
      <c r="O863" s="254">
        <v>1666.68</v>
      </c>
      <c r="P863" s="254">
        <v>1333.34</v>
      </c>
      <c r="Q863" s="254">
        <v>1333.34</v>
      </c>
      <c r="R863" s="1262" t="s">
        <v>2107</v>
      </c>
      <c r="S863" s="254">
        <v>666.67</v>
      </c>
      <c r="T863" s="204">
        <v>45035</v>
      </c>
      <c r="U863" s="1262" t="s">
        <v>2364</v>
      </c>
      <c r="V863" s="254">
        <v>333.34</v>
      </c>
      <c r="W863" s="1262" t="s">
        <v>2228</v>
      </c>
      <c r="X863" s="258">
        <v>333.34</v>
      </c>
      <c r="Y863" s="192"/>
    </row>
    <row r="864" ht="37.5" customHeight="1" spans="1:25">
      <c r="A864" s="192">
        <f t="shared" si="24"/>
        <v>856</v>
      </c>
      <c r="B864" s="208">
        <v>2023</v>
      </c>
      <c r="C864" s="193" t="s">
        <v>37</v>
      </c>
      <c r="D864" s="277" t="s">
        <v>3270</v>
      </c>
      <c r="E864" s="195" t="s">
        <v>4066</v>
      </c>
      <c r="F864" s="196" t="s">
        <v>2073</v>
      </c>
      <c r="G864" s="197" t="s">
        <v>3239</v>
      </c>
      <c r="H864" s="198">
        <v>0.8</v>
      </c>
      <c r="I864" s="199">
        <v>14300</v>
      </c>
      <c r="J864" s="200" t="s">
        <v>2466</v>
      </c>
      <c r="K864" s="200" t="s">
        <v>4067</v>
      </c>
      <c r="L864" s="201">
        <v>0.4</v>
      </c>
      <c r="M864" s="278" t="s">
        <v>3808</v>
      </c>
      <c r="N864" s="205">
        <v>11916.68</v>
      </c>
      <c r="O864" s="254">
        <v>11916.68</v>
      </c>
      <c r="P864" s="254">
        <v>9533.34</v>
      </c>
      <c r="Q864" s="254">
        <v>9533.34</v>
      </c>
      <c r="R864" s="1262" t="s">
        <v>2107</v>
      </c>
      <c r="S864" s="254">
        <v>4766.67</v>
      </c>
      <c r="T864" s="204">
        <v>45035</v>
      </c>
      <c r="U864" s="1262" t="s">
        <v>2364</v>
      </c>
      <c r="V864" s="254">
        <v>2383.34</v>
      </c>
      <c r="W864" s="1262" t="s">
        <v>2228</v>
      </c>
      <c r="X864" s="258">
        <v>2383.34</v>
      </c>
      <c r="Y864" s="192"/>
    </row>
    <row r="865" ht="37.5" customHeight="1" spans="1:25">
      <c r="A865" s="192">
        <f t="shared" si="24"/>
        <v>857</v>
      </c>
      <c r="B865" s="208">
        <v>2023</v>
      </c>
      <c r="C865" s="193" t="s">
        <v>37</v>
      </c>
      <c r="D865" s="277" t="s">
        <v>4068</v>
      </c>
      <c r="E865" s="195" t="s">
        <v>4069</v>
      </c>
      <c r="F865" s="196" t="s">
        <v>2073</v>
      </c>
      <c r="G865" s="197" t="s">
        <v>3239</v>
      </c>
      <c r="H865" s="198">
        <v>0.8</v>
      </c>
      <c r="I865" s="199">
        <v>17197.22</v>
      </c>
      <c r="J865" s="200" t="s">
        <v>2481</v>
      </c>
      <c r="K865" s="200" t="s">
        <v>3924</v>
      </c>
      <c r="L865" s="201">
        <v>0.4</v>
      </c>
      <c r="M865" s="278" t="s">
        <v>4070</v>
      </c>
      <c r="N865" s="205">
        <v>1891.68</v>
      </c>
      <c r="O865" s="254">
        <v>1891.68</v>
      </c>
      <c r="P865" s="254">
        <v>1513.34</v>
      </c>
      <c r="Q865" s="254">
        <v>1513.34</v>
      </c>
      <c r="R865" s="1262" t="s">
        <v>2107</v>
      </c>
      <c r="S865" s="254">
        <v>756.67</v>
      </c>
      <c r="T865" s="204">
        <v>45035</v>
      </c>
      <c r="U865" s="1262" t="s">
        <v>2364</v>
      </c>
      <c r="V865" s="254">
        <v>378.34</v>
      </c>
      <c r="W865" s="1262" t="s">
        <v>2228</v>
      </c>
      <c r="X865" s="258">
        <v>378.34</v>
      </c>
      <c r="Y865" s="192"/>
    </row>
    <row r="866" ht="37.5" customHeight="1" spans="1:25">
      <c r="A866" s="192">
        <f t="shared" si="24"/>
        <v>858</v>
      </c>
      <c r="B866" s="208">
        <v>2023</v>
      </c>
      <c r="C866" s="193" t="s">
        <v>37</v>
      </c>
      <c r="D866" s="277" t="s">
        <v>4043</v>
      </c>
      <c r="E866" s="195" t="s">
        <v>4071</v>
      </c>
      <c r="F866" s="196" t="s">
        <v>2073</v>
      </c>
      <c r="G866" s="197" t="s">
        <v>3239</v>
      </c>
      <c r="H866" s="198">
        <v>0.8</v>
      </c>
      <c r="I866" s="199">
        <v>28800</v>
      </c>
      <c r="J866" s="200" t="s">
        <v>2314</v>
      </c>
      <c r="K866" s="200" t="s">
        <v>2029</v>
      </c>
      <c r="L866" s="201">
        <v>0.4</v>
      </c>
      <c r="M866" s="278" t="s">
        <v>3825</v>
      </c>
      <c r="N866" s="205">
        <v>26400</v>
      </c>
      <c r="O866" s="254">
        <v>26400</v>
      </c>
      <c r="P866" s="254">
        <v>21120</v>
      </c>
      <c r="Q866" s="254">
        <v>21120</v>
      </c>
      <c r="R866" s="1262" t="s">
        <v>2107</v>
      </c>
      <c r="S866" s="254">
        <v>10560</v>
      </c>
      <c r="T866" s="204">
        <v>45035</v>
      </c>
      <c r="U866" s="1262" t="s">
        <v>2364</v>
      </c>
      <c r="V866" s="254">
        <v>5280</v>
      </c>
      <c r="W866" s="1262" t="s">
        <v>2228</v>
      </c>
      <c r="X866" s="258">
        <v>5280</v>
      </c>
      <c r="Y866" s="192"/>
    </row>
    <row r="867" ht="37.5" customHeight="1" spans="1:25">
      <c r="A867" s="192">
        <f t="shared" si="24"/>
        <v>859</v>
      </c>
      <c r="B867" s="208">
        <v>2023</v>
      </c>
      <c r="C867" s="193" t="s">
        <v>37</v>
      </c>
      <c r="D867" s="277" t="s">
        <v>4047</v>
      </c>
      <c r="E867" s="195" t="s">
        <v>4072</v>
      </c>
      <c r="F867" s="196" t="s">
        <v>2073</v>
      </c>
      <c r="G867" s="197" t="s">
        <v>3239</v>
      </c>
      <c r="H867" s="198">
        <v>0.8</v>
      </c>
      <c r="I867" s="199">
        <v>46000</v>
      </c>
      <c r="J867" s="200" t="s">
        <v>2466</v>
      </c>
      <c r="K867" s="200" t="s">
        <v>4067</v>
      </c>
      <c r="L867" s="201">
        <v>0.4</v>
      </c>
      <c r="M867" s="278" t="s">
        <v>3764</v>
      </c>
      <c r="N867" s="205">
        <v>40583.37</v>
      </c>
      <c r="O867" s="254">
        <v>40583.37</v>
      </c>
      <c r="P867" s="254">
        <v>32466.69</v>
      </c>
      <c r="Q867" s="254">
        <v>32466.69</v>
      </c>
      <c r="R867" s="1262" t="s">
        <v>2107</v>
      </c>
      <c r="S867" s="254">
        <v>16233.35</v>
      </c>
      <c r="T867" s="204">
        <v>45035</v>
      </c>
      <c r="U867" s="1262" t="s">
        <v>2364</v>
      </c>
      <c r="V867" s="254">
        <v>8116.67</v>
      </c>
      <c r="W867" s="1262" t="s">
        <v>2228</v>
      </c>
      <c r="X867" s="258">
        <v>8116.67</v>
      </c>
      <c r="Y867" s="192"/>
    </row>
    <row r="868" ht="37.5" customHeight="1" spans="1:25">
      <c r="A868" s="192">
        <f t="shared" si="24"/>
        <v>860</v>
      </c>
      <c r="B868" s="208">
        <v>2023</v>
      </c>
      <c r="C868" s="193" t="s">
        <v>37</v>
      </c>
      <c r="D868" s="277" t="s">
        <v>4073</v>
      </c>
      <c r="E868" s="195" t="s">
        <v>4074</v>
      </c>
      <c r="F868" s="196" t="s">
        <v>2073</v>
      </c>
      <c r="G868" s="197" t="s">
        <v>3239</v>
      </c>
      <c r="H868" s="198">
        <v>0.8</v>
      </c>
      <c r="I868" s="199">
        <v>15504.54</v>
      </c>
      <c r="J868" s="200" t="s">
        <v>2021</v>
      </c>
      <c r="K868" s="200" t="s">
        <v>3932</v>
      </c>
      <c r="L868" s="201">
        <v>0.4</v>
      </c>
      <c r="M868" s="278" t="s">
        <v>3994</v>
      </c>
      <c r="N868" s="205">
        <v>3941.67</v>
      </c>
      <c r="O868" s="254">
        <v>3941.67</v>
      </c>
      <c r="P868" s="254">
        <v>3153.34</v>
      </c>
      <c r="Q868" s="254">
        <v>3153.34</v>
      </c>
      <c r="R868" s="1262" t="s">
        <v>2107</v>
      </c>
      <c r="S868" s="254">
        <v>1576.67</v>
      </c>
      <c r="T868" s="204">
        <v>45035</v>
      </c>
      <c r="U868" s="1262" t="s">
        <v>2364</v>
      </c>
      <c r="V868" s="254">
        <v>788.33</v>
      </c>
      <c r="W868" s="1262" t="s">
        <v>2228</v>
      </c>
      <c r="X868" s="258">
        <v>788.33</v>
      </c>
      <c r="Y868" s="192"/>
    </row>
    <row r="869" ht="37.5" customHeight="1" spans="1:25">
      <c r="A869" s="192">
        <f t="shared" si="24"/>
        <v>861</v>
      </c>
      <c r="B869" s="208">
        <v>2023</v>
      </c>
      <c r="C869" s="193" t="s">
        <v>37</v>
      </c>
      <c r="D869" s="277" t="s">
        <v>4040</v>
      </c>
      <c r="E869" s="195" t="s">
        <v>4075</v>
      </c>
      <c r="F869" s="196" t="s">
        <v>2073</v>
      </c>
      <c r="G869" s="197" t="s">
        <v>3239</v>
      </c>
      <c r="H869" s="198">
        <v>0.8</v>
      </c>
      <c r="I869" s="199">
        <v>50000</v>
      </c>
      <c r="J869" s="200" t="s">
        <v>2559</v>
      </c>
      <c r="K869" s="200" t="s">
        <v>4076</v>
      </c>
      <c r="L869" s="201">
        <v>0.4</v>
      </c>
      <c r="M869" s="278" t="s">
        <v>3735</v>
      </c>
      <c r="N869" s="205">
        <v>33333.34</v>
      </c>
      <c r="O869" s="254">
        <v>33333.34</v>
      </c>
      <c r="P869" s="254">
        <v>26666.67</v>
      </c>
      <c r="Q869" s="254">
        <v>26666.67</v>
      </c>
      <c r="R869" s="1262" t="s">
        <v>2107</v>
      </c>
      <c r="S869" s="254">
        <v>13333.34</v>
      </c>
      <c r="T869" s="204">
        <v>45035</v>
      </c>
      <c r="U869" s="1262" t="s">
        <v>2364</v>
      </c>
      <c r="V869" s="254">
        <v>6666.67</v>
      </c>
      <c r="W869" s="1262" t="s">
        <v>2228</v>
      </c>
      <c r="X869" s="258">
        <v>6666.67</v>
      </c>
      <c r="Y869" s="192"/>
    </row>
    <row r="870" ht="37.5" customHeight="1" spans="1:25">
      <c r="A870" s="192">
        <f t="shared" si="24"/>
        <v>862</v>
      </c>
      <c r="B870" s="208">
        <v>2023</v>
      </c>
      <c r="C870" s="193" t="s">
        <v>37</v>
      </c>
      <c r="D870" s="277" t="s">
        <v>4043</v>
      </c>
      <c r="E870" s="195" t="s">
        <v>4077</v>
      </c>
      <c r="F870" s="196" t="s">
        <v>2073</v>
      </c>
      <c r="G870" s="197" t="s">
        <v>3239</v>
      </c>
      <c r="H870" s="198">
        <v>0.8</v>
      </c>
      <c r="I870" s="199">
        <v>22800</v>
      </c>
      <c r="J870" s="200" t="s">
        <v>2672</v>
      </c>
      <c r="K870" s="200" t="s">
        <v>3934</v>
      </c>
      <c r="L870" s="201">
        <v>0.4</v>
      </c>
      <c r="M870" s="278" t="s">
        <v>3825</v>
      </c>
      <c r="N870" s="205">
        <v>1100</v>
      </c>
      <c r="O870" s="254">
        <v>1100</v>
      </c>
      <c r="P870" s="254">
        <v>880</v>
      </c>
      <c r="Q870" s="254">
        <v>880</v>
      </c>
      <c r="R870" s="1262" t="s">
        <v>2107</v>
      </c>
      <c r="S870" s="254">
        <v>440</v>
      </c>
      <c r="T870" s="204">
        <v>45035</v>
      </c>
      <c r="U870" s="1262" t="s">
        <v>2364</v>
      </c>
      <c r="V870" s="254">
        <v>220</v>
      </c>
      <c r="W870" s="1262" t="s">
        <v>2228</v>
      </c>
      <c r="X870" s="258">
        <v>220</v>
      </c>
      <c r="Y870" s="192"/>
    </row>
    <row r="871" ht="37.5" customHeight="1" spans="1:25">
      <c r="A871" s="192">
        <f t="shared" si="24"/>
        <v>863</v>
      </c>
      <c r="B871" s="208">
        <v>2023</v>
      </c>
      <c r="C871" s="193" t="s">
        <v>37</v>
      </c>
      <c r="D871" s="277" t="s">
        <v>4078</v>
      </c>
      <c r="E871" s="195" t="s">
        <v>4079</v>
      </c>
      <c r="F871" s="196" t="s">
        <v>2073</v>
      </c>
      <c r="G871" s="197" t="s">
        <v>3239</v>
      </c>
      <c r="H871" s="198">
        <v>0.8</v>
      </c>
      <c r="I871" s="199">
        <v>17489.99</v>
      </c>
      <c r="J871" s="200" t="s">
        <v>2672</v>
      </c>
      <c r="K871" s="200" t="s">
        <v>3934</v>
      </c>
      <c r="L871" s="201">
        <v>0.4</v>
      </c>
      <c r="M871" s="278" t="s">
        <v>4080</v>
      </c>
      <c r="N871" s="205">
        <v>5333.35</v>
      </c>
      <c r="O871" s="254">
        <v>5333.35</v>
      </c>
      <c r="P871" s="254">
        <v>4266.68</v>
      </c>
      <c r="Q871" s="254">
        <v>4266.68</v>
      </c>
      <c r="R871" s="1262" t="s">
        <v>2107</v>
      </c>
      <c r="S871" s="254">
        <v>2133.34</v>
      </c>
      <c r="T871" s="204">
        <v>45035</v>
      </c>
      <c r="U871" s="1262" t="s">
        <v>2364</v>
      </c>
      <c r="V871" s="254">
        <v>1066.67</v>
      </c>
      <c r="W871" s="1262" t="s">
        <v>2228</v>
      </c>
      <c r="X871" s="258">
        <v>1066.67</v>
      </c>
      <c r="Y871" s="192"/>
    </row>
    <row r="872" ht="37.5" customHeight="1" spans="1:25">
      <c r="A872" s="192">
        <f t="shared" si="24"/>
        <v>864</v>
      </c>
      <c r="B872" s="208">
        <v>2023</v>
      </c>
      <c r="C872" s="193" t="s">
        <v>37</v>
      </c>
      <c r="D872" s="277" t="s">
        <v>4081</v>
      </c>
      <c r="E872" s="195" t="s">
        <v>4082</v>
      </c>
      <c r="F872" s="196" t="s">
        <v>2073</v>
      </c>
      <c r="G872" s="197" t="s">
        <v>3239</v>
      </c>
      <c r="H872" s="198">
        <v>0.8</v>
      </c>
      <c r="I872" s="199">
        <v>13885.87</v>
      </c>
      <c r="J872" s="200" t="s">
        <v>2672</v>
      </c>
      <c r="K872" s="200" t="s">
        <v>3934</v>
      </c>
      <c r="L872" s="201">
        <v>0.4</v>
      </c>
      <c r="M872" s="278" t="s">
        <v>3233</v>
      </c>
      <c r="N872" s="205">
        <v>1375</v>
      </c>
      <c r="O872" s="254">
        <v>1375</v>
      </c>
      <c r="P872" s="254">
        <v>1100</v>
      </c>
      <c r="Q872" s="254">
        <v>1100</v>
      </c>
      <c r="R872" s="1262" t="s">
        <v>2107</v>
      </c>
      <c r="S872" s="254">
        <v>550</v>
      </c>
      <c r="T872" s="204">
        <v>45035</v>
      </c>
      <c r="U872" s="1262" t="s">
        <v>2364</v>
      </c>
      <c r="V872" s="254">
        <v>275</v>
      </c>
      <c r="W872" s="1262" t="s">
        <v>2228</v>
      </c>
      <c r="X872" s="258">
        <v>275</v>
      </c>
      <c r="Y872" s="192"/>
    </row>
    <row r="873" ht="37.5" customHeight="1" spans="1:25">
      <c r="A873" s="192">
        <f t="shared" si="24"/>
        <v>865</v>
      </c>
      <c r="B873" s="208">
        <v>2023</v>
      </c>
      <c r="C873" s="193" t="s">
        <v>37</v>
      </c>
      <c r="D873" s="277" t="s">
        <v>4083</v>
      </c>
      <c r="E873" s="195" t="s">
        <v>4084</v>
      </c>
      <c r="F873" s="196" t="s">
        <v>2073</v>
      </c>
      <c r="G873" s="197" t="s">
        <v>3239</v>
      </c>
      <c r="H873" s="198">
        <v>0.8</v>
      </c>
      <c r="I873" s="199">
        <v>24820</v>
      </c>
      <c r="J873" s="200" t="s">
        <v>2794</v>
      </c>
      <c r="K873" s="200" t="s">
        <v>4085</v>
      </c>
      <c r="L873" s="201">
        <v>0.4</v>
      </c>
      <c r="M873" s="278" t="s">
        <v>4065</v>
      </c>
      <c r="N873" s="205">
        <v>22737.4</v>
      </c>
      <c r="O873" s="254">
        <v>22737.4</v>
      </c>
      <c r="P873" s="254">
        <v>18189.92</v>
      </c>
      <c r="Q873" s="254">
        <v>18189.92</v>
      </c>
      <c r="R873" s="1262" t="s">
        <v>2107</v>
      </c>
      <c r="S873" s="254">
        <v>9094.96</v>
      </c>
      <c r="T873" s="204">
        <v>45035</v>
      </c>
      <c r="U873" s="1262" t="s">
        <v>2364</v>
      </c>
      <c r="V873" s="254">
        <v>4547.48</v>
      </c>
      <c r="W873" s="1262" t="s">
        <v>2228</v>
      </c>
      <c r="X873" s="258">
        <v>4547.48</v>
      </c>
      <c r="Y873" s="192"/>
    </row>
    <row r="874" ht="37.5" customHeight="1" spans="1:25">
      <c r="A874" s="192">
        <f t="shared" si="24"/>
        <v>866</v>
      </c>
      <c r="B874" s="208">
        <v>2023</v>
      </c>
      <c r="C874" s="193" t="s">
        <v>37</v>
      </c>
      <c r="D874" s="277" t="s">
        <v>4086</v>
      </c>
      <c r="E874" s="195" t="s">
        <v>4087</v>
      </c>
      <c r="F874" s="196" t="s">
        <v>2073</v>
      </c>
      <c r="G874" s="197" t="s">
        <v>3239</v>
      </c>
      <c r="H874" s="198">
        <v>0.8</v>
      </c>
      <c r="I874" s="199">
        <v>15128.35</v>
      </c>
      <c r="J874" s="200" t="s">
        <v>3491</v>
      </c>
      <c r="K874" s="200" t="s">
        <v>3936</v>
      </c>
      <c r="L874" s="201">
        <v>0.4</v>
      </c>
      <c r="M874" s="278" t="s">
        <v>3479</v>
      </c>
      <c r="N874" s="205">
        <v>3666.67</v>
      </c>
      <c r="O874" s="254">
        <v>3666.67</v>
      </c>
      <c r="P874" s="254">
        <v>2933.34</v>
      </c>
      <c r="Q874" s="254">
        <v>2933.34</v>
      </c>
      <c r="R874" s="1262" t="s">
        <v>2107</v>
      </c>
      <c r="S874" s="254">
        <v>1466.67</v>
      </c>
      <c r="T874" s="204">
        <v>45035</v>
      </c>
      <c r="U874" s="1262" t="s">
        <v>2364</v>
      </c>
      <c r="V874" s="254">
        <v>733.33</v>
      </c>
      <c r="W874" s="1262" t="s">
        <v>2228</v>
      </c>
      <c r="X874" s="258">
        <v>733.33</v>
      </c>
      <c r="Y874" s="192"/>
    </row>
    <row r="875" ht="37.5" customHeight="1" spans="1:25">
      <c r="A875" s="192">
        <f t="shared" si="24"/>
        <v>867</v>
      </c>
      <c r="B875" s="208">
        <v>2023</v>
      </c>
      <c r="C875" s="193" t="s">
        <v>37</v>
      </c>
      <c r="D875" s="277" t="s">
        <v>4088</v>
      </c>
      <c r="E875" s="195" t="s">
        <v>4089</v>
      </c>
      <c r="F875" s="196" t="s">
        <v>2073</v>
      </c>
      <c r="G875" s="197" t="s">
        <v>3239</v>
      </c>
      <c r="H875" s="198">
        <v>0.8</v>
      </c>
      <c r="I875" s="199">
        <v>68333</v>
      </c>
      <c r="J875" s="200" t="s">
        <v>2867</v>
      </c>
      <c r="K875" s="200" t="s">
        <v>4090</v>
      </c>
      <c r="L875" s="201">
        <v>0.4</v>
      </c>
      <c r="M875" s="278" t="s">
        <v>2391</v>
      </c>
      <c r="N875" s="205">
        <v>56943.3</v>
      </c>
      <c r="O875" s="254">
        <v>56943.3</v>
      </c>
      <c r="P875" s="254">
        <v>45554.64</v>
      </c>
      <c r="Q875" s="254">
        <v>45554.64</v>
      </c>
      <c r="R875" s="1262" t="s">
        <v>2107</v>
      </c>
      <c r="S875" s="254">
        <v>22777.32</v>
      </c>
      <c r="T875" s="204">
        <v>45035</v>
      </c>
      <c r="U875" s="1262" t="s">
        <v>2364</v>
      </c>
      <c r="V875" s="254">
        <v>11388.66</v>
      </c>
      <c r="W875" s="1262" t="s">
        <v>2228</v>
      </c>
      <c r="X875" s="258">
        <v>11388.66</v>
      </c>
      <c r="Y875" s="192"/>
    </row>
    <row r="876" ht="37.5" customHeight="1" spans="1:25">
      <c r="A876" s="192">
        <f t="shared" si="24"/>
        <v>868</v>
      </c>
      <c r="B876" s="208">
        <v>2023</v>
      </c>
      <c r="C876" s="193" t="s">
        <v>37</v>
      </c>
      <c r="D876" s="277" t="s">
        <v>4091</v>
      </c>
      <c r="E876" s="195" t="s">
        <v>4092</v>
      </c>
      <c r="F876" s="196" t="s">
        <v>2073</v>
      </c>
      <c r="G876" s="197" t="s">
        <v>3239</v>
      </c>
      <c r="H876" s="198">
        <v>0.8</v>
      </c>
      <c r="I876" s="199">
        <v>11816.59</v>
      </c>
      <c r="J876" s="200" t="s">
        <v>3050</v>
      </c>
      <c r="K876" s="200" t="s">
        <v>4093</v>
      </c>
      <c r="L876" s="201">
        <v>0.4</v>
      </c>
      <c r="M876" s="278" t="s">
        <v>4065</v>
      </c>
      <c r="N876" s="205">
        <v>10000</v>
      </c>
      <c r="O876" s="254">
        <v>10000</v>
      </c>
      <c r="P876" s="254">
        <v>8000</v>
      </c>
      <c r="Q876" s="254">
        <v>8000</v>
      </c>
      <c r="R876" s="1262" t="s">
        <v>2107</v>
      </c>
      <c r="S876" s="254">
        <v>4000</v>
      </c>
      <c r="T876" s="204">
        <v>45035</v>
      </c>
      <c r="U876" s="1262" t="s">
        <v>2364</v>
      </c>
      <c r="V876" s="254">
        <v>2000</v>
      </c>
      <c r="W876" s="1262" t="s">
        <v>2228</v>
      </c>
      <c r="X876" s="258">
        <v>2000</v>
      </c>
      <c r="Y876" s="192"/>
    </row>
    <row r="877" ht="37.5" customHeight="1" spans="1:25">
      <c r="A877" s="192">
        <f t="shared" si="24"/>
        <v>869</v>
      </c>
      <c r="B877" s="208">
        <v>2023</v>
      </c>
      <c r="C877" s="193" t="s">
        <v>37</v>
      </c>
      <c r="D877" s="277" t="s">
        <v>4040</v>
      </c>
      <c r="E877" s="195" t="s">
        <v>4094</v>
      </c>
      <c r="F877" s="196" t="s">
        <v>2073</v>
      </c>
      <c r="G877" s="197" t="s">
        <v>3239</v>
      </c>
      <c r="H877" s="198">
        <v>0.8</v>
      </c>
      <c r="I877" s="199">
        <v>38000</v>
      </c>
      <c r="J877" s="200" t="s">
        <v>3050</v>
      </c>
      <c r="K877" s="200" t="s">
        <v>4093</v>
      </c>
      <c r="L877" s="201">
        <v>0.4</v>
      </c>
      <c r="M877" s="278" t="s">
        <v>3735</v>
      </c>
      <c r="N877" s="205">
        <v>31666.67</v>
      </c>
      <c r="O877" s="254">
        <v>31666.67</v>
      </c>
      <c r="P877" s="254">
        <v>25333.34</v>
      </c>
      <c r="Q877" s="254">
        <v>25333.34</v>
      </c>
      <c r="R877" s="1262" t="s">
        <v>2107</v>
      </c>
      <c r="S877" s="254">
        <v>12666.67</v>
      </c>
      <c r="T877" s="204">
        <v>45035</v>
      </c>
      <c r="U877" s="1262" t="s">
        <v>2364</v>
      </c>
      <c r="V877" s="254">
        <v>6333.33</v>
      </c>
      <c r="W877" s="1262" t="s">
        <v>2228</v>
      </c>
      <c r="X877" s="258">
        <v>6333.33</v>
      </c>
      <c r="Y877" s="192"/>
    </row>
    <row r="878" ht="37.5" customHeight="1" spans="1:25">
      <c r="A878" s="192">
        <f t="shared" si="24"/>
        <v>870</v>
      </c>
      <c r="B878" s="208">
        <v>2023</v>
      </c>
      <c r="C878" s="193" t="s">
        <v>37</v>
      </c>
      <c r="D878" s="277" t="s">
        <v>4007</v>
      </c>
      <c r="E878" s="195" t="s">
        <v>4095</v>
      </c>
      <c r="F878" s="196" t="s">
        <v>2073</v>
      </c>
      <c r="G878" s="197" t="s">
        <v>3239</v>
      </c>
      <c r="H878" s="198">
        <v>0.8</v>
      </c>
      <c r="I878" s="199">
        <v>23000</v>
      </c>
      <c r="J878" s="200" t="s">
        <v>2750</v>
      </c>
      <c r="K878" s="200" t="s">
        <v>4096</v>
      </c>
      <c r="L878" s="201">
        <v>0.4</v>
      </c>
      <c r="M878" s="278" t="s">
        <v>4004</v>
      </c>
      <c r="N878" s="205">
        <v>23000</v>
      </c>
      <c r="O878" s="254">
        <v>23000</v>
      </c>
      <c r="P878" s="254">
        <v>18400</v>
      </c>
      <c r="Q878" s="254">
        <v>18400</v>
      </c>
      <c r="R878" s="1262" t="s">
        <v>2107</v>
      </c>
      <c r="S878" s="254">
        <v>9200</v>
      </c>
      <c r="T878" s="204">
        <v>45035</v>
      </c>
      <c r="U878" s="1262" t="s">
        <v>2364</v>
      </c>
      <c r="V878" s="254">
        <v>4600</v>
      </c>
      <c r="W878" s="1262" t="s">
        <v>2228</v>
      </c>
      <c r="X878" s="258">
        <v>4600</v>
      </c>
      <c r="Y878" s="192"/>
    </row>
    <row r="879" ht="37.5" customHeight="1" spans="1:25">
      <c r="A879" s="192">
        <f t="shared" si="24"/>
        <v>871</v>
      </c>
      <c r="B879" s="208">
        <v>2023</v>
      </c>
      <c r="C879" s="193" t="s">
        <v>37</v>
      </c>
      <c r="D879" s="277" t="s">
        <v>4097</v>
      </c>
      <c r="E879" s="195" t="s">
        <v>4098</v>
      </c>
      <c r="F879" s="196" t="s">
        <v>2073</v>
      </c>
      <c r="G879" s="197" t="s">
        <v>3239</v>
      </c>
      <c r="H879" s="198">
        <v>0.8</v>
      </c>
      <c r="I879" s="199">
        <v>160010</v>
      </c>
      <c r="J879" s="200" t="s">
        <v>1815</v>
      </c>
      <c r="K879" s="200" t="s">
        <v>2159</v>
      </c>
      <c r="L879" s="201">
        <v>0.4</v>
      </c>
      <c r="M879" s="278" t="s">
        <v>2391</v>
      </c>
      <c r="N879" s="205">
        <v>590.06</v>
      </c>
      <c r="O879" s="254">
        <v>590.06</v>
      </c>
      <c r="P879" s="254">
        <v>472.05</v>
      </c>
      <c r="Q879" s="254">
        <v>472.05</v>
      </c>
      <c r="R879" s="1262" t="s">
        <v>2107</v>
      </c>
      <c r="S879" s="254">
        <v>236.02</v>
      </c>
      <c r="T879" s="204">
        <v>45035</v>
      </c>
      <c r="U879" s="1262" t="s">
        <v>2364</v>
      </c>
      <c r="V879" s="254">
        <v>118.01</v>
      </c>
      <c r="W879" s="1262" t="s">
        <v>2228</v>
      </c>
      <c r="X879" s="258">
        <v>118.01</v>
      </c>
      <c r="Y879" s="192"/>
    </row>
    <row r="880" ht="37.5" customHeight="1" spans="1:25">
      <c r="A880" s="192">
        <f t="shared" si="24"/>
        <v>872</v>
      </c>
      <c r="B880" s="208">
        <v>2023</v>
      </c>
      <c r="C880" s="193" t="s">
        <v>37</v>
      </c>
      <c r="D880" s="277" t="s">
        <v>3270</v>
      </c>
      <c r="E880" s="195" t="s">
        <v>4099</v>
      </c>
      <c r="F880" s="196" t="s">
        <v>2073</v>
      </c>
      <c r="G880" s="197" t="s">
        <v>3239</v>
      </c>
      <c r="H880" s="198">
        <v>0.8</v>
      </c>
      <c r="I880" s="199">
        <v>100520</v>
      </c>
      <c r="J880" s="200" t="s">
        <v>2329</v>
      </c>
      <c r="K880" s="200" t="s">
        <v>2330</v>
      </c>
      <c r="L880" s="201">
        <v>0.4</v>
      </c>
      <c r="M880" s="278" t="s">
        <v>3808</v>
      </c>
      <c r="N880" s="205">
        <v>17500.15</v>
      </c>
      <c r="O880" s="254">
        <v>17500.15</v>
      </c>
      <c r="P880" s="254">
        <v>14000.11</v>
      </c>
      <c r="Q880" s="254">
        <v>14000.11</v>
      </c>
      <c r="R880" s="1262" t="s">
        <v>2107</v>
      </c>
      <c r="S880" s="254">
        <v>7000.06</v>
      </c>
      <c r="T880" s="204">
        <v>45035</v>
      </c>
      <c r="U880" s="1262" t="s">
        <v>2364</v>
      </c>
      <c r="V880" s="254">
        <v>3500.03</v>
      </c>
      <c r="W880" s="1262" t="s">
        <v>2228</v>
      </c>
      <c r="X880" s="258">
        <v>3500.03</v>
      </c>
      <c r="Y880" s="192"/>
    </row>
    <row r="881" ht="37.5" customHeight="1" spans="1:25">
      <c r="A881" s="192">
        <f t="shared" si="24"/>
        <v>873</v>
      </c>
      <c r="B881" s="208">
        <v>2023</v>
      </c>
      <c r="C881" s="193" t="s">
        <v>37</v>
      </c>
      <c r="D881" s="277" t="s">
        <v>4100</v>
      </c>
      <c r="E881" s="195" t="s">
        <v>4101</v>
      </c>
      <c r="F881" s="196" t="s">
        <v>2073</v>
      </c>
      <c r="G881" s="197" t="s">
        <v>3239</v>
      </c>
      <c r="H881" s="198">
        <v>0.8</v>
      </c>
      <c r="I881" s="199">
        <v>17010</v>
      </c>
      <c r="J881" s="200" t="s">
        <v>2689</v>
      </c>
      <c r="K881" s="200" t="s">
        <v>2690</v>
      </c>
      <c r="L881" s="201">
        <v>0.4</v>
      </c>
      <c r="M881" s="278" t="s">
        <v>4102</v>
      </c>
      <c r="N881" s="205">
        <v>125</v>
      </c>
      <c r="O881" s="254">
        <v>125</v>
      </c>
      <c r="P881" s="254">
        <v>100</v>
      </c>
      <c r="Q881" s="254">
        <v>100</v>
      </c>
      <c r="R881" s="1262" t="s">
        <v>2107</v>
      </c>
      <c r="S881" s="254">
        <v>50</v>
      </c>
      <c r="T881" s="204">
        <v>45035</v>
      </c>
      <c r="U881" s="1262" t="s">
        <v>2364</v>
      </c>
      <c r="V881" s="254">
        <v>25</v>
      </c>
      <c r="W881" s="1262" t="s">
        <v>2228</v>
      </c>
      <c r="X881" s="258">
        <v>25</v>
      </c>
      <c r="Y881" s="192"/>
    </row>
    <row r="882" ht="37.5" customHeight="1" spans="1:25">
      <c r="A882" s="192">
        <f t="shared" si="24"/>
        <v>874</v>
      </c>
      <c r="B882" s="208">
        <v>2023</v>
      </c>
      <c r="C882" s="193" t="s">
        <v>37</v>
      </c>
      <c r="D882" s="277" t="s">
        <v>4103</v>
      </c>
      <c r="E882" s="195" t="s">
        <v>4104</v>
      </c>
      <c r="F882" s="196" t="s">
        <v>2073</v>
      </c>
      <c r="G882" s="197" t="s">
        <v>3239</v>
      </c>
      <c r="H882" s="198">
        <v>0.8</v>
      </c>
      <c r="I882" s="199">
        <v>40000</v>
      </c>
      <c r="J882" s="200" t="s">
        <v>2083</v>
      </c>
      <c r="K882" s="200" t="s">
        <v>2084</v>
      </c>
      <c r="L882" s="201">
        <v>0.4</v>
      </c>
      <c r="M882" s="278" t="s">
        <v>3233</v>
      </c>
      <c r="N882" s="205">
        <v>3333.44</v>
      </c>
      <c r="O882" s="254">
        <v>3333.44</v>
      </c>
      <c r="P882" s="254">
        <v>2666.75</v>
      </c>
      <c r="Q882" s="254">
        <v>2666.75</v>
      </c>
      <c r="R882" s="1262" t="s">
        <v>2107</v>
      </c>
      <c r="S882" s="254">
        <v>1333.38</v>
      </c>
      <c r="T882" s="204">
        <v>45035</v>
      </c>
      <c r="U882" s="1262" t="s">
        <v>2364</v>
      </c>
      <c r="V882" s="254">
        <v>666.69</v>
      </c>
      <c r="W882" s="1262" t="s">
        <v>2228</v>
      </c>
      <c r="X882" s="258">
        <v>666.69</v>
      </c>
      <c r="Y882" s="192"/>
    </row>
    <row r="883" ht="37.5" customHeight="1" spans="1:25">
      <c r="A883" s="192">
        <f t="shared" si="24"/>
        <v>875</v>
      </c>
      <c r="B883" s="208">
        <v>2023</v>
      </c>
      <c r="C883" s="193" t="s">
        <v>37</v>
      </c>
      <c r="D883" s="277" t="s">
        <v>4105</v>
      </c>
      <c r="E883" s="195" t="s">
        <v>4106</v>
      </c>
      <c r="F883" s="196" t="s">
        <v>2073</v>
      </c>
      <c r="G883" s="197" t="s">
        <v>3239</v>
      </c>
      <c r="H883" s="198">
        <v>0.8</v>
      </c>
      <c r="I883" s="199">
        <v>120000</v>
      </c>
      <c r="J883" s="200" t="s">
        <v>1882</v>
      </c>
      <c r="K883" s="200" t="s">
        <v>3693</v>
      </c>
      <c r="L883" s="201">
        <v>0.4</v>
      </c>
      <c r="M883" s="278" t="s">
        <v>4107</v>
      </c>
      <c r="N883" s="205">
        <v>14500.02</v>
      </c>
      <c r="O883" s="254">
        <v>14500.02</v>
      </c>
      <c r="P883" s="254">
        <v>11600.02</v>
      </c>
      <c r="Q883" s="254">
        <v>11600.02</v>
      </c>
      <c r="R883" s="1262" t="s">
        <v>2107</v>
      </c>
      <c r="S883" s="254">
        <v>5800.01</v>
      </c>
      <c r="T883" s="204">
        <v>45035</v>
      </c>
      <c r="U883" s="1262" t="s">
        <v>2364</v>
      </c>
      <c r="V883" s="254">
        <v>2900</v>
      </c>
      <c r="W883" s="1262" t="s">
        <v>2228</v>
      </c>
      <c r="X883" s="258">
        <v>2900</v>
      </c>
      <c r="Y883" s="192"/>
    </row>
    <row r="884" ht="37.5" customHeight="1" spans="1:25">
      <c r="A884" s="192">
        <f t="shared" si="24"/>
        <v>876</v>
      </c>
      <c r="B884" s="208">
        <v>2023</v>
      </c>
      <c r="C884" s="193" t="s">
        <v>37</v>
      </c>
      <c r="D884" s="277" t="s">
        <v>4108</v>
      </c>
      <c r="E884" s="195" t="s">
        <v>4109</v>
      </c>
      <c r="F884" s="196" t="s">
        <v>2073</v>
      </c>
      <c r="G884" s="197" t="s">
        <v>3239</v>
      </c>
      <c r="H884" s="198">
        <v>0.8</v>
      </c>
      <c r="I884" s="199">
        <v>10000</v>
      </c>
      <c r="J884" s="200" t="s">
        <v>1824</v>
      </c>
      <c r="K884" s="200" t="s">
        <v>2102</v>
      </c>
      <c r="L884" s="201">
        <v>0.4</v>
      </c>
      <c r="M884" s="278" t="s">
        <v>4070</v>
      </c>
      <c r="N884" s="205">
        <v>1500</v>
      </c>
      <c r="O884" s="254">
        <v>1500</v>
      </c>
      <c r="P884" s="254">
        <v>1200</v>
      </c>
      <c r="Q884" s="254">
        <v>1200</v>
      </c>
      <c r="R884" s="1262" t="s">
        <v>2107</v>
      </c>
      <c r="S884" s="254">
        <v>600</v>
      </c>
      <c r="T884" s="204">
        <v>45035</v>
      </c>
      <c r="U884" s="1262" t="s">
        <v>2364</v>
      </c>
      <c r="V884" s="254">
        <v>300</v>
      </c>
      <c r="W884" s="1262" t="s">
        <v>2228</v>
      </c>
      <c r="X884" s="258">
        <v>300</v>
      </c>
      <c r="Y884" s="192"/>
    </row>
    <row r="885" ht="37.5" customHeight="1" spans="1:25">
      <c r="A885" s="192">
        <f t="shared" si="24"/>
        <v>877</v>
      </c>
      <c r="B885" s="208">
        <v>2023</v>
      </c>
      <c r="C885" s="193" t="s">
        <v>37</v>
      </c>
      <c r="D885" s="277" t="s">
        <v>4110</v>
      </c>
      <c r="E885" s="195" t="s">
        <v>4111</v>
      </c>
      <c r="F885" s="196" t="s">
        <v>2073</v>
      </c>
      <c r="G885" s="197" t="s">
        <v>3239</v>
      </c>
      <c r="H885" s="198">
        <v>0.8</v>
      </c>
      <c r="I885" s="199">
        <v>51000</v>
      </c>
      <c r="J885" s="200" t="s">
        <v>2215</v>
      </c>
      <c r="K885" s="200" t="s">
        <v>2216</v>
      </c>
      <c r="L885" s="201">
        <v>0.4</v>
      </c>
      <c r="M885" s="278" t="s">
        <v>4112</v>
      </c>
      <c r="N885" s="205">
        <v>5000</v>
      </c>
      <c r="O885" s="254">
        <v>5000</v>
      </c>
      <c r="P885" s="254">
        <v>4000</v>
      </c>
      <c r="Q885" s="254">
        <v>4000</v>
      </c>
      <c r="R885" s="1262" t="s">
        <v>2107</v>
      </c>
      <c r="S885" s="254">
        <v>2000</v>
      </c>
      <c r="T885" s="204">
        <v>45035</v>
      </c>
      <c r="U885" s="1262" t="s">
        <v>2364</v>
      </c>
      <c r="V885" s="254">
        <v>1000</v>
      </c>
      <c r="W885" s="1262" t="s">
        <v>2228</v>
      </c>
      <c r="X885" s="258">
        <v>1000</v>
      </c>
      <c r="Y885" s="192"/>
    </row>
    <row r="886" ht="37.5" customHeight="1" spans="1:25">
      <c r="A886" s="192">
        <f t="shared" si="24"/>
        <v>878</v>
      </c>
      <c r="B886" s="208">
        <v>2023</v>
      </c>
      <c r="C886" s="193" t="s">
        <v>37</v>
      </c>
      <c r="D886" s="277" t="s">
        <v>4113</v>
      </c>
      <c r="E886" s="195" t="s">
        <v>4114</v>
      </c>
      <c r="F886" s="196" t="s">
        <v>2073</v>
      </c>
      <c r="G886" s="197" t="s">
        <v>3239</v>
      </c>
      <c r="H886" s="198">
        <v>0.8</v>
      </c>
      <c r="I886" s="199">
        <v>22000</v>
      </c>
      <c r="J886" s="200" t="s">
        <v>2106</v>
      </c>
      <c r="K886" s="200" t="s">
        <v>2107</v>
      </c>
      <c r="L886" s="201">
        <v>0.4</v>
      </c>
      <c r="M886" s="278" t="s">
        <v>3999</v>
      </c>
      <c r="N886" s="205">
        <v>3432.55</v>
      </c>
      <c r="O886" s="254">
        <v>3432.55</v>
      </c>
      <c r="P886" s="254">
        <v>2746.04</v>
      </c>
      <c r="Q886" s="254">
        <v>2746.04</v>
      </c>
      <c r="R886" s="1262" t="s">
        <v>2107</v>
      </c>
      <c r="S886" s="254">
        <v>1373.02</v>
      </c>
      <c r="T886" s="204">
        <v>45035</v>
      </c>
      <c r="U886" s="1262" t="s">
        <v>2364</v>
      </c>
      <c r="V886" s="254">
        <v>686.51</v>
      </c>
      <c r="W886" s="1262" t="s">
        <v>2228</v>
      </c>
      <c r="X886" s="258">
        <v>686.51</v>
      </c>
      <c r="Y886" s="192"/>
    </row>
    <row r="887" ht="37.5" customHeight="1" spans="1:25">
      <c r="A887" s="192">
        <f t="shared" si="24"/>
        <v>879</v>
      </c>
      <c r="B887" s="208">
        <v>2023</v>
      </c>
      <c r="C887" s="193" t="s">
        <v>37</v>
      </c>
      <c r="D887" s="277" t="s">
        <v>3988</v>
      </c>
      <c r="E887" s="195" t="s">
        <v>4115</v>
      </c>
      <c r="F887" s="196" t="s">
        <v>2073</v>
      </c>
      <c r="G887" s="197" t="s">
        <v>3239</v>
      </c>
      <c r="H887" s="198">
        <v>0.8</v>
      </c>
      <c r="I887" s="199">
        <v>35000</v>
      </c>
      <c r="J887" s="200" t="s">
        <v>2405</v>
      </c>
      <c r="K887" s="200" t="s">
        <v>2731</v>
      </c>
      <c r="L887" s="201">
        <v>0.4</v>
      </c>
      <c r="M887" s="278" t="s">
        <v>3233</v>
      </c>
      <c r="N887" s="205">
        <v>14424.23</v>
      </c>
      <c r="O887" s="254">
        <v>14424.23</v>
      </c>
      <c r="P887" s="254">
        <v>11539.38</v>
      </c>
      <c r="Q887" s="254">
        <v>11539.38</v>
      </c>
      <c r="R887" s="1262" t="s">
        <v>2107</v>
      </c>
      <c r="S887" s="254">
        <v>5769.69</v>
      </c>
      <c r="T887" s="204">
        <v>45035</v>
      </c>
      <c r="U887" s="1262" t="s">
        <v>2169</v>
      </c>
      <c r="V887" s="254">
        <v>2884.85</v>
      </c>
      <c r="W887" s="1262" t="s">
        <v>2228</v>
      </c>
      <c r="X887" s="258">
        <v>2884.85</v>
      </c>
      <c r="Y887" s="192"/>
    </row>
    <row r="888" ht="37.5" customHeight="1" spans="1:25">
      <c r="A888" s="192">
        <f t="shared" si="24"/>
        <v>880</v>
      </c>
      <c r="B888" s="208">
        <v>2023</v>
      </c>
      <c r="C888" s="193" t="s">
        <v>37</v>
      </c>
      <c r="D888" s="277" t="s">
        <v>4028</v>
      </c>
      <c r="E888" s="195" t="s">
        <v>4116</v>
      </c>
      <c r="F888" s="196" t="s">
        <v>2073</v>
      </c>
      <c r="G888" s="197" t="s">
        <v>3239</v>
      </c>
      <c r="H888" s="198">
        <v>0.8</v>
      </c>
      <c r="I888" s="199">
        <v>47000</v>
      </c>
      <c r="J888" s="200" t="s">
        <v>3164</v>
      </c>
      <c r="K888" s="200" t="s">
        <v>3165</v>
      </c>
      <c r="L888" s="201">
        <v>0.4</v>
      </c>
      <c r="M888" s="278" t="s">
        <v>4030</v>
      </c>
      <c r="N888" s="205">
        <v>21583.44</v>
      </c>
      <c r="O888" s="254">
        <v>21583.44</v>
      </c>
      <c r="P888" s="254">
        <v>17266.75</v>
      </c>
      <c r="Q888" s="254">
        <v>17266.75</v>
      </c>
      <c r="R888" s="1262" t="s">
        <v>2107</v>
      </c>
      <c r="S888" s="254">
        <v>8633.38</v>
      </c>
      <c r="T888" s="204">
        <v>45035</v>
      </c>
      <c r="U888" s="1262" t="s">
        <v>2169</v>
      </c>
      <c r="V888" s="254">
        <v>4316.69</v>
      </c>
      <c r="W888" s="1262" t="s">
        <v>2228</v>
      </c>
      <c r="X888" s="258">
        <v>4316.69</v>
      </c>
      <c r="Y888" s="192"/>
    </row>
    <row r="889" ht="37.5" customHeight="1" spans="1:25">
      <c r="A889" s="192">
        <f t="shared" si="24"/>
        <v>881</v>
      </c>
      <c r="B889" s="208">
        <v>2023</v>
      </c>
      <c r="C889" s="193" t="s">
        <v>37</v>
      </c>
      <c r="D889" s="277" t="s">
        <v>3986</v>
      </c>
      <c r="E889" s="195" t="s">
        <v>4117</v>
      </c>
      <c r="F889" s="196" t="s">
        <v>2073</v>
      </c>
      <c r="G889" s="197" t="s">
        <v>3239</v>
      </c>
      <c r="H889" s="198">
        <v>0.8</v>
      </c>
      <c r="I889" s="199">
        <v>15495.45</v>
      </c>
      <c r="J889" s="200" t="s">
        <v>3164</v>
      </c>
      <c r="K889" s="200" t="s">
        <v>3165</v>
      </c>
      <c r="L889" s="201">
        <v>0.4</v>
      </c>
      <c r="M889" s="278" t="s">
        <v>2292</v>
      </c>
      <c r="N889" s="205">
        <v>1666.69</v>
      </c>
      <c r="O889" s="254">
        <v>1666.69</v>
      </c>
      <c r="P889" s="254">
        <v>1333.35</v>
      </c>
      <c r="Q889" s="254">
        <v>1333.35</v>
      </c>
      <c r="R889" s="1262" t="s">
        <v>2107</v>
      </c>
      <c r="S889" s="254">
        <v>666.68</v>
      </c>
      <c r="T889" s="204">
        <v>45035</v>
      </c>
      <c r="U889" s="1262" t="s">
        <v>2169</v>
      </c>
      <c r="V889" s="254">
        <v>333.34</v>
      </c>
      <c r="W889" s="1262" t="s">
        <v>2228</v>
      </c>
      <c r="X889" s="258">
        <v>333.34</v>
      </c>
      <c r="Y889" s="192"/>
    </row>
    <row r="890" ht="37.5" customHeight="1" spans="1:25">
      <c r="A890" s="192">
        <f t="shared" si="24"/>
        <v>882</v>
      </c>
      <c r="B890" s="208">
        <v>2023</v>
      </c>
      <c r="C890" s="193" t="s">
        <v>37</v>
      </c>
      <c r="D890" s="277" t="s">
        <v>4103</v>
      </c>
      <c r="E890" s="195" t="s">
        <v>4118</v>
      </c>
      <c r="F890" s="196" t="s">
        <v>2073</v>
      </c>
      <c r="G890" s="197" t="s">
        <v>3239</v>
      </c>
      <c r="H890" s="198">
        <v>0.8</v>
      </c>
      <c r="I890" s="199">
        <v>12898.28</v>
      </c>
      <c r="J890" s="200" t="s">
        <v>3164</v>
      </c>
      <c r="K890" s="200" t="s">
        <v>3165</v>
      </c>
      <c r="L890" s="201">
        <v>0.4</v>
      </c>
      <c r="M890" s="278" t="s">
        <v>3233</v>
      </c>
      <c r="N890" s="205">
        <v>1500</v>
      </c>
      <c r="O890" s="254">
        <v>1500</v>
      </c>
      <c r="P890" s="254">
        <v>1200</v>
      </c>
      <c r="Q890" s="254">
        <v>1200</v>
      </c>
      <c r="R890" s="1262" t="s">
        <v>2107</v>
      </c>
      <c r="S890" s="254">
        <v>600</v>
      </c>
      <c r="T890" s="204">
        <v>45035</v>
      </c>
      <c r="U890" s="1262" t="s">
        <v>2169</v>
      </c>
      <c r="V890" s="254">
        <v>300</v>
      </c>
      <c r="W890" s="1262" t="s">
        <v>2228</v>
      </c>
      <c r="X890" s="258">
        <v>300</v>
      </c>
      <c r="Y890" s="192"/>
    </row>
    <row r="891" ht="37.5" customHeight="1" spans="1:25">
      <c r="A891" s="192">
        <f t="shared" si="24"/>
        <v>883</v>
      </c>
      <c r="B891" s="208">
        <v>2023</v>
      </c>
      <c r="C891" s="193" t="s">
        <v>37</v>
      </c>
      <c r="D891" s="277" t="s">
        <v>4022</v>
      </c>
      <c r="E891" s="195" t="s">
        <v>4119</v>
      </c>
      <c r="F891" s="196" t="s">
        <v>2073</v>
      </c>
      <c r="G891" s="197" t="s">
        <v>3239</v>
      </c>
      <c r="H891" s="198">
        <v>0.8</v>
      </c>
      <c r="I891" s="199">
        <v>11000</v>
      </c>
      <c r="J891" s="200" t="s">
        <v>3578</v>
      </c>
      <c r="K891" s="200" t="s">
        <v>3579</v>
      </c>
      <c r="L891" s="201">
        <v>0.4</v>
      </c>
      <c r="M891" s="278" t="s">
        <v>2292</v>
      </c>
      <c r="N891" s="205">
        <v>4583.38</v>
      </c>
      <c r="O891" s="254">
        <v>4583.38</v>
      </c>
      <c r="P891" s="254">
        <v>3666.7</v>
      </c>
      <c r="Q891" s="254">
        <v>3666.7</v>
      </c>
      <c r="R891" s="1262" t="s">
        <v>2107</v>
      </c>
      <c r="S891" s="254">
        <v>1833.35</v>
      </c>
      <c r="T891" s="204">
        <v>45035</v>
      </c>
      <c r="U891" s="1262" t="s">
        <v>2169</v>
      </c>
      <c r="V891" s="254">
        <v>916.68</v>
      </c>
      <c r="W891" s="1262" t="s">
        <v>2228</v>
      </c>
      <c r="X891" s="258">
        <v>916.68</v>
      </c>
      <c r="Y891" s="192"/>
    </row>
    <row r="892" ht="37.5" customHeight="1" spans="1:25">
      <c r="A892" s="192">
        <f t="shared" si="24"/>
        <v>884</v>
      </c>
      <c r="B892" s="208">
        <v>2023</v>
      </c>
      <c r="C892" s="193" t="s">
        <v>37</v>
      </c>
      <c r="D892" s="277" t="s">
        <v>4120</v>
      </c>
      <c r="E892" s="195" t="s">
        <v>4121</v>
      </c>
      <c r="F892" s="196" t="s">
        <v>2073</v>
      </c>
      <c r="G892" s="197" t="s">
        <v>3239</v>
      </c>
      <c r="H892" s="198">
        <v>0.8</v>
      </c>
      <c r="I892" s="199">
        <v>24600</v>
      </c>
      <c r="J892" s="200" t="s">
        <v>3032</v>
      </c>
      <c r="K892" s="200" t="s">
        <v>3033</v>
      </c>
      <c r="L892" s="201">
        <v>0.4</v>
      </c>
      <c r="M892" s="278" t="s">
        <v>3947</v>
      </c>
      <c r="N892" s="205">
        <v>3659.16</v>
      </c>
      <c r="O892" s="254">
        <v>3659.16</v>
      </c>
      <c r="P892" s="254">
        <v>2927.33</v>
      </c>
      <c r="Q892" s="254">
        <v>2927.33</v>
      </c>
      <c r="R892" s="1262" t="s">
        <v>2107</v>
      </c>
      <c r="S892" s="254">
        <v>1463.66</v>
      </c>
      <c r="T892" s="204">
        <v>45035</v>
      </c>
      <c r="U892" s="1262" t="s">
        <v>2169</v>
      </c>
      <c r="V892" s="254">
        <v>731.83</v>
      </c>
      <c r="W892" s="1262" t="s">
        <v>2228</v>
      </c>
      <c r="X892" s="258">
        <v>731.83</v>
      </c>
      <c r="Y892" s="192"/>
    </row>
    <row r="893" ht="37.5" customHeight="1" spans="1:25">
      <c r="A893" s="192">
        <f t="shared" si="24"/>
        <v>885</v>
      </c>
      <c r="B893" s="208">
        <v>2023</v>
      </c>
      <c r="C893" s="193" t="s">
        <v>37</v>
      </c>
      <c r="D893" s="277" t="s">
        <v>4122</v>
      </c>
      <c r="E893" s="195" t="s">
        <v>4123</v>
      </c>
      <c r="F893" s="196" t="s">
        <v>2073</v>
      </c>
      <c r="G893" s="197" t="s">
        <v>3239</v>
      </c>
      <c r="H893" s="198">
        <v>0.8</v>
      </c>
      <c r="I893" s="199">
        <v>10836.66</v>
      </c>
      <c r="J893" s="200" t="s">
        <v>2069</v>
      </c>
      <c r="K893" s="200" t="s">
        <v>2940</v>
      </c>
      <c r="L893" s="201">
        <v>0.4</v>
      </c>
      <c r="M893" s="278" t="s">
        <v>2391</v>
      </c>
      <c r="N893" s="205">
        <v>500.02</v>
      </c>
      <c r="O893" s="254">
        <v>500.02</v>
      </c>
      <c r="P893" s="254">
        <v>400.02</v>
      </c>
      <c r="Q893" s="254">
        <v>400.02</v>
      </c>
      <c r="R893" s="1262" t="s">
        <v>2107</v>
      </c>
      <c r="S893" s="254">
        <v>200.01</v>
      </c>
      <c r="T893" s="204">
        <v>45035</v>
      </c>
      <c r="U893" s="1262" t="s">
        <v>2169</v>
      </c>
      <c r="V893" s="254">
        <v>100</v>
      </c>
      <c r="W893" s="1262" t="s">
        <v>2228</v>
      </c>
      <c r="X893" s="258">
        <v>100</v>
      </c>
      <c r="Y893" s="192"/>
    </row>
    <row r="894" ht="37.5" customHeight="1" spans="1:25">
      <c r="A894" s="192">
        <f t="shared" si="24"/>
        <v>886</v>
      </c>
      <c r="B894" s="208">
        <v>2023</v>
      </c>
      <c r="C894" s="193" t="s">
        <v>37</v>
      </c>
      <c r="D894" s="277" t="s">
        <v>4124</v>
      </c>
      <c r="E894" s="195" t="s">
        <v>4125</v>
      </c>
      <c r="F894" s="196" t="s">
        <v>2073</v>
      </c>
      <c r="G894" s="197" t="s">
        <v>3239</v>
      </c>
      <c r="H894" s="198">
        <v>0.8</v>
      </c>
      <c r="I894" s="199">
        <v>70000</v>
      </c>
      <c r="J894" s="200" t="s">
        <v>3823</v>
      </c>
      <c r="K894" s="200" t="s">
        <v>3824</v>
      </c>
      <c r="L894" s="201">
        <v>0.4</v>
      </c>
      <c r="M894" s="278" t="s">
        <v>2653</v>
      </c>
      <c r="N894" s="205">
        <v>34743.37</v>
      </c>
      <c r="O894" s="254">
        <v>34743.37</v>
      </c>
      <c r="P894" s="254">
        <v>27794.7</v>
      </c>
      <c r="Q894" s="254">
        <v>27794.7</v>
      </c>
      <c r="R894" s="1262" t="s">
        <v>2107</v>
      </c>
      <c r="S894" s="254">
        <v>13897.35</v>
      </c>
      <c r="T894" s="204">
        <v>45035</v>
      </c>
      <c r="U894" s="1262" t="s">
        <v>2169</v>
      </c>
      <c r="V894" s="254">
        <v>6948.67</v>
      </c>
      <c r="W894" s="1262" t="s">
        <v>2228</v>
      </c>
      <c r="X894" s="258">
        <v>6948.67</v>
      </c>
      <c r="Y894" s="192"/>
    </row>
    <row r="895" ht="37.5" customHeight="1" spans="1:25">
      <c r="A895" s="192">
        <f t="shared" si="24"/>
        <v>887</v>
      </c>
      <c r="B895" s="208">
        <v>2023</v>
      </c>
      <c r="C895" s="193" t="s">
        <v>37</v>
      </c>
      <c r="D895" s="277" t="s">
        <v>4126</v>
      </c>
      <c r="E895" s="195" t="s">
        <v>4127</v>
      </c>
      <c r="F895" s="196" t="s">
        <v>2073</v>
      </c>
      <c r="G895" s="197" t="s">
        <v>3239</v>
      </c>
      <c r="H895" s="198">
        <v>0.8</v>
      </c>
      <c r="I895" s="199">
        <v>19510</v>
      </c>
      <c r="J895" s="200" t="s">
        <v>1950</v>
      </c>
      <c r="K895" s="200" t="s">
        <v>2755</v>
      </c>
      <c r="L895" s="201">
        <v>0.4</v>
      </c>
      <c r="M895" s="278" t="s">
        <v>2666</v>
      </c>
      <c r="N895" s="205">
        <v>9682.15</v>
      </c>
      <c r="O895" s="254">
        <v>9682.15</v>
      </c>
      <c r="P895" s="254">
        <v>7745.72</v>
      </c>
      <c r="Q895" s="254">
        <v>7745.72</v>
      </c>
      <c r="R895" s="1262" t="s">
        <v>2107</v>
      </c>
      <c r="S895" s="254">
        <v>3872.86</v>
      </c>
      <c r="T895" s="204">
        <v>45035</v>
      </c>
      <c r="U895" s="1262" t="s">
        <v>2169</v>
      </c>
      <c r="V895" s="254">
        <v>1936.43</v>
      </c>
      <c r="W895" s="1262" t="s">
        <v>2228</v>
      </c>
      <c r="X895" s="258">
        <v>1936.43</v>
      </c>
      <c r="Y895" s="192"/>
    </row>
    <row r="896" ht="37.5" customHeight="1" spans="1:25">
      <c r="A896" s="192">
        <f t="shared" si="24"/>
        <v>888</v>
      </c>
      <c r="B896" s="208">
        <v>2023</v>
      </c>
      <c r="C896" s="193" t="s">
        <v>37</v>
      </c>
      <c r="D896" s="277" t="s">
        <v>4128</v>
      </c>
      <c r="E896" s="195" t="s">
        <v>4129</v>
      </c>
      <c r="F896" s="196" t="s">
        <v>2073</v>
      </c>
      <c r="G896" s="197" t="s">
        <v>3239</v>
      </c>
      <c r="H896" s="198">
        <v>0.8</v>
      </c>
      <c r="I896" s="199">
        <v>33000</v>
      </c>
      <c r="J896" s="200" t="s">
        <v>3361</v>
      </c>
      <c r="K896" s="200" t="s">
        <v>3362</v>
      </c>
      <c r="L896" s="201">
        <v>0.4</v>
      </c>
      <c r="M896" s="278" t="s">
        <v>2714</v>
      </c>
      <c r="N896" s="205">
        <v>16916.72</v>
      </c>
      <c r="O896" s="254">
        <v>16916.72</v>
      </c>
      <c r="P896" s="254">
        <v>13533.38</v>
      </c>
      <c r="Q896" s="254">
        <v>13533.38</v>
      </c>
      <c r="R896" s="1262" t="s">
        <v>2107</v>
      </c>
      <c r="S896" s="254">
        <v>6766.69</v>
      </c>
      <c r="T896" s="204">
        <v>45035</v>
      </c>
      <c r="U896" s="1262" t="s">
        <v>2169</v>
      </c>
      <c r="V896" s="254">
        <v>3383.34</v>
      </c>
      <c r="W896" s="1262" t="s">
        <v>2228</v>
      </c>
      <c r="X896" s="258">
        <v>3383.34</v>
      </c>
      <c r="Y896" s="192"/>
    </row>
    <row r="897" ht="37.5" customHeight="1" spans="1:25">
      <c r="A897" s="192">
        <f t="shared" si="24"/>
        <v>889</v>
      </c>
      <c r="B897" s="208">
        <v>2023</v>
      </c>
      <c r="C897" s="193" t="s">
        <v>37</v>
      </c>
      <c r="D897" s="277" t="s">
        <v>4130</v>
      </c>
      <c r="E897" s="195" t="s">
        <v>4131</v>
      </c>
      <c r="F897" s="196" t="s">
        <v>2073</v>
      </c>
      <c r="G897" s="197" t="s">
        <v>3239</v>
      </c>
      <c r="H897" s="198">
        <v>0.8</v>
      </c>
      <c r="I897" s="199">
        <v>26976</v>
      </c>
      <c r="J897" s="200" t="s">
        <v>2125</v>
      </c>
      <c r="K897" s="200" t="s">
        <v>2887</v>
      </c>
      <c r="L897" s="201">
        <v>0.4</v>
      </c>
      <c r="M897" s="278" t="s">
        <v>3994</v>
      </c>
      <c r="N897" s="205">
        <v>13488</v>
      </c>
      <c r="O897" s="254">
        <v>13488</v>
      </c>
      <c r="P897" s="254">
        <v>10790.4</v>
      </c>
      <c r="Q897" s="254">
        <v>10790.4</v>
      </c>
      <c r="R897" s="1262" t="s">
        <v>2107</v>
      </c>
      <c r="S897" s="254">
        <v>5395.2</v>
      </c>
      <c r="T897" s="204">
        <v>45035</v>
      </c>
      <c r="U897" s="1262" t="s">
        <v>2169</v>
      </c>
      <c r="V897" s="254">
        <v>2697.6</v>
      </c>
      <c r="W897" s="1262" t="s">
        <v>2228</v>
      </c>
      <c r="X897" s="258">
        <v>2697.6</v>
      </c>
      <c r="Y897" s="192"/>
    </row>
    <row r="898" ht="37.5" customHeight="1" spans="1:25">
      <c r="A898" s="192">
        <f t="shared" si="24"/>
        <v>890</v>
      </c>
      <c r="B898" s="208">
        <v>2023</v>
      </c>
      <c r="C898" s="193" t="s">
        <v>37</v>
      </c>
      <c r="D898" s="277" t="s">
        <v>3911</v>
      </c>
      <c r="E898" s="195" t="s">
        <v>4132</v>
      </c>
      <c r="F898" s="196" t="s">
        <v>2073</v>
      </c>
      <c r="G898" s="197" t="s">
        <v>3239</v>
      </c>
      <c r="H898" s="198">
        <v>0.8</v>
      </c>
      <c r="I898" s="199">
        <v>16268.97</v>
      </c>
      <c r="J898" s="200" t="s">
        <v>2429</v>
      </c>
      <c r="K898" s="200" t="s">
        <v>2820</v>
      </c>
      <c r="L898" s="201">
        <v>0.4</v>
      </c>
      <c r="M898" s="278" t="s">
        <v>3889</v>
      </c>
      <c r="N898" s="205">
        <v>3500.02</v>
      </c>
      <c r="O898" s="254">
        <v>3500.02</v>
      </c>
      <c r="P898" s="254">
        <v>2800.02</v>
      </c>
      <c r="Q898" s="254">
        <v>2800.02</v>
      </c>
      <c r="R898" s="1262" t="s">
        <v>2107</v>
      </c>
      <c r="S898" s="254">
        <v>1400.01</v>
      </c>
      <c r="T898" s="204">
        <v>45035</v>
      </c>
      <c r="U898" s="1262" t="s">
        <v>2169</v>
      </c>
      <c r="V898" s="254">
        <v>700</v>
      </c>
      <c r="W898" s="1262" t="s">
        <v>2228</v>
      </c>
      <c r="X898" s="258">
        <v>700</v>
      </c>
      <c r="Y898" s="192"/>
    </row>
    <row r="899" ht="37.5" customHeight="1" spans="1:25">
      <c r="A899" s="192">
        <f t="shared" si="24"/>
        <v>891</v>
      </c>
      <c r="B899" s="208">
        <v>2023</v>
      </c>
      <c r="C899" s="193" t="s">
        <v>37</v>
      </c>
      <c r="D899" s="277" t="s">
        <v>4128</v>
      </c>
      <c r="E899" s="195" t="s">
        <v>4133</v>
      </c>
      <c r="F899" s="196" t="s">
        <v>2073</v>
      </c>
      <c r="G899" s="197" t="s">
        <v>3239</v>
      </c>
      <c r="H899" s="198">
        <v>0.8</v>
      </c>
      <c r="I899" s="199">
        <v>17962.41</v>
      </c>
      <c r="J899" s="200" t="s">
        <v>2120</v>
      </c>
      <c r="K899" s="200" t="s">
        <v>2800</v>
      </c>
      <c r="L899" s="201">
        <v>0.4</v>
      </c>
      <c r="M899" s="278" t="s">
        <v>3233</v>
      </c>
      <c r="N899" s="205">
        <v>2846.7</v>
      </c>
      <c r="O899" s="254">
        <v>2846.7</v>
      </c>
      <c r="P899" s="254">
        <v>2277.36</v>
      </c>
      <c r="Q899" s="254">
        <v>2277.36</v>
      </c>
      <c r="R899" s="1262" t="s">
        <v>2107</v>
      </c>
      <c r="S899" s="254">
        <v>1138.68</v>
      </c>
      <c r="T899" s="204">
        <v>45035</v>
      </c>
      <c r="U899" s="1262" t="s">
        <v>2169</v>
      </c>
      <c r="V899" s="254">
        <v>569.34</v>
      </c>
      <c r="W899" s="1262" t="s">
        <v>2228</v>
      </c>
      <c r="X899" s="258">
        <v>569.34</v>
      </c>
      <c r="Y899" s="192"/>
    </row>
    <row r="900" ht="37.5" customHeight="1" spans="1:25">
      <c r="A900" s="192">
        <f t="shared" si="24"/>
        <v>892</v>
      </c>
      <c r="B900" s="208">
        <v>2023</v>
      </c>
      <c r="C900" s="193" t="s">
        <v>37</v>
      </c>
      <c r="D900" s="277" t="s">
        <v>4134</v>
      </c>
      <c r="E900" s="195" t="s">
        <v>4135</v>
      </c>
      <c r="F900" s="196" t="s">
        <v>2073</v>
      </c>
      <c r="G900" s="197" t="s">
        <v>3239</v>
      </c>
      <c r="H900" s="198">
        <v>0.8</v>
      </c>
      <c r="I900" s="199">
        <v>13885.87</v>
      </c>
      <c r="J900" s="200" t="s">
        <v>2120</v>
      </c>
      <c r="K900" s="200" t="s">
        <v>2800</v>
      </c>
      <c r="L900" s="201">
        <v>0.4</v>
      </c>
      <c r="M900" s="278" t="s">
        <v>3817</v>
      </c>
      <c r="N900" s="205">
        <v>5833.35</v>
      </c>
      <c r="O900" s="254">
        <v>5833.35</v>
      </c>
      <c r="P900" s="254">
        <v>4666.68</v>
      </c>
      <c r="Q900" s="254">
        <v>4666.68</v>
      </c>
      <c r="R900" s="1262" t="s">
        <v>2107</v>
      </c>
      <c r="S900" s="254">
        <v>2333.34</v>
      </c>
      <c r="T900" s="204">
        <v>45035</v>
      </c>
      <c r="U900" s="1262" t="s">
        <v>2169</v>
      </c>
      <c r="V900" s="254">
        <v>1166.67</v>
      </c>
      <c r="W900" s="1262" t="s">
        <v>2228</v>
      </c>
      <c r="X900" s="258">
        <v>1166.67</v>
      </c>
      <c r="Y900" s="192"/>
    </row>
    <row r="901" ht="37.5" customHeight="1" spans="1:25">
      <c r="A901" s="192">
        <f t="shared" si="24"/>
        <v>893</v>
      </c>
      <c r="B901" s="208">
        <v>2023</v>
      </c>
      <c r="C901" s="193" t="s">
        <v>37</v>
      </c>
      <c r="D901" s="277" t="s">
        <v>4047</v>
      </c>
      <c r="E901" s="195" t="s">
        <v>4136</v>
      </c>
      <c r="F901" s="196" t="s">
        <v>2073</v>
      </c>
      <c r="G901" s="197" t="s">
        <v>3239</v>
      </c>
      <c r="H901" s="198">
        <v>0.8</v>
      </c>
      <c r="I901" s="199">
        <v>120000</v>
      </c>
      <c r="J901" s="200" t="s">
        <v>2120</v>
      </c>
      <c r="K901" s="200" t="s">
        <v>2800</v>
      </c>
      <c r="L901" s="201">
        <v>0.4</v>
      </c>
      <c r="M901" s="278" t="s">
        <v>3764</v>
      </c>
      <c r="N901" s="205">
        <v>68833.49</v>
      </c>
      <c r="O901" s="254">
        <v>68833.49</v>
      </c>
      <c r="P901" s="254">
        <v>55066.79</v>
      </c>
      <c r="Q901" s="254">
        <v>55066.79</v>
      </c>
      <c r="R901" s="1262" t="s">
        <v>2107</v>
      </c>
      <c r="S901" s="254">
        <v>27533.4</v>
      </c>
      <c r="T901" s="204">
        <v>45035</v>
      </c>
      <c r="U901" s="1262" t="s">
        <v>2169</v>
      </c>
      <c r="V901" s="254">
        <v>13766.7</v>
      </c>
      <c r="W901" s="1262" t="s">
        <v>2228</v>
      </c>
      <c r="X901" s="258">
        <v>13766.7</v>
      </c>
      <c r="Y901" s="192"/>
    </row>
    <row r="902" ht="37.5" customHeight="1" spans="1:25">
      <c r="A902" s="192">
        <f t="shared" si="24"/>
        <v>894</v>
      </c>
      <c r="B902" s="208">
        <v>2023</v>
      </c>
      <c r="C902" s="193" t="s">
        <v>37</v>
      </c>
      <c r="D902" s="277" t="s">
        <v>4061</v>
      </c>
      <c r="E902" s="195" t="s">
        <v>4137</v>
      </c>
      <c r="F902" s="196" t="s">
        <v>2073</v>
      </c>
      <c r="G902" s="197" t="s">
        <v>3239</v>
      </c>
      <c r="H902" s="198">
        <v>0.8</v>
      </c>
      <c r="I902" s="199">
        <v>35000</v>
      </c>
      <c r="J902" s="200" t="s">
        <v>2792</v>
      </c>
      <c r="K902" s="200" t="s">
        <v>2793</v>
      </c>
      <c r="L902" s="201">
        <v>0.4</v>
      </c>
      <c r="M902" s="278" t="s">
        <v>3889</v>
      </c>
      <c r="N902" s="205">
        <v>20416.7</v>
      </c>
      <c r="O902" s="254">
        <v>20416.7</v>
      </c>
      <c r="P902" s="254">
        <v>16333.36</v>
      </c>
      <c r="Q902" s="254">
        <v>16333.36</v>
      </c>
      <c r="R902" s="1262" t="s">
        <v>2107</v>
      </c>
      <c r="S902" s="254">
        <v>8166.68</v>
      </c>
      <c r="T902" s="204">
        <v>45035</v>
      </c>
      <c r="U902" s="1262" t="s">
        <v>2169</v>
      </c>
      <c r="V902" s="254">
        <v>4083.34</v>
      </c>
      <c r="W902" s="1262" t="s">
        <v>2228</v>
      </c>
      <c r="X902" s="258">
        <v>4083.34</v>
      </c>
      <c r="Y902" s="192"/>
    </row>
    <row r="903" ht="37.5" customHeight="1" spans="1:25">
      <c r="A903" s="192">
        <f t="shared" si="24"/>
        <v>895</v>
      </c>
      <c r="B903" s="208">
        <v>2023</v>
      </c>
      <c r="C903" s="193" t="s">
        <v>37</v>
      </c>
      <c r="D903" s="277" t="s">
        <v>3988</v>
      </c>
      <c r="E903" s="195" t="s">
        <v>4138</v>
      </c>
      <c r="F903" s="196" t="s">
        <v>2073</v>
      </c>
      <c r="G903" s="197" t="s">
        <v>3239</v>
      </c>
      <c r="H903" s="198">
        <v>0.8</v>
      </c>
      <c r="I903" s="199">
        <v>14000</v>
      </c>
      <c r="J903" s="200" t="s">
        <v>2792</v>
      </c>
      <c r="K903" s="200" t="s">
        <v>2793</v>
      </c>
      <c r="L903" s="201">
        <v>0.4</v>
      </c>
      <c r="M903" s="278" t="s">
        <v>3233</v>
      </c>
      <c r="N903" s="205">
        <v>8166.7</v>
      </c>
      <c r="O903" s="254">
        <v>8166.7</v>
      </c>
      <c r="P903" s="254">
        <v>6533.36</v>
      </c>
      <c r="Q903" s="254">
        <v>6533.36</v>
      </c>
      <c r="R903" s="1262" t="s">
        <v>2107</v>
      </c>
      <c r="S903" s="254">
        <v>3266.68</v>
      </c>
      <c r="T903" s="204">
        <v>45035</v>
      </c>
      <c r="U903" s="1262" t="s">
        <v>2169</v>
      </c>
      <c r="V903" s="254">
        <v>1633.34</v>
      </c>
      <c r="W903" s="1262" t="s">
        <v>2228</v>
      </c>
      <c r="X903" s="258">
        <v>1633.34</v>
      </c>
      <c r="Y903" s="192"/>
    </row>
    <row r="904" ht="37.5" customHeight="1" spans="1:25">
      <c r="A904" s="192">
        <f t="shared" si="24"/>
        <v>896</v>
      </c>
      <c r="B904" s="208">
        <v>2023</v>
      </c>
      <c r="C904" s="193" t="s">
        <v>37</v>
      </c>
      <c r="D904" s="277" t="s">
        <v>4139</v>
      </c>
      <c r="E904" s="195" t="s">
        <v>4140</v>
      </c>
      <c r="F904" s="196" t="s">
        <v>2073</v>
      </c>
      <c r="G904" s="197" t="s">
        <v>3239</v>
      </c>
      <c r="H904" s="198">
        <v>0.8</v>
      </c>
      <c r="I904" s="199">
        <v>51980</v>
      </c>
      <c r="J904" s="200" t="s">
        <v>2792</v>
      </c>
      <c r="K904" s="200" t="s">
        <v>2793</v>
      </c>
      <c r="L904" s="201">
        <v>0.4</v>
      </c>
      <c r="M904" s="278" t="s">
        <v>4004</v>
      </c>
      <c r="N904" s="205">
        <v>8663.4</v>
      </c>
      <c r="O904" s="254">
        <v>8663.4</v>
      </c>
      <c r="P904" s="254">
        <v>6930.72</v>
      </c>
      <c r="Q904" s="254">
        <v>6930.72</v>
      </c>
      <c r="R904" s="1262" t="s">
        <v>2107</v>
      </c>
      <c r="S904" s="254">
        <v>3465.36</v>
      </c>
      <c r="T904" s="204">
        <v>45035</v>
      </c>
      <c r="U904" s="1262" t="s">
        <v>2169</v>
      </c>
      <c r="V904" s="254">
        <v>1732.68</v>
      </c>
      <c r="W904" s="1262" t="s">
        <v>2228</v>
      </c>
      <c r="X904" s="258">
        <v>1732.68</v>
      </c>
      <c r="Y904" s="192"/>
    </row>
    <row r="905" ht="37.5" customHeight="1" spans="1:25">
      <c r="A905" s="192">
        <f t="shared" si="24"/>
        <v>897</v>
      </c>
      <c r="B905" s="208">
        <v>2023</v>
      </c>
      <c r="C905" s="193" t="s">
        <v>37</v>
      </c>
      <c r="D905" s="277" t="s">
        <v>4120</v>
      </c>
      <c r="E905" s="195" t="s">
        <v>4141</v>
      </c>
      <c r="F905" s="196" t="s">
        <v>2073</v>
      </c>
      <c r="G905" s="197" t="s">
        <v>3239</v>
      </c>
      <c r="H905" s="198">
        <v>0.8</v>
      </c>
      <c r="I905" s="199">
        <v>12863.56</v>
      </c>
      <c r="J905" s="200" t="s">
        <v>2053</v>
      </c>
      <c r="K905" s="200" t="s">
        <v>2709</v>
      </c>
      <c r="L905" s="201">
        <v>0.4</v>
      </c>
      <c r="M905" s="278" t="s">
        <v>3889</v>
      </c>
      <c r="N905" s="205">
        <v>4550</v>
      </c>
      <c r="O905" s="254">
        <v>4550</v>
      </c>
      <c r="P905" s="254">
        <v>3640</v>
      </c>
      <c r="Q905" s="254">
        <v>3640</v>
      </c>
      <c r="R905" s="1262" t="s">
        <v>2107</v>
      </c>
      <c r="S905" s="254">
        <v>1820</v>
      </c>
      <c r="T905" s="204">
        <v>45035</v>
      </c>
      <c r="U905" s="1262" t="s">
        <v>2169</v>
      </c>
      <c r="V905" s="254">
        <v>910</v>
      </c>
      <c r="W905" s="1262" t="s">
        <v>2228</v>
      </c>
      <c r="X905" s="258">
        <v>910</v>
      </c>
      <c r="Y905" s="192"/>
    </row>
    <row r="906" ht="37.5" customHeight="1" spans="1:25">
      <c r="A906" s="192">
        <f t="shared" si="24"/>
        <v>898</v>
      </c>
      <c r="B906" s="208">
        <v>2023</v>
      </c>
      <c r="C906" s="193" t="s">
        <v>37</v>
      </c>
      <c r="D906" s="277" t="s">
        <v>4054</v>
      </c>
      <c r="E906" s="195" t="s">
        <v>4142</v>
      </c>
      <c r="F906" s="196" t="s">
        <v>2073</v>
      </c>
      <c r="G906" s="197" t="s">
        <v>3239</v>
      </c>
      <c r="H906" s="198">
        <v>0.8</v>
      </c>
      <c r="I906" s="199">
        <v>11897.37</v>
      </c>
      <c r="J906" s="200" t="s">
        <v>2143</v>
      </c>
      <c r="K906" s="200" t="s">
        <v>4143</v>
      </c>
      <c r="L906" s="201">
        <v>0.4</v>
      </c>
      <c r="M906" s="278" t="s">
        <v>3817</v>
      </c>
      <c r="N906" s="205">
        <v>1000</v>
      </c>
      <c r="O906" s="254">
        <v>1000</v>
      </c>
      <c r="P906" s="254">
        <v>800</v>
      </c>
      <c r="Q906" s="254">
        <v>800</v>
      </c>
      <c r="R906" s="1262" t="s">
        <v>2107</v>
      </c>
      <c r="S906" s="254">
        <v>400</v>
      </c>
      <c r="T906" s="204">
        <v>45035</v>
      </c>
      <c r="U906" s="1262" t="s">
        <v>2169</v>
      </c>
      <c r="V906" s="254">
        <v>200</v>
      </c>
      <c r="W906" s="1262" t="s">
        <v>2228</v>
      </c>
      <c r="X906" s="258">
        <v>200</v>
      </c>
      <c r="Y906" s="192"/>
    </row>
    <row r="907" ht="37.5" customHeight="1" spans="1:25">
      <c r="A907" s="192">
        <f t="shared" si="24"/>
        <v>899</v>
      </c>
      <c r="B907" s="208">
        <v>2023</v>
      </c>
      <c r="C907" s="193" t="s">
        <v>37</v>
      </c>
      <c r="D907" s="277" t="s">
        <v>3270</v>
      </c>
      <c r="E907" s="195" t="s">
        <v>4144</v>
      </c>
      <c r="F907" s="196" t="s">
        <v>2073</v>
      </c>
      <c r="G907" s="197" t="s">
        <v>3239</v>
      </c>
      <c r="H907" s="198">
        <v>0.8</v>
      </c>
      <c r="I907" s="199">
        <v>12000</v>
      </c>
      <c r="J907" s="200" t="s">
        <v>1933</v>
      </c>
      <c r="K907" s="200" t="s">
        <v>3158</v>
      </c>
      <c r="L907" s="201">
        <v>0.4</v>
      </c>
      <c r="M907" s="278" t="s">
        <v>3808</v>
      </c>
      <c r="N907" s="205">
        <v>7000</v>
      </c>
      <c r="O907" s="254">
        <v>7000</v>
      </c>
      <c r="P907" s="254">
        <v>5600</v>
      </c>
      <c r="Q907" s="254">
        <v>5600</v>
      </c>
      <c r="R907" s="1262" t="s">
        <v>2107</v>
      </c>
      <c r="S907" s="254">
        <v>2800</v>
      </c>
      <c r="T907" s="204">
        <v>45035</v>
      </c>
      <c r="U907" s="1262" t="s">
        <v>2169</v>
      </c>
      <c r="V907" s="254">
        <v>1400</v>
      </c>
      <c r="W907" s="1262" t="s">
        <v>2228</v>
      </c>
      <c r="X907" s="258">
        <v>1400</v>
      </c>
      <c r="Y907" s="192"/>
    </row>
    <row r="908" ht="37.5" customHeight="1" spans="1:25">
      <c r="A908" s="192">
        <f t="shared" si="24"/>
        <v>900</v>
      </c>
      <c r="B908" s="208">
        <v>2023</v>
      </c>
      <c r="C908" s="193" t="s">
        <v>37</v>
      </c>
      <c r="D908" s="277" t="s">
        <v>4047</v>
      </c>
      <c r="E908" s="195" t="s">
        <v>4145</v>
      </c>
      <c r="F908" s="196" t="s">
        <v>2073</v>
      </c>
      <c r="G908" s="197" t="s">
        <v>3239</v>
      </c>
      <c r="H908" s="198">
        <v>0.8</v>
      </c>
      <c r="I908" s="199">
        <v>131000</v>
      </c>
      <c r="J908" s="200" t="s">
        <v>2919</v>
      </c>
      <c r="K908" s="200" t="s">
        <v>2920</v>
      </c>
      <c r="L908" s="201">
        <v>0.4</v>
      </c>
      <c r="M908" s="278" t="s">
        <v>3764</v>
      </c>
      <c r="N908" s="205">
        <v>87333.44</v>
      </c>
      <c r="O908" s="254">
        <v>87333.44</v>
      </c>
      <c r="P908" s="254">
        <v>69866.74</v>
      </c>
      <c r="Q908" s="254">
        <v>69866.74</v>
      </c>
      <c r="R908" s="1262" t="s">
        <v>2107</v>
      </c>
      <c r="S908" s="254">
        <v>34933.38</v>
      </c>
      <c r="T908" s="204">
        <v>45035</v>
      </c>
      <c r="U908" s="1262" t="s">
        <v>2169</v>
      </c>
      <c r="V908" s="254">
        <v>17466.69</v>
      </c>
      <c r="W908" s="1262" t="s">
        <v>2228</v>
      </c>
      <c r="X908" s="258">
        <v>17466.69</v>
      </c>
      <c r="Y908" s="192"/>
    </row>
    <row r="909" ht="37.5" customHeight="1" spans="1:25">
      <c r="A909" s="192">
        <f t="shared" si="24"/>
        <v>901</v>
      </c>
      <c r="B909" s="208">
        <v>2023</v>
      </c>
      <c r="C909" s="193" t="s">
        <v>37</v>
      </c>
      <c r="D909" s="277" t="s">
        <v>3988</v>
      </c>
      <c r="E909" s="195" t="s">
        <v>4146</v>
      </c>
      <c r="F909" s="196" t="s">
        <v>2073</v>
      </c>
      <c r="G909" s="197" t="s">
        <v>3239</v>
      </c>
      <c r="H909" s="198">
        <v>0.8</v>
      </c>
      <c r="I909" s="199">
        <v>24362</v>
      </c>
      <c r="J909" s="200" t="s">
        <v>2209</v>
      </c>
      <c r="K909" s="200" t="s">
        <v>2902</v>
      </c>
      <c r="L909" s="201">
        <v>0.4</v>
      </c>
      <c r="M909" s="278" t="s">
        <v>3233</v>
      </c>
      <c r="N909" s="205">
        <v>15054.04</v>
      </c>
      <c r="O909" s="254">
        <v>15054.04</v>
      </c>
      <c r="P909" s="254">
        <v>12043.22</v>
      </c>
      <c r="Q909" s="254">
        <v>12043.22</v>
      </c>
      <c r="R909" s="1262" t="s">
        <v>2107</v>
      </c>
      <c r="S909" s="254">
        <v>6021.62</v>
      </c>
      <c r="T909" s="204">
        <v>45035</v>
      </c>
      <c r="U909" s="1262" t="s">
        <v>2169</v>
      </c>
      <c r="V909" s="254">
        <v>3010.81</v>
      </c>
      <c r="W909" s="1262" t="s">
        <v>2228</v>
      </c>
      <c r="X909" s="258">
        <v>3010.81</v>
      </c>
      <c r="Y909" s="192"/>
    </row>
    <row r="910" ht="37.5" customHeight="1" spans="1:25">
      <c r="A910" s="192">
        <f t="shared" si="24"/>
        <v>902</v>
      </c>
      <c r="B910" s="208">
        <v>2023</v>
      </c>
      <c r="C910" s="193" t="s">
        <v>37</v>
      </c>
      <c r="D910" s="277" t="s">
        <v>4147</v>
      </c>
      <c r="E910" s="195" t="s">
        <v>4148</v>
      </c>
      <c r="F910" s="196" t="s">
        <v>2073</v>
      </c>
      <c r="G910" s="197" t="s">
        <v>3239</v>
      </c>
      <c r="H910" s="198">
        <v>0.8</v>
      </c>
      <c r="I910" s="199">
        <v>14162</v>
      </c>
      <c r="J910" s="200" t="s">
        <v>2209</v>
      </c>
      <c r="K910" s="200" t="s">
        <v>2902</v>
      </c>
      <c r="L910" s="201">
        <v>0.4</v>
      </c>
      <c r="M910" s="278" t="s">
        <v>2652</v>
      </c>
      <c r="N910" s="205">
        <v>9441.36</v>
      </c>
      <c r="O910" s="254">
        <v>9441.36</v>
      </c>
      <c r="P910" s="254">
        <v>7553.09</v>
      </c>
      <c r="Q910" s="254">
        <v>7553.09</v>
      </c>
      <c r="R910" s="1262" t="s">
        <v>2107</v>
      </c>
      <c r="S910" s="254">
        <v>3776.54</v>
      </c>
      <c r="T910" s="204">
        <v>45035</v>
      </c>
      <c r="U910" s="1262" t="s">
        <v>2169</v>
      </c>
      <c r="V910" s="254">
        <v>1888.27</v>
      </c>
      <c r="W910" s="1262" t="s">
        <v>2228</v>
      </c>
      <c r="X910" s="258">
        <v>1888.27</v>
      </c>
      <c r="Y910" s="192"/>
    </row>
    <row r="911" ht="37.5" customHeight="1" spans="1:25">
      <c r="A911" s="192">
        <f t="shared" si="24"/>
        <v>903</v>
      </c>
      <c r="B911" s="208">
        <v>2023</v>
      </c>
      <c r="C911" s="193" t="s">
        <v>37</v>
      </c>
      <c r="D911" s="277" t="s">
        <v>4128</v>
      </c>
      <c r="E911" s="195" t="s">
        <v>4149</v>
      </c>
      <c r="F911" s="196" t="s">
        <v>2073</v>
      </c>
      <c r="G911" s="197" t="s">
        <v>3239</v>
      </c>
      <c r="H911" s="198">
        <v>0.8</v>
      </c>
      <c r="I911" s="199">
        <v>16000</v>
      </c>
      <c r="J911" s="200" t="s">
        <v>2149</v>
      </c>
      <c r="K911" s="200" t="s">
        <v>2923</v>
      </c>
      <c r="L911" s="201">
        <v>0.4</v>
      </c>
      <c r="M911" s="278" t="s">
        <v>2714</v>
      </c>
      <c r="N911" s="205">
        <v>16000</v>
      </c>
      <c r="O911" s="254">
        <v>16000</v>
      </c>
      <c r="P911" s="254">
        <v>12800</v>
      </c>
      <c r="Q911" s="254">
        <v>12800</v>
      </c>
      <c r="R911" s="1262" t="s">
        <v>2107</v>
      </c>
      <c r="S911" s="254">
        <v>6400</v>
      </c>
      <c r="T911" s="204">
        <v>45035</v>
      </c>
      <c r="U911" s="1262" t="s">
        <v>2169</v>
      </c>
      <c r="V911" s="254">
        <v>3200</v>
      </c>
      <c r="W911" s="1262" t="s">
        <v>2228</v>
      </c>
      <c r="X911" s="258">
        <v>3200</v>
      </c>
      <c r="Y911" s="192"/>
    </row>
    <row r="912" ht="37.5" customHeight="1" spans="1:25">
      <c r="A912" s="192">
        <f t="shared" si="24"/>
        <v>904</v>
      </c>
      <c r="B912" s="208">
        <v>2023</v>
      </c>
      <c r="C912" s="193" t="s">
        <v>37</v>
      </c>
      <c r="D912" s="277" t="s">
        <v>4150</v>
      </c>
      <c r="E912" s="195" t="s">
        <v>4151</v>
      </c>
      <c r="F912" s="196" t="s">
        <v>2073</v>
      </c>
      <c r="G912" s="197" t="s">
        <v>3239</v>
      </c>
      <c r="H912" s="198">
        <v>0.8</v>
      </c>
      <c r="I912" s="199">
        <v>16603.03</v>
      </c>
      <c r="J912" s="200" t="s">
        <v>2149</v>
      </c>
      <c r="K912" s="200" t="s">
        <v>2923</v>
      </c>
      <c r="L912" s="201">
        <v>0.4</v>
      </c>
      <c r="M912" s="278" t="s">
        <v>4030</v>
      </c>
      <c r="N912" s="205">
        <v>3833.42</v>
      </c>
      <c r="O912" s="254">
        <v>3833.42</v>
      </c>
      <c r="P912" s="254">
        <v>3066.74</v>
      </c>
      <c r="Q912" s="254">
        <v>3066.74</v>
      </c>
      <c r="R912" s="1262" t="s">
        <v>2107</v>
      </c>
      <c r="S912" s="254">
        <v>1533.37</v>
      </c>
      <c r="T912" s="204">
        <v>45035</v>
      </c>
      <c r="U912" s="1262" t="s">
        <v>2169</v>
      </c>
      <c r="V912" s="254">
        <v>766.68</v>
      </c>
      <c r="W912" s="1262" t="s">
        <v>2228</v>
      </c>
      <c r="X912" s="258">
        <v>766.68</v>
      </c>
      <c r="Y912" s="192"/>
    </row>
    <row r="913" ht="37.5" customHeight="1" spans="1:25">
      <c r="A913" s="192">
        <f t="shared" si="24"/>
        <v>905</v>
      </c>
      <c r="B913" s="208">
        <v>2023</v>
      </c>
      <c r="C913" s="193" t="s">
        <v>37</v>
      </c>
      <c r="D913" s="277" t="s">
        <v>4050</v>
      </c>
      <c r="E913" s="195" t="s">
        <v>4152</v>
      </c>
      <c r="F913" s="196" t="s">
        <v>2073</v>
      </c>
      <c r="G913" s="197" t="s">
        <v>3239</v>
      </c>
      <c r="H913" s="198">
        <v>0.8</v>
      </c>
      <c r="I913" s="199">
        <v>18000</v>
      </c>
      <c r="J913" s="200" t="s">
        <v>2958</v>
      </c>
      <c r="K913" s="200" t="s">
        <v>2959</v>
      </c>
      <c r="L913" s="201">
        <v>0.4</v>
      </c>
      <c r="M913" s="278" t="s">
        <v>2896</v>
      </c>
      <c r="N913" s="205">
        <v>8250</v>
      </c>
      <c r="O913" s="254">
        <v>8250</v>
      </c>
      <c r="P913" s="254">
        <v>6600</v>
      </c>
      <c r="Q913" s="254">
        <v>6600</v>
      </c>
      <c r="R913" s="1262" t="s">
        <v>2107</v>
      </c>
      <c r="S913" s="254">
        <v>3300</v>
      </c>
      <c r="T913" s="204">
        <v>45035</v>
      </c>
      <c r="U913" s="1262" t="s">
        <v>2169</v>
      </c>
      <c r="V913" s="254">
        <v>1650</v>
      </c>
      <c r="W913" s="1262" t="s">
        <v>2228</v>
      </c>
      <c r="X913" s="258">
        <v>1650</v>
      </c>
      <c r="Y913" s="192"/>
    </row>
    <row r="914" ht="37.5" customHeight="1" spans="1:25">
      <c r="A914" s="192">
        <f t="shared" si="24"/>
        <v>906</v>
      </c>
      <c r="B914" s="208">
        <v>2023</v>
      </c>
      <c r="C914" s="193" t="s">
        <v>37</v>
      </c>
      <c r="D914" s="277" t="s">
        <v>4005</v>
      </c>
      <c r="E914" s="195" t="s">
        <v>4153</v>
      </c>
      <c r="F914" s="196" t="s">
        <v>2073</v>
      </c>
      <c r="G914" s="197" t="s">
        <v>3239</v>
      </c>
      <c r="H914" s="198">
        <v>0.8</v>
      </c>
      <c r="I914" s="199">
        <v>11483.24</v>
      </c>
      <c r="J914" s="200" t="s">
        <v>2087</v>
      </c>
      <c r="K914" s="200" t="s">
        <v>3407</v>
      </c>
      <c r="L914" s="201">
        <v>0.4</v>
      </c>
      <c r="M914" s="278" t="s">
        <v>3825</v>
      </c>
      <c r="N914" s="205">
        <v>1502.68</v>
      </c>
      <c r="O914" s="254">
        <v>1502.68</v>
      </c>
      <c r="P914" s="254">
        <v>1202.14</v>
      </c>
      <c r="Q914" s="254">
        <v>1202.14</v>
      </c>
      <c r="R914" s="1262" t="s">
        <v>2107</v>
      </c>
      <c r="S914" s="254">
        <v>601.07</v>
      </c>
      <c r="T914" s="204">
        <v>45035</v>
      </c>
      <c r="U914" s="1262" t="s">
        <v>2169</v>
      </c>
      <c r="V914" s="254">
        <v>300.54</v>
      </c>
      <c r="W914" s="1262" t="s">
        <v>2228</v>
      </c>
      <c r="X914" s="258">
        <v>300.54</v>
      </c>
      <c r="Y914" s="192"/>
    </row>
    <row r="915" ht="37.5" customHeight="1" spans="1:25">
      <c r="A915" s="192">
        <f t="shared" si="24"/>
        <v>907</v>
      </c>
      <c r="B915" s="208">
        <v>2023</v>
      </c>
      <c r="C915" s="193" t="s">
        <v>37</v>
      </c>
      <c r="D915" s="277" t="s">
        <v>4139</v>
      </c>
      <c r="E915" s="195" t="s">
        <v>4154</v>
      </c>
      <c r="F915" s="196" t="s">
        <v>2073</v>
      </c>
      <c r="G915" s="197" t="s">
        <v>3239</v>
      </c>
      <c r="H915" s="198">
        <v>0.8</v>
      </c>
      <c r="I915" s="199">
        <v>41000</v>
      </c>
      <c r="J915" s="200" t="s">
        <v>2087</v>
      </c>
      <c r="K915" s="200" t="s">
        <v>3407</v>
      </c>
      <c r="L915" s="201">
        <v>0.4</v>
      </c>
      <c r="M915" s="278" t="s">
        <v>4004</v>
      </c>
      <c r="N915" s="205">
        <v>13666.68</v>
      </c>
      <c r="O915" s="254">
        <v>13666.68</v>
      </c>
      <c r="P915" s="254">
        <v>10933.34</v>
      </c>
      <c r="Q915" s="254">
        <v>10933.34</v>
      </c>
      <c r="R915" s="1262" t="s">
        <v>2107</v>
      </c>
      <c r="S915" s="254">
        <v>5466.67</v>
      </c>
      <c r="T915" s="204">
        <v>45035</v>
      </c>
      <c r="U915" s="1262" t="s">
        <v>2169</v>
      </c>
      <c r="V915" s="254">
        <v>2733.34</v>
      </c>
      <c r="W915" s="1262" t="s">
        <v>2228</v>
      </c>
      <c r="X915" s="258">
        <v>2733.34</v>
      </c>
      <c r="Y915" s="192"/>
    </row>
    <row r="916" ht="37.5" customHeight="1" spans="1:25">
      <c r="A916" s="192">
        <f t="shared" si="24"/>
        <v>908</v>
      </c>
      <c r="B916" s="208">
        <v>2023</v>
      </c>
      <c r="C916" s="193" t="s">
        <v>37</v>
      </c>
      <c r="D916" s="277" t="s">
        <v>4047</v>
      </c>
      <c r="E916" s="195" t="s">
        <v>4155</v>
      </c>
      <c r="F916" s="196" t="s">
        <v>2073</v>
      </c>
      <c r="G916" s="197" t="s">
        <v>3239</v>
      </c>
      <c r="H916" s="198">
        <v>0.8</v>
      </c>
      <c r="I916" s="199">
        <v>572040</v>
      </c>
      <c r="J916" s="200" t="s">
        <v>1892</v>
      </c>
      <c r="K916" s="200" t="s">
        <v>2462</v>
      </c>
      <c r="L916" s="201">
        <v>0.4</v>
      </c>
      <c r="M916" s="278" t="s">
        <v>3764</v>
      </c>
      <c r="N916" s="205">
        <v>56501.3</v>
      </c>
      <c r="O916" s="205">
        <v>56501.3</v>
      </c>
      <c r="P916" s="254">
        <v>45201</v>
      </c>
      <c r="Q916" s="254">
        <v>45201</v>
      </c>
      <c r="R916" s="1262" t="s">
        <v>2107</v>
      </c>
      <c r="S916" s="254">
        <v>22600.52</v>
      </c>
      <c r="T916" s="204">
        <v>45035</v>
      </c>
      <c r="U916" s="1262" t="s">
        <v>2364</v>
      </c>
      <c r="V916" s="254">
        <v>11300.26</v>
      </c>
      <c r="W916" s="1262" t="s">
        <v>4156</v>
      </c>
      <c r="X916" s="258">
        <v>11300.26</v>
      </c>
      <c r="Y916" s="192"/>
    </row>
    <row r="917" ht="37.5" customHeight="1" spans="1:25">
      <c r="A917" s="192">
        <f t="shared" si="24"/>
        <v>909</v>
      </c>
      <c r="B917" s="208">
        <v>2023</v>
      </c>
      <c r="C917" s="193" t="s">
        <v>37</v>
      </c>
      <c r="D917" s="277" t="s">
        <v>4157</v>
      </c>
      <c r="E917" s="195" t="s">
        <v>4158</v>
      </c>
      <c r="F917" s="196" t="s">
        <v>2073</v>
      </c>
      <c r="G917" s="197" t="s">
        <v>3239</v>
      </c>
      <c r="H917" s="198">
        <v>0.8</v>
      </c>
      <c r="I917" s="199">
        <v>40000</v>
      </c>
      <c r="J917" s="200" t="s">
        <v>2394</v>
      </c>
      <c r="K917" s="200" t="s">
        <v>2850</v>
      </c>
      <c r="L917" s="201">
        <v>0.4</v>
      </c>
      <c r="M917" s="278" t="s">
        <v>2652</v>
      </c>
      <c r="N917" s="205">
        <v>6750.09</v>
      </c>
      <c r="O917" s="205">
        <v>6750.09</v>
      </c>
      <c r="P917" s="254">
        <v>5400.07</v>
      </c>
      <c r="Q917" s="254">
        <v>5400.07</v>
      </c>
      <c r="R917" s="1262" t="s">
        <v>2107</v>
      </c>
      <c r="S917" s="254">
        <v>2700.04</v>
      </c>
      <c r="T917" s="204">
        <v>45035</v>
      </c>
      <c r="U917" s="1262" t="s">
        <v>2364</v>
      </c>
      <c r="V917" s="254">
        <v>1350.02</v>
      </c>
      <c r="W917" s="1262" t="s">
        <v>2228</v>
      </c>
      <c r="X917" s="258">
        <v>1350.02</v>
      </c>
      <c r="Y917" s="192"/>
    </row>
    <row r="918" ht="37.5" customHeight="1" spans="1:25">
      <c r="A918" s="192">
        <f t="shared" si="24"/>
        <v>910</v>
      </c>
      <c r="B918" s="208">
        <v>2023</v>
      </c>
      <c r="C918" s="193" t="s">
        <v>37</v>
      </c>
      <c r="D918" s="277" t="s">
        <v>4159</v>
      </c>
      <c r="E918" s="195" t="s">
        <v>4160</v>
      </c>
      <c r="F918" s="196" t="s">
        <v>2073</v>
      </c>
      <c r="G918" s="197" t="s">
        <v>3239</v>
      </c>
      <c r="H918" s="198">
        <v>0.8</v>
      </c>
      <c r="I918" s="199">
        <v>63700</v>
      </c>
      <c r="J918" s="200" t="s">
        <v>2329</v>
      </c>
      <c r="K918" s="200" t="s">
        <v>2330</v>
      </c>
      <c r="L918" s="201">
        <v>0.4</v>
      </c>
      <c r="M918" s="278" t="s">
        <v>4161</v>
      </c>
      <c r="N918" s="205">
        <v>2166.77</v>
      </c>
      <c r="O918" s="205">
        <v>2166.77</v>
      </c>
      <c r="P918" s="254">
        <v>1733.42</v>
      </c>
      <c r="Q918" s="254">
        <v>1733.42</v>
      </c>
      <c r="R918" s="1262" t="s">
        <v>2107</v>
      </c>
      <c r="S918" s="254">
        <v>866.71</v>
      </c>
      <c r="T918" s="204">
        <v>45035</v>
      </c>
      <c r="U918" s="1262" t="s">
        <v>2364</v>
      </c>
      <c r="V918" s="254">
        <v>433.35</v>
      </c>
      <c r="W918" s="1262" t="s">
        <v>2228</v>
      </c>
      <c r="X918" s="258">
        <v>433.35</v>
      </c>
      <c r="Y918" s="192"/>
    </row>
    <row r="919" ht="37.5" customHeight="1" spans="1:25">
      <c r="A919" s="192">
        <f t="shared" si="24"/>
        <v>911</v>
      </c>
      <c r="B919" s="208">
        <v>2023</v>
      </c>
      <c r="C919" s="193" t="s">
        <v>37</v>
      </c>
      <c r="D919" s="277" t="s">
        <v>4162</v>
      </c>
      <c r="E919" s="195" t="s">
        <v>4163</v>
      </c>
      <c r="F919" s="196" t="s">
        <v>2073</v>
      </c>
      <c r="G919" s="197" t="s">
        <v>3239</v>
      </c>
      <c r="H919" s="198">
        <v>0.8</v>
      </c>
      <c r="I919" s="199">
        <v>49000</v>
      </c>
      <c r="J919" s="200" t="s">
        <v>4164</v>
      </c>
      <c r="K919" s="200" t="s">
        <v>4165</v>
      </c>
      <c r="L919" s="201">
        <v>0.4</v>
      </c>
      <c r="M919" s="278" t="s">
        <v>2714</v>
      </c>
      <c r="N919" s="205">
        <v>40083.34</v>
      </c>
      <c r="O919" s="254">
        <v>40083.34</v>
      </c>
      <c r="P919" s="254">
        <v>32066.67</v>
      </c>
      <c r="Q919" s="254">
        <v>32066.67</v>
      </c>
      <c r="R919" s="1262" t="s">
        <v>2107</v>
      </c>
      <c r="S919" s="254">
        <v>16033.34</v>
      </c>
      <c r="T919" s="204">
        <v>45035</v>
      </c>
      <c r="U919" s="203"/>
      <c r="V919" s="254"/>
      <c r="W919" s="203"/>
      <c r="X919" s="206"/>
      <c r="Y919" s="203" t="s">
        <v>1077</v>
      </c>
    </row>
    <row r="920" ht="37.5" customHeight="1" spans="1:25">
      <c r="A920" s="192">
        <f t="shared" si="24"/>
        <v>912</v>
      </c>
      <c r="B920" s="208">
        <v>2023</v>
      </c>
      <c r="C920" s="193" t="s">
        <v>37</v>
      </c>
      <c r="D920" s="277" t="s">
        <v>3270</v>
      </c>
      <c r="E920" s="195" t="s">
        <v>4166</v>
      </c>
      <c r="F920" s="196" t="s">
        <v>2073</v>
      </c>
      <c r="G920" s="197" t="s">
        <v>3239</v>
      </c>
      <c r="H920" s="198">
        <v>0.8</v>
      </c>
      <c r="I920" s="199">
        <v>14254.41</v>
      </c>
      <c r="J920" s="200" t="s">
        <v>2304</v>
      </c>
      <c r="K920" s="200" t="s">
        <v>3716</v>
      </c>
      <c r="L920" s="201">
        <v>0.4</v>
      </c>
      <c r="M920" s="278" t="s">
        <v>3808</v>
      </c>
      <c r="N920" s="205">
        <v>950.01</v>
      </c>
      <c r="O920" s="254">
        <v>950.01</v>
      </c>
      <c r="P920" s="254">
        <v>760.01</v>
      </c>
      <c r="Q920" s="254">
        <v>760.01</v>
      </c>
      <c r="R920" s="1262" t="s">
        <v>2107</v>
      </c>
      <c r="S920" s="254">
        <v>380</v>
      </c>
      <c r="T920" s="204">
        <v>45035</v>
      </c>
      <c r="U920" s="203"/>
      <c r="V920" s="254"/>
      <c r="W920" s="203"/>
      <c r="X920" s="206"/>
      <c r="Y920" s="203" t="s">
        <v>1077</v>
      </c>
    </row>
    <row r="921" ht="37.5" customHeight="1" spans="1:25">
      <c r="A921" s="192">
        <f t="shared" si="24"/>
        <v>913</v>
      </c>
      <c r="B921" s="208">
        <v>2023</v>
      </c>
      <c r="C921" s="193" t="s">
        <v>37</v>
      </c>
      <c r="D921" s="277" t="s">
        <v>4128</v>
      </c>
      <c r="E921" s="195" t="s">
        <v>4167</v>
      </c>
      <c r="F921" s="196" t="s">
        <v>2073</v>
      </c>
      <c r="G921" s="197" t="s">
        <v>3239</v>
      </c>
      <c r="H921" s="198">
        <v>0.8</v>
      </c>
      <c r="I921" s="199">
        <v>14000</v>
      </c>
      <c r="J921" s="200" t="s">
        <v>2304</v>
      </c>
      <c r="K921" s="200" t="s">
        <v>3716</v>
      </c>
      <c r="L921" s="201">
        <v>0.4</v>
      </c>
      <c r="M921" s="278" t="s">
        <v>2714</v>
      </c>
      <c r="N921" s="205">
        <v>14000</v>
      </c>
      <c r="O921" s="254">
        <v>14000</v>
      </c>
      <c r="P921" s="254">
        <v>11200</v>
      </c>
      <c r="Q921" s="254">
        <v>11200</v>
      </c>
      <c r="R921" s="1262" t="s">
        <v>2107</v>
      </c>
      <c r="S921" s="254">
        <v>5600</v>
      </c>
      <c r="T921" s="204">
        <v>45035</v>
      </c>
      <c r="U921" s="203"/>
      <c r="V921" s="254"/>
      <c r="W921" s="203"/>
      <c r="X921" s="206"/>
      <c r="Y921" s="203" t="s">
        <v>1077</v>
      </c>
    </row>
    <row r="922" ht="37.5" customHeight="1" spans="1:25">
      <c r="A922" s="192">
        <f t="shared" si="24"/>
        <v>914</v>
      </c>
      <c r="B922" s="208">
        <v>2023</v>
      </c>
      <c r="C922" s="193" t="s">
        <v>37</v>
      </c>
      <c r="D922" s="277" t="s">
        <v>4073</v>
      </c>
      <c r="E922" s="195" t="s">
        <v>4168</v>
      </c>
      <c r="F922" s="196" t="s">
        <v>2073</v>
      </c>
      <c r="G922" s="197" t="s">
        <v>3239</v>
      </c>
      <c r="H922" s="198">
        <v>0.8</v>
      </c>
      <c r="I922" s="199">
        <v>41000</v>
      </c>
      <c r="J922" s="200" t="s">
        <v>2304</v>
      </c>
      <c r="K922" s="200" t="s">
        <v>3716</v>
      </c>
      <c r="L922" s="201">
        <v>0.4</v>
      </c>
      <c r="M922" s="278" t="s">
        <v>3994</v>
      </c>
      <c r="N922" s="205">
        <v>15750</v>
      </c>
      <c r="O922" s="254">
        <v>15750</v>
      </c>
      <c r="P922" s="254">
        <v>12600</v>
      </c>
      <c r="Q922" s="254">
        <v>12600</v>
      </c>
      <c r="R922" s="1262" t="s">
        <v>2107</v>
      </c>
      <c r="S922" s="254">
        <v>6300</v>
      </c>
      <c r="T922" s="204">
        <v>45035</v>
      </c>
      <c r="U922" s="203"/>
      <c r="V922" s="254"/>
      <c r="W922" s="203"/>
      <c r="X922" s="206"/>
      <c r="Y922" s="203" t="s">
        <v>1077</v>
      </c>
    </row>
    <row r="923" ht="37.5" customHeight="1" spans="1:25">
      <c r="A923" s="192">
        <f t="shared" si="24"/>
        <v>915</v>
      </c>
      <c r="B923" s="208">
        <v>2023</v>
      </c>
      <c r="C923" s="193" t="s">
        <v>37</v>
      </c>
      <c r="D923" s="277" t="s">
        <v>4005</v>
      </c>
      <c r="E923" s="195" t="s">
        <v>4169</v>
      </c>
      <c r="F923" s="196" t="s">
        <v>2073</v>
      </c>
      <c r="G923" s="197" t="s">
        <v>3239</v>
      </c>
      <c r="H923" s="198">
        <v>0.8</v>
      </c>
      <c r="I923" s="199">
        <v>11483.24</v>
      </c>
      <c r="J923" s="200" t="s">
        <v>3719</v>
      </c>
      <c r="K923" s="200" t="s">
        <v>3720</v>
      </c>
      <c r="L923" s="201">
        <v>0.4</v>
      </c>
      <c r="M923" s="278" t="s">
        <v>3825</v>
      </c>
      <c r="N923" s="205">
        <v>1873.52</v>
      </c>
      <c r="O923" s="254">
        <v>1873.52</v>
      </c>
      <c r="P923" s="254">
        <v>1498.82</v>
      </c>
      <c r="Q923" s="254">
        <v>1498.82</v>
      </c>
      <c r="R923" s="1262" t="s">
        <v>2107</v>
      </c>
      <c r="S923" s="254">
        <v>749.41</v>
      </c>
      <c r="T923" s="204">
        <v>45035</v>
      </c>
      <c r="U923" s="203"/>
      <c r="V923" s="254"/>
      <c r="W923" s="203"/>
      <c r="X923" s="206"/>
      <c r="Y923" s="203" t="s">
        <v>1077</v>
      </c>
    </row>
    <row r="924" ht="37.5" customHeight="1" spans="1:25">
      <c r="A924" s="192">
        <f t="shared" si="24"/>
        <v>916</v>
      </c>
      <c r="B924" s="208">
        <v>2023</v>
      </c>
      <c r="C924" s="193" t="s">
        <v>37</v>
      </c>
      <c r="D924" s="277" t="s">
        <v>4047</v>
      </c>
      <c r="E924" s="195" t="s">
        <v>4170</v>
      </c>
      <c r="F924" s="196" t="s">
        <v>2073</v>
      </c>
      <c r="G924" s="197" t="s">
        <v>3239</v>
      </c>
      <c r="H924" s="198">
        <v>0.8</v>
      </c>
      <c r="I924" s="199">
        <v>62000</v>
      </c>
      <c r="J924" s="200" t="s">
        <v>2399</v>
      </c>
      <c r="K924" s="200" t="s">
        <v>3973</v>
      </c>
      <c r="L924" s="201">
        <v>0.4</v>
      </c>
      <c r="M924" s="278" t="s">
        <v>3764</v>
      </c>
      <c r="N924" s="205">
        <v>46500.02</v>
      </c>
      <c r="O924" s="254">
        <v>46500.02</v>
      </c>
      <c r="P924" s="254">
        <v>37200.02</v>
      </c>
      <c r="Q924" s="254">
        <v>37200.02</v>
      </c>
      <c r="R924" s="1262" t="s">
        <v>2107</v>
      </c>
      <c r="S924" s="254">
        <v>18600.01</v>
      </c>
      <c r="T924" s="204">
        <v>45035</v>
      </c>
      <c r="U924" s="203"/>
      <c r="V924" s="254"/>
      <c r="W924" s="203"/>
      <c r="X924" s="206"/>
      <c r="Y924" s="203" t="s">
        <v>1077</v>
      </c>
    </row>
    <row r="925" ht="37.5" customHeight="1" spans="1:25">
      <c r="A925" s="192">
        <f t="shared" si="24"/>
        <v>917</v>
      </c>
      <c r="B925" s="208">
        <v>2023</v>
      </c>
      <c r="C925" s="193" t="s">
        <v>37</v>
      </c>
      <c r="D925" s="277" t="s">
        <v>4054</v>
      </c>
      <c r="E925" s="195" t="s">
        <v>4171</v>
      </c>
      <c r="F925" s="196" t="s">
        <v>2073</v>
      </c>
      <c r="G925" s="197" t="s">
        <v>3239</v>
      </c>
      <c r="H925" s="198">
        <v>0.8</v>
      </c>
      <c r="I925" s="199">
        <v>11897.37</v>
      </c>
      <c r="J925" s="200" t="s">
        <v>2297</v>
      </c>
      <c r="K925" s="200" t="s">
        <v>4172</v>
      </c>
      <c r="L925" s="201">
        <v>0.4</v>
      </c>
      <c r="M925" s="278" t="s">
        <v>3817</v>
      </c>
      <c r="N925" s="205">
        <v>4450.01</v>
      </c>
      <c r="O925" s="254">
        <v>4450.01</v>
      </c>
      <c r="P925" s="254">
        <v>3560.01</v>
      </c>
      <c r="Q925" s="254">
        <v>3560.01</v>
      </c>
      <c r="R925" s="1262" t="s">
        <v>2107</v>
      </c>
      <c r="S925" s="254">
        <v>1780</v>
      </c>
      <c r="T925" s="204">
        <v>45035</v>
      </c>
      <c r="U925" s="203"/>
      <c r="V925" s="254"/>
      <c r="W925" s="203"/>
      <c r="X925" s="206"/>
      <c r="Y925" s="203" t="s">
        <v>1077</v>
      </c>
    </row>
    <row r="926" ht="37.5" customHeight="1" spans="1:25">
      <c r="A926" s="192">
        <f t="shared" ref="A926:A989" si="25">ROW()-8</f>
        <v>918</v>
      </c>
      <c r="B926" s="208">
        <v>2023</v>
      </c>
      <c r="C926" s="193" t="s">
        <v>37</v>
      </c>
      <c r="D926" s="277" t="s">
        <v>3270</v>
      </c>
      <c r="E926" s="195" t="s">
        <v>4173</v>
      </c>
      <c r="F926" s="196" t="s">
        <v>2073</v>
      </c>
      <c r="G926" s="197" t="s">
        <v>3239</v>
      </c>
      <c r="H926" s="198">
        <v>0.8</v>
      </c>
      <c r="I926" s="199">
        <v>15753.26</v>
      </c>
      <c r="J926" s="200" t="s">
        <v>2413</v>
      </c>
      <c r="K926" s="200" t="s">
        <v>4174</v>
      </c>
      <c r="L926" s="201">
        <v>0.4</v>
      </c>
      <c r="M926" s="278" t="s">
        <v>2391</v>
      </c>
      <c r="N926" s="205">
        <v>2750.02</v>
      </c>
      <c r="O926" s="254">
        <v>2750.02</v>
      </c>
      <c r="P926" s="254">
        <v>2200.02</v>
      </c>
      <c r="Q926" s="254">
        <v>2200.02</v>
      </c>
      <c r="R926" s="1262" t="s">
        <v>2107</v>
      </c>
      <c r="S926" s="254">
        <v>1100.01</v>
      </c>
      <c r="T926" s="204">
        <v>45035</v>
      </c>
      <c r="U926" s="203"/>
      <c r="V926" s="254"/>
      <c r="W926" s="203"/>
      <c r="X926" s="206"/>
      <c r="Y926" s="203" t="s">
        <v>1077</v>
      </c>
    </row>
    <row r="927" s="88" customFormat="1" ht="37.5" customHeight="1" spans="1:25">
      <c r="A927" s="192">
        <f t="shared" si="25"/>
        <v>919</v>
      </c>
      <c r="B927" s="208">
        <v>2023</v>
      </c>
      <c r="C927" s="193" t="s">
        <v>37</v>
      </c>
      <c r="D927" s="277" t="s">
        <v>4175</v>
      </c>
      <c r="E927" s="195" t="s">
        <v>4176</v>
      </c>
      <c r="F927" s="196" t="s">
        <v>2073</v>
      </c>
      <c r="G927" s="197" t="s">
        <v>3239</v>
      </c>
      <c r="H927" s="198">
        <v>0.8</v>
      </c>
      <c r="I927" s="199">
        <v>221111</v>
      </c>
      <c r="J927" s="200" t="s">
        <v>1987</v>
      </c>
      <c r="K927" s="200" t="s">
        <v>2982</v>
      </c>
      <c r="L927" s="201">
        <v>0.4</v>
      </c>
      <c r="M927" s="278" t="s">
        <v>3501</v>
      </c>
      <c r="N927" s="205">
        <v>180000</v>
      </c>
      <c r="O927" s="254">
        <v>180000</v>
      </c>
      <c r="P927" s="254">
        <v>144000</v>
      </c>
      <c r="Q927" s="254">
        <v>144000</v>
      </c>
      <c r="R927" s="1262" t="s">
        <v>2107</v>
      </c>
      <c r="S927" s="254">
        <v>72000</v>
      </c>
      <c r="T927" s="204">
        <v>45035</v>
      </c>
      <c r="U927" s="203"/>
      <c r="V927" s="254"/>
      <c r="W927" s="203"/>
      <c r="X927" s="206"/>
      <c r="Y927" s="192" t="s">
        <v>2145</v>
      </c>
    </row>
    <row r="928" s="80" customFormat="1" ht="37.5" customHeight="1" spans="1:25">
      <c r="A928" s="138">
        <f t="shared" si="25"/>
        <v>920</v>
      </c>
      <c r="B928" s="139">
        <v>2023</v>
      </c>
      <c r="C928" s="189" t="s">
        <v>37</v>
      </c>
      <c r="D928" s="279" t="s">
        <v>4177</v>
      </c>
      <c r="E928" s="190" t="s">
        <v>4178</v>
      </c>
      <c r="F928" s="142" t="s">
        <v>3192</v>
      </c>
      <c r="G928" s="143" t="s">
        <v>4179</v>
      </c>
      <c r="H928" s="144">
        <v>0.8</v>
      </c>
      <c r="I928" s="145">
        <v>20000</v>
      </c>
      <c r="J928" s="185" t="s">
        <v>2484</v>
      </c>
      <c r="K928" s="185" t="s">
        <v>4180</v>
      </c>
      <c r="L928" s="147">
        <v>0.4</v>
      </c>
      <c r="M928" s="280" t="s">
        <v>4112</v>
      </c>
      <c r="N928" s="186">
        <v>17500.01</v>
      </c>
      <c r="O928" s="276">
        <v>17500.01</v>
      </c>
      <c r="P928" s="276">
        <v>14000.01</v>
      </c>
      <c r="Q928" s="276">
        <v>14000.01</v>
      </c>
      <c r="R928" s="1260" t="s">
        <v>2520</v>
      </c>
      <c r="S928" s="276">
        <v>7000</v>
      </c>
      <c r="T928" s="150">
        <v>45062</v>
      </c>
      <c r="U928" s="1260" t="s">
        <v>2541</v>
      </c>
      <c r="V928" s="276">
        <v>3500</v>
      </c>
      <c r="W928" s="1260" t="s">
        <v>3086</v>
      </c>
      <c r="X928" s="296">
        <v>3500</v>
      </c>
      <c r="Y928" s="138"/>
    </row>
    <row r="929" s="89" customFormat="1" ht="37.5" customHeight="1" spans="1:25">
      <c r="A929" s="298">
        <f t="shared" si="25"/>
        <v>921</v>
      </c>
      <c r="B929" s="299">
        <v>2023</v>
      </c>
      <c r="C929" s="300" t="s">
        <v>37</v>
      </c>
      <c r="D929" s="301" t="s">
        <v>4181</v>
      </c>
      <c r="E929" s="190" t="s">
        <v>4182</v>
      </c>
      <c r="F929" s="302" t="s">
        <v>3192</v>
      </c>
      <c r="G929" s="303" t="s">
        <v>4179</v>
      </c>
      <c r="H929" s="304">
        <v>0.8</v>
      </c>
      <c r="I929" s="305">
        <v>10000</v>
      </c>
      <c r="J929" s="306" t="s">
        <v>2457</v>
      </c>
      <c r="K929" s="306" t="s">
        <v>4183</v>
      </c>
      <c r="L929" s="307">
        <v>0.4</v>
      </c>
      <c r="M929" s="308" t="s">
        <v>3994</v>
      </c>
      <c r="N929" s="309">
        <v>10000</v>
      </c>
      <c r="O929" s="310">
        <v>10000</v>
      </c>
      <c r="P929" s="310">
        <v>8000</v>
      </c>
      <c r="Q929" s="310">
        <v>8000</v>
      </c>
      <c r="R929" s="1281" t="s">
        <v>2520</v>
      </c>
      <c r="S929" s="310">
        <v>4000</v>
      </c>
      <c r="T929" s="150">
        <v>45062</v>
      </c>
      <c r="U929" s="311"/>
      <c r="V929" s="310"/>
      <c r="W929" s="311"/>
      <c r="X929" s="312"/>
      <c r="Y929" s="313" t="s">
        <v>4184</v>
      </c>
    </row>
    <row r="930" s="80" customFormat="1" ht="37.5" customHeight="1" spans="1:25">
      <c r="A930" s="138">
        <f t="shared" si="25"/>
        <v>922</v>
      </c>
      <c r="B930" s="139">
        <v>2023</v>
      </c>
      <c r="C930" s="189" t="s">
        <v>37</v>
      </c>
      <c r="D930" s="279" t="s">
        <v>4185</v>
      </c>
      <c r="E930" s="190" t="s">
        <v>4186</v>
      </c>
      <c r="F930" s="142" t="s">
        <v>3192</v>
      </c>
      <c r="G930" s="143" t="s">
        <v>4179</v>
      </c>
      <c r="H930" s="144">
        <v>0.8</v>
      </c>
      <c r="I930" s="145">
        <v>320000</v>
      </c>
      <c r="J930" s="185" t="s">
        <v>2379</v>
      </c>
      <c r="K930" s="185" t="s">
        <v>4187</v>
      </c>
      <c r="L930" s="147">
        <v>0.4</v>
      </c>
      <c r="M930" s="280" t="s">
        <v>3994</v>
      </c>
      <c r="N930" s="186">
        <v>293333.34</v>
      </c>
      <c r="O930" s="276">
        <v>293333.34</v>
      </c>
      <c r="P930" s="276">
        <v>234666.67</v>
      </c>
      <c r="Q930" s="276">
        <v>234666.67</v>
      </c>
      <c r="R930" s="1260" t="s">
        <v>2520</v>
      </c>
      <c r="S930" s="276">
        <v>117333.34</v>
      </c>
      <c r="T930" s="150">
        <v>45062</v>
      </c>
      <c r="U930" s="184"/>
      <c r="V930" s="276"/>
      <c r="W930" s="184"/>
      <c r="X930" s="153"/>
      <c r="Y930" s="184" t="s">
        <v>1077</v>
      </c>
    </row>
    <row r="931" s="80" customFormat="1" ht="37.5" customHeight="1" spans="1:25">
      <c r="A931" s="138">
        <f t="shared" si="25"/>
        <v>923</v>
      </c>
      <c r="B931" s="139">
        <v>2023</v>
      </c>
      <c r="C931" s="189" t="s">
        <v>37</v>
      </c>
      <c r="D931" s="279" t="s">
        <v>4177</v>
      </c>
      <c r="E931" s="190" t="s">
        <v>4188</v>
      </c>
      <c r="F931" s="142" t="s">
        <v>3192</v>
      </c>
      <c r="G931" s="143" t="s">
        <v>4179</v>
      </c>
      <c r="H931" s="144">
        <v>0.8</v>
      </c>
      <c r="I931" s="145">
        <v>20000</v>
      </c>
      <c r="J931" s="185" t="s">
        <v>2331</v>
      </c>
      <c r="K931" s="185" t="s">
        <v>4187</v>
      </c>
      <c r="L931" s="147">
        <v>0.4</v>
      </c>
      <c r="M931" s="280" t="s">
        <v>4112</v>
      </c>
      <c r="N931" s="186">
        <v>16666.68</v>
      </c>
      <c r="O931" s="276">
        <v>16666.68</v>
      </c>
      <c r="P931" s="276">
        <v>13333.34</v>
      </c>
      <c r="Q931" s="276">
        <v>13333.34</v>
      </c>
      <c r="R931" s="1260" t="s">
        <v>2520</v>
      </c>
      <c r="S931" s="276">
        <v>6666.67</v>
      </c>
      <c r="T931" s="150">
        <v>45062</v>
      </c>
      <c r="U931" s="184"/>
      <c r="V931" s="276"/>
      <c r="W931" s="184"/>
      <c r="X931" s="153"/>
      <c r="Y931" s="184" t="s">
        <v>1077</v>
      </c>
    </row>
    <row r="932" s="80" customFormat="1" ht="37.5" customHeight="1" spans="1:25">
      <c r="A932" s="138">
        <f t="shared" si="25"/>
        <v>924</v>
      </c>
      <c r="B932" s="139">
        <v>2023</v>
      </c>
      <c r="C932" s="189" t="s">
        <v>31</v>
      </c>
      <c r="D932" s="266" t="s">
        <v>4189</v>
      </c>
      <c r="E932" s="190" t="s">
        <v>4190</v>
      </c>
      <c r="F932" s="142" t="s">
        <v>4191</v>
      </c>
      <c r="G932" s="143" t="s">
        <v>4192</v>
      </c>
      <c r="H932" s="144">
        <v>0.8</v>
      </c>
      <c r="I932" s="145">
        <v>4450000</v>
      </c>
      <c r="J932" s="185" t="s">
        <v>1931</v>
      </c>
      <c r="K932" s="185" t="s">
        <v>3825</v>
      </c>
      <c r="L932" s="147">
        <v>0.4</v>
      </c>
      <c r="M932" s="280" t="s">
        <v>2714</v>
      </c>
      <c r="N932" s="186">
        <v>3373401.85</v>
      </c>
      <c r="O932" s="276">
        <v>3373401.85</v>
      </c>
      <c r="P932" s="276">
        <v>2698721.48</v>
      </c>
      <c r="Q932" s="276">
        <v>2698721.48</v>
      </c>
      <c r="R932" s="1260" t="s">
        <v>2303</v>
      </c>
      <c r="S932" s="276">
        <v>1349360.74</v>
      </c>
      <c r="T932" s="150">
        <v>45063</v>
      </c>
      <c r="U932" s="1260" t="s">
        <v>2228</v>
      </c>
      <c r="V932" s="276">
        <v>674680.37</v>
      </c>
      <c r="W932" s="1260" t="s">
        <v>4193</v>
      </c>
      <c r="X932" s="296">
        <v>674680.37</v>
      </c>
      <c r="Y932" s="138"/>
    </row>
    <row r="933" s="80" customFormat="1" ht="37.5" customHeight="1" spans="1:25">
      <c r="A933" s="138">
        <f t="shared" si="25"/>
        <v>925</v>
      </c>
      <c r="B933" s="139">
        <v>2023</v>
      </c>
      <c r="C933" s="189" t="s">
        <v>31</v>
      </c>
      <c r="D933" s="279" t="s">
        <v>4194</v>
      </c>
      <c r="E933" s="190" t="s">
        <v>4195</v>
      </c>
      <c r="F933" s="142" t="s">
        <v>4191</v>
      </c>
      <c r="G933" s="143" t="s">
        <v>4192</v>
      </c>
      <c r="H933" s="144">
        <v>0.8</v>
      </c>
      <c r="I933" s="145">
        <v>4450000</v>
      </c>
      <c r="J933" s="185" t="s">
        <v>1931</v>
      </c>
      <c r="K933" s="185" t="s">
        <v>3825</v>
      </c>
      <c r="L933" s="147">
        <v>0.4</v>
      </c>
      <c r="M933" s="280" t="s">
        <v>2714</v>
      </c>
      <c r="N933" s="186">
        <v>3373541.79</v>
      </c>
      <c r="O933" s="186">
        <v>3373541.79</v>
      </c>
      <c r="P933" s="276">
        <v>2698833.43</v>
      </c>
      <c r="Q933" s="276">
        <v>2698833.43</v>
      </c>
      <c r="R933" s="1260" t="s">
        <v>2303</v>
      </c>
      <c r="S933" s="276">
        <v>1349416.72</v>
      </c>
      <c r="T933" s="150">
        <v>45063</v>
      </c>
      <c r="U933" s="1260" t="s">
        <v>2228</v>
      </c>
      <c r="V933" s="276">
        <v>674680.37</v>
      </c>
      <c r="W933" s="1260" t="s">
        <v>4193</v>
      </c>
      <c r="X933" s="296">
        <v>674680.37</v>
      </c>
      <c r="Y933" s="138"/>
    </row>
    <row r="934" s="80" customFormat="1" ht="37.5" customHeight="1" spans="1:25">
      <c r="A934" s="138">
        <f t="shared" si="25"/>
        <v>926</v>
      </c>
      <c r="B934" s="139">
        <v>2023</v>
      </c>
      <c r="C934" s="189" t="s">
        <v>233</v>
      </c>
      <c r="D934" s="279" t="s">
        <v>4196</v>
      </c>
      <c r="E934" s="190" t="s">
        <v>4197</v>
      </c>
      <c r="F934" s="142" t="s">
        <v>4198</v>
      </c>
      <c r="G934" s="143" t="s">
        <v>1610</v>
      </c>
      <c r="H934" s="144">
        <v>1</v>
      </c>
      <c r="I934" s="145">
        <v>5000000</v>
      </c>
      <c r="J934" s="1258" t="s">
        <v>3478</v>
      </c>
      <c r="K934" s="1258" t="s">
        <v>4161</v>
      </c>
      <c r="L934" s="147">
        <v>0.4</v>
      </c>
      <c r="M934" s="1276" t="s">
        <v>4161</v>
      </c>
      <c r="N934" s="186">
        <v>5003625</v>
      </c>
      <c r="O934" s="276">
        <v>5000000</v>
      </c>
      <c r="P934" s="186">
        <v>5000000</v>
      </c>
      <c r="Q934" s="186">
        <v>5003625</v>
      </c>
      <c r="R934" s="1260" t="s">
        <v>2303</v>
      </c>
      <c r="S934" s="276">
        <v>2001450</v>
      </c>
      <c r="T934" s="150">
        <v>45063</v>
      </c>
      <c r="U934" s="1260" t="s">
        <v>2228</v>
      </c>
      <c r="V934" s="276">
        <v>1000000</v>
      </c>
      <c r="W934" s="1260" t="s">
        <v>4193</v>
      </c>
      <c r="X934" s="296">
        <v>1000000</v>
      </c>
      <c r="Y934" s="138"/>
    </row>
    <row r="935" ht="37.5" customHeight="1" spans="1:25">
      <c r="A935" s="192">
        <f t="shared" si="25"/>
        <v>927</v>
      </c>
      <c r="B935" s="208">
        <v>2023</v>
      </c>
      <c r="C935" s="193" t="s">
        <v>37</v>
      </c>
      <c r="D935" s="277" t="s">
        <v>4199</v>
      </c>
      <c r="E935" s="195" t="s">
        <v>4200</v>
      </c>
      <c r="F935" s="196" t="s">
        <v>2073</v>
      </c>
      <c r="G935" s="197" t="s">
        <v>3239</v>
      </c>
      <c r="H935" s="198">
        <v>0.8</v>
      </c>
      <c r="I935" s="199">
        <v>50000</v>
      </c>
      <c r="J935" s="200" t="s">
        <v>1865</v>
      </c>
      <c r="K935" s="200" t="s">
        <v>2550</v>
      </c>
      <c r="L935" s="201">
        <v>0.4</v>
      </c>
      <c r="M935" s="278" t="s">
        <v>4021</v>
      </c>
      <c r="N935" s="205">
        <v>7000.09</v>
      </c>
      <c r="O935" s="254">
        <v>7000.09</v>
      </c>
      <c r="P935" s="205">
        <v>5600.07</v>
      </c>
      <c r="Q935" s="205">
        <v>5600.07</v>
      </c>
      <c r="R935" s="1262" t="s">
        <v>2556</v>
      </c>
      <c r="S935" s="254">
        <v>2800.04</v>
      </c>
      <c r="T935" s="204">
        <v>45075</v>
      </c>
      <c r="U935" s="1262" t="s">
        <v>2228</v>
      </c>
      <c r="V935" s="254">
        <v>1400.02</v>
      </c>
      <c r="W935" s="1262" t="s">
        <v>4156</v>
      </c>
      <c r="X935" s="258">
        <v>1400.02</v>
      </c>
      <c r="Y935" s="192"/>
    </row>
    <row r="936" ht="37.5" customHeight="1" spans="1:25">
      <c r="A936" s="192">
        <f t="shared" si="25"/>
        <v>928</v>
      </c>
      <c r="B936" s="208">
        <v>2023</v>
      </c>
      <c r="C936" s="193" t="s">
        <v>37</v>
      </c>
      <c r="D936" s="277" t="s">
        <v>4201</v>
      </c>
      <c r="E936" s="195" t="s">
        <v>4202</v>
      </c>
      <c r="F936" s="196" t="s">
        <v>2073</v>
      </c>
      <c r="G936" s="197" t="s">
        <v>3239</v>
      </c>
      <c r="H936" s="198">
        <v>0.8</v>
      </c>
      <c r="I936" s="199">
        <v>31010</v>
      </c>
      <c r="J936" s="200" t="s">
        <v>1865</v>
      </c>
      <c r="K936" s="200" t="s">
        <v>2550</v>
      </c>
      <c r="L936" s="201">
        <v>0.4</v>
      </c>
      <c r="M936" s="278" t="s">
        <v>4203</v>
      </c>
      <c r="N936" s="205">
        <v>4351.03</v>
      </c>
      <c r="O936" s="254">
        <v>4351.03</v>
      </c>
      <c r="P936" s="205">
        <v>3480.82</v>
      </c>
      <c r="Q936" s="205">
        <v>3480.82</v>
      </c>
      <c r="R936" s="1262" t="s">
        <v>2556</v>
      </c>
      <c r="S936" s="254">
        <v>1740.41</v>
      </c>
      <c r="T936" s="204">
        <v>45075</v>
      </c>
      <c r="U936" s="1262" t="s">
        <v>2228</v>
      </c>
      <c r="V936" s="254">
        <v>870.21</v>
      </c>
      <c r="W936" s="1262" t="s">
        <v>4156</v>
      </c>
      <c r="X936" s="258">
        <v>870.21</v>
      </c>
      <c r="Y936" s="192"/>
    </row>
    <row r="937" ht="37.5" customHeight="1" spans="1:25">
      <c r="A937" s="192">
        <f t="shared" si="25"/>
        <v>929</v>
      </c>
      <c r="B937" s="208">
        <v>2023</v>
      </c>
      <c r="C937" s="193" t="s">
        <v>37</v>
      </c>
      <c r="D937" s="277" t="s">
        <v>4204</v>
      </c>
      <c r="E937" s="195" t="s">
        <v>4205</v>
      </c>
      <c r="F937" s="196" t="s">
        <v>2073</v>
      </c>
      <c r="G937" s="197" t="s">
        <v>3239</v>
      </c>
      <c r="H937" s="198">
        <v>0.8</v>
      </c>
      <c r="I937" s="199">
        <v>91040</v>
      </c>
      <c r="J937" s="200" t="s">
        <v>1865</v>
      </c>
      <c r="K937" s="200" t="s">
        <v>2550</v>
      </c>
      <c r="L937" s="201">
        <v>0.4</v>
      </c>
      <c r="M937" s="278" t="s">
        <v>4206</v>
      </c>
      <c r="N937" s="205">
        <v>10000</v>
      </c>
      <c r="O937" s="254">
        <v>10000</v>
      </c>
      <c r="P937" s="205">
        <v>8000</v>
      </c>
      <c r="Q937" s="205">
        <v>8000</v>
      </c>
      <c r="R937" s="1262" t="s">
        <v>2556</v>
      </c>
      <c r="S937" s="254">
        <v>4000</v>
      </c>
      <c r="T937" s="204">
        <v>45075</v>
      </c>
      <c r="U937" s="1262" t="s">
        <v>2228</v>
      </c>
      <c r="V937" s="254">
        <v>2000</v>
      </c>
      <c r="W937" s="1262" t="s">
        <v>4156</v>
      </c>
      <c r="X937" s="258">
        <v>2000</v>
      </c>
      <c r="Y937" s="192"/>
    </row>
    <row r="938" ht="37.5" customHeight="1" spans="1:25">
      <c r="A938" s="192">
        <f t="shared" si="25"/>
        <v>930</v>
      </c>
      <c r="B938" s="208">
        <v>2023</v>
      </c>
      <c r="C938" s="193" t="s">
        <v>37</v>
      </c>
      <c r="D938" s="277" t="s">
        <v>4207</v>
      </c>
      <c r="E938" s="195" t="s">
        <v>4208</v>
      </c>
      <c r="F938" s="196" t="s">
        <v>2073</v>
      </c>
      <c r="G938" s="197" t="s">
        <v>3239</v>
      </c>
      <c r="H938" s="198">
        <v>0.8</v>
      </c>
      <c r="I938" s="199">
        <v>81000</v>
      </c>
      <c r="J938" s="200" t="s">
        <v>1865</v>
      </c>
      <c r="K938" s="200" t="s">
        <v>2550</v>
      </c>
      <c r="L938" s="201">
        <v>0.4</v>
      </c>
      <c r="M938" s="278" t="s">
        <v>4209</v>
      </c>
      <c r="N938" s="205">
        <v>9000.14</v>
      </c>
      <c r="O938" s="254">
        <v>9000.14</v>
      </c>
      <c r="P938" s="205">
        <v>7200.12</v>
      </c>
      <c r="Q938" s="205">
        <v>7200.12</v>
      </c>
      <c r="R938" s="1262" t="s">
        <v>2556</v>
      </c>
      <c r="S938" s="254">
        <v>3600.06</v>
      </c>
      <c r="T938" s="204">
        <v>45075</v>
      </c>
      <c r="U938" s="1262" t="s">
        <v>2228</v>
      </c>
      <c r="V938" s="254">
        <v>1800.03</v>
      </c>
      <c r="W938" s="1262" t="s">
        <v>4156</v>
      </c>
      <c r="X938" s="258">
        <v>1800.03</v>
      </c>
      <c r="Y938" s="192"/>
    </row>
    <row r="939" ht="37.5" customHeight="1" spans="1:25">
      <c r="A939" s="192">
        <f t="shared" si="25"/>
        <v>931</v>
      </c>
      <c r="B939" s="208">
        <v>2023</v>
      </c>
      <c r="C939" s="193" t="s">
        <v>37</v>
      </c>
      <c r="D939" s="277" t="s">
        <v>4210</v>
      </c>
      <c r="E939" s="195" t="s">
        <v>4211</v>
      </c>
      <c r="F939" s="196" t="s">
        <v>2073</v>
      </c>
      <c r="G939" s="197" t="s">
        <v>3239</v>
      </c>
      <c r="H939" s="198">
        <v>0.8</v>
      </c>
      <c r="I939" s="199">
        <v>110250</v>
      </c>
      <c r="J939" s="200" t="s">
        <v>2203</v>
      </c>
      <c r="K939" s="200" t="s">
        <v>2204</v>
      </c>
      <c r="L939" s="201">
        <v>0.4</v>
      </c>
      <c r="M939" s="278" t="s">
        <v>4212</v>
      </c>
      <c r="N939" s="205">
        <v>833.37</v>
      </c>
      <c r="O939" s="254">
        <v>833.37</v>
      </c>
      <c r="P939" s="205">
        <v>666.7</v>
      </c>
      <c r="Q939" s="205">
        <v>666.7</v>
      </c>
      <c r="R939" s="1262" t="s">
        <v>2556</v>
      </c>
      <c r="S939" s="254">
        <v>333.35</v>
      </c>
      <c r="T939" s="204">
        <v>45075</v>
      </c>
      <c r="U939" s="1262" t="s">
        <v>2228</v>
      </c>
      <c r="V939" s="254">
        <v>166.68</v>
      </c>
      <c r="W939" s="1262" t="s">
        <v>4156</v>
      </c>
      <c r="X939" s="258">
        <v>166.68</v>
      </c>
      <c r="Y939" s="192"/>
    </row>
    <row r="940" ht="37.5" customHeight="1" spans="1:25">
      <c r="A940" s="192">
        <f t="shared" si="25"/>
        <v>932</v>
      </c>
      <c r="B940" s="208">
        <v>2023</v>
      </c>
      <c r="C940" s="193" t="s">
        <v>37</v>
      </c>
      <c r="D940" s="277" t="s">
        <v>4213</v>
      </c>
      <c r="E940" s="195" t="s">
        <v>4214</v>
      </c>
      <c r="F940" s="196" t="s">
        <v>2073</v>
      </c>
      <c r="G940" s="197" t="s">
        <v>3239</v>
      </c>
      <c r="H940" s="198">
        <v>0.8</v>
      </c>
      <c r="I940" s="199">
        <v>37000</v>
      </c>
      <c r="J940" s="200" t="s">
        <v>2207</v>
      </c>
      <c r="K940" s="200" t="s">
        <v>2208</v>
      </c>
      <c r="L940" s="201">
        <v>0.4</v>
      </c>
      <c r="M940" s="278" t="s">
        <v>4215</v>
      </c>
      <c r="N940" s="205">
        <v>4520.59</v>
      </c>
      <c r="O940" s="254">
        <v>4520.59</v>
      </c>
      <c r="P940" s="205">
        <v>3616.48</v>
      </c>
      <c r="Q940" s="205">
        <v>3616.48</v>
      </c>
      <c r="R940" s="1262" t="s">
        <v>2556</v>
      </c>
      <c r="S940" s="254">
        <v>1808.24</v>
      </c>
      <c r="T940" s="204">
        <v>45075</v>
      </c>
      <c r="U940" s="1262" t="s">
        <v>2228</v>
      </c>
      <c r="V940" s="254">
        <v>904.12</v>
      </c>
      <c r="W940" s="1262" t="s">
        <v>4156</v>
      </c>
      <c r="X940" s="258">
        <v>904.12</v>
      </c>
      <c r="Y940" s="192"/>
    </row>
    <row r="941" ht="37.5" customHeight="1" spans="1:25">
      <c r="A941" s="192">
        <f t="shared" si="25"/>
        <v>933</v>
      </c>
      <c r="B941" s="208">
        <v>2023</v>
      </c>
      <c r="C941" s="193" t="s">
        <v>37</v>
      </c>
      <c r="D941" s="277" t="s">
        <v>4216</v>
      </c>
      <c r="E941" s="195" t="s">
        <v>4217</v>
      </c>
      <c r="F941" s="196" t="s">
        <v>2073</v>
      </c>
      <c r="G941" s="197" t="s">
        <v>3239</v>
      </c>
      <c r="H941" s="198">
        <v>0.8</v>
      </c>
      <c r="I941" s="199">
        <v>66010</v>
      </c>
      <c r="J941" s="200" t="s">
        <v>2207</v>
      </c>
      <c r="K941" s="200" t="s">
        <v>2208</v>
      </c>
      <c r="L941" s="201">
        <v>0.4</v>
      </c>
      <c r="M941" s="278" t="s">
        <v>4209</v>
      </c>
      <c r="N941" s="205">
        <v>11368.76</v>
      </c>
      <c r="O941" s="254">
        <v>11368.76</v>
      </c>
      <c r="P941" s="205">
        <v>9095.01</v>
      </c>
      <c r="Q941" s="205">
        <v>9095.01</v>
      </c>
      <c r="R941" s="1262" t="s">
        <v>2556</v>
      </c>
      <c r="S941" s="254">
        <v>4547.5</v>
      </c>
      <c r="T941" s="204">
        <v>45075</v>
      </c>
      <c r="U941" s="1262" t="s">
        <v>2228</v>
      </c>
      <c r="V941" s="254">
        <v>2273.75</v>
      </c>
      <c r="W941" s="1262" t="s">
        <v>3086</v>
      </c>
      <c r="X941" s="258">
        <v>2273.75</v>
      </c>
      <c r="Y941" s="192"/>
    </row>
    <row r="942" ht="37.5" customHeight="1" spans="1:25">
      <c r="A942" s="192">
        <f t="shared" si="25"/>
        <v>934</v>
      </c>
      <c r="B942" s="208">
        <v>2023</v>
      </c>
      <c r="C942" s="193" t="s">
        <v>37</v>
      </c>
      <c r="D942" s="277" t="s">
        <v>4218</v>
      </c>
      <c r="E942" s="195" t="s">
        <v>4219</v>
      </c>
      <c r="F942" s="196" t="s">
        <v>2073</v>
      </c>
      <c r="G942" s="197" t="s">
        <v>3239</v>
      </c>
      <c r="H942" s="198">
        <v>0.8</v>
      </c>
      <c r="I942" s="199">
        <v>75430</v>
      </c>
      <c r="J942" s="200" t="s">
        <v>2322</v>
      </c>
      <c r="K942" s="200" t="s">
        <v>2323</v>
      </c>
      <c r="L942" s="201">
        <v>0.4</v>
      </c>
      <c r="M942" s="278" t="s">
        <v>4212</v>
      </c>
      <c r="N942" s="205">
        <v>666.74</v>
      </c>
      <c r="O942" s="254">
        <v>666.74</v>
      </c>
      <c r="P942" s="205">
        <v>533.39</v>
      </c>
      <c r="Q942" s="205">
        <v>533.39</v>
      </c>
      <c r="R942" s="1262" t="s">
        <v>2556</v>
      </c>
      <c r="S942" s="254">
        <v>266.7</v>
      </c>
      <c r="T942" s="204">
        <v>45075</v>
      </c>
      <c r="U942" s="1262" t="s">
        <v>2228</v>
      </c>
      <c r="V942" s="254">
        <v>133.34</v>
      </c>
      <c r="W942" s="1262" t="s">
        <v>3086</v>
      </c>
      <c r="X942" s="258">
        <v>133.34</v>
      </c>
      <c r="Y942" s="192"/>
    </row>
    <row r="943" ht="37.5" customHeight="1" spans="1:25">
      <c r="A943" s="192">
        <f t="shared" si="25"/>
        <v>935</v>
      </c>
      <c r="B943" s="208">
        <v>2023</v>
      </c>
      <c r="C943" s="193" t="s">
        <v>37</v>
      </c>
      <c r="D943" s="277" t="s">
        <v>4220</v>
      </c>
      <c r="E943" s="195" t="s">
        <v>4221</v>
      </c>
      <c r="F943" s="196" t="s">
        <v>2073</v>
      </c>
      <c r="G943" s="197" t="s">
        <v>3239</v>
      </c>
      <c r="H943" s="198">
        <v>0.8</v>
      </c>
      <c r="I943" s="199">
        <v>100000</v>
      </c>
      <c r="J943" s="200" t="s">
        <v>2729</v>
      </c>
      <c r="K943" s="200" t="s">
        <v>2507</v>
      </c>
      <c r="L943" s="201">
        <v>0.4</v>
      </c>
      <c r="M943" s="278" t="s">
        <v>4080</v>
      </c>
      <c r="N943" s="205">
        <v>3600.25</v>
      </c>
      <c r="O943" s="254">
        <v>3600.25</v>
      </c>
      <c r="P943" s="205">
        <v>2880.2</v>
      </c>
      <c r="Q943" s="205">
        <v>2880.2</v>
      </c>
      <c r="R943" s="1262" t="s">
        <v>2556</v>
      </c>
      <c r="S943" s="254">
        <v>1440.1</v>
      </c>
      <c r="T943" s="204">
        <v>45075</v>
      </c>
      <c r="U943" s="1262" t="s">
        <v>2228</v>
      </c>
      <c r="V943" s="254">
        <v>720.05</v>
      </c>
      <c r="W943" s="1262" t="s">
        <v>4156</v>
      </c>
      <c r="X943" s="258">
        <v>720.05</v>
      </c>
      <c r="Y943" s="192"/>
    </row>
    <row r="944" ht="37.5" customHeight="1" spans="1:25">
      <c r="A944" s="192">
        <f t="shared" si="25"/>
        <v>936</v>
      </c>
      <c r="B944" s="208">
        <v>2023</v>
      </c>
      <c r="C944" s="193" t="s">
        <v>37</v>
      </c>
      <c r="D944" s="277" t="s">
        <v>4222</v>
      </c>
      <c r="E944" s="195" t="s">
        <v>4223</v>
      </c>
      <c r="F944" s="196" t="s">
        <v>2073</v>
      </c>
      <c r="G944" s="197" t="s">
        <v>3239</v>
      </c>
      <c r="H944" s="198">
        <v>0.8</v>
      </c>
      <c r="I944" s="199">
        <v>42000</v>
      </c>
      <c r="J944" s="200" t="s">
        <v>2272</v>
      </c>
      <c r="K944" s="200" t="s">
        <v>2273</v>
      </c>
      <c r="L944" s="201">
        <v>0.4</v>
      </c>
      <c r="M944" s="278" t="s">
        <v>2714</v>
      </c>
      <c r="N944" s="205">
        <v>4984.13</v>
      </c>
      <c r="O944" s="254">
        <v>4984.13</v>
      </c>
      <c r="P944" s="205">
        <v>3987.3</v>
      </c>
      <c r="Q944" s="205">
        <v>3987.3</v>
      </c>
      <c r="R944" s="1262" t="s">
        <v>2556</v>
      </c>
      <c r="S944" s="254">
        <v>1993.65</v>
      </c>
      <c r="T944" s="204">
        <v>45075</v>
      </c>
      <c r="U944" s="1262" t="s">
        <v>2228</v>
      </c>
      <c r="V944" s="254">
        <v>996.83</v>
      </c>
      <c r="W944" s="1262" t="s">
        <v>3086</v>
      </c>
      <c r="X944" s="258">
        <v>996.83</v>
      </c>
      <c r="Y944" s="192"/>
    </row>
    <row r="945" ht="37.5" customHeight="1" spans="1:25">
      <c r="A945" s="192">
        <f t="shared" si="25"/>
        <v>937</v>
      </c>
      <c r="B945" s="208">
        <v>2023</v>
      </c>
      <c r="C945" s="193" t="s">
        <v>37</v>
      </c>
      <c r="D945" s="277" t="s">
        <v>4224</v>
      </c>
      <c r="E945" s="195" t="s">
        <v>4225</v>
      </c>
      <c r="F945" s="196" t="s">
        <v>2073</v>
      </c>
      <c r="G945" s="197" t="s">
        <v>3239</v>
      </c>
      <c r="H945" s="198">
        <v>0.8</v>
      </c>
      <c r="I945" s="199">
        <v>250060</v>
      </c>
      <c r="J945" s="200" t="s">
        <v>1845</v>
      </c>
      <c r="K945" s="200" t="s">
        <v>2257</v>
      </c>
      <c r="L945" s="201">
        <v>0.4</v>
      </c>
      <c r="M945" s="278" t="s">
        <v>2714</v>
      </c>
      <c r="N945" s="205">
        <v>5000.06</v>
      </c>
      <c r="O945" s="254">
        <v>5000.06</v>
      </c>
      <c r="P945" s="205">
        <v>4000.05</v>
      </c>
      <c r="Q945" s="205">
        <v>4000.05</v>
      </c>
      <c r="R945" s="1262" t="s">
        <v>2556</v>
      </c>
      <c r="S945" s="254">
        <v>2000.02</v>
      </c>
      <c r="T945" s="204">
        <v>45075</v>
      </c>
      <c r="U945" s="1262" t="s">
        <v>2228</v>
      </c>
      <c r="V945" s="254">
        <v>1000.01</v>
      </c>
      <c r="W945" s="1262" t="s">
        <v>4156</v>
      </c>
      <c r="X945" s="258">
        <v>1000.01</v>
      </c>
      <c r="Y945" s="192"/>
    </row>
    <row r="946" ht="37.5" customHeight="1" spans="1:25">
      <c r="A946" s="192">
        <f t="shared" si="25"/>
        <v>938</v>
      </c>
      <c r="B946" s="208">
        <v>2023</v>
      </c>
      <c r="C946" s="193" t="s">
        <v>37</v>
      </c>
      <c r="D946" s="277" t="s">
        <v>3836</v>
      </c>
      <c r="E946" s="195" t="s">
        <v>4226</v>
      </c>
      <c r="F946" s="196" t="s">
        <v>2073</v>
      </c>
      <c r="G946" s="197" t="s">
        <v>3239</v>
      </c>
      <c r="H946" s="198">
        <v>0.8</v>
      </c>
      <c r="I946" s="199">
        <v>713040</v>
      </c>
      <c r="J946" s="200" t="s">
        <v>1951</v>
      </c>
      <c r="K946" s="200" t="s">
        <v>2238</v>
      </c>
      <c r="L946" s="201">
        <v>0.4</v>
      </c>
      <c r="M946" s="278" t="s">
        <v>4227</v>
      </c>
      <c r="N946" s="205">
        <v>41666.69</v>
      </c>
      <c r="O946" s="254">
        <v>41666.69</v>
      </c>
      <c r="P946" s="205">
        <v>33333.35</v>
      </c>
      <c r="Q946" s="205">
        <v>33333.35</v>
      </c>
      <c r="R946" s="1262" t="s">
        <v>2556</v>
      </c>
      <c r="S946" s="254">
        <v>16666.68</v>
      </c>
      <c r="T946" s="204">
        <v>45075</v>
      </c>
      <c r="U946" s="1262" t="s">
        <v>2228</v>
      </c>
      <c r="V946" s="254">
        <v>8333.34</v>
      </c>
      <c r="W946" s="1262" t="s">
        <v>3086</v>
      </c>
      <c r="X946" s="258">
        <v>8333.34</v>
      </c>
      <c r="Y946" s="192"/>
    </row>
    <row r="947" ht="37.5" customHeight="1" spans="1:25">
      <c r="A947" s="192">
        <f t="shared" si="25"/>
        <v>939</v>
      </c>
      <c r="B947" s="208">
        <v>2023</v>
      </c>
      <c r="C947" s="193" t="s">
        <v>37</v>
      </c>
      <c r="D947" s="277" t="s">
        <v>4228</v>
      </c>
      <c r="E947" s="195" t="s">
        <v>4229</v>
      </c>
      <c r="F947" s="196" t="s">
        <v>2073</v>
      </c>
      <c r="G947" s="197" t="s">
        <v>3239</v>
      </c>
      <c r="H947" s="198">
        <v>0.8</v>
      </c>
      <c r="I947" s="199">
        <v>11000</v>
      </c>
      <c r="J947" s="200" t="s">
        <v>1931</v>
      </c>
      <c r="K947" s="200" t="s">
        <v>2232</v>
      </c>
      <c r="L947" s="201">
        <v>0.4</v>
      </c>
      <c r="M947" s="278" t="s">
        <v>4107</v>
      </c>
      <c r="N947" s="205">
        <v>2500.03</v>
      </c>
      <c r="O947" s="254">
        <v>2500.03</v>
      </c>
      <c r="P947" s="205">
        <v>2000.02</v>
      </c>
      <c r="Q947" s="205">
        <v>2000.02</v>
      </c>
      <c r="R947" s="1262" t="s">
        <v>2556</v>
      </c>
      <c r="S947" s="254">
        <v>1000.01</v>
      </c>
      <c r="T947" s="204">
        <v>45075</v>
      </c>
      <c r="U947" s="1262" t="s">
        <v>2228</v>
      </c>
      <c r="V947" s="254">
        <v>500.01</v>
      </c>
      <c r="W947" s="1262" t="s">
        <v>4156</v>
      </c>
      <c r="X947" s="258">
        <v>500.01</v>
      </c>
      <c r="Y947" s="192"/>
    </row>
    <row r="948" ht="37.5" customHeight="1" spans="1:25">
      <c r="A948" s="192">
        <f t="shared" si="25"/>
        <v>940</v>
      </c>
      <c r="B948" s="208">
        <v>2023</v>
      </c>
      <c r="C948" s="193" t="s">
        <v>37</v>
      </c>
      <c r="D948" s="277" t="s">
        <v>4230</v>
      </c>
      <c r="E948" s="195" t="s">
        <v>4231</v>
      </c>
      <c r="F948" s="196" t="s">
        <v>2073</v>
      </c>
      <c r="G948" s="197" t="s">
        <v>3239</v>
      </c>
      <c r="H948" s="198">
        <v>0.8</v>
      </c>
      <c r="I948" s="199">
        <v>10000</v>
      </c>
      <c r="J948" s="200" t="s">
        <v>1931</v>
      </c>
      <c r="K948" s="200" t="s">
        <v>2232</v>
      </c>
      <c r="L948" s="201">
        <v>0.4</v>
      </c>
      <c r="M948" s="278" t="s">
        <v>4232</v>
      </c>
      <c r="N948" s="205">
        <v>500.06</v>
      </c>
      <c r="O948" s="254">
        <v>500.06</v>
      </c>
      <c r="P948" s="205">
        <v>400.05</v>
      </c>
      <c r="Q948" s="205">
        <v>400.05</v>
      </c>
      <c r="R948" s="1262" t="s">
        <v>2556</v>
      </c>
      <c r="S948" s="254">
        <v>200.02</v>
      </c>
      <c r="T948" s="204">
        <v>45075</v>
      </c>
      <c r="U948" s="1262" t="s">
        <v>2228</v>
      </c>
      <c r="V948" s="254">
        <v>100.01</v>
      </c>
      <c r="W948" s="1262" t="s">
        <v>4156</v>
      </c>
      <c r="X948" s="258">
        <v>100.01</v>
      </c>
      <c r="Y948" s="192"/>
    </row>
    <row r="949" ht="37.5" customHeight="1" spans="1:25">
      <c r="A949" s="192">
        <f t="shared" si="25"/>
        <v>941</v>
      </c>
      <c r="B949" s="208">
        <v>2023</v>
      </c>
      <c r="C949" s="193" t="s">
        <v>37</v>
      </c>
      <c r="D949" s="277" t="s">
        <v>4233</v>
      </c>
      <c r="E949" s="195" t="s">
        <v>4234</v>
      </c>
      <c r="F949" s="196" t="s">
        <v>2073</v>
      </c>
      <c r="G949" s="197" t="s">
        <v>3239</v>
      </c>
      <c r="H949" s="198">
        <v>0.8</v>
      </c>
      <c r="I949" s="199">
        <v>450000</v>
      </c>
      <c r="J949" s="200" t="s">
        <v>3666</v>
      </c>
      <c r="K949" s="200" t="s">
        <v>2597</v>
      </c>
      <c r="L949" s="201">
        <v>0.4</v>
      </c>
      <c r="M949" s="278" t="s">
        <v>4235</v>
      </c>
      <c r="N949" s="205">
        <v>40352.74</v>
      </c>
      <c r="O949" s="254">
        <v>40352.74</v>
      </c>
      <c r="P949" s="205">
        <v>32282.2</v>
      </c>
      <c r="Q949" s="205">
        <v>32282.2</v>
      </c>
      <c r="R949" s="1262" t="s">
        <v>2556</v>
      </c>
      <c r="S949" s="254">
        <v>16141.1</v>
      </c>
      <c r="T949" s="204">
        <v>45075</v>
      </c>
      <c r="U949" s="1262" t="s">
        <v>2228</v>
      </c>
      <c r="V949" s="254">
        <v>8070.55</v>
      </c>
      <c r="W949" s="1262" t="s">
        <v>4156</v>
      </c>
      <c r="X949" s="258">
        <v>8070.55</v>
      </c>
      <c r="Y949" s="192"/>
    </row>
    <row r="950" ht="37.5" customHeight="1" spans="1:25">
      <c r="A950" s="192">
        <f t="shared" si="25"/>
        <v>942</v>
      </c>
      <c r="B950" s="208">
        <v>2023</v>
      </c>
      <c r="C950" s="193" t="s">
        <v>37</v>
      </c>
      <c r="D950" s="277" t="s">
        <v>4236</v>
      </c>
      <c r="E950" s="195" t="s">
        <v>4237</v>
      </c>
      <c r="F950" s="196" t="s">
        <v>2073</v>
      </c>
      <c r="G950" s="197" t="s">
        <v>3239</v>
      </c>
      <c r="H950" s="198">
        <v>0.8</v>
      </c>
      <c r="I950" s="199">
        <v>33000</v>
      </c>
      <c r="J950" s="200" t="s">
        <v>1939</v>
      </c>
      <c r="K950" s="200" t="s">
        <v>2241</v>
      </c>
      <c r="L950" s="201">
        <v>0.4</v>
      </c>
      <c r="M950" s="278" t="s">
        <v>2714</v>
      </c>
      <c r="N950" s="205">
        <v>2500.03</v>
      </c>
      <c r="O950" s="254">
        <v>2500.03</v>
      </c>
      <c r="P950" s="205">
        <v>2000.02</v>
      </c>
      <c r="Q950" s="205">
        <v>2000.02</v>
      </c>
      <c r="R950" s="1262" t="s">
        <v>2556</v>
      </c>
      <c r="S950" s="254">
        <v>1000.01</v>
      </c>
      <c r="T950" s="204">
        <v>45075</v>
      </c>
      <c r="U950" s="1262" t="s">
        <v>2228</v>
      </c>
      <c r="V950" s="254">
        <v>500.01</v>
      </c>
      <c r="W950" s="1262" t="s">
        <v>4156</v>
      </c>
      <c r="X950" s="258">
        <v>500.01</v>
      </c>
      <c r="Y950" s="192"/>
    </row>
    <row r="951" ht="37.5" customHeight="1" spans="1:25">
      <c r="A951" s="192">
        <f t="shared" si="25"/>
        <v>943</v>
      </c>
      <c r="B951" s="208">
        <v>2023</v>
      </c>
      <c r="C951" s="193" t="s">
        <v>37</v>
      </c>
      <c r="D951" s="277" t="s">
        <v>4238</v>
      </c>
      <c r="E951" s="195" t="s">
        <v>4239</v>
      </c>
      <c r="F951" s="196" t="s">
        <v>2073</v>
      </c>
      <c r="G951" s="197" t="s">
        <v>3239</v>
      </c>
      <c r="H951" s="198">
        <v>0.8</v>
      </c>
      <c r="I951" s="199">
        <v>140000</v>
      </c>
      <c r="J951" s="200" t="s">
        <v>1970</v>
      </c>
      <c r="K951" s="200" t="s">
        <v>2245</v>
      </c>
      <c r="L951" s="201">
        <v>0.4</v>
      </c>
      <c r="M951" s="278" t="s">
        <v>4209</v>
      </c>
      <c r="N951" s="205">
        <v>5500.06</v>
      </c>
      <c r="O951" s="254">
        <v>5500.06</v>
      </c>
      <c r="P951" s="205">
        <v>4400.05</v>
      </c>
      <c r="Q951" s="205">
        <v>4400.05</v>
      </c>
      <c r="R951" s="1262" t="s">
        <v>2556</v>
      </c>
      <c r="S951" s="254">
        <v>2200.02</v>
      </c>
      <c r="T951" s="204">
        <v>45075</v>
      </c>
      <c r="U951" s="1262" t="s">
        <v>2228</v>
      </c>
      <c r="V951" s="254">
        <v>1100.01</v>
      </c>
      <c r="W951" s="1262" t="s">
        <v>4156</v>
      </c>
      <c r="X951" s="258">
        <v>1100.01</v>
      </c>
      <c r="Y951" s="192"/>
    </row>
    <row r="952" ht="37.5" customHeight="1" spans="1:25">
      <c r="A952" s="192">
        <f t="shared" si="25"/>
        <v>944</v>
      </c>
      <c r="B952" s="208">
        <v>2023</v>
      </c>
      <c r="C952" s="193" t="s">
        <v>37</v>
      </c>
      <c r="D952" s="277" t="s">
        <v>4240</v>
      </c>
      <c r="E952" s="195" t="s">
        <v>4241</v>
      </c>
      <c r="F952" s="196" t="s">
        <v>2073</v>
      </c>
      <c r="G952" s="197" t="s">
        <v>3239</v>
      </c>
      <c r="H952" s="198">
        <v>0.8</v>
      </c>
      <c r="I952" s="199">
        <v>73000</v>
      </c>
      <c r="J952" s="200" t="s">
        <v>2248</v>
      </c>
      <c r="K952" s="200" t="s">
        <v>2249</v>
      </c>
      <c r="L952" s="201">
        <v>0.4</v>
      </c>
      <c r="M952" s="278" t="s">
        <v>4242</v>
      </c>
      <c r="N952" s="205">
        <v>1706</v>
      </c>
      <c r="O952" s="254">
        <v>1706</v>
      </c>
      <c r="P952" s="205">
        <v>1364.8</v>
      </c>
      <c r="Q952" s="205">
        <v>1364.8</v>
      </c>
      <c r="R952" s="1262" t="s">
        <v>2556</v>
      </c>
      <c r="S952" s="254">
        <v>682.4</v>
      </c>
      <c r="T952" s="204">
        <v>45075</v>
      </c>
      <c r="U952" s="1262" t="s">
        <v>2228</v>
      </c>
      <c r="V952" s="254">
        <v>341.2</v>
      </c>
      <c r="W952" s="1262" t="s">
        <v>4156</v>
      </c>
      <c r="X952" s="258">
        <v>341.2</v>
      </c>
      <c r="Y952" s="192"/>
    </row>
    <row r="953" ht="37.5" customHeight="1" spans="1:25">
      <c r="A953" s="192">
        <f t="shared" si="25"/>
        <v>945</v>
      </c>
      <c r="B953" s="208">
        <v>2023</v>
      </c>
      <c r="C953" s="193" t="s">
        <v>37</v>
      </c>
      <c r="D953" s="277" t="s">
        <v>4243</v>
      </c>
      <c r="E953" s="195" t="s">
        <v>4244</v>
      </c>
      <c r="F953" s="196" t="s">
        <v>2073</v>
      </c>
      <c r="G953" s="197" t="s">
        <v>3239</v>
      </c>
      <c r="H953" s="198">
        <v>0.8</v>
      </c>
      <c r="I953" s="199">
        <v>45000</v>
      </c>
      <c r="J953" s="200" t="s">
        <v>1894</v>
      </c>
      <c r="K953" s="200" t="s">
        <v>2606</v>
      </c>
      <c r="L953" s="201">
        <v>0.4</v>
      </c>
      <c r="M953" s="278" t="s">
        <v>4245</v>
      </c>
      <c r="N953" s="205">
        <v>1666.7</v>
      </c>
      <c r="O953" s="254">
        <v>1666.7</v>
      </c>
      <c r="P953" s="205">
        <v>1333.36</v>
      </c>
      <c r="Q953" s="205">
        <v>1333.36</v>
      </c>
      <c r="R953" s="1262" t="s">
        <v>2556</v>
      </c>
      <c r="S953" s="254">
        <v>666.68</v>
      </c>
      <c r="T953" s="204">
        <v>45075</v>
      </c>
      <c r="U953" s="1262" t="s">
        <v>2228</v>
      </c>
      <c r="V953" s="254">
        <v>333.34</v>
      </c>
      <c r="W953" s="1262" t="s">
        <v>4156</v>
      </c>
      <c r="X953" s="258">
        <v>333.34</v>
      </c>
      <c r="Y953" s="192"/>
    </row>
    <row r="954" ht="37.5" customHeight="1" spans="1:25">
      <c r="A954" s="192">
        <f t="shared" si="25"/>
        <v>946</v>
      </c>
      <c r="B954" s="208">
        <v>2023</v>
      </c>
      <c r="C954" s="193" t="s">
        <v>37</v>
      </c>
      <c r="D954" s="277" t="s">
        <v>4246</v>
      </c>
      <c r="E954" s="195" t="s">
        <v>4247</v>
      </c>
      <c r="F954" s="196" t="s">
        <v>2073</v>
      </c>
      <c r="G954" s="197" t="s">
        <v>3239</v>
      </c>
      <c r="H954" s="198">
        <v>0.8</v>
      </c>
      <c r="I954" s="199">
        <v>11000</v>
      </c>
      <c r="J954" s="200" t="s">
        <v>2736</v>
      </c>
      <c r="K954" s="200" t="s">
        <v>2616</v>
      </c>
      <c r="L954" s="201">
        <v>0.4</v>
      </c>
      <c r="M954" s="278" t="s">
        <v>4227</v>
      </c>
      <c r="N954" s="205">
        <v>1100.06</v>
      </c>
      <c r="O954" s="254">
        <v>1100.06</v>
      </c>
      <c r="P954" s="205">
        <v>880.05</v>
      </c>
      <c r="Q954" s="205">
        <v>880.05</v>
      </c>
      <c r="R954" s="1262" t="s">
        <v>2556</v>
      </c>
      <c r="S954" s="254">
        <v>440.02</v>
      </c>
      <c r="T954" s="204">
        <v>45075</v>
      </c>
      <c r="U954" s="1262" t="s">
        <v>2228</v>
      </c>
      <c r="V954" s="254">
        <v>220.01</v>
      </c>
      <c r="W954" s="1262" t="s">
        <v>4156</v>
      </c>
      <c r="X954" s="258">
        <v>220.01</v>
      </c>
      <c r="Y954" s="192"/>
    </row>
    <row r="955" ht="37.5" customHeight="1" spans="1:25">
      <c r="A955" s="192">
        <f t="shared" si="25"/>
        <v>947</v>
      </c>
      <c r="B955" s="208">
        <v>2023</v>
      </c>
      <c r="C955" s="193" t="s">
        <v>37</v>
      </c>
      <c r="D955" s="277" t="s">
        <v>4248</v>
      </c>
      <c r="E955" s="195" t="s">
        <v>4249</v>
      </c>
      <c r="F955" s="196" t="s">
        <v>2073</v>
      </c>
      <c r="G955" s="197" t="s">
        <v>3239</v>
      </c>
      <c r="H955" s="198">
        <v>0.8</v>
      </c>
      <c r="I955" s="199">
        <v>74010</v>
      </c>
      <c r="J955" s="200" t="s">
        <v>2418</v>
      </c>
      <c r="K955" s="200" t="s">
        <v>2619</v>
      </c>
      <c r="L955" s="201">
        <v>0.4</v>
      </c>
      <c r="M955" s="278" t="s">
        <v>4250</v>
      </c>
      <c r="N955" s="205">
        <v>6541.82</v>
      </c>
      <c r="O955" s="254">
        <v>6541.82</v>
      </c>
      <c r="P955" s="205">
        <v>5233.45</v>
      </c>
      <c r="Q955" s="205">
        <v>5233.45</v>
      </c>
      <c r="R955" s="1262" t="s">
        <v>2556</v>
      </c>
      <c r="S955" s="254">
        <v>2616.73</v>
      </c>
      <c r="T955" s="204">
        <v>45075</v>
      </c>
      <c r="U955" s="1262" t="s">
        <v>2228</v>
      </c>
      <c r="V955" s="254">
        <v>1308.36</v>
      </c>
      <c r="W955" s="1262" t="s">
        <v>4156</v>
      </c>
      <c r="X955" s="258">
        <v>1308.36</v>
      </c>
      <c r="Y955" s="192"/>
    </row>
    <row r="956" ht="37.5" customHeight="1" spans="1:25">
      <c r="A956" s="192">
        <f t="shared" si="25"/>
        <v>948</v>
      </c>
      <c r="B956" s="208">
        <v>2023</v>
      </c>
      <c r="C956" s="193" t="s">
        <v>37</v>
      </c>
      <c r="D956" s="277" t="s">
        <v>4251</v>
      </c>
      <c r="E956" s="195" t="s">
        <v>4252</v>
      </c>
      <c r="F956" s="196" t="s">
        <v>2073</v>
      </c>
      <c r="G956" s="197" t="s">
        <v>3239</v>
      </c>
      <c r="H956" s="198">
        <v>0.8</v>
      </c>
      <c r="I956" s="199">
        <v>46340</v>
      </c>
      <c r="J956" s="200" t="s">
        <v>1958</v>
      </c>
      <c r="K956" s="200" t="s">
        <v>2360</v>
      </c>
      <c r="L956" s="201">
        <v>0.4</v>
      </c>
      <c r="M956" s="278" t="s">
        <v>2714</v>
      </c>
      <c r="N956" s="205">
        <v>7000.05</v>
      </c>
      <c r="O956" s="254">
        <v>7000.05</v>
      </c>
      <c r="P956" s="205">
        <v>5600.04</v>
      </c>
      <c r="Q956" s="205">
        <v>5600.04</v>
      </c>
      <c r="R956" s="1262" t="s">
        <v>2556</v>
      </c>
      <c r="S956" s="254">
        <v>2800.02</v>
      </c>
      <c r="T956" s="204">
        <v>45075</v>
      </c>
      <c r="U956" s="1262" t="s">
        <v>2228</v>
      </c>
      <c r="V956" s="254">
        <v>1400.01</v>
      </c>
      <c r="W956" s="1262" t="s">
        <v>4156</v>
      </c>
      <c r="X956" s="258">
        <v>1400.01</v>
      </c>
      <c r="Y956" s="192"/>
    </row>
    <row r="957" ht="37.5" customHeight="1" spans="1:25">
      <c r="A957" s="192">
        <f t="shared" si="25"/>
        <v>949</v>
      </c>
      <c r="B957" s="208">
        <v>2023</v>
      </c>
      <c r="C957" s="193" t="s">
        <v>37</v>
      </c>
      <c r="D957" s="277" t="s">
        <v>4253</v>
      </c>
      <c r="E957" s="195" t="s">
        <v>4254</v>
      </c>
      <c r="F957" s="196" t="s">
        <v>2073</v>
      </c>
      <c r="G957" s="197" t="s">
        <v>3239</v>
      </c>
      <c r="H957" s="198">
        <v>0.8</v>
      </c>
      <c r="I957" s="199">
        <v>45860</v>
      </c>
      <c r="J957" s="200" t="s">
        <v>1958</v>
      </c>
      <c r="K957" s="200" t="s">
        <v>2360</v>
      </c>
      <c r="L957" s="201">
        <v>0.4</v>
      </c>
      <c r="M957" s="278" t="s">
        <v>4255</v>
      </c>
      <c r="N957" s="205">
        <v>2473.82</v>
      </c>
      <c r="O957" s="254">
        <v>2473.82</v>
      </c>
      <c r="P957" s="205">
        <v>1979.06</v>
      </c>
      <c r="Q957" s="205">
        <v>1979.06</v>
      </c>
      <c r="R957" s="1262" t="s">
        <v>2556</v>
      </c>
      <c r="S957" s="254">
        <v>989.53</v>
      </c>
      <c r="T957" s="204">
        <v>45075</v>
      </c>
      <c r="U957" s="1262" t="s">
        <v>2228</v>
      </c>
      <c r="V957" s="254">
        <v>494.76</v>
      </c>
      <c r="W957" s="1262" t="s">
        <v>4156</v>
      </c>
      <c r="X957" s="258">
        <v>494.76</v>
      </c>
      <c r="Y957" s="192"/>
    </row>
    <row r="958" ht="37.5" customHeight="1" spans="1:25">
      <c r="A958" s="192">
        <f t="shared" si="25"/>
        <v>950</v>
      </c>
      <c r="B958" s="208">
        <v>2023</v>
      </c>
      <c r="C958" s="193" t="s">
        <v>37</v>
      </c>
      <c r="D958" s="277" t="s">
        <v>4256</v>
      </c>
      <c r="E958" s="195" t="s">
        <v>4257</v>
      </c>
      <c r="F958" s="196" t="s">
        <v>2073</v>
      </c>
      <c r="G958" s="197" t="s">
        <v>3239</v>
      </c>
      <c r="H958" s="198">
        <v>0.8</v>
      </c>
      <c r="I958" s="199">
        <v>250460</v>
      </c>
      <c r="J958" s="200" t="s">
        <v>1945</v>
      </c>
      <c r="K958" s="200" t="s">
        <v>2648</v>
      </c>
      <c r="L958" s="201">
        <v>0.4</v>
      </c>
      <c r="M958" s="278" t="s">
        <v>4161</v>
      </c>
      <c r="N958" s="205">
        <v>12585.16</v>
      </c>
      <c r="O958" s="254">
        <v>12585.16</v>
      </c>
      <c r="P958" s="205">
        <v>10068.13</v>
      </c>
      <c r="Q958" s="205">
        <v>10068.13</v>
      </c>
      <c r="R958" s="1262" t="s">
        <v>2556</v>
      </c>
      <c r="S958" s="254">
        <v>5034.06</v>
      </c>
      <c r="T958" s="204">
        <v>45075</v>
      </c>
      <c r="U958" s="1262" t="s">
        <v>2228</v>
      </c>
      <c r="V958" s="254">
        <v>2517.03</v>
      </c>
      <c r="W958" s="1262" t="s">
        <v>4156</v>
      </c>
      <c r="X958" s="258">
        <v>2517.03</v>
      </c>
      <c r="Y958" s="192"/>
    </row>
    <row r="959" ht="37.5" customHeight="1" spans="1:25">
      <c r="A959" s="192">
        <f t="shared" si="25"/>
        <v>951</v>
      </c>
      <c r="B959" s="208">
        <v>2023</v>
      </c>
      <c r="C959" s="193" t="s">
        <v>37</v>
      </c>
      <c r="D959" s="277" t="s">
        <v>4258</v>
      </c>
      <c r="E959" s="195" t="s">
        <v>4259</v>
      </c>
      <c r="F959" s="196" t="s">
        <v>2073</v>
      </c>
      <c r="G959" s="197" t="s">
        <v>3239</v>
      </c>
      <c r="H959" s="198">
        <v>0.8</v>
      </c>
      <c r="I959" s="199">
        <v>30000</v>
      </c>
      <c r="J959" s="200" t="s">
        <v>2936</v>
      </c>
      <c r="K959" s="200" t="s">
        <v>2937</v>
      </c>
      <c r="L959" s="201">
        <v>0.4</v>
      </c>
      <c r="M959" s="278" t="s">
        <v>4260</v>
      </c>
      <c r="N959" s="205">
        <v>333.36</v>
      </c>
      <c r="O959" s="254">
        <v>333.36</v>
      </c>
      <c r="P959" s="205">
        <v>266.69</v>
      </c>
      <c r="Q959" s="205">
        <v>266.69</v>
      </c>
      <c r="R959" s="1262" t="s">
        <v>2556</v>
      </c>
      <c r="S959" s="254">
        <v>133.34</v>
      </c>
      <c r="T959" s="204">
        <v>45075</v>
      </c>
      <c r="U959" s="1262" t="s">
        <v>2228</v>
      </c>
      <c r="V959" s="254">
        <v>66.67</v>
      </c>
      <c r="W959" s="1262" t="s">
        <v>4156</v>
      </c>
      <c r="X959" s="258">
        <v>66.67</v>
      </c>
      <c r="Y959" s="192"/>
    </row>
    <row r="960" ht="37.5" customHeight="1" spans="1:25">
      <c r="A960" s="192">
        <f t="shared" si="25"/>
        <v>952</v>
      </c>
      <c r="B960" s="208">
        <v>2023</v>
      </c>
      <c r="C960" s="193" t="s">
        <v>37</v>
      </c>
      <c r="D960" s="277" t="s">
        <v>4261</v>
      </c>
      <c r="E960" s="195" t="s">
        <v>4262</v>
      </c>
      <c r="F960" s="196" t="s">
        <v>2073</v>
      </c>
      <c r="G960" s="197" t="s">
        <v>3239</v>
      </c>
      <c r="H960" s="198">
        <v>0.8</v>
      </c>
      <c r="I960" s="199">
        <v>201000</v>
      </c>
      <c r="J960" s="200" t="s">
        <v>2936</v>
      </c>
      <c r="K960" s="200" t="s">
        <v>2937</v>
      </c>
      <c r="L960" s="201">
        <v>0.4</v>
      </c>
      <c r="M960" s="278" t="s">
        <v>4263</v>
      </c>
      <c r="N960" s="205">
        <v>10125.14</v>
      </c>
      <c r="O960" s="254">
        <v>10125.14</v>
      </c>
      <c r="P960" s="205">
        <v>8100.11</v>
      </c>
      <c r="Q960" s="205">
        <v>8100.11</v>
      </c>
      <c r="R960" s="1262" t="s">
        <v>2556</v>
      </c>
      <c r="S960" s="254">
        <v>4050.06</v>
      </c>
      <c r="T960" s="204">
        <v>45075</v>
      </c>
      <c r="U960" s="1262" t="s">
        <v>2228</v>
      </c>
      <c r="V960" s="254">
        <v>2025.03</v>
      </c>
      <c r="W960" s="1262" t="s">
        <v>4156</v>
      </c>
      <c r="X960" s="258">
        <v>2025.03</v>
      </c>
      <c r="Y960" s="192"/>
    </row>
    <row r="961" ht="37.5" customHeight="1" spans="1:25">
      <c r="A961" s="192">
        <f t="shared" si="25"/>
        <v>953</v>
      </c>
      <c r="B961" s="208">
        <v>2023</v>
      </c>
      <c r="C961" s="193" t="s">
        <v>37</v>
      </c>
      <c r="D961" s="277" t="s">
        <v>4264</v>
      </c>
      <c r="E961" s="195" t="s">
        <v>4265</v>
      </c>
      <c r="F961" s="196" t="s">
        <v>2073</v>
      </c>
      <c r="G961" s="197" t="s">
        <v>3239</v>
      </c>
      <c r="H961" s="198">
        <v>0.8</v>
      </c>
      <c r="I961" s="199">
        <v>140030</v>
      </c>
      <c r="J961" s="200" t="s">
        <v>2000</v>
      </c>
      <c r="K961" s="200" t="s">
        <v>4266</v>
      </c>
      <c r="L961" s="201">
        <v>0.4</v>
      </c>
      <c r="M961" s="278" t="s">
        <v>2714</v>
      </c>
      <c r="N961" s="205">
        <v>10958.76</v>
      </c>
      <c r="O961" s="254">
        <v>10958.76</v>
      </c>
      <c r="P961" s="205">
        <v>8767.01</v>
      </c>
      <c r="Q961" s="205">
        <v>8767.01</v>
      </c>
      <c r="R961" s="1262" t="s">
        <v>2556</v>
      </c>
      <c r="S961" s="254">
        <v>4383.5</v>
      </c>
      <c r="T961" s="204">
        <v>45075</v>
      </c>
      <c r="U961" s="1262" t="s">
        <v>2228</v>
      </c>
      <c r="V961" s="254">
        <v>2191.75</v>
      </c>
      <c r="W961" s="1262" t="s">
        <v>4156</v>
      </c>
      <c r="X961" s="258">
        <v>2191.75</v>
      </c>
      <c r="Y961" s="192"/>
    </row>
    <row r="962" ht="37.5" customHeight="1" spans="1:25">
      <c r="A962" s="192">
        <f t="shared" si="25"/>
        <v>954</v>
      </c>
      <c r="B962" s="208">
        <v>2023</v>
      </c>
      <c r="C962" s="193" t="s">
        <v>37</v>
      </c>
      <c r="D962" s="277" t="s">
        <v>4267</v>
      </c>
      <c r="E962" s="195" t="s">
        <v>4268</v>
      </c>
      <c r="F962" s="196" t="s">
        <v>2073</v>
      </c>
      <c r="G962" s="197" t="s">
        <v>3239</v>
      </c>
      <c r="H962" s="198">
        <v>0.8</v>
      </c>
      <c r="I962" s="199">
        <v>70310</v>
      </c>
      <c r="J962" s="200" t="s">
        <v>2453</v>
      </c>
      <c r="K962" s="200" t="s">
        <v>2873</v>
      </c>
      <c r="L962" s="201">
        <v>0.4</v>
      </c>
      <c r="M962" s="278" t="s">
        <v>4206</v>
      </c>
      <c r="N962" s="205">
        <v>9333.36</v>
      </c>
      <c r="O962" s="254">
        <v>9333.36</v>
      </c>
      <c r="P962" s="205">
        <v>7466.69</v>
      </c>
      <c r="Q962" s="205">
        <v>7466.69</v>
      </c>
      <c r="R962" s="1262" t="s">
        <v>2556</v>
      </c>
      <c r="S962" s="254">
        <v>3733.34</v>
      </c>
      <c r="T962" s="204">
        <v>45075</v>
      </c>
      <c r="U962" s="1262" t="s">
        <v>2228</v>
      </c>
      <c r="V962" s="254">
        <v>1866.67</v>
      </c>
      <c r="W962" s="1262" t="s">
        <v>4156</v>
      </c>
      <c r="X962" s="258">
        <v>1866.67</v>
      </c>
      <c r="Y962" s="192"/>
    </row>
    <row r="963" ht="37.5" customHeight="1" spans="1:25">
      <c r="A963" s="192">
        <f t="shared" si="25"/>
        <v>955</v>
      </c>
      <c r="B963" s="208">
        <v>2023</v>
      </c>
      <c r="C963" s="193" t="s">
        <v>37</v>
      </c>
      <c r="D963" s="277" t="s">
        <v>4269</v>
      </c>
      <c r="E963" s="195" t="s">
        <v>4270</v>
      </c>
      <c r="F963" s="196" t="s">
        <v>2073</v>
      </c>
      <c r="G963" s="197" t="s">
        <v>3239</v>
      </c>
      <c r="H963" s="198">
        <v>0.8</v>
      </c>
      <c r="I963" s="199">
        <v>60010</v>
      </c>
      <c r="J963" s="200" t="s">
        <v>4271</v>
      </c>
      <c r="K963" s="200" t="s">
        <v>4193</v>
      </c>
      <c r="L963" s="201">
        <v>0.4</v>
      </c>
      <c r="M963" s="278" t="s">
        <v>4272</v>
      </c>
      <c r="N963" s="205">
        <v>20003.36</v>
      </c>
      <c r="O963" s="254">
        <v>20003.36</v>
      </c>
      <c r="P963" s="205">
        <v>16002.69</v>
      </c>
      <c r="Q963" s="205">
        <v>16002.69</v>
      </c>
      <c r="R963" s="1262" t="s">
        <v>2556</v>
      </c>
      <c r="S963" s="254">
        <v>8001.34</v>
      </c>
      <c r="T963" s="204">
        <v>45075</v>
      </c>
      <c r="U963" s="1262" t="s">
        <v>2228</v>
      </c>
      <c r="V963" s="254">
        <v>4000.67</v>
      </c>
      <c r="W963" s="1262" t="s">
        <v>4156</v>
      </c>
      <c r="X963" s="258">
        <v>4000.67</v>
      </c>
      <c r="Y963" s="192"/>
    </row>
    <row r="964" ht="37.5" customHeight="1" spans="1:25">
      <c r="A964" s="192">
        <f t="shared" si="25"/>
        <v>956</v>
      </c>
      <c r="B964" s="208">
        <v>2023</v>
      </c>
      <c r="C964" s="193" t="s">
        <v>37</v>
      </c>
      <c r="D964" s="277" t="s">
        <v>4273</v>
      </c>
      <c r="E964" s="195" t="s">
        <v>4274</v>
      </c>
      <c r="F964" s="196" t="s">
        <v>2073</v>
      </c>
      <c r="G964" s="197" t="s">
        <v>3239</v>
      </c>
      <c r="H964" s="198">
        <v>0.8</v>
      </c>
      <c r="I964" s="199">
        <v>400560</v>
      </c>
      <c r="J964" s="200" t="s">
        <v>3244</v>
      </c>
      <c r="K964" s="200" t="s">
        <v>3245</v>
      </c>
      <c r="L964" s="201">
        <v>0.4</v>
      </c>
      <c r="M964" s="278" t="s">
        <v>2714</v>
      </c>
      <c r="N964" s="205">
        <v>20666.72</v>
      </c>
      <c r="O964" s="254">
        <v>20666.72</v>
      </c>
      <c r="P964" s="205">
        <v>16533.38</v>
      </c>
      <c r="Q964" s="205">
        <v>16533.38</v>
      </c>
      <c r="R964" s="1262" t="s">
        <v>2556</v>
      </c>
      <c r="S964" s="254">
        <v>8266.69</v>
      </c>
      <c r="T964" s="204">
        <v>45075</v>
      </c>
      <c r="U964" s="1262" t="s">
        <v>2228</v>
      </c>
      <c r="V964" s="254">
        <v>4133.34</v>
      </c>
      <c r="W964" s="1262" t="s">
        <v>4156</v>
      </c>
      <c r="X964" s="258">
        <v>4133.34</v>
      </c>
      <c r="Y964" s="192"/>
    </row>
    <row r="965" ht="37.5" customHeight="1" spans="1:25">
      <c r="A965" s="192">
        <f t="shared" si="25"/>
        <v>957</v>
      </c>
      <c r="B965" s="208">
        <v>2023</v>
      </c>
      <c r="C965" s="193" t="s">
        <v>37</v>
      </c>
      <c r="D965" s="277" t="s">
        <v>4275</v>
      </c>
      <c r="E965" s="195" t="s">
        <v>4276</v>
      </c>
      <c r="F965" s="196" t="s">
        <v>2073</v>
      </c>
      <c r="G965" s="197" t="s">
        <v>3239</v>
      </c>
      <c r="H965" s="198">
        <v>0.8</v>
      </c>
      <c r="I965" s="199">
        <v>168659.88</v>
      </c>
      <c r="J965" s="200" t="s">
        <v>3575</v>
      </c>
      <c r="K965" s="200" t="s">
        <v>3576</v>
      </c>
      <c r="L965" s="201">
        <v>0.4</v>
      </c>
      <c r="M965" s="278" t="s">
        <v>4277</v>
      </c>
      <c r="N965" s="205">
        <v>11080</v>
      </c>
      <c r="O965" s="254">
        <v>11080</v>
      </c>
      <c r="P965" s="205">
        <v>8864</v>
      </c>
      <c r="Q965" s="205">
        <v>8864</v>
      </c>
      <c r="R965" s="1262" t="s">
        <v>2556</v>
      </c>
      <c r="S965" s="254">
        <v>4432</v>
      </c>
      <c r="T965" s="204">
        <v>45075</v>
      </c>
      <c r="U965" s="1262" t="s">
        <v>2228</v>
      </c>
      <c r="V965" s="254">
        <v>2216</v>
      </c>
      <c r="W965" s="1262" t="s">
        <v>4156</v>
      </c>
      <c r="X965" s="258">
        <v>2216</v>
      </c>
      <c r="Y965" s="192"/>
    </row>
    <row r="966" ht="37.5" customHeight="1" spans="1:25">
      <c r="A966" s="192">
        <f t="shared" si="25"/>
        <v>958</v>
      </c>
      <c r="B966" s="208">
        <v>2023</v>
      </c>
      <c r="C966" s="193" t="s">
        <v>37</v>
      </c>
      <c r="D966" s="277" t="s">
        <v>4273</v>
      </c>
      <c r="E966" s="195" t="s">
        <v>4278</v>
      </c>
      <c r="F966" s="196" t="s">
        <v>2073</v>
      </c>
      <c r="G966" s="197" t="s">
        <v>3239</v>
      </c>
      <c r="H966" s="198">
        <v>0.8</v>
      </c>
      <c r="I966" s="199">
        <v>57000</v>
      </c>
      <c r="J966" s="200" t="s">
        <v>2429</v>
      </c>
      <c r="K966" s="200" t="s">
        <v>2820</v>
      </c>
      <c r="L966" s="201">
        <v>0.4</v>
      </c>
      <c r="M966" s="278" t="s">
        <v>2714</v>
      </c>
      <c r="N966" s="205">
        <v>23750.07</v>
      </c>
      <c r="O966" s="254">
        <v>23750.07</v>
      </c>
      <c r="P966" s="205">
        <v>19000.05</v>
      </c>
      <c r="Q966" s="205">
        <v>19000.05</v>
      </c>
      <c r="R966" s="1262" t="s">
        <v>2556</v>
      </c>
      <c r="S966" s="254">
        <v>9500.03</v>
      </c>
      <c r="T966" s="204">
        <v>45075</v>
      </c>
      <c r="U966" s="1262" t="s">
        <v>2228</v>
      </c>
      <c r="V966" s="254">
        <v>4750.01</v>
      </c>
      <c r="W966" s="1262" t="s">
        <v>3090</v>
      </c>
      <c r="X966" s="206">
        <v>4750.01</v>
      </c>
      <c r="Y966" s="192"/>
    </row>
    <row r="967" ht="37.5" customHeight="1" spans="1:25">
      <c r="A967" s="192">
        <f t="shared" si="25"/>
        <v>959</v>
      </c>
      <c r="B967" s="208">
        <v>2023</v>
      </c>
      <c r="C967" s="193" t="s">
        <v>37</v>
      </c>
      <c r="D967" s="277" t="s">
        <v>4279</v>
      </c>
      <c r="E967" s="195" t="s">
        <v>4280</v>
      </c>
      <c r="F967" s="196" t="s">
        <v>2073</v>
      </c>
      <c r="G967" s="197" t="s">
        <v>3239</v>
      </c>
      <c r="H967" s="198">
        <v>0.8</v>
      </c>
      <c r="I967" s="199">
        <v>82000</v>
      </c>
      <c r="J967" s="200" t="s">
        <v>2429</v>
      </c>
      <c r="K967" s="200" t="s">
        <v>2820</v>
      </c>
      <c r="L967" s="201">
        <v>0.4</v>
      </c>
      <c r="M967" s="278" t="s">
        <v>2714</v>
      </c>
      <c r="N967" s="205">
        <v>40000.1</v>
      </c>
      <c r="O967" s="254">
        <v>40000.1</v>
      </c>
      <c r="P967" s="205">
        <v>32000.09</v>
      </c>
      <c r="Q967" s="205">
        <v>32000.09</v>
      </c>
      <c r="R967" s="1262" t="s">
        <v>2556</v>
      </c>
      <c r="S967" s="254">
        <v>16000.04</v>
      </c>
      <c r="T967" s="204">
        <v>45075</v>
      </c>
      <c r="U967" s="1262" t="s">
        <v>2228</v>
      </c>
      <c r="V967" s="254">
        <v>8000.02</v>
      </c>
      <c r="W967" s="1262" t="s">
        <v>3090</v>
      </c>
      <c r="X967" s="206">
        <v>8000.02</v>
      </c>
      <c r="Y967" s="192"/>
    </row>
    <row r="968" ht="37.5" customHeight="1" spans="1:25">
      <c r="A968" s="192">
        <f t="shared" si="25"/>
        <v>960</v>
      </c>
      <c r="B968" s="208">
        <v>2023</v>
      </c>
      <c r="C968" s="193" t="s">
        <v>37</v>
      </c>
      <c r="D968" s="277" t="s">
        <v>4261</v>
      </c>
      <c r="E968" s="195" t="s">
        <v>4281</v>
      </c>
      <c r="F968" s="196" t="s">
        <v>2073</v>
      </c>
      <c r="G968" s="197" t="s">
        <v>3239</v>
      </c>
      <c r="H968" s="198">
        <v>0.8</v>
      </c>
      <c r="I968" s="199">
        <v>12000</v>
      </c>
      <c r="J968" s="200" t="s">
        <v>2429</v>
      </c>
      <c r="K968" s="200" t="s">
        <v>2820</v>
      </c>
      <c r="L968" s="201">
        <v>0.4</v>
      </c>
      <c r="M968" s="278" t="s">
        <v>4227</v>
      </c>
      <c r="N968" s="205">
        <v>5000</v>
      </c>
      <c r="O968" s="254">
        <v>5000</v>
      </c>
      <c r="P968" s="205">
        <v>4000</v>
      </c>
      <c r="Q968" s="205">
        <v>4000</v>
      </c>
      <c r="R968" s="1262" t="s">
        <v>2556</v>
      </c>
      <c r="S968" s="254">
        <v>2000</v>
      </c>
      <c r="T968" s="204">
        <v>45075</v>
      </c>
      <c r="U968" s="1262" t="s">
        <v>2228</v>
      </c>
      <c r="V968" s="254">
        <v>1000</v>
      </c>
      <c r="W968" s="1262" t="s">
        <v>3090</v>
      </c>
      <c r="X968" s="206">
        <v>1000</v>
      </c>
      <c r="Y968" s="192"/>
    </row>
    <row r="969" ht="37.5" customHeight="1" spans="1:25">
      <c r="A969" s="192">
        <f t="shared" si="25"/>
        <v>961</v>
      </c>
      <c r="B969" s="208">
        <v>2023</v>
      </c>
      <c r="C969" s="193" t="s">
        <v>37</v>
      </c>
      <c r="D969" s="277" t="s">
        <v>4282</v>
      </c>
      <c r="E969" s="195" t="s">
        <v>4283</v>
      </c>
      <c r="F969" s="196" t="s">
        <v>2073</v>
      </c>
      <c r="G969" s="197" t="s">
        <v>3239</v>
      </c>
      <c r="H969" s="198">
        <v>0.8</v>
      </c>
      <c r="I969" s="199">
        <v>19000</v>
      </c>
      <c r="J969" s="200" t="s">
        <v>2016</v>
      </c>
      <c r="K969" s="200" t="s">
        <v>3330</v>
      </c>
      <c r="L969" s="201">
        <v>0.4</v>
      </c>
      <c r="M969" s="278" t="s">
        <v>2714</v>
      </c>
      <c r="N969" s="205">
        <v>7915.13</v>
      </c>
      <c r="O969" s="254">
        <v>7915.13</v>
      </c>
      <c r="P969" s="205">
        <v>6332.1</v>
      </c>
      <c r="Q969" s="205">
        <v>6332.1</v>
      </c>
      <c r="R969" s="1262" t="s">
        <v>2556</v>
      </c>
      <c r="S969" s="254">
        <v>3166.05</v>
      </c>
      <c r="T969" s="204">
        <v>45075</v>
      </c>
      <c r="U969" s="1262" t="s">
        <v>2228</v>
      </c>
      <c r="V969" s="254">
        <v>1583.03</v>
      </c>
      <c r="W969" s="1262" t="s">
        <v>3090</v>
      </c>
      <c r="X969" s="206">
        <v>1583.03</v>
      </c>
      <c r="Y969" s="192"/>
    </row>
    <row r="970" ht="37.5" customHeight="1" spans="1:25">
      <c r="A970" s="192">
        <f t="shared" si="25"/>
        <v>962</v>
      </c>
      <c r="B970" s="208">
        <v>2023</v>
      </c>
      <c r="C970" s="193" t="s">
        <v>37</v>
      </c>
      <c r="D970" s="277" t="s">
        <v>4284</v>
      </c>
      <c r="E970" s="195" t="s">
        <v>4285</v>
      </c>
      <c r="F970" s="196" t="s">
        <v>2073</v>
      </c>
      <c r="G970" s="197" t="s">
        <v>3239</v>
      </c>
      <c r="H970" s="198">
        <v>0.8</v>
      </c>
      <c r="I970" s="199">
        <v>13590</v>
      </c>
      <c r="J970" s="200" t="s">
        <v>2016</v>
      </c>
      <c r="K970" s="200" t="s">
        <v>3330</v>
      </c>
      <c r="L970" s="201">
        <v>0.4</v>
      </c>
      <c r="M970" s="278" t="s">
        <v>4206</v>
      </c>
      <c r="N970" s="205">
        <v>8465.3</v>
      </c>
      <c r="O970" s="254">
        <v>8465.3</v>
      </c>
      <c r="P970" s="205">
        <v>6772.24</v>
      </c>
      <c r="Q970" s="205">
        <v>6772.24</v>
      </c>
      <c r="R970" s="1262" t="s">
        <v>2556</v>
      </c>
      <c r="S970" s="254">
        <v>3386.12</v>
      </c>
      <c r="T970" s="204">
        <v>45075</v>
      </c>
      <c r="U970" s="1262" t="s">
        <v>2228</v>
      </c>
      <c r="V970" s="254">
        <v>1693.06</v>
      </c>
      <c r="W970" s="1262" t="s">
        <v>3090</v>
      </c>
      <c r="X970" s="206">
        <v>1693.06</v>
      </c>
      <c r="Y970" s="192"/>
    </row>
    <row r="971" ht="37.5" customHeight="1" spans="1:25">
      <c r="A971" s="192">
        <f t="shared" si="25"/>
        <v>963</v>
      </c>
      <c r="B971" s="208">
        <v>2023</v>
      </c>
      <c r="C971" s="193" t="s">
        <v>37</v>
      </c>
      <c r="D971" s="277" t="s">
        <v>4256</v>
      </c>
      <c r="E971" s="195" t="s">
        <v>4286</v>
      </c>
      <c r="F971" s="196" t="s">
        <v>2073</v>
      </c>
      <c r="G971" s="197" t="s">
        <v>3239</v>
      </c>
      <c r="H971" s="198">
        <v>0.8</v>
      </c>
      <c r="I971" s="199">
        <v>37200</v>
      </c>
      <c r="J971" s="200" t="s">
        <v>2016</v>
      </c>
      <c r="K971" s="200" t="s">
        <v>3330</v>
      </c>
      <c r="L971" s="201">
        <v>0.4</v>
      </c>
      <c r="M971" s="278" t="s">
        <v>4161</v>
      </c>
      <c r="N971" s="205">
        <v>14733.41</v>
      </c>
      <c r="O971" s="254">
        <v>14733.41</v>
      </c>
      <c r="P971" s="205">
        <v>11786.73</v>
      </c>
      <c r="Q971" s="205">
        <v>11786.73</v>
      </c>
      <c r="R971" s="1262" t="s">
        <v>2556</v>
      </c>
      <c r="S971" s="254">
        <v>5893.36</v>
      </c>
      <c r="T971" s="204">
        <v>45075</v>
      </c>
      <c r="U971" s="1262" t="s">
        <v>2228</v>
      </c>
      <c r="V971" s="254">
        <v>2946.68</v>
      </c>
      <c r="W971" s="1262" t="s">
        <v>3090</v>
      </c>
      <c r="X971" s="206">
        <v>2946.68</v>
      </c>
      <c r="Y971" s="192"/>
    </row>
    <row r="972" ht="37.5" customHeight="1" spans="1:25">
      <c r="A972" s="192">
        <f t="shared" si="25"/>
        <v>964</v>
      </c>
      <c r="B972" s="208">
        <v>2023</v>
      </c>
      <c r="C972" s="193" t="s">
        <v>37</v>
      </c>
      <c r="D972" s="277" t="s">
        <v>4287</v>
      </c>
      <c r="E972" s="195" t="s">
        <v>4288</v>
      </c>
      <c r="F972" s="196" t="s">
        <v>2073</v>
      </c>
      <c r="G972" s="197" t="s">
        <v>3239</v>
      </c>
      <c r="H972" s="198">
        <v>0.8</v>
      </c>
      <c r="I972" s="199">
        <v>21790</v>
      </c>
      <c r="J972" s="200" t="s">
        <v>3164</v>
      </c>
      <c r="K972" s="200" t="s">
        <v>3165</v>
      </c>
      <c r="L972" s="201">
        <v>0.4</v>
      </c>
      <c r="M972" s="278" t="s">
        <v>4107</v>
      </c>
      <c r="N972" s="205">
        <v>8265.44</v>
      </c>
      <c r="O972" s="254">
        <v>8265.44</v>
      </c>
      <c r="P972" s="205">
        <v>6612.35</v>
      </c>
      <c r="Q972" s="205">
        <v>6612.35</v>
      </c>
      <c r="R972" s="1262" t="s">
        <v>2556</v>
      </c>
      <c r="S972" s="254">
        <v>3306.18</v>
      </c>
      <c r="T972" s="204">
        <v>45075</v>
      </c>
      <c r="U972" s="1262" t="s">
        <v>2228</v>
      </c>
      <c r="V972" s="254">
        <v>1653.09</v>
      </c>
      <c r="W972" s="1262" t="s">
        <v>3090</v>
      </c>
      <c r="X972" s="206">
        <v>1653.09</v>
      </c>
      <c r="Y972" s="192"/>
    </row>
    <row r="973" ht="37.5" customHeight="1" spans="1:25">
      <c r="A973" s="192">
        <f t="shared" si="25"/>
        <v>965</v>
      </c>
      <c r="B973" s="208">
        <v>2023</v>
      </c>
      <c r="C973" s="193" t="s">
        <v>37</v>
      </c>
      <c r="D973" s="277" t="s">
        <v>4289</v>
      </c>
      <c r="E973" s="195" t="s">
        <v>4290</v>
      </c>
      <c r="F973" s="196" t="s">
        <v>2073</v>
      </c>
      <c r="G973" s="197" t="s">
        <v>3239</v>
      </c>
      <c r="H973" s="198">
        <v>0.8</v>
      </c>
      <c r="I973" s="199">
        <v>20000</v>
      </c>
      <c r="J973" s="200" t="s">
        <v>3164</v>
      </c>
      <c r="K973" s="200" t="s">
        <v>3165</v>
      </c>
      <c r="L973" s="201">
        <v>0.4</v>
      </c>
      <c r="M973" s="278" t="s">
        <v>4107</v>
      </c>
      <c r="N973" s="205">
        <v>8333.38</v>
      </c>
      <c r="O973" s="254">
        <v>8333.38</v>
      </c>
      <c r="P973" s="205">
        <v>6666.7</v>
      </c>
      <c r="Q973" s="205">
        <v>6666.7</v>
      </c>
      <c r="R973" s="1262" t="s">
        <v>2556</v>
      </c>
      <c r="S973" s="254">
        <v>3333.35</v>
      </c>
      <c r="T973" s="204">
        <v>45075</v>
      </c>
      <c r="U973" s="1262" t="s">
        <v>2228</v>
      </c>
      <c r="V973" s="254">
        <v>1666.68</v>
      </c>
      <c r="W973" s="1262" t="s">
        <v>3090</v>
      </c>
      <c r="X973" s="206">
        <v>1666.68</v>
      </c>
      <c r="Y973" s="192"/>
    </row>
    <row r="974" ht="37.5" customHeight="1" spans="1:25">
      <c r="A974" s="192">
        <f t="shared" si="25"/>
        <v>966</v>
      </c>
      <c r="B974" s="208">
        <v>2023</v>
      </c>
      <c r="C974" s="193" t="s">
        <v>37</v>
      </c>
      <c r="D974" s="277" t="s">
        <v>4078</v>
      </c>
      <c r="E974" s="195" t="s">
        <v>4291</v>
      </c>
      <c r="F974" s="196" t="s">
        <v>2073</v>
      </c>
      <c r="G974" s="197" t="s">
        <v>3239</v>
      </c>
      <c r="H974" s="198">
        <v>0.8</v>
      </c>
      <c r="I974" s="199">
        <v>17489.99</v>
      </c>
      <c r="J974" s="200" t="s">
        <v>2836</v>
      </c>
      <c r="K974" s="200" t="s">
        <v>2837</v>
      </c>
      <c r="L974" s="201">
        <v>0.4</v>
      </c>
      <c r="M974" s="278" t="s">
        <v>4292</v>
      </c>
      <c r="N974" s="205">
        <v>666.74</v>
      </c>
      <c r="O974" s="254">
        <v>666.74</v>
      </c>
      <c r="P974" s="205">
        <v>533.4</v>
      </c>
      <c r="Q974" s="205">
        <v>533.4</v>
      </c>
      <c r="R974" s="1262" t="s">
        <v>2556</v>
      </c>
      <c r="S974" s="254">
        <v>266.7</v>
      </c>
      <c r="T974" s="204">
        <v>45075</v>
      </c>
      <c r="U974" s="1262" t="s">
        <v>2228</v>
      </c>
      <c r="V974" s="254">
        <v>133.35</v>
      </c>
      <c r="W974" s="1262" t="s">
        <v>3090</v>
      </c>
      <c r="X974" s="206">
        <v>133.35</v>
      </c>
      <c r="Y974" s="192"/>
    </row>
    <row r="975" ht="37.5" customHeight="1" spans="1:25">
      <c r="A975" s="192">
        <f t="shared" si="25"/>
        <v>967</v>
      </c>
      <c r="B975" s="208">
        <v>2023</v>
      </c>
      <c r="C975" s="193" t="s">
        <v>37</v>
      </c>
      <c r="D975" s="277" t="s">
        <v>4251</v>
      </c>
      <c r="E975" s="195" t="s">
        <v>4293</v>
      </c>
      <c r="F975" s="196" t="s">
        <v>2073</v>
      </c>
      <c r="G975" s="197" t="s">
        <v>3239</v>
      </c>
      <c r="H975" s="198">
        <v>0.8</v>
      </c>
      <c r="I975" s="199">
        <v>15205.77</v>
      </c>
      <c r="J975" s="200" t="s">
        <v>3578</v>
      </c>
      <c r="K975" s="200" t="s">
        <v>3579</v>
      </c>
      <c r="L975" s="201">
        <v>0.4</v>
      </c>
      <c r="M975" s="278" t="s">
        <v>2714</v>
      </c>
      <c r="N975" s="205">
        <v>3000.1</v>
      </c>
      <c r="O975" s="254">
        <v>3000.1</v>
      </c>
      <c r="P975" s="205">
        <v>2400.08</v>
      </c>
      <c r="Q975" s="205">
        <v>2400.08</v>
      </c>
      <c r="R975" s="1262" t="s">
        <v>2556</v>
      </c>
      <c r="S975" s="254">
        <v>1200.04</v>
      </c>
      <c r="T975" s="204">
        <v>45075</v>
      </c>
      <c r="U975" s="1262" t="s">
        <v>2228</v>
      </c>
      <c r="V975" s="254">
        <v>600.02</v>
      </c>
      <c r="W975" s="1262" t="s">
        <v>3090</v>
      </c>
      <c r="X975" s="206">
        <v>600.02</v>
      </c>
      <c r="Y975" s="192"/>
    </row>
    <row r="976" ht="37.5" customHeight="1" spans="1:25">
      <c r="A976" s="192">
        <f t="shared" si="25"/>
        <v>968</v>
      </c>
      <c r="B976" s="208">
        <v>2023</v>
      </c>
      <c r="C976" s="193" t="s">
        <v>37</v>
      </c>
      <c r="D976" s="277" t="s">
        <v>4294</v>
      </c>
      <c r="E976" s="195" t="s">
        <v>4295</v>
      </c>
      <c r="F976" s="196" t="s">
        <v>2073</v>
      </c>
      <c r="G976" s="197" t="s">
        <v>3239</v>
      </c>
      <c r="H976" s="198">
        <v>0.8</v>
      </c>
      <c r="I976" s="199">
        <v>57000</v>
      </c>
      <c r="J976" s="200" t="s">
        <v>3578</v>
      </c>
      <c r="K976" s="200" t="s">
        <v>3579</v>
      </c>
      <c r="L976" s="201">
        <v>0.4</v>
      </c>
      <c r="M976" s="278" t="s">
        <v>4296</v>
      </c>
      <c r="N976" s="205">
        <v>22739.59</v>
      </c>
      <c r="O976" s="254">
        <v>22739.59</v>
      </c>
      <c r="P976" s="205">
        <v>18191.67</v>
      </c>
      <c r="Q976" s="205">
        <v>18191.67</v>
      </c>
      <c r="R976" s="1262" t="s">
        <v>2556</v>
      </c>
      <c r="S976" s="254">
        <v>9095.84</v>
      </c>
      <c r="T976" s="204">
        <v>45075</v>
      </c>
      <c r="U976" s="1262" t="s">
        <v>2228</v>
      </c>
      <c r="V976" s="254">
        <v>4547.92</v>
      </c>
      <c r="W976" s="1262" t="s">
        <v>3090</v>
      </c>
      <c r="X976" s="206">
        <v>4547.92</v>
      </c>
      <c r="Y976" s="192"/>
    </row>
    <row r="977" ht="37.5" customHeight="1" spans="1:25">
      <c r="A977" s="192">
        <f t="shared" si="25"/>
        <v>969</v>
      </c>
      <c r="B977" s="208">
        <v>2023</v>
      </c>
      <c r="C977" s="193" t="s">
        <v>37</v>
      </c>
      <c r="D977" s="277" t="s">
        <v>4297</v>
      </c>
      <c r="E977" s="195" t="s">
        <v>4298</v>
      </c>
      <c r="F977" s="196" t="s">
        <v>2073</v>
      </c>
      <c r="G977" s="197" t="s">
        <v>3239</v>
      </c>
      <c r="H977" s="198">
        <v>0.8</v>
      </c>
      <c r="I977" s="199">
        <v>15924.53</v>
      </c>
      <c r="J977" s="200" t="s">
        <v>3516</v>
      </c>
      <c r="K977" s="200" t="s">
        <v>3517</v>
      </c>
      <c r="L977" s="201">
        <v>0.4</v>
      </c>
      <c r="M977" s="278" t="s">
        <v>4260</v>
      </c>
      <c r="N977" s="205">
        <v>4125.01</v>
      </c>
      <c r="O977" s="254">
        <v>4125.01</v>
      </c>
      <c r="P977" s="205">
        <v>3300.01</v>
      </c>
      <c r="Q977" s="205">
        <v>3300.01</v>
      </c>
      <c r="R977" s="1262" t="s">
        <v>2556</v>
      </c>
      <c r="S977" s="254">
        <v>1650</v>
      </c>
      <c r="T977" s="204">
        <v>45075</v>
      </c>
      <c r="U977" s="1262" t="s">
        <v>2228</v>
      </c>
      <c r="V977" s="254">
        <v>825</v>
      </c>
      <c r="W977" s="1262" t="s">
        <v>3090</v>
      </c>
      <c r="X977" s="206">
        <v>825</v>
      </c>
      <c r="Y977" s="192"/>
    </row>
    <row r="978" ht="37.5" customHeight="1" spans="1:25">
      <c r="A978" s="192">
        <f t="shared" si="25"/>
        <v>970</v>
      </c>
      <c r="B978" s="208">
        <v>2023</v>
      </c>
      <c r="C978" s="193" t="s">
        <v>37</v>
      </c>
      <c r="D978" s="277" t="s">
        <v>4236</v>
      </c>
      <c r="E978" s="195" t="s">
        <v>4299</v>
      </c>
      <c r="F978" s="196" t="s">
        <v>2073</v>
      </c>
      <c r="G978" s="197" t="s">
        <v>3239</v>
      </c>
      <c r="H978" s="198">
        <v>0.8</v>
      </c>
      <c r="I978" s="199">
        <v>12469.82</v>
      </c>
      <c r="J978" s="200" t="s">
        <v>3032</v>
      </c>
      <c r="K978" s="200" t="s">
        <v>3033</v>
      </c>
      <c r="L978" s="201">
        <v>0.4</v>
      </c>
      <c r="M978" s="278" t="s">
        <v>4272</v>
      </c>
      <c r="N978" s="205">
        <v>1583.38</v>
      </c>
      <c r="O978" s="254">
        <v>1583.38</v>
      </c>
      <c r="P978" s="205">
        <v>1266.7</v>
      </c>
      <c r="Q978" s="205">
        <v>1266.7</v>
      </c>
      <c r="R978" s="1262" t="s">
        <v>2556</v>
      </c>
      <c r="S978" s="254">
        <v>633.35</v>
      </c>
      <c r="T978" s="204">
        <v>45075</v>
      </c>
      <c r="U978" s="1262" t="s">
        <v>2228</v>
      </c>
      <c r="V978" s="254">
        <v>316.68</v>
      </c>
      <c r="W978" s="1262" t="s">
        <v>3090</v>
      </c>
      <c r="X978" s="206">
        <v>316.68</v>
      </c>
      <c r="Y978" s="192"/>
    </row>
    <row r="979" ht="37.5" customHeight="1" spans="1:25">
      <c r="A979" s="192">
        <f t="shared" si="25"/>
        <v>971</v>
      </c>
      <c r="B979" s="208">
        <v>2023</v>
      </c>
      <c r="C979" s="193" t="s">
        <v>37</v>
      </c>
      <c r="D979" s="277" t="s">
        <v>4300</v>
      </c>
      <c r="E979" s="195" t="s">
        <v>4301</v>
      </c>
      <c r="F979" s="196" t="s">
        <v>2073</v>
      </c>
      <c r="G979" s="197" t="s">
        <v>3239</v>
      </c>
      <c r="H979" s="198">
        <v>0.8</v>
      </c>
      <c r="I979" s="199">
        <v>14012.48</v>
      </c>
      <c r="J979" s="200" t="s">
        <v>2076</v>
      </c>
      <c r="K979" s="200" t="s">
        <v>2996</v>
      </c>
      <c r="L979" s="201">
        <v>0.4</v>
      </c>
      <c r="M979" s="278" t="s">
        <v>2896</v>
      </c>
      <c r="N979" s="205">
        <v>3500</v>
      </c>
      <c r="O979" s="254">
        <v>3500</v>
      </c>
      <c r="P979" s="205">
        <v>2800</v>
      </c>
      <c r="Q979" s="205">
        <v>2800</v>
      </c>
      <c r="R979" s="1262" t="s">
        <v>2556</v>
      </c>
      <c r="S979" s="254">
        <v>1400</v>
      </c>
      <c r="T979" s="204">
        <v>45075</v>
      </c>
      <c r="U979" s="1262" t="s">
        <v>2228</v>
      </c>
      <c r="V979" s="254">
        <v>700</v>
      </c>
      <c r="W979" s="1262" t="s">
        <v>3090</v>
      </c>
      <c r="X979" s="206">
        <v>700</v>
      </c>
      <c r="Y979" s="192"/>
    </row>
    <row r="980" ht="37.5" customHeight="1" spans="1:25">
      <c r="A980" s="192">
        <f t="shared" si="25"/>
        <v>972</v>
      </c>
      <c r="B980" s="208">
        <v>2023</v>
      </c>
      <c r="C980" s="193" t="s">
        <v>37</v>
      </c>
      <c r="D980" s="277" t="s">
        <v>4302</v>
      </c>
      <c r="E980" s="195" t="s">
        <v>4303</v>
      </c>
      <c r="F980" s="196" t="s">
        <v>2073</v>
      </c>
      <c r="G980" s="197" t="s">
        <v>3239</v>
      </c>
      <c r="H980" s="198">
        <v>0.8</v>
      </c>
      <c r="I980" s="199">
        <v>14024.92</v>
      </c>
      <c r="J980" s="200" t="s">
        <v>2076</v>
      </c>
      <c r="K980" s="200" t="s">
        <v>2996</v>
      </c>
      <c r="L980" s="201">
        <v>0.4</v>
      </c>
      <c r="M980" s="278" t="s">
        <v>2714</v>
      </c>
      <c r="N980" s="205">
        <v>2250</v>
      </c>
      <c r="O980" s="254">
        <v>2250</v>
      </c>
      <c r="P980" s="205">
        <v>1800</v>
      </c>
      <c r="Q980" s="205">
        <v>1800</v>
      </c>
      <c r="R980" s="1262" t="s">
        <v>2556</v>
      </c>
      <c r="S980" s="254">
        <v>900</v>
      </c>
      <c r="T980" s="204">
        <v>45075</v>
      </c>
      <c r="U980" s="1262" t="s">
        <v>2228</v>
      </c>
      <c r="V980" s="254">
        <v>450</v>
      </c>
      <c r="W980" s="1262" t="s">
        <v>3090</v>
      </c>
      <c r="X980" s="206">
        <v>450</v>
      </c>
      <c r="Y980" s="192"/>
    </row>
    <row r="981" ht="37.5" customHeight="1" spans="1:25">
      <c r="A981" s="192">
        <f t="shared" si="25"/>
        <v>973</v>
      </c>
      <c r="B981" s="208">
        <v>2023</v>
      </c>
      <c r="C981" s="193" t="s">
        <v>37</v>
      </c>
      <c r="D981" s="277" t="s">
        <v>4304</v>
      </c>
      <c r="E981" s="195" t="s">
        <v>4305</v>
      </c>
      <c r="F981" s="196" t="s">
        <v>2073</v>
      </c>
      <c r="G981" s="197" t="s">
        <v>3239</v>
      </c>
      <c r="H981" s="198">
        <v>0.8</v>
      </c>
      <c r="I981" s="199">
        <v>12469.82</v>
      </c>
      <c r="J981" s="200" t="s">
        <v>2677</v>
      </c>
      <c r="K981" s="200" t="s">
        <v>2678</v>
      </c>
      <c r="L981" s="201">
        <v>0.4</v>
      </c>
      <c r="M981" s="278" t="s">
        <v>2714</v>
      </c>
      <c r="N981" s="205">
        <v>1000.04</v>
      </c>
      <c r="O981" s="254">
        <v>1000.04</v>
      </c>
      <c r="P981" s="205">
        <v>800.03</v>
      </c>
      <c r="Q981" s="205">
        <v>800.03</v>
      </c>
      <c r="R981" s="1262" t="s">
        <v>2556</v>
      </c>
      <c r="S981" s="254">
        <v>400.02</v>
      </c>
      <c r="T981" s="204">
        <v>45075</v>
      </c>
      <c r="U981" s="1262" t="s">
        <v>2228</v>
      </c>
      <c r="V981" s="254">
        <v>200.01</v>
      </c>
      <c r="W981" s="1262" t="s">
        <v>3090</v>
      </c>
      <c r="X981" s="206">
        <v>200.01</v>
      </c>
      <c r="Y981" s="192"/>
    </row>
    <row r="982" ht="37.5" customHeight="1" spans="1:25">
      <c r="A982" s="192">
        <f t="shared" si="25"/>
        <v>974</v>
      </c>
      <c r="B982" s="208">
        <v>2023</v>
      </c>
      <c r="C982" s="193" t="s">
        <v>37</v>
      </c>
      <c r="D982" s="277" t="s">
        <v>4306</v>
      </c>
      <c r="E982" s="195" t="s">
        <v>4307</v>
      </c>
      <c r="F982" s="196" t="s">
        <v>2073</v>
      </c>
      <c r="G982" s="197" t="s">
        <v>3239</v>
      </c>
      <c r="H982" s="198">
        <v>0.8</v>
      </c>
      <c r="I982" s="199">
        <v>11673.32</v>
      </c>
      <c r="J982" s="200" t="s">
        <v>2677</v>
      </c>
      <c r="K982" s="200" t="s">
        <v>2678</v>
      </c>
      <c r="L982" s="201">
        <v>0.4</v>
      </c>
      <c r="M982" s="278" t="s">
        <v>4255</v>
      </c>
      <c r="N982" s="205">
        <v>208.38</v>
      </c>
      <c r="O982" s="254">
        <v>208.38</v>
      </c>
      <c r="P982" s="205">
        <v>166.7</v>
      </c>
      <c r="Q982" s="205">
        <v>166.7</v>
      </c>
      <c r="R982" s="1262" t="s">
        <v>2556</v>
      </c>
      <c r="S982" s="254">
        <v>83.35</v>
      </c>
      <c r="T982" s="204">
        <v>45075</v>
      </c>
      <c r="U982" s="1262" t="s">
        <v>2228</v>
      </c>
      <c r="V982" s="254">
        <v>41.68</v>
      </c>
      <c r="W982" s="1262" t="s">
        <v>3090</v>
      </c>
      <c r="X982" s="206">
        <v>41.68</v>
      </c>
      <c r="Y982" s="192"/>
    </row>
    <row r="983" ht="37.5" customHeight="1" spans="1:25">
      <c r="A983" s="192">
        <f t="shared" si="25"/>
        <v>975</v>
      </c>
      <c r="B983" s="208">
        <v>2023</v>
      </c>
      <c r="C983" s="193" t="s">
        <v>37</v>
      </c>
      <c r="D983" s="277" t="s">
        <v>4308</v>
      </c>
      <c r="E983" s="195" t="s">
        <v>4309</v>
      </c>
      <c r="F983" s="196" t="s">
        <v>2073</v>
      </c>
      <c r="G983" s="197" t="s">
        <v>3239</v>
      </c>
      <c r="H983" s="198">
        <v>0.8</v>
      </c>
      <c r="I983" s="199">
        <v>15000</v>
      </c>
      <c r="J983" s="200" t="s">
        <v>2677</v>
      </c>
      <c r="K983" s="200" t="s">
        <v>2678</v>
      </c>
      <c r="L983" s="201">
        <v>0.4</v>
      </c>
      <c r="M983" s="278" t="s">
        <v>2714</v>
      </c>
      <c r="N983" s="205">
        <v>14878</v>
      </c>
      <c r="O983" s="254">
        <v>14878</v>
      </c>
      <c r="P983" s="205">
        <v>11902.4</v>
      </c>
      <c r="Q983" s="205">
        <v>11902.4</v>
      </c>
      <c r="R983" s="1262" t="s">
        <v>2556</v>
      </c>
      <c r="S983" s="254">
        <v>5951.2</v>
      </c>
      <c r="T983" s="204">
        <v>45075</v>
      </c>
      <c r="U983" s="1262" t="s">
        <v>2228</v>
      </c>
      <c r="V983" s="254">
        <v>2975.6</v>
      </c>
      <c r="W983" s="1262" t="s">
        <v>3090</v>
      </c>
      <c r="X983" s="206">
        <v>2975.6</v>
      </c>
      <c r="Y983" s="192"/>
    </row>
    <row r="984" ht="37.5" customHeight="1" spans="1:25">
      <c r="A984" s="192">
        <f t="shared" si="25"/>
        <v>976</v>
      </c>
      <c r="B984" s="208">
        <v>2023</v>
      </c>
      <c r="C984" s="193" t="s">
        <v>37</v>
      </c>
      <c r="D984" s="277" t="s">
        <v>4310</v>
      </c>
      <c r="E984" s="195" t="s">
        <v>4311</v>
      </c>
      <c r="F984" s="196" t="s">
        <v>2073</v>
      </c>
      <c r="G984" s="197" t="s">
        <v>3239</v>
      </c>
      <c r="H984" s="198">
        <v>0.8</v>
      </c>
      <c r="I984" s="199">
        <v>17000</v>
      </c>
      <c r="J984" s="200" t="s">
        <v>1950</v>
      </c>
      <c r="K984" s="200" t="s">
        <v>2755</v>
      </c>
      <c r="L984" s="201">
        <v>0.4</v>
      </c>
      <c r="M984" s="278" t="s">
        <v>3875</v>
      </c>
      <c r="N984" s="205">
        <v>7083.38</v>
      </c>
      <c r="O984" s="254">
        <v>7083.38</v>
      </c>
      <c r="P984" s="205">
        <v>5666.7</v>
      </c>
      <c r="Q984" s="205">
        <v>5666.7</v>
      </c>
      <c r="R984" s="1262" t="s">
        <v>2556</v>
      </c>
      <c r="S984" s="254">
        <v>2833.35</v>
      </c>
      <c r="T984" s="204">
        <v>45075</v>
      </c>
      <c r="U984" s="1262" t="s">
        <v>2228</v>
      </c>
      <c r="V984" s="254">
        <v>1416.68</v>
      </c>
      <c r="W984" s="1262" t="s">
        <v>3090</v>
      </c>
      <c r="X984" s="206">
        <v>1416.68</v>
      </c>
      <c r="Y984" s="192"/>
    </row>
    <row r="985" ht="37.5" customHeight="1" spans="1:25">
      <c r="A985" s="192">
        <f t="shared" si="25"/>
        <v>977</v>
      </c>
      <c r="B985" s="208">
        <v>2023</v>
      </c>
      <c r="C985" s="193" t="s">
        <v>37</v>
      </c>
      <c r="D985" s="277" t="s">
        <v>4312</v>
      </c>
      <c r="E985" s="195" t="s">
        <v>4313</v>
      </c>
      <c r="F985" s="196" t="s">
        <v>2073</v>
      </c>
      <c r="G985" s="197" t="s">
        <v>3239</v>
      </c>
      <c r="H985" s="198">
        <v>0.8</v>
      </c>
      <c r="I985" s="199">
        <v>13885.87</v>
      </c>
      <c r="J985" s="200" t="s">
        <v>1950</v>
      </c>
      <c r="K985" s="200" t="s">
        <v>2755</v>
      </c>
      <c r="L985" s="201">
        <v>0.4</v>
      </c>
      <c r="M985" s="278" t="s">
        <v>2714</v>
      </c>
      <c r="N985" s="205">
        <v>500.02</v>
      </c>
      <c r="O985" s="254">
        <v>500.02</v>
      </c>
      <c r="P985" s="205">
        <v>400.02</v>
      </c>
      <c r="Q985" s="205">
        <v>400.02</v>
      </c>
      <c r="R985" s="1262" t="s">
        <v>2556</v>
      </c>
      <c r="S985" s="254">
        <v>200.01</v>
      </c>
      <c r="T985" s="204">
        <v>45075</v>
      </c>
      <c r="U985" s="1262" t="s">
        <v>2228</v>
      </c>
      <c r="V985" s="254">
        <v>100</v>
      </c>
      <c r="W985" s="1262" t="s">
        <v>3090</v>
      </c>
      <c r="X985" s="206">
        <v>100</v>
      </c>
      <c r="Y985" s="192"/>
    </row>
    <row r="986" ht="37.5" customHeight="1" spans="1:25">
      <c r="A986" s="192">
        <f t="shared" si="25"/>
        <v>978</v>
      </c>
      <c r="B986" s="208">
        <v>2023</v>
      </c>
      <c r="C986" s="193" t="s">
        <v>37</v>
      </c>
      <c r="D986" s="277" t="s">
        <v>4314</v>
      </c>
      <c r="E986" s="195" t="s">
        <v>4315</v>
      </c>
      <c r="F986" s="196" t="s">
        <v>2073</v>
      </c>
      <c r="G986" s="197" t="s">
        <v>3239</v>
      </c>
      <c r="H986" s="198">
        <v>0.8</v>
      </c>
      <c r="I986" s="199">
        <v>13701.35</v>
      </c>
      <c r="J986" s="200" t="s">
        <v>1950</v>
      </c>
      <c r="K986" s="200" t="s">
        <v>2755</v>
      </c>
      <c r="L986" s="201">
        <v>0.4</v>
      </c>
      <c r="M986" s="278" t="s">
        <v>2714</v>
      </c>
      <c r="N986" s="205">
        <v>5000.02</v>
      </c>
      <c r="O986" s="254">
        <v>5000.02</v>
      </c>
      <c r="P986" s="205">
        <v>4000.02</v>
      </c>
      <c r="Q986" s="205">
        <v>4000.02</v>
      </c>
      <c r="R986" s="1262" t="s">
        <v>2556</v>
      </c>
      <c r="S986" s="254">
        <v>2000.01</v>
      </c>
      <c r="T986" s="204">
        <v>45075</v>
      </c>
      <c r="U986" s="1262" t="s">
        <v>2228</v>
      </c>
      <c r="V986" s="254">
        <v>1000</v>
      </c>
      <c r="W986" s="1262" t="s">
        <v>3090</v>
      </c>
      <c r="X986" s="206">
        <v>1000</v>
      </c>
      <c r="Y986" s="192"/>
    </row>
    <row r="987" ht="37.5" customHeight="1" spans="1:25">
      <c r="A987" s="192">
        <f t="shared" si="25"/>
        <v>979</v>
      </c>
      <c r="B987" s="208">
        <v>2023</v>
      </c>
      <c r="C987" s="193" t="s">
        <v>37</v>
      </c>
      <c r="D987" s="277" t="s">
        <v>4316</v>
      </c>
      <c r="E987" s="195" t="s">
        <v>4317</v>
      </c>
      <c r="F987" s="196" t="s">
        <v>2073</v>
      </c>
      <c r="G987" s="197" t="s">
        <v>3239</v>
      </c>
      <c r="H987" s="198">
        <v>0.8</v>
      </c>
      <c r="I987" s="199">
        <v>50000</v>
      </c>
      <c r="J987" s="200" t="s">
        <v>2812</v>
      </c>
      <c r="K987" s="200" t="s">
        <v>2813</v>
      </c>
      <c r="L987" s="201">
        <v>0.4</v>
      </c>
      <c r="M987" s="278" t="s">
        <v>2714</v>
      </c>
      <c r="N987" s="205">
        <v>50000</v>
      </c>
      <c r="O987" s="254">
        <v>50000</v>
      </c>
      <c r="P987" s="205">
        <v>40000</v>
      </c>
      <c r="Q987" s="205">
        <v>40000</v>
      </c>
      <c r="R987" s="1262" t="s">
        <v>2556</v>
      </c>
      <c r="S987" s="254">
        <v>20000</v>
      </c>
      <c r="T987" s="204">
        <v>45075</v>
      </c>
      <c r="U987" s="1262" t="s">
        <v>2228</v>
      </c>
      <c r="V987" s="254">
        <v>10000</v>
      </c>
      <c r="W987" s="1262" t="s">
        <v>3090</v>
      </c>
      <c r="X987" s="206">
        <v>10000</v>
      </c>
      <c r="Y987" s="192"/>
    </row>
    <row r="988" ht="37.5" customHeight="1" spans="1:25">
      <c r="A988" s="192">
        <f t="shared" si="25"/>
        <v>980</v>
      </c>
      <c r="B988" s="208">
        <v>2023</v>
      </c>
      <c r="C988" s="193" t="s">
        <v>37</v>
      </c>
      <c r="D988" s="277" t="s">
        <v>4201</v>
      </c>
      <c r="E988" s="195" t="s">
        <v>4318</v>
      </c>
      <c r="F988" s="196" t="s">
        <v>2073</v>
      </c>
      <c r="G988" s="197" t="s">
        <v>3239</v>
      </c>
      <c r="H988" s="198">
        <v>0.8</v>
      </c>
      <c r="I988" s="199">
        <v>25168</v>
      </c>
      <c r="J988" s="200" t="s">
        <v>2812</v>
      </c>
      <c r="K988" s="200" t="s">
        <v>2813</v>
      </c>
      <c r="L988" s="201">
        <v>0.4</v>
      </c>
      <c r="M988" s="278" t="s">
        <v>4203</v>
      </c>
      <c r="N988" s="205">
        <v>10486.69</v>
      </c>
      <c r="O988" s="254">
        <v>10486.69</v>
      </c>
      <c r="P988" s="205">
        <v>8389.35</v>
      </c>
      <c r="Q988" s="205">
        <v>8389.35</v>
      </c>
      <c r="R988" s="1262" t="s">
        <v>2556</v>
      </c>
      <c r="S988" s="254">
        <v>4194.68</v>
      </c>
      <c r="T988" s="204">
        <v>45075</v>
      </c>
      <c r="U988" s="1262" t="s">
        <v>2228</v>
      </c>
      <c r="V988" s="254">
        <v>2097.34</v>
      </c>
      <c r="W988" s="1262" t="s">
        <v>3090</v>
      </c>
      <c r="X988" s="206">
        <v>2097.34</v>
      </c>
      <c r="Y988" s="192"/>
    </row>
    <row r="989" ht="37.5" customHeight="1" spans="1:25">
      <c r="A989" s="192">
        <f t="shared" si="25"/>
        <v>981</v>
      </c>
      <c r="B989" s="208">
        <v>2023</v>
      </c>
      <c r="C989" s="193" t="s">
        <v>37</v>
      </c>
      <c r="D989" s="277" t="s">
        <v>4319</v>
      </c>
      <c r="E989" s="195" t="s">
        <v>4320</v>
      </c>
      <c r="F989" s="196" t="s">
        <v>2073</v>
      </c>
      <c r="G989" s="197" t="s">
        <v>3239</v>
      </c>
      <c r="H989" s="198">
        <v>0.8</v>
      </c>
      <c r="I989" s="199">
        <v>13016.62</v>
      </c>
      <c r="J989" s="200" t="s">
        <v>2812</v>
      </c>
      <c r="K989" s="200" t="s">
        <v>2813</v>
      </c>
      <c r="L989" s="201">
        <v>0.4</v>
      </c>
      <c r="M989" s="278" t="s">
        <v>4260</v>
      </c>
      <c r="N989" s="205">
        <v>4166.69</v>
      </c>
      <c r="O989" s="254">
        <v>4166.69</v>
      </c>
      <c r="P989" s="205">
        <v>3333.35</v>
      </c>
      <c r="Q989" s="205">
        <v>3333.35</v>
      </c>
      <c r="R989" s="1262" t="s">
        <v>2556</v>
      </c>
      <c r="S989" s="254">
        <v>1666.68</v>
      </c>
      <c r="T989" s="204">
        <v>45075</v>
      </c>
      <c r="U989" s="1262" t="s">
        <v>2228</v>
      </c>
      <c r="V989" s="254">
        <v>833.34</v>
      </c>
      <c r="W989" s="1262" t="s">
        <v>3090</v>
      </c>
      <c r="X989" s="206">
        <v>833.34</v>
      </c>
      <c r="Y989" s="192"/>
    </row>
    <row r="990" ht="37.5" customHeight="1" spans="1:25">
      <c r="A990" s="192">
        <f t="shared" ref="A990:A1053" si="26">ROW()-8</f>
        <v>982</v>
      </c>
      <c r="B990" s="208">
        <v>2023</v>
      </c>
      <c r="C990" s="193" t="s">
        <v>37</v>
      </c>
      <c r="D990" s="277" t="s">
        <v>4321</v>
      </c>
      <c r="E990" s="195" t="s">
        <v>4322</v>
      </c>
      <c r="F990" s="196" t="s">
        <v>2073</v>
      </c>
      <c r="G990" s="197" t="s">
        <v>3239</v>
      </c>
      <c r="H990" s="198">
        <v>0.8</v>
      </c>
      <c r="I990" s="199">
        <v>65470</v>
      </c>
      <c r="J990" s="200" t="s">
        <v>3361</v>
      </c>
      <c r="K990" s="200" t="s">
        <v>3362</v>
      </c>
      <c r="L990" s="201">
        <v>0.4</v>
      </c>
      <c r="M990" s="278" t="s">
        <v>2714</v>
      </c>
      <c r="N990" s="205">
        <v>65470</v>
      </c>
      <c r="O990" s="254">
        <v>65470</v>
      </c>
      <c r="P990" s="205">
        <v>52376</v>
      </c>
      <c r="Q990" s="205">
        <v>52376</v>
      </c>
      <c r="R990" s="1262" t="s">
        <v>2556</v>
      </c>
      <c r="S990" s="254">
        <v>26188</v>
      </c>
      <c r="T990" s="204">
        <v>45075</v>
      </c>
      <c r="U990" s="1262" t="s">
        <v>2228</v>
      </c>
      <c r="V990" s="254">
        <v>13094</v>
      </c>
      <c r="W990" s="1262" t="s">
        <v>3090</v>
      </c>
      <c r="X990" s="206">
        <v>13094</v>
      </c>
      <c r="Y990" s="192"/>
    </row>
    <row r="991" ht="37.5" customHeight="1" spans="1:25">
      <c r="A991" s="192">
        <f t="shared" si="26"/>
        <v>983</v>
      </c>
      <c r="B991" s="208">
        <v>2023</v>
      </c>
      <c r="C991" s="193" t="s">
        <v>37</v>
      </c>
      <c r="D991" s="277" t="s">
        <v>4323</v>
      </c>
      <c r="E991" s="195" t="s">
        <v>4324</v>
      </c>
      <c r="F991" s="196" t="s">
        <v>2073</v>
      </c>
      <c r="G991" s="197" t="s">
        <v>3239</v>
      </c>
      <c r="H991" s="198">
        <v>0.8</v>
      </c>
      <c r="I991" s="199">
        <v>12664.58</v>
      </c>
      <c r="J991" s="200" t="s">
        <v>3361</v>
      </c>
      <c r="K991" s="200" t="s">
        <v>3362</v>
      </c>
      <c r="L991" s="201">
        <v>0.4</v>
      </c>
      <c r="M991" s="278" t="s">
        <v>4255</v>
      </c>
      <c r="N991" s="205">
        <v>2500</v>
      </c>
      <c r="O991" s="254">
        <v>2500</v>
      </c>
      <c r="P991" s="205">
        <v>2000</v>
      </c>
      <c r="Q991" s="205">
        <v>2000</v>
      </c>
      <c r="R991" s="1262" t="s">
        <v>2556</v>
      </c>
      <c r="S991" s="254">
        <v>1000</v>
      </c>
      <c r="T991" s="204">
        <v>45075</v>
      </c>
      <c r="U991" s="1262" t="s">
        <v>2228</v>
      </c>
      <c r="V991" s="254">
        <v>500</v>
      </c>
      <c r="W991" s="1262" t="s">
        <v>3090</v>
      </c>
      <c r="X991" s="206">
        <v>500</v>
      </c>
      <c r="Y991" s="192"/>
    </row>
    <row r="992" ht="37.5" customHeight="1" spans="1:25">
      <c r="A992" s="192">
        <f t="shared" si="26"/>
        <v>984</v>
      </c>
      <c r="B992" s="208">
        <v>2023</v>
      </c>
      <c r="C992" s="193" t="s">
        <v>37</v>
      </c>
      <c r="D992" s="277" t="s">
        <v>4325</v>
      </c>
      <c r="E992" s="195" t="s">
        <v>4326</v>
      </c>
      <c r="F992" s="196" t="s">
        <v>2073</v>
      </c>
      <c r="G992" s="197" t="s">
        <v>3239</v>
      </c>
      <c r="H992" s="198">
        <v>0.8</v>
      </c>
      <c r="I992" s="199">
        <v>18130.19</v>
      </c>
      <c r="J992" s="200" t="s">
        <v>2767</v>
      </c>
      <c r="K992" s="200" t="s">
        <v>2768</v>
      </c>
      <c r="L992" s="201">
        <v>0.4</v>
      </c>
      <c r="M992" s="278" t="s">
        <v>2714</v>
      </c>
      <c r="N992" s="205">
        <v>5000.02</v>
      </c>
      <c r="O992" s="254">
        <v>5000.02</v>
      </c>
      <c r="P992" s="205">
        <v>4000.02</v>
      </c>
      <c r="Q992" s="205">
        <v>4000.02</v>
      </c>
      <c r="R992" s="1262" t="s">
        <v>2556</v>
      </c>
      <c r="S992" s="254">
        <v>2000.01</v>
      </c>
      <c r="T992" s="204">
        <v>45075</v>
      </c>
      <c r="U992" s="1262" t="s">
        <v>2228</v>
      </c>
      <c r="V992" s="254">
        <v>1000</v>
      </c>
      <c r="W992" s="1262" t="s">
        <v>3090</v>
      </c>
      <c r="X992" s="206">
        <v>1000</v>
      </c>
      <c r="Y992" s="192"/>
    </row>
    <row r="993" ht="37.5" customHeight="1" spans="1:25">
      <c r="A993" s="192">
        <f t="shared" si="26"/>
        <v>985</v>
      </c>
      <c r="B993" s="208">
        <v>2023</v>
      </c>
      <c r="C993" s="193" t="s">
        <v>37</v>
      </c>
      <c r="D993" s="277" t="s">
        <v>4327</v>
      </c>
      <c r="E993" s="195" t="s">
        <v>4328</v>
      </c>
      <c r="F993" s="196" t="s">
        <v>2073</v>
      </c>
      <c r="G993" s="197" t="s">
        <v>3239</v>
      </c>
      <c r="H993" s="198">
        <v>0.8</v>
      </c>
      <c r="I993" s="199">
        <v>35000</v>
      </c>
      <c r="J993" s="200" t="s">
        <v>2767</v>
      </c>
      <c r="K993" s="200" t="s">
        <v>2768</v>
      </c>
      <c r="L993" s="201">
        <v>0.4</v>
      </c>
      <c r="M993" s="278" t="s">
        <v>2896</v>
      </c>
      <c r="N993" s="205">
        <v>14583.38</v>
      </c>
      <c r="O993" s="254">
        <v>14583.38</v>
      </c>
      <c r="P993" s="205">
        <v>11666.7</v>
      </c>
      <c r="Q993" s="205">
        <v>11666.7</v>
      </c>
      <c r="R993" s="1262" t="s">
        <v>2556</v>
      </c>
      <c r="S993" s="254">
        <v>5833.35</v>
      </c>
      <c r="T993" s="204">
        <v>45075</v>
      </c>
      <c r="U993" s="1262" t="s">
        <v>2228</v>
      </c>
      <c r="V993" s="254">
        <v>2916.68</v>
      </c>
      <c r="W993" s="1262" t="s">
        <v>3090</v>
      </c>
      <c r="X993" s="206">
        <v>2916.68</v>
      </c>
      <c r="Y993" s="192"/>
    </row>
    <row r="994" ht="37.5" customHeight="1" spans="1:25">
      <c r="A994" s="192">
        <f t="shared" si="26"/>
        <v>986</v>
      </c>
      <c r="B994" s="208">
        <v>2023</v>
      </c>
      <c r="C994" s="193" t="s">
        <v>37</v>
      </c>
      <c r="D994" s="277" t="s">
        <v>4329</v>
      </c>
      <c r="E994" s="195" t="s">
        <v>4330</v>
      </c>
      <c r="F994" s="196" t="s">
        <v>2073</v>
      </c>
      <c r="G994" s="197" t="s">
        <v>3239</v>
      </c>
      <c r="H994" s="198">
        <v>0.8</v>
      </c>
      <c r="I994" s="199">
        <v>15000</v>
      </c>
      <c r="J994" s="200" t="s">
        <v>2125</v>
      </c>
      <c r="K994" s="200" t="s">
        <v>2887</v>
      </c>
      <c r="L994" s="201">
        <v>0.4</v>
      </c>
      <c r="M994" s="278" t="s">
        <v>2889</v>
      </c>
      <c r="N994" s="205">
        <v>6250</v>
      </c>
      <c r="O994" s="254">
        <v>6250</v>
      </c>
      <c r="P994" s="205">
        <v>5000</v>
      </c>
      <c r="Q994" s="205">
        <v>5000</v>
      </c>
      <c r="R994" s="1262" t="s">
        <v>2556</v>
      </c>
      <c r="S994" s="254">
        <v>2500</v>
      </c>
      <c r="T994" s="204">
        <v>45075</v>
      </c>
      <c r="U994" s="1262" t="s">
        <v>2228</v>
      </c>
      <c r="V994" s="254">
        <v>1250</v>
      </c>
      <c r="W994" s="1262" t="s">
        <v>3090</v>
      </c>
      <c r="X994" s="206">
        <v>1250</v>
      </c>
      <c r="Y994" s="192"/>
    </row>
    <row r="995" ht="37.5" customHeight="1" spans="1:25">
      <c r="A995" s="192">
        <f t="shared" si="26"/>
        <v>987</v>
      </c>
      <c r="B995" s="208">
        <v>2023</v>
      </c>
      <c r="C995" s="193" t="s">
        <v>37</v>
      </c>
      <c r="D995" s="277" t="s">
        <v>4331</v>
      </c>
      <c r="E995" s="195" t="s">
        <v>4332</v>
      </c>
      <c r="F995" s="196" t="s">
        <v>2073</v>
      </c>
      <c r="G995" s="197" t="s">
        <v>3239</v>
      </c>
      <c r="H995" s="198">
        <v>0.8</v>
      </c>
      <c r="I995" s="199">
        <v>30000</v>
      </c>
      <c r="J995" s="200" t="s">
        <v>3028</v>
      </c>
      <c r="K995" s="200" t="s">
        <v>3029</v>
      </c>
      <c r="L995" s="201">
        <v>0.4</v>
      </c>
      <c r="M995" s="278" t="s">
        <v>4030</v>
      </c>
      <c r="N995" s="205">
        <v>12500</v>
      </c>
      <c r="O995" s="254">
        <v>12500</v>
      </c>
      <c r="P995" s="205">
        <v>10000</v>
      </c>
      <c r="Q995" s="205">
        <v>10000</v>
      </c>
      <c r="R995" s="1262" t="s">
        <v>2556</v>
      </c>
      <c r="S995" s="254">
        <v>5000</v>
      </c>
      <c r="T995" s="204">
        <v>45075</v>
      </c>
      <c r="U995" s="1262" t="s">
        <v>2228</v>
      </c>
      <c r="V995" s="254">
        <v>2500</v>
      </c>
      <c r="W995" s="1262" t="s">
        <v>3090</v>
      </c>
      <c r="X995" s="206">
        <v>2500</v>
      </c>
      <c r="Y995" s="192"/>
    </row>
    <row r="996" ht="37.5" customHeight="1" spans="1:25">
      <c r="A996" s="192">
        <f t="shared" si="26"/>
        <v>988</v>
      </c>
      <c r="B996" s="208">
        <v>2023</v>
      </c>
      <c r="C996" s="193" t="s">
        <v>37</v>
      </c>
      <c r="D996" s="277" t="s">
        <v>4233</v>
      </c>
      <c r="E996" s="195" t="s">
        <v>4333</v>
      </c>
      <c r="F996" s="196" t="s">
        <v>2073</v>
      </c>
      <c r="G996" s="197" t="s">
        <v>3239</v>
      </c>
      <c r="H996" s="198">
        <v>0.8</v>
      </c>
      <c r="I996" s="199">
        <v>35000</v>
      </c>
      <c r="J996" s="200" t="s">
        <v>2964</v>
      </c>
      <c r="K996" s="200" t="s">
        <v>2965</v>
      </c>
      <c r="L996" s="201">
        <v>0.4</v>
      </c>
      <c r="M996" s="278" t="s">
        <v>4260</v>
      </c>
      <c r="N996" s="205">
        <v>17500.04</v>
      </c>
      <c r="O996" s="254">
        <v>17500.04</v>
      </c>
      <c r="P996" s="205">
        <v>14000.04</v>
      </c>
      <c r="Q996" s="205">
        <v>14000.04</v>
      </c>
      <c r="R996" s="1262" t="s">
        <v>2556</v>
      </c>
      <c r="S996" s="254">
        <v>7000.02</v>
      </c>
      <c r="T996" s="204">
        <v>45075</v>
      </c>
      <c r="U996" s="1262" t="s">
        <v>2228</v>
      </c>
      <c r="V996" s="254">
        <v>3500.01</v>
      </c>
      <c r="W996" s="1262" t="s">
        <v>3090</v>
      </c>
      <c r="X996" s="206">
        <v>3500.01</v>
      </c>
      <c r="Y996" s="192"/>
    </row>
    <row r="997" ht="37.5" customHeight="1" spans="1:25">
      <c r="A997" s="192">
        <f t="shared" si="26"/>
        <v>989</v>
      </c>
      <c r="B997" s="208">
        <v>2023</v>
      </c>
      <c r="C997" s="193" t="s">
        <v>37</v>
      </c>
      <c r="D997" s="277" t="s">
        <v>4334</v>
      </c>
      <c r="E997" s="195" t="s">
        <v>4335</v>
      </c>
      <c r="F997" s="196" t="s">
        <v>2073</v>
      </c>
      <c r="G997" s="197" t="s">
        <v>3239</v>
      </c>
      <c r="H997" s="198">
        <v>0.8</v>
      </c>
      <c r="I997" s="199">
        <v>25000</v>
      </c>
      <c r="J997" s="200" t="s">
        <v>3089</v>
      </c>
      <c r="K997" s="200" t="s">
        <v>3090</v>
      </c>
      <c r="L997" s="201">
        <v>0.4</v>
      </c>
      <c r="M997" s="278" t="s">
        <v>2714</v>
      </c>
      <c r="N997" s="205">
        <v>12500.02</v>
      </c>
      <c r="O997" s="254">
        <v>12500.02</v>
      </c>
      <c r="P997" s="205">
        <v>10000.02</v>
      </c>
      <c r="Q997" s="205">
        <v>10000.02</v>
      </c>
      <c r="R997" s="1262" t="s">
        <v>2556</v>
      </c>
      <c r="S997" s="254">
        <v>5000.01</v>
      </c>
      <c r="T997" s="204">
        <v>45075</v>
      </c>
      <c r="U997" s="1262" t="s">
        <v>2228</v>
      </c>
      <c r="V997" s="254">
        <v>2500</v>
      </c>
      <c r="W997" s="1262" t="s">
        <v>3090</v>
      </c>
      <c r="X997" s="206">
        <v>2500</v>
      </c>
      <c r="Y997" s="192"/>
    </row>
    <row r="998" ht="37.5" customHeight="1" spans="1:25">
      <c r="A998" s="192">
        <f t="shared" si="26"/>
        <v>990</v>
      </c>
      <c r="B998" s="208">
        <v>2023</v>
      </c>
      <c r="C998" s="193" t="s">
        <v>37</v>
      </c>
      <c r="D998" s="277" t="s">
        <v>4218</v>
      </c>
      <c r="E998" s="195" t="s">
        <v>4336</v>
      </c>
      <c r="F998" s="196" t="s">
        <v>2073</v>
      </c>
      <c r="G998" s="197" t="s">
        <v>3239</v>
      </c>
      <c r="H998" s="198">
        <v>0.8</v>
      </c>
      <c r="I998" s="199">
        <v>16542.17</v>
      </c>
      <c r="J998" s="200" t="s">
        <v>3543</v>
      </c>
      <c r="K998" s="200" t="s">
        <v>3544</v>
      </c>
      <c r="L998" s="201">
        <v>0.4</v>
      </c>
      <c r="M998" s="278" t="s">
        <v>4212</v>
      </c>
      <c r="N998" s="205">
        <v>2083.38</v>
      </c>
      <c r="O998" s="254">
        <v>2083.38</v>
      </c>
      <c r="P998" s="205">
        <v>1666.7</v>
      </c>
      <c r="Q998" s="205">
        <v>1666.7</v>
      </c>
      <c r="R998" s="1262" t="s">
        <v>2556</v>
      </c>
      <c r="S998" s="254">
        <v>833.35</v>
      </c>
      <c r="T998" s="204">
        <v>45075</v>
      </c>
      <c r="U998" s="1262" t="s">
        <v>2228</v>
      </c>
      <c r="V998" s="254">
        <v>416.68</v>
      </c>
      <c r="W998" s="1262" t="s">
        <v>3090</v>
      </c>
      <c r="X998" s="206">
        <v>416.68</v>
      </c>
      <c r="Y998" s="192"/>
    </row>
    <row r="999" ht="37.5" customHeight="1" spans="1:25">
      <c r="A999" s="192">
        <f t="shared" si="26"/>
        <v>991</v>
      </c>
      <c r="B999" s="208">
        <v>2023</v>
      </c>
      <c r="C999" s="193" t="s">
        <v>37</v>
      </c>
      <c r="D999" s="277" t="s">
        <v>4273</v>
      </c>
      <c r="E999" s="195" t="s">
        <v>4337</v>
      </c>
      <c r="F999" s="196" t="s">
        <v>2073</v>
      </c>
      <c r="G999" s="197" t="s">
        <v>3239</v>
      </c>
      <c r="H999" s="198">
        <v>0.8</v>
      </c>
      <c r="I999" s="199">
        <v>15000</v>
      </c>
      <c r="J999" s="200" t="s">
        <v>3543</v>
      </c>
      <c r="K999" s="200" t="s">
        <v>3544</v>
      </c>
      <c r="L999" s="201">
        <v>0.4</v>
      </c>
      <c r="M999" s="278" t="s">
        <v>2714</v>
      </c>
      <c r="N999" s="205">
        <v>7500</v>
      </c>
      <c r="O999" s="254">
        <v>7500</v>
      </c>
      <c r="P999" s="205">
        <v>6000</v>
      </c>
      <c r="Q999" s="205">
        <v>6000</v>
      </c>
      <c r="R999" s="1262" t="s">
        <v>2556</v>
      </c>
      <c r="S999" s="254">
        <v>3000</v>
      </c>
      <c r="T999" s="204">
        <v>45075</v>
      </c>
      <c r="U999" s="1262" t="s">
        <v>2228</v>
      </c>
      <c r="V999" s="254">
        <v>1500</v>
      </c>
      <c r="W999" s="1262" t="s">
        <v>3090</v>
      </c>
      <c r="X999" s="206">
        <v>1500</v>
      </c>
      <c r="Y999" s="192"/>
    </row>
    <row r="1000" ht="37.5" customHeight="1" spans="1:25">
      <c r="A1000" s="192">
        <f t="shared" si="26"/>
        <v>992</v>
      </c>
      <c r="B1000" s="208">
        <v>2023</v>
      </c>
      <c r="C1000" s="193" t="s">
        <v>37</v>
      </c>
      <c r="D1000" s="277" t="s">
        <v>4282</v>
      </c>
      <c r="E1000" s="195" t="s">
        <v>4338</v>
      </c>
      <c r="F1000" s="196" t="s">
        <v>2073</v>
      </c>
      <c r="G1000" s="197" t="s">
        <v>3239</v>
      </c>
      <c r="H1000" s="198">
        <v>0.8</v>
      </c>
      <c r="I1000" s="199">
        <v>21000</v>
      </c>
      <c r="J1000" s="200" t="s">
        <v>3543</v>
      </c>
      <c r="K1000" s="200" t="s">
        <v>3544</v>
      </c>
      <c r="L1000" s="201">
        <v>0.4</v>
      </c>
      <c r="M1000" s="278" t="s">
        <v>2714</v>
      </c>
      <c r="N1000" s="205">
        <v>10500</v>
      </c>
      <c r="O1000" s="254">
        <v>10500</v>
      </c>
      <c r="P1000" s="205">
        <v>8400</v>
      </c>
      <c r="Q1000" s="205">
        <v>8400</v>
      </c>
      <c r="R1000" s="1262" t="s">
        <v>2556</v>
      </c>
      <c r="S1000" s="254">
        <v>4200</v>
      </c>
      <c r="T1000" s="204">
        <v>45075</v>
      </c>
      <c r="U1000" s="1262" t="s">
        <v>2228</v>
      </c>
      <c r="V1000" s="254">
        <v>2100</v>
      </c>
      <c r="W1000" s="1262" t="s">
        <v>3090</v>
      </c>
      <c r="X1000" s="206">
        <v>2100</v>
      </c>
      <c r="Y1000" s="192"/>
    </row>
    <row r="1001" ht="37.5" customHeight="1" spans="1:25">
      <c r="A1001" s="192">
        <f t="shared" si="26"/>
        <v>993</v>
      </c>
      <c r="B1001" s="208">
        <v>2023</v>
      </c>
      <c r="C1001" s="193" t="s">
        <v>37</v>
      </c>
      <c r="D1001" s="277" t="s">
        <v>4287</v>
      </c>
      <c r="E1001" s="195" t="s">
        <v>4339</v>
      </c>
      <c r="F1001" s="196" t="s">
        <v>2073</v>
      </c>
      <c r="G1001" s="197" t="s">
        <v>3239</v>
      </c>
      <c r="H1001" s="198">
        <v>0.8</v>
      </c>
      <c r="I1001" s="199">
        <v>24900</v>
      </c>
      <c r="J1001" s="200" t="s">
        <v>3376</v>
      </c>
      <c r="K1001" s="200" t="s">
        <v>3377</v>
      </c>
      <c r="L1001" s="201">
        <v>0.4</v>
      </c>
      <c r="M1001" s="278" t="s">
        <v>4107</v>
      </c>
      <c r="N1001" s="205">
        <v>12450.06</v>
      </c>
      <c r="O1001" s="254">
        <v>12450.06</v>
      </c>
      <c r="P1001" s="205">
        <v>9960.05</v>
      </c>
      <c r="Q1001" s="205">
        <v>9960.05</v>
      </c>
      <c r="R1001" s="1262" t="s">
        <v>2556</v>
      </c>
      <c r="S1001" s="254">
        <v>4980.02</v>
      </c>
      <c r="T1001" s="204">
        <v>45075</v>
      </c>
      <c r="U1001" s="1262" t="s">
        <v>2228</v>
      </c>
      <c r="V1001" s="254">
        <v>2490.01</v>
      </c>
      <c r="W1001" s="1262" t="s">
        <v>3090</v>
      </c>
      <c r="X1001" s="206">
        <v>2490.01</v>
      </c>
      <c r="Y1001" s="192"/>
    </row>
    <row r="1002" ht="37.5" customHeight="1" spans="1:25">
      <c r="A1002" s="192">
        <f t="shared" si="26"/>
        <v>994</v>
      </c>
      <c r="B1002" s="208">
        <v>2023</v>
      </c>
      <c r="C1002" s="193" t="s">
        <v>37</v>
      </c>
      <c r="D1002" s="277" t="s">
        <v>4289</v>
      </c>
      <c r="E1002" s="195" t="s">
        <v>4340</v>
      </c>
      <c r="F1002" s="196" t="s">
        <v>2073</v>
      </c>
      <c r="G1002" s="197" t="s">
        <v>3239</v>
      </c>
      <c r="H1002" s="198">
        <v>0.8</v>
      </c>
      <c r="I1002" s="199">
        <v>73000</v>
      </c>
      <c r="J1002" s="200" t="s">
        <v>3376</v>
      </c>
      <c r="K1002" s="200" t="s">
        <v>3377</v>
      </c>
      <c r="L1002" s="201">
        <v>0.4</v>
      </c>
      <c r="M1002" s="278" t="s">
        <v>4341</v>
      </c>
      <c r="N1002" s="205">
        <v>36000.12</v>
      </c>
      <c r="O1002" s="254">
        <v>36000.12</v>
      </c>
      <c r="P1002" s="205">
        <v>28800.09</v>
      </c>
      <c r="Q1002" s="205">
        <v>28800.09</v>
      </c>
      <c r="R1002" s="1262" t="s">
        <v>2556</v>
      </c>
      <c r="S1002" s="254">
        <v>14400.05</v>
      </c>
      <c r="T1002" s="204">
        <v>45075</v>
      </c>
      <c r="U1002" s="1262" t="s">
        <v>2228</v>
      </c>
      <c r="V1002" s="254">
        <v>7200.02</v>
      </c>
      <c r="W1002" s="1262" t="s">
        <v>3090</v>
      </c>
      <c r="X1002" s="206">
        <v>7200.02</v>
      </c>
      <c r="Y1002" s="192"/>
    </row>
    <row r="1003" ht="37.5" customHeight="1" spans="1:25">
      <c r="A1003" s="192">
        <f t="shared" si="26"/>
        <v>995</v>
      </c>
      <c r="B1003" s="208">
        <v>2023</v>
      </c>
      <c r="C1003" s="193" t="s">
        <v>37</v>
      </c>
      <c r="D1003" s="277" t="s">
        <v>4342</v>
      </c>
      <c r="E1003" s="195" t="s">
        <v>4343</v>
      </c>
      <c r="F1003" s="196" t="s">
        <v>2073</v>
      </c>
      <c r="G1003" s="197" t="s">
        <v>3239</v>
      </c>
      <c r="H1003" s="198">
        <v>0.8</v>
      </c>
      <c r="I1003" s="199">
        <v>17797.44</v>
      </c>
      <c r="J1003" s="200" t="s">
        <v>3376</v>
      </c>
      <c r="K1003" s="200" t="s">
        <v>3377</v>
      </c>
      <c r="L1003" s="201">
        <v>0.4</v>
      </c>
      <c r="M1003" s="278" t="s">
        <v>2714</v>
      </c>
      <c r="N1003" s="205">
        <v>500.02</v>
      </c>
      <c r="O1003" s="254">
        <v>500.02</v>
      </c>
      <c r="P1003" s="205">
        <v>400.02</v>
      </c>
      <c r="Q1003" s="205">
        <v>400.02</v>
      </c>
      <c r="R1003" s="1262" t="s">
        <v>2556</v>
      </c>
      <c r="S1003" s="254">
        <v>200.01</v>
      </c>
      <c r="T1003" s="204">
        <v>45075</v>
      </c>
      <c r="U1003" s="1262" t="s">
        <v>2228</v>
      </c>
      <c r="V1003" s="254">
        <v>100</v>
      </c>
      <c r="W1003" s="1262" t="s">
        <v>3090</v>
      </c>
      <c r="X1003" s="206">
        <v>100</v>
      </c>
      <c r="Y1003" s="192"/>
    </row>
    <row r="1004" ht="37.5" customHeight="1" spans="1:25">
      <c r="A1004" s="192">
        <f t="shared" si="26"/>
        <v>996</v>
      </c>
      <c r="B1004" s="208">
        <v>2023</v>
      </c>
      <c r="C1004" s="193" t="s">
        <v>37</v>
      </c>
      <c r="D1004" s="277" t="s">
        <v>4302</v>
      </c>
      <c r="E1004" s="195" t="s">
        <v>4344</v>
      </c>
      <c r="F1004" s="196" t="s">
        <v>2073</v>
      </c>
      <c r="G1004" s="197" t="s">
        <v>3239</v>
      </c>
      <c r="H1004" s="198">
        <v>0.8</v>
      </c>
      <c r="I1004" s="199">
        <v>14024.92</v>
      </c>
      <c r="J1004" s="200" t="s">
        <v>2120</v>
      </c>
      <c r="K1004" s="200" t="s">
        <v>2800</v>
      </c>
      <c r="L1004" s="201">
        <v>0.4</v>
      </c>
      <c r="M1004" s="278" t="s">
        <v>2714</v>
      </c>
      <c r="N1004" s="205">
        <v>4544.54</v>
      </c>
      <c r="O1004" s="254">
        <v>4544.54</v>
      </c>
      <c r="P1004" s="205">
        <v>3635.63</v>
      </c>
      <c r="Q1004" s="205">
        <v>3635.63</v>
      </c>
      <c r="R1004" s="1262" t="s">
        <v>2556</v>
      </c>
      <c r="S1004" s="254">
        <v>1817.82</v>
      </c>
      <c r="T1004" s="204">
        <v>45075</v>
      </c>
      <c r="U1004" s="1262" t="s">
        <v>2228</v>
      </c>
      <c r="V1004" s="254">
        <v>908.91</v>
      </c>
      <c r="W1004" s="1262" t="s">
        <v>3090</v>
      </c>
      <c r="X1004" s="206">
        <v>908.91</v>
      </c>
      <c r="Y1004" s="192"/>
    </row>
    <row r="1005" ht="37.5" customHeight="1" spans="1:25">
      <c r="A1005" s="192">
        <f t="shared" si="26"/>
        <v>997</v>
      </c>
      <c r="B1005" s="208">
        <v>2023</v>
      </c>
      <c r="C1005" s="193" t="s">
        <v>37</v>
      </c>
      <c r="D1005" s="277" t="s">
        <v>4345</v>
      </c>
      <c r="E1005" s="195" t="s">
        <v>4346</v>
      </c>
      <c r="F1005" s="196" t="s">
        <v>2073</v>
      </c>
      <c r="G1005" s="197" t="s">
        <v>3239</v>
      </c>
      <c r="H1005" s="198">
        <v>0.8</v>
      </c>
      <c r="I1005" s="199">
        <v>15000</v>
      </c>
      <c r="J1005" s="200" t="s">
        <v>2120</v>
      </c>
      <c r="K1005" s="200" t="s">
        <v>2800</v>
      </c>
      <c r="L1005" s="201">
        <v>0.4</v>
      </c>
      <c r="M1005" s="278" t="s">
        <v>4242</v>
      </c>
      <c r="N1005" s="205">
        <v>6893.25</v>
      </c>
      <c r="O1005" s="254">
        <v>6893.25</v>
      </c>
      <c r="P1005" s="205">
        <v>5514.6</v>
      </c>
      <c r="Q1005" s="205">
        <v>5514.6</v>
      </c>
      <c r="R1005" s="1262" t="s">
        <v>2556</v>
      </c>
      <c r="S1005" s="254">
        <v>2757.3</v>
      </c>
      <c r="T1005" s="204">
        <v>45075</v>
      </c>
      <c r="U1005" s="1262" t="s">
        <v>2228</v>
      </c>
      <c r="V1005" s="254">
        <v>1378.65</v>
      </c>
      <c r="W1005" s="1262" t="s">
        <v>3090</v>
      </c>
      <c r="X1005" s="206">
        <v>1378.65</v>
      </c>
      <c r="Y1005" s="192"/>
    </row>
    <row r="1006" ht="37.5" customHeight="1" spans="1:25">
      <c r="A1006" s="192">
        <f t="shared" si="26"/>
        <v>998</v>
      </c>
      <c r="B1006" s="208">
        <v>2023</v>
      </c>
      <c r="C1006" s="193" t="s">
        <v>37</v>
      </c>
      <c r="D1006" s="277" t="s">
        <v>4251</v>
      </c>
      <c r="E1006" s="195" t="s">
        <v>4347</v>
      </c>
      <c r="F1006" s="196" t="s">
        <v>2073</v>
      </c>
      <c r="G1006" s="197" t="s">
        <v>3239</v>
      </c>
      <c r="H1006" s="198">
        <v>0.8</v>
      </c>
      <c r="I1006" s="199">
        <v>15205.77</v>
      </c>
      <c r="J1006" s="200" t="s">
        <v>1848</v>
      </c>
      <c r="K1006" s="200" t="s">
        <v>2671</v>
      </c>
      <c r="L1006" s="201">
        <v>0.4</v>
      </c>
      <c r="M1006" s="278" t="s">
        <v>2714</v>
      </c>
      <c r="N1006" s="205">
        <v>3323.78</v>
      </c>
      <c r="O1006" s="254">
        <v>3323.78</v>
      </c>
      <c r="P1006" s="205">
        <v>2659.02</v>
      </c>
      <c r="Q1006" s="205">
        <v>2659.02</v>
      </c>
      <c r="R1006" s="1262" t="s">
        <v>2556</v>
      </c>
      <c r="S1006" s="254">
        <v>1329.51</v>
      </c>
      <c r="T1006" s="204">
        <v>45075</v>
      </c>
      <c r="U1006" s="1262" t="s">
        <v>2228</v>
      </c>
      <c r="V1006" s="254">
        <v>664.76</v>
      </c>
      <c r="W1006" s="1262" t="s">
        <v>3090</v>
      </c>
      <c r="X1006" s="206">
        <v>664.76</v>
      </c>
      <c r="Y1006" s="192"/>
    </row>
    <row r="1007" ht="37.5" customHeight="1" spans="1:25">
      <c r="A1007" s="192">
        <f t="shared" si="26"/>
        <v>999</v>
      </c>
      <c r="B1007" s="208">
        <v>2023</v>
      </c>
      <c r="C1007" s="193" t="s">
        <v>37</v>
      </c>
      <c r="D1007" s="277" t="s">
        <v>4348</v>
      </c>
      <c r="E1007" s="195" t="s">
        <v>4349</v>
      </c>
      <c r="F1007" s="196" t="s">
        <v>2073</v>
      </c>
      <c r="G1007" s="197" t="s">
        <v>3239</v>
      </c>
      <c r="H1007" s="198">
        <v>0.8</v>
      </c>
      <c r="I1007" s="199">
        <v>17000</v>
      </c>
      <c r="J1007" s="200" t="s">
        <v>1848</v>
      </c>
      <c r="K1007" s="200" t="s">
        <v>2671</v>
      </c>
      <c r="L1007" s="201">
        <v>0.4</v>
      </c>
      <c r="M1007" s="278" t="s">
        <v>2883</v>
      </c>
      <c r="N1007" s="205">
        <v>1750</v>
      </c>
      <c r="O1007" s="254">
        <v>1750</v>
      </c>
      <c r="P1007" s="205">
        <v>1400</v>
      </c>
      <c r="Q1007" s="205">
        <v>1400</v>
      </c>
      <c r="R1007" s="1262" t="s">
        <v>2556</v>
      </c>
      <c r="S1007" s="254">
        <v>700</v>
      </c>
      <c r="T1007" s="204">
        <v>45075</v>
      </c>
      <c r="U1007" s="1262" t="s">
        <v>2228</v>
      </c>
      <c r="V1007" s="254">
        <v>350</v>
      </c>
      <c r="W1007" s="1262" t="s">
        <v>3090</v>
      </c>
      <c r="X1007" s="206">
        <v>350</v>
      </c>
      <c r="Y1007" s="192"/>
    </row>
    <row r="1008" ht="37.5" customHeight="1" spans="1:25">
      <c r="A1008" s="192">
        <f t="shared" si="26"/>
        <v>1000</v>
      </c>
      <c r="B1008" s="208">
        <v>2023</v>
      </c>
      <c r="C1008" s="193" t="s">
        <v>37</v>
      </c>
      <c r="D1008" s="277" t="s">
        <v>4334</v>
      </c>
      <c r="E1008" s="195" t="s">
        <v>4350</v>
      </c>
      <c r="F1008" s="196" t="s">
        <v>2073</v>
      </c>
      <c r="G1008" s="197" t="s">
        <v>3239</v>
      </c>
      <c r="H1008" s="198">
        <v>0.8</v>
      </c>
      <c r="I1008" s="199">
        <v>40000</v>
      </c>
      <c r="J1008" s="200" t="s">
        <v>1946</v>
      </c>
      <c r="K1008" s="200" t="s">
        <v>3068</v>
      </c>
      <c r="L1008" s="201">
        <v>0.4</v>
      </c>
      <c r="M1008" s="278" t="s">
        <v>2714</v>
      </c>
      <c r="N1008" s="205">
        <v>22499.68</v>
      </c>
      <c r="O1008" s="254">
        <v>22499.68</v>
      </c>
      <c r="P1008" s="205">
        <v>17999.75</v>
      </c>
      <c r="Q1008" s="205">
        <v>17999.75</v>
      </c>
      <c r="R1008" s="1262" t="s">
        <v>2556</v>
      </c>
      <c r="S1008" s="254">
        <v>8999.87</v>
      </c>
      <c r="T1008" s="204">
        <v>45075</v>
      </c>
      <c r="U1008" s="1262" t="s">
        <v>2228</v>
      </c>
      <c r="V1008" s="254">
        <v>4499.94</v>
      </c>
      <c r="W1008" s="1262" t="s">
        <v>3090</v>
      </c>
      <c r="X1008" s="206">
        <v>4499.94</v>
      </c>
      <c r="Y1008" s="192"/>
    </row>
    <row r="1009" ht="37.5" customHeight="1" spans="1:25">
      <c r="A1009" s="192">
        <f t="shared" si="26"/>
        <v>1001</v>
      </c>
      <c r="B1009" s="208">
        <v>2023</v>
      </c>
      <c r="C1009" s="193" t="s">
        <v>37</v>
      </c>
      <c r="D1009" s="277" t="s">
        <v>4351</v>
      </c>
      <c r="E1009" s="195" t="s">
        <v>4352</v>
      </c>
      <c r="F1009" s="196" t="s">
        <v>2073</v>
      </c>
      <c r="G1009" s="197" t="s">
        <v>3239</v>
      </c>
      <c r="H1009" s="198">
        <v>0.8</v>
      </c>
      <c r="I1009" s="199">
        <v>100000</v>
      </c>
      <c r="J1009" s="200" t="s">
        <v>2792</v>
      </c>
      <c r="K1009" s="200" t="s">
        <v>2793</v>
      </c>
      <c r="L1009" s="201">
        <v>0.4</v>
      </c>
      <c r="M1009" s="278" t="s">
        <v>2896</v>
      </c>
      <c r="N1009" s="205">
        <v>50000.08</v>
      </c>
      <c r="O1009" s="254">
        <v>50000.08</v>
      </c>
      <c r="P1009" s="205">
        <v>40000.06</v>
      </c>
      <c r="Q1009" s="205">
        <v>40000.06</v>
      </c>
      <c r="R1009" s="1262" t="s">
        <v>2556</v>
      </c>
      <c r="S1009" s="254">
        <v>20000.03</v>
      </c>
      <c r="T1009" s="204">
        <v>45075</v>
      </c>
      <c r="U1009" s="1262" t="s">
        <v>2228</v>
      </c>
      <c r="V1009" s="254">
        <v>10000.02</v>
      </c>
      <c r="W1009" s="1262" t="s">
        <v>3090</v>
      </c>
      <c r="X1009" s="206">
        <v>10000.02</v>
      </c>
      <c r="Y1009" s="192"/>
    </row>
    <row r="1010" ht="37.5" customHeight="1" spans="1:25">
      <c r="A1010" s="192">
        <f t="shared" si="26"/>
        <v>1002</v>
      </c>
      <c r="B1010" s="208">
        <v>2023</v>
      </c>
      <c r="C1010" s="193" t="s">
        <v>37</v>
      </c>
      <c r="D1010" s="277" t="s">
        <v>4353</v>
      </c>
      <c r="E1010" s="195" t="s">
        <v>4354</v>
      </c>
      <c r="F1010" s="196" t="s">
        <v>2073</v>
      </c>
      <c r="G1010" s="197" t="s">
        <v>3239</v>
      </c>
      <c r="H1010" s="198">
        <v>0.8</v>
      </c>
      <c r="I1010" s="199">
        <v>13885.87</v>
      </c>
      <c r="J1010" s="200" t="s">
        <v>2792</v>
      </c>
      <c r="K1010" s="200" t="s">
        <v>2793</v>
      </c>
      <c r="L1010" s="201">
        <v>0.4</v>
      </c>
      <c r="M1010" s="278" t="s">
        <v>2714</v>
      </c>
      <c r="N1010" s="205">
        <v>1166.7</v>
      </c>
      <c r="O1010" s="254">
        <v>1166.7</v>
      </c>
      <c r="P1010" s="205">
        <v>933.36</v>
      </c>
      <c r="Q1010" s="205">
        <v>933.36</v>
      </c>
      <c r="R1010" s="1262" t="s">
        <v>2556</v>
      </c>
      <c r="S1010" s="254">
        <v>466.68</v>
      </c>
      <c r="T1010" s="204">
        <v>45075</v>
      </c>
      <c r="U1010" s="1262" t="s">
        <v>2228</v>
      </c>
      <c r="V1010" s="254">
        <v>233.34</v>
      </c>
      <c r="W1010" s="1262" t="s">
        <v>3090</v>
      </c>
      <c r="X1010" s="206">
        <v>233.34</v>
      </c>
      <c r="Y1010" s="192"/>
    </row>
    <row r="1011" ht="37.5" customHeight="1" spans="1:25">
      <c r="A1011" s="192">
        <f t="shared" si="26"/>
        <v>1003</v>
      </c>
      <c r="B1011" s="208">
        <v>2023</v>
      </c>
      <c r="C1011" s="193" t="s">
        <v>37</v>
      </c>
      <c r="D1011" s="277" t="s">
        <v>4325</v>
      </c>
      <c r="E1011" s="195" t="s">
        <v>4355</v>
      </c>
      <c r="F1011" s="196" t="s">
        <v>2073</v>
      </c>
      <c r="G1011" s="197" t="s">
        <v>3239</v>
      </c>
      <c r="H1011" s="198">
        <v>0.8</v>
      </c>
      <c r="I1011" s="199">
        <v>18130.19</v>
      </c>
      <c r="J1011" s="200" t="s">
        <v>2792</v>
      </c>
      <c r="K1011" s="200" t="s">
        <v>2793</v>
      </c>
      <c r="L1011" s="201">
        <v>0.4</v>
      </c>
      <c r="M1011" s="278" t="s">
        <v>2714</v>
      </c>
      <c r="N1011" s="205">
        <v>4066.7</v>
      </c>
      <c r="O1011" s="254">
        <v>4066.7</v>
      </c>
      <c r="P1011" s="205">
        <v>3253.36</v>
      </c>
      <c r="Q1011" s="205">
        <v>3253.36</v>
      </c>
      <c r="R1011" s="1262" t="s">
        <v>2556</v>
      </c>
      <c r="S1011" s="254">
        <v>1626.68</v>
      </c>
      <c r="T1011" s="204">
        <v>45075</v>
      </c>
      <c r="U1011" s="1262" t="s">
        <v>2228</v>
      </c>
      <c r="V1011" s="254">
        <v>813.34</v>
      </c>
      <c r="W1011" s="1262" t="s">
        <v>3090</v>
      </c>
      <c r="X1011" s="206">
        <v>813.34</v>
      </c>
      <c r="Y1011" s="192"/>
    </row>
    <row r="1012" ht="37.5" customHeight="1" spans="1:25">
      <c r="A1012" s="192">
        <f t="shared" si="26"/>
        <v>1004</v>
      </c>
      <c r="B1012" s="208">
        <v>2023</v>
      </c>
      <c r="C1012" s="193" t="s">
        <v>37</v>
      </c>
      <c r="D1012" s="277" t="s">
        <v>4356</v>
      </c>
      <c r="E1012" s="195" t="s">
        <v>4357</v>
      </c>
      <c r="F1012" s="196" t="s">
        <v>2073</v>
      </c>
      <c r="G1012" s="197" t="s">
        <v>3239</v>
      </c>
      <c r="H1012" s="198">
        <v>0.8</v>
      </c>
      <c r="I1012" s="199">
        <v>18100</v>
      </c>
      <c r="J1012" s="200" t="s">
        <v>2761</v>
      </c>
      <c r="K1012" s="200" t="s">
        <v>2762</v>
      </c>
      <c r="L1012" s="201">
        <v>0.4</v>
      </c>
      <c r="M1012" s="278" t="s">
        <v>4358</v>
      </c>
      <c r="N1012" s="205">
        <v>8845.77</v>
      </c>
      <c r="O1012" s="254">
        <v>8845.77</v>
      </c>
      <c r="P1012" s="205">
        <v>7076.62</v>
      </c>
      <c r="Q1012" s="205">
        <v>7076.62</v>
      </c>
      <c r="R1012" s="1262" t="s">
        <v>2556</v>
      </c>
      <c r="S1012" s="254">
        <v>3538.31</v>
      </c>
      <c r="T1012" s="204">
        <v>45075</v>
      </c>
      <c r="U1012" s="1262" t="s">
        <v>2228</v>
      </c>
      <c r="V1012" s="254">
        <v>1769.15</v>
      </c>
      <c r="W1012" s="1262" t="s">
        <v>3090</v>
      </c>
      <c r="X1012" s="206">
        <v>1769.15</v>
      </c>
      <c r="Y1012" s="192"/>
    </row>
    <row r="1013" ht="37.5" customHeight="1" spans="1:25">
      <c r="A1013" s="192">
        <f t="shared" si="26"/>
        <v>1005</v>
      </c>
      <c r="B1013" s="208">
        <v>2023</v>
      </c>
      <c r="C1013" s="193" t="s">
        <v>37</v>
      </c>
      <c r="D1013" s="277" t="s">
        <v>4359</v>
      </c>
      <c r="E1013" s="195" t="s">
        <v>4360</v>
      </c>
      <c r="F1013" s="196" t="s">
        <v>2073</v>
      </c>
      <c r="G1013" s="197" t="s">
        <v>3239</v>
      </c>
      <c r="H1013" s="198">
        <v>0.8</v>
      </c>
      <c r="I1013" s="199">
        <v>18514.69</v>
      </c>
      <c r="J1013" s="200" t="s">
        <v>2984</v>
      </c>
      <c r="K1013" s="200" t="s">
        <v>2985</v>
      </c>
      <c r="L1013" s="201">
        <v>0.4</v>
      </c>
      <c r="M1013" s="278" t="s">
        <v>4030</v>
      </c>
      <c r="N1013" s="205">
        <v>1925.08</v>
      </c>
      <c r="O1013" s="254">
        <v>1925.08</v>
      </c>
      <c r="P1013" s="205">
        <v>1540.06</v>
      </c>
      <c r="Q1013" s="205">
        <v>1540.06</v>
      </c>
      <c r="R1013" s="1262" t="s">
        <v>2556</v>
      </c>
      <c r="S1013" s="254">
        <v>770.03</v>
      </c>
      <c r="T1013" s="204">
        <v>45075</v>
      </c>
      <c r="U1013" s="1262" t="s">
        <v>2228</v>
      </c>
      <c r="V1013" s="254">
        <v>385.02</v>
      </c>
      <c r="W1013" s="1262" t="s">
        <v>3090</v>
      </c>
      <c r="X1013" s="206">
        <v>385.02</v>
      </c>
      <c r="Y1013" s="192"/>
    </row>
    <row r="1014" ht="37.5" customHeight="1" spans="1:25">
      <c r="A1014" s="192">
        <f t="shared" si="26"/>
        <v>1006</v>
      </c>
      <c r="B1014" s="208">
        <v>2023</v>
      </c>
      <c r="C1014" s="193" t="s">
        <v>37</v>
      </c>
      <c r="D1014" s="277" t="s">
        <v>4279</v>
      </c>
      <c r="E1014" s="195" t="s">
        <v>4361</v>
      </c>
      <c r="F1014" s="196" t="s">
        <v>2073</v>
      </c>
      <c r="G1014" s="197" t="s">
        <v>3239</v>
      </c>
      <c r="H1014" s="198">
        <v>0.8</v>
      </c>
      <c r="I1014" s="199">
        <v>11788.85</v>
      </c>
      <c r="J1014" s="200" t="s">
        <v>2961</v>
      </c>
      <c r="K1014" s="200" t="s">
        <v>2962</v>
      </c>
      <c r="L1014" s="201">
        <v>0.4</v>
      </c>
      <c r="M1014" s="278" t="s">
        <v>2714</v>
      </c>
      <c r="N1014" s="205">
        <v>4375.05</v>
      </c>
      <c r="O1014" s="254">
        <v>4375.05</v>
      </c>
      <c r="P1014" s="205">
        <v>3500.04</v>
      </c>
      <c r="Q1014" s="205">
        <v>3500.04</v>
      </c>
      <c r="R1014" s="1262" t="s">
        <v>2556</v>
      </c>
      <c r="S1014" s="254">
        <v>1750.02</v>
      </c>
      <c r="T1014" s="204">
        <v>45075</v>
      </c>
      <c r="U1014" s="1262" t="s">
        <v>2228</v>
      </c>
      <c r="V1014" s="254">
        <v>875.01</v>
      </c>
      <c r="W1014" s="1262" t="s">
        <v>3090</v>
      </c>
      <c r="X1014" s="206">
        <v>875.01</v>
      </c>
      <c r="Y1014" s="192"/>
    </row>
    <row r="1015" ht="37.5" customHeight="1" spans="1:25">
      <c r="A1015" s="192">
        <f t="shared" si="26"/>
        <v>1007</v>
      </c>
      <c r="B1015" s="208">
        <v>2023</v>
      </c>
      <c r="C1015" s="193" t="s">
        <v>37</v>
      </c>
      <c r="D1015" s="277" t="s">
        <v>4362</v>
      </c>
      <c r="E1015" s="195" t="s">
        <v>4363</v>
      </c>
      <c r="F1015" s="196" t="s">
        <v>2073</v>
      </c>
      <c r="G1015" s="197" t="s">
        <v>3239</v>
      </c>
      <c r="H1015" s="198">
        <v>0.8</v>
      </c>
      <c r="I1015" s="199">
        <v>21000</v>
      </c>
      <c r="J1015" s="200" t="s">
        <v>2912</v>
      </c>
      <c r="K1015" s="200" t="s">
        <v>2913</v>
      </c>
      <c r="L1015" s="201">
        <v>0.4</v>
      </c>
      <c r="M1015" s="278" t="s">
        <v>2889</v>
      </c>
      <c r="N1015" s="205">
        <v>10500</v>
      </c>
      <c r="O1015" s="254">
        <v>10500</v>
      </c>
      <c r="P1015" s="205">
        <v>8400</v>
      </c>
      <c r="Q1015" s="205">
        <v>8400</v>
      </c>
      <c r="R1015" s="1262" t="s">
        <v>2556</v>
      </c>
      <c r="S1015" s="254">
        <v>4200</v>
      </c>
      <c r="T1015" s="204">
        <v>45075</v>
      </c>
      <c r="U1015" s="1262" t="s">
        <v>2228</v>
      </c>
      <c r="V1015" s="254">
        <v>2100</v>
      </c>
      <c r="W1015" s="1262" t="s">
        <v>3090</v>
      </c>
      <c r="X1015" s="206">
        <v>2100</v>
      </c>
      <c r="Y1015" s="192"/>
    </row>
    <row r="1016" ht="37.5" customHeight="1" spans="1:25">
      <c r="A1016" s="192">
        <f t="shared" si="26"/>
        <v>1008</v>
      </c>
      <c r="B1016" s="208">
        <v>2023</v>
      </c>
      <c r="C1016" s="193" t="s">
        <v>37</v>
      </c>
      <c r="D1016" s="277" t="s">
        <v>4207</v>
      </c>
      <c r="E1016" s="195" t="s">
        <v>4364</v>
      </c>
      <c r="F1016" s="196" t="s">
        <v>2073</v>
      </c>
      <c r="G1016" s="197" t="s">
        <v>3239</v>
      </c>
      <c r="H1016" s="198">
        <v>0.8</v>
      </c>
      <c r="I1016" s="199">
        <v>16363.96</v>
      </c>
      <c r="J1016" s="200" t="s">
        <v>2912</v>
      </c>
      <c r="K1016" s="200" t="s">
        <v>2913</v>
      </c>
      <c r="L1016" s="201">
        <v>0.4</v>
      </c>
      <c r="M1016" s="278" t="s">
        <v>4209</v>
      </c>
      <c r="N1016" s="205">
        <v>10000</v>
      </c>
      <c r="O1016" s="254">
        <v>10000</v>
      </c>
      <c r="P1016" s="205">
        <v>8000</v>
      </c>
      <c r="Q1016" s="205">
        <v>8000</v>
      </c>
      <c r="R1016" s="1262" t="s">
        <v>2556</v>
      </c>
      <c r="S1016" s="254">
        <v>4000</v>
      </c>
      <c r="T1016" s="204">
        <v>45075</v>
      </c>
      <c r="U1016" s="1262" t="s">
        <v>2228</v>
      </c>
      <c r="V1016" s="254">
        <v>2000</v>
      </c>
      <c r="W1016" s="1262" t="s">
        <v>3090</v>
      </c>
      <c r="X1016" s="206">
        <v>2000</v>
      </c>
      <c r="Y1016" s="192"/>
    </row>
    <row r="1017" ht="37.5" customHeight="1" spans="1:25">
      <c r="A1017" s="192">
        <f t="shared" si="26"/>
        <v>1009</v>
      </c>
      <c r="B1017" s="208">
        <v>2023</v>
      </c>
      <c r="C1017" s="193" t="s">
        <v>37</v>
      </c>
      <c r="D1017" s="277" t="s">
        <v>3873</v>
      </c>
      <c r="E1017" s="195" t="s">
        <v>4365</v>
      </c>
      <c r="F1017" s="196" t="s">
        <v>2073</v>
      </c>
      <c r="G1017" s="197" t="s">
        <v>3239</v>
      </c>
      <c r="H1017" s="198">
        <v>0.8</v>
      </c>
      <c r="I1017" s="199">
        <v>125000</v>
      </c>
      <c r="J1017" s="200" t="s">
        <v>1932</v>
      </c>
      <c r="K1017" s="200" t="s">
        <v>3863</v>
      </c>
      <c r="L1017" s="201">
        <v>0.4</v>
      </c>
      <c r="M1017" s="278" t="s">
        <v>2714</v>
      </c>
      <c r="N1017" s="205">
        <v>47916.7</v>
      </c>
      <c r="O1017" s="254">
        <v>47916.7</v>
      </c>
      <c r="P1017" s="205">
        <v>38333.36</v>
      </c>
      <c r="Q1017" s="205">
        <v>38333.36</v>
      </c>
      <c r="R1017" s="1262" t="s">
        <v>2556</v>
      </c>
      <c r="S1017" s="254">
        <v>19166.68</v>
      </c>
      <c r="T1017" s="204">
        <v>45075</v>
      </c>
      <c r="U1017" s="1262" t="s">
        <v>2228</v>
      </c>
      <c r="V1017" s="254">
        <v>9583.34</v>
      </c>
      <c r="W1017" s="1262" t="s">
        <v>3090</v>
      </c>
      <c r="X1017" s="206">
        <v>9583.34</v>
      </c>
      <c r="Y1017" s="192"/>
    </row>
    <row r="1018" ht="37.5" customHeight="1" spans="1:25">
      <c r="A1018" s="192">
        <f t="shared" si="26"/>
        <v>1010</v>
      </c>
      <c r="B1018" s="208">
        <v>2023</v>
      </c>
      <c r="C1018" s="193" t="s">
        <v>37</v>
      </c>
      <c r="D1018" s="277" t="s">
        <v>4366</v>
      </c>
      <c r="E1018" s="195" t="s">
        <v>4367</v>
      </c>
      <c r="F1018" s="196" t="s">
        <v>2073</v>
      </c>
      <c r="G1018" s="197" t="s">
        <v>3239</v>
      </c>
      <c r="H1018" s="198">
        <v>0.8</v>
      </c>
      <c r="I1018" s="199">
        <v>17713.62</v>
      </c>
      <c r="J1018" s="200" t="s">
        <v>2009</v>
      </c>
      <c r="K1018" s="200" t="s">
        <v>3699</v>
      </c>
      <c r="L1018" s="201">
        <v>0.4</v>
      </c>
      <c r="M1018" s="278" t="s">
        <v>2714</v>
      </c>
      <c r="N1018" s="205">
        <v>1000</v>
      </c>
      <c r="O1018" s="254">
        <v>1000</v>
      </c>
      <c r="P1018" s="205">
        <v>800</v>
      </c>
      <c r="Q1018" s="205">
        <v>800</v>
      </c>
      <c r="R1018" s="1262" t="s">
        <v>2556</v>
      </c>
      <c r="S1018" s="254">
        <v>400</v>
      </c>
      <c r="T1018" s="204">
        <v>45075</v>
      </c>
      <c r="U1018" s="1262" t="s">
        <v>2228</v>
      </c>
      <c r="V1018" s="254">
        <v>200</v>
      </c>
      <c r="W1018" s="1262" t="s">
        <v>3090</v>
      </c>
      <c r="X1018" s="206">
        <v>200</v>
      </c>
      <c r="Y1018" s="192"/>
    </row>
    <row r="1019" ht="37.5" customHeight="1" spans="1:25">
      <c r="A1019" s="192">
        <f t="shared" si="26"/>
        <v>1011</v>
      </c>
      <c r="B1019" s="208">
        <v>2023</v>
      </c>
      <c r="C1019" s="193" t="s">
        <v>37</v>
      </c>
      <c r="D1019" s="277" t="s">
        <v>4368</v>
      </c>
      <c r="E1019" s="195" t="s">
        <v>4369</v>
      </c>
      <c r="F1019" s="196" t="s">
        <v>2073</v>
      </c>
      <c r="G1019" s="197" t="s">
        <v>3239</v>
      </c>
      <c r="H1019" s="198">
        <v>0.8</v>
      </c>
      <c r="I1019" s="199">
        <v>89000</v>
      </c>
      <c r="J1019" s="200" t="s">
        <v>2977</v>
      </c>
      <c r="K1019" s="200" t="s">
        <v>2978</v>
      </c>
      <c r="L1019" s="201">
        <v>0.4</v>
      </c>
      <c r="M1019" s="278" t="s">
        <v>4232</v>
      </c>
      <c r="N1019" s="205">
        <v>44500.04</v>
      </c>
      <c r="O1019" s="254">
        <v>44500.04</v>
      </c>
      <c r="P1019" s="205">
        <v>35600.03</v>
      </c>
      <c r="Q1019" s="205">
        <v>35600.03</v>
      </c>
      <c r="R1019" s="1262" t="s">
        <v>2556</v>
      </c>
      <c r="S1019" s="254">
        <v>17800.02</v>
      </c>
      <c r="T1019" s="204">
        <v>45075</v>
      </c>
      <c r="U1019" s="1262" t="s">
        <v>2228</v>
      </c>
      <c r="V1019" s="254">
        <v>8900.01</v>
      </c>
      <c r="W1019" s="1262" t="s">
        <v>3090</v>
      </c>
      <c r="X1019" s="206">
        <v>8900.01</v>
      </c>
      <c r="Y1019" s="192"/>
    </row>
    <row r="1020" ht="37.5" customHeight="1" spans="1:25">
      <c r="A1020" s="192">
        <f t="shared" si="26"/>
        <v>1012</v>
      </c>
      <c r="B1020" s="208">
        <v>2023</v>
      </c>
      <c r="C1020" s="193" t="s">
        <v>37</v>
      </c>
      <c r="D1020" s="277" t="s">
        <v>4370</v>
      </c>
      <c r="E1020" s="195" t="s">
        <v>4371</v>
      </c>
      <c r="F1020" s="196" t="s">
        <v>2073</v>
      </c>
      <c r="G1020" s="197" t="s">
        <v>3239</v>
      </c>
      <c r="H1020" s="198">
        <v>0.8</v>
      </c>
      <c r="I1020" s="199">
        <v>100000</v>
      </c>
      <c r="J1020" s="200" t="s">
        <v>2117</v>
      </c>
      <c r="K1020" s="200" t="s">
        <v>2990</v>
      </c>
      <c r="L1020" s="201">
        <v>0.4</v>
      </c>
      <c r="M1020" s="278" t="s">
        <v>2714</v>
      </c>
      <c r="N1020" s="205">
        <v>76697.92</v>
      </c>
      <c r="O1020" s="254">
        <v>76697.92</v>
      </c>
      <c r="P1020" s="205">
        <v>61358.34</v>
      </c>
      <c r="Q1020" s="205">
        <v>61358.34</v>
      </c>
      <c r="R1020" s="1262" t="s">
        <v>2556</v>
      </c>
      <c r="S1020" s="254">
        <v>30679.17</v>
      </c>
      <c r="T1020" s="204">
        <v>45075</v>
      </c>
      <c r="U1020" s="1262" t="s">
        <v>2228</v>
      </c>
      <c r="V1020" s="254">
        <v>15339.58</v>
      </c>
      <c r="W1020" s="1262" t="s">
        <v>3090</v>
      </c>
      <c r="X1020" s="206">
        <v>15339.58</v>
      </c>
      <c r="Y1020" s="192"/>
    </row>
    <row r="1021" ht="37.5" customHeight="1" spans="1:25">
      <c r="A1021" s="192">
        <f t="shared" si="26"/>
        <v>1013</v>
      </c>
      <c r="B1021" s="208">
        <v>2023</v>
      </c>
      <c r="C1021" s="193" t="s">
        <v>37</v>
      </c>
      <c r="D1021" s="277" t="s">
        <v>4372</v>
      </c>
      <c r="E1021" s="195" t="s">
        <v>4373</v>
      </c>
      <c r="F1021" s="196" t="s">
        <v>2073</v>
      </c>
      <c r="G1021" s="197" t="s">
        <v>3239</v>
      </c>
      <c r="H1021" s="198">
        <v>0.8</v>
      </c>
      <c r="I1021" s="199">
        <v>12000</v>
      </c>
      <c r="J1021" s="200" t="s">
        <v>2117</v>
      </c>
      <c r="K1021" s="200" t="s">
        <v>2990</v>
      </c>
      <c r="L1021" s="201">
        <v>0.4</v>
      </c>
      <c r="M1021" s="278" t="s">
        <v>4039</v>
      </c>
      <c r="N1021" s="205">
        <v>6000</v>
      </c>
      <c r="O1021" s="254">
        <v>6000</v>
      </c>
      <c r="P1021" s="205">
        <v>4800</v>
      </c>
      <c r="Q1021" s="205">
        <v>4800</v>
      </c>
      <c r="R1021" s="1262" t="s">
        <v>2556</v>
      </c>
      <c r="S1021" s="254">
        <v>2400</v>
      </c>
      <c r="T1021" s="204">
        <v>45075</v>
      </c>
      <c r="U1021" s="1262" t="s">
        <v>2228</v>
      </c>
      <c r="V1021" s="254">
        <v>1200</v>
      </c>
      <c r="W1021" s="1262" t="s">
        <v>3090</v>
      </c>
      <c r="X1021" s="206">
        <v>1200</v>
      </c>
      <c r="Y1021" s="192"/>
    </row>
    <row r="1022" ht="37.5" customHeight="1" spans="1:25">
      <c r="A1022" s="192">
        <f t="shared" si="26"/>
        <v>1014</v>
      </c>
      <c r="B1022" s="208">
        <v>2023</v>
      </c>
      <c r="C1022" s="193" t="s">
        <v>37</v>
      </c>
      <c r="D1022" s="277" t="s">
        <v>4374</v>
      </c>
      <c r="E1022" s="195" t="s">
        <v>4375</v>
      </c>
      <c r="F1022" s="196" t="s">
        <v>2073</v>
      </c>
      <c r="G1022" s="197" t="s">
        <v>3239</v>
      </c>
      <c r="H1022" s="198">
        <v>0.8</v>
      </c>
      <c r="I1022" s="199">
        <v>16356.1</v>
      </c>
      <c r="J1022" s="200" t="s">
        <v>2261</v>
      </c>
      <c r="K1022" s="200" t="s">
        <v>3389</v>
      </c>
      <c r="L1022" s="201">
        <v>0.4</v>
      </c>
      <c r="M1022" s="278" t="s">
        <v>4376</v>
      </c>
      <c r="N1022" s="205">
        <v>3500.02</v>
      </c>
      <c r="O1022" s="254">
        <v>3500.02</v>
      </c>
      <c r="P1022" s="205">
        <v>2800.02</v>
      </c>
      <c r="Q1022" s="205">
        <v>2800.02</v>
      </c>
      <c r="R1022" s="1262" t="s">
        <v>2556</v>
      </c>
      <c r="S1022" s="254">
        <v>1400.01</v>
      </c>
      <c r="T1022" s="204">
        <v>45075</v>
      </c>
      <c r="U1022" s="1262" t="s">
        <v>2228</v>
      </c>
      <c r="V1022" s="254">
        <v>700</v>
      </c>
      <c r="W1022" s="1262" t="s">
        <v>3090</v>
      </c>
      <c r="X1022" s="206">
        <v>700</v>
      </c>
      <c r="Y1022" s="192"/>
    </row>
    <row r="1023" ht="37.5" customHeight="1" spans="1:25">
      <c r="A1023" s="192">
        <f t="shared" si="26"/>
        <v>1015</v>
      </c>
      <c r="B1023" s="208">
        <v>2023</v>
      </c>
      <c r="C1023" s="193" t="s">
        <v>37</v>
      </c>
      <c r="D1023" s="277" t="s">
        <v>4377</v>
      </c>
      <c r="E1023" s="195" t="s">
        <v>4378</v>
      </c>
      <c r="F1023" s="196" t="s">
        <v>2073</v>
      </c>
      <c r="G1023" s="197" t="s">
        <v>3239</v>
      </c>
      <c r="H1023" s="198">
        <v>0.8</v>
      </c>
      <c r="I1023" s="199">
        <v>53688</v>
      </c>
      <c r="J1023" s="200" t="s">
        <v>2186</v>
      </c>
      <c r="K1023" s="200" t="s">
        <v>3866</v>
      </c>
      <c r="L1023" s="201">
        <v>0.4</v>
      </c>
      <c r="M1023" s="278" t="s">
        <v>2714</v>
      </c>
      <c r="N1023" s="205">
        <v>31318</v>
      </c>
      <c r="O1023" s="254">
        <v>31318</v>
      </c>
      <c r="P1023" s="205">
        <v>25054.4</v>
      </c>
      <c r="Q1023" s="205">
        <v>25054.4</v>
      </c>
      <c r="R1023" s="1262" t="s">
        <v>2556</v>
      </c>
      <c r="S1023" s="254">
        <v>12527.2</v>
      </c>
      <c r="T1023" s="204">
        <v>45075</v>
      </c>
      <c r="U1023" s="1262" t="s">
        <v>2228</v>
      </c>
      <c r="V1023" s="254">
        <v>6263.6</v>
      </c>
      <c r="W1023" s="1262" t="s">
        <v>3090</v>
      </c>
      <c r="X1023" s="206">
        <v>6263.6</v>
      </c>
      <c r="Y1023" s="192"/>
    </row>
    <row r="1024" ht="37.5" customHeight="1" spans="1:25">
      <c r="A1024" s="192">
        <f t="shared" si="26"/>
        <v>1016</v>
      </c>
      <c r="B1024" s="208">
        <v>2023</v>
      </c>
      <c r="C1024" s="193" t="s">
        <v>37</v>
      </c>
      <c r="D1024" s="277" t="s">
        <v>3911</v>
      </c>
      <c r="E1024" s="195" t="s">
        <v>4379</v>
      </c>
      <c r="F1024" s="196" t="s">
        <v>2073</v>
      </c>
      <c r="G1024" s="197" t="s">
        <v>3239</v>
      </c>
      <c r="H1024" s="198">
        <v>0.8</v>
      </c>
      <c r="I1024" s="199">
        <v>16268.97</v>
      </c>
      <c r="J1024" s="200" t="s">
        <v>2143</v>
      </c>
      <c r="K1024" s="200" t="s">
        <v>4143</v>
      </c>
      <c r="L1024" s="201">
        <v>0.4</v>
      </c>
      <c r="M1024" s="278" t="s">
        <v>3947</v>
      </c>
      <c r="N1024" s="205">
        <v>950.02</v>
      </c>
      <c r="O1024" s="254">
        <v>950.02</v>
      </c>
      <c r="P1024" s="205">
        <v>760.02</v>
      </c>
      <c r="Q1024" s="205">
        <v>760.02</v>
      </c>
      <c r="R1024" s="1262" t="s">
        <v>2556</v>
      </c>
      <c r="S1024" s="254">
        <v>380.01</v>
      </c>
      <c r="T1024" s="204">
        <v>45075</v>
      </c>
      <c r="U1024" s="1262" t="s">
        <v>2228</v>
      </c>
      <c r="V1024" s="254">
        <v>190</v>
      </c>
      <c r="W1024" s="1262" t="s">
        <v>3090</v>
      </c>
      <c r="X1024" s="206">
        <v>190</v>
      </c>
      <c r="Y1024" s="192"/>
    </row>
    <row r="1025" ht="37.5" customHeight="1" spans="1:25">
      <c r="A1025" s="192">
        <f t="shared" si="26"/>
        <v>1017</v>
      </c>
      <c r="B1025" s="208">
        <v>2023</v>
      </c>
      <c r="C1025" s="193" t="s">
        <v>37</v>
      </c>
      <c r="D1025" s="277" t="s">
        <v>3270</v>
      </c>
      <c r="E1025" s="195" t="s">
        <v>4380</v>
      </c>
      <c r="F1025" s="196" t="s">
        <v>2073</v>
      </c>
      <c r="G1025" s="197" t="s">
        <v>3239</v>
      </c>
      <c r="H1025" s="198">
        <v>0.8</v>
      </c>
      <c r="I1025" s="199">
        <v>60000</v>
      </c>
      <c r="J1025" s="200" t="s">
        <v>1959</v>
      </c>
      <c r="K1025" s="200" t="s">
        <v>3391</v>
      </c>
      <c r="L1025" s="201">
        <v>0.4</v>
      </c>
      <c r="M1025" s="278" t="s">
        <v>4296</v>
      </c>
      <c r="N1025" s="205">
        <v>35000.05</v>
      </c>
      <c r="O1025" s="254">
        <v>35000.05</v>
      </c>
      <c r="P1025" s="205">
        <v>28000.04</v>
      </c>
      <c r="Q1025" s="205">
        <v>28000.04</v>
      </c>
      <c r="R1025" s="1262" t="s">
        <v>2556</v>
      </c>
      <c r="S1025" s="254">
        <v>14000.02</v>
      </c>
      <c r="T1025" s="204">
        <v>45075</v>
      </c>
      <c r="U1025" s="1262" t="s">
        <v>2228</v>
      </c>
      <c r="V1025" s="254">
        <v>7000.01</v>
      </c>
      <c r="W1025" s="1262" t="s">
        <v>3090</v>
      </c>
      <c r="X1025" s="206">
        <v>7000.01</v>
      </c>
      <c r="Y1025" s="192"/>
    </row>
    <row r="1026" ht="37.5" customHeight="1" spans="1:25">
      <c r="A1026" s="192">
        <f t="shared" si="26"/>
        <v>1018</v>
      </c>
      <c r="B1026" s="208">
        <v>2023</v>
      </c>
      <c r="C1026" s="193" t="s">
        <v>37</v>
      </c>
      <c r="D1026" s="277" t="s">
        <v>4381</v>
      </c>
      <c r="E1026" s="195" t="s">
        <v>4382</v>
      </c>
      <c r="F1026" s="196" t="s">
        <v>2073</v>
      </c>
      <c r="G1026" s="197" t="s">
        <v>3239</v>
      </c>
      <c r="H1026" s="198">
        <v>0.8</v>
      </c>
      <c r="I1026" s="199">
        <v>90000</v>
      </c>
      <c r="J1026" s="200" t="s">
        <v>1959</v>
      </c>
      <c r="K1026" s="200" t="s">
        <v>3391</v>
      </c>
      <c r="L1026" s="201">
        <v>0.4</v>
      </c>
      <c r="M1026" s="278" t="s">
        <v>4209</v>
      </c>
      <c r="N1026" s="205">
        <v>42501.68</v>
      </c>
      <c r="O1026" s="254">
        <v>42501.68</v>
      </c>
      <c r="P1026" s="205">
        <v>34001.34</v>
      </c>
      <c r="Q1026" s="205">
        <v>34001.34</v>
      </c>
      <c r="R1026" s="1262" t="s">
        <v>2556</v>
      </c>
      <c r="S1026" s="254">
        <v>17000.67</v>
      </c>
      <c r="T1026" s="204">
        <v>45075</v>
      </c>
      <c r="U1026" s="1262" t="s">
        <v>2228</v>
      </c>
      <c r="V1026" s="254">
        <v>8500.34</v>
      </c>
      <c r="W1026" s="1262" t="s">
        <v>3090</v>
      </c>
      <c r="X1026" s="206">
        <v>8500.34</v>
      </c>
      <c r="Y1026" s="192"/>
    </row>
    <row r="1027" ht="37.5" customHeight="1" spans="1:25">
      <c r="A1027" s="192">
        <f t="shared" si="26"/>
        <v>1019</v>
      </c>
      <c r="B1027" s="208">
        <v>2023</v>
      </c>
      <c r="C1027" s="193" t="s">
        <v>37</v>
      </c>
      <c r="D1027" s="277" t="s">
        <v>4383</v>
      </c>
      <c r="E1027" s="195" t="s">
        <v>4384</v>
      </c>
      <c r="F1027" s="196" t="s">
        <v>2073</v>
      </c>
      <c r="G1027" s="197" t="s">
        <v>3239</v>
      </c>
      <c r="H1027" s="198">
        <v>0.8</v>
      </c>
      <c r="I1027" s="199">
        <v>16053</v>
      </c>
      <c r="J1027" s="200" t="s">
        <v>1933</v>
      </c>
      <c r="K1027" s="200" t="s">
        <v>3158</v>
      </c>
      <c r="L1027" s="201">
        <v>0.4</v>
      </c>
      <c r="M1027" s="278" t="s">
        <v>2714</v>
      </c>
      <c r="N1027" s="205">
        <v>2675.5</v>
      </c>
      <c r="O1027" s="254">
        <v>2675.5</v>
      </c>
      <c r="P1027" s="205">
        <v>2140.4</v>
      </c>
      <c r="Q1027" s="205">
        <v>2140.4</v>
      </c>
      <c r="R1027" s="1262" t="s">
        <v>2556</v>
      </c>
      <c r="S1027" s="254">
        <v>1070.2</v>
      </c>
      <c r="T1027" s="204">
        <v>45075</v>
      </c>
      <c r="U1027" s="1262" t="s">
        <v>2228</v>
      </c>
      <c r="V1027" s="254">
        <v>535.1</v>
      </c>
      <c r="W1027" s="1262" t="s">
        <v>3090</v>
      </c>
      <c r="X1027" s="206">
        <v>535.1</v>
      </c>
      <c r="Y1027" s="192"/>
    </row>
    <row r="1028" ht="37.5" customHeight="1" spans="1:25">
      <c r="A1028" s="192">
        <f t="shared" si="26"/>
        <v>1020</v>
      </c>
      <c r="B1028" s="208">
        <v>2023</v>
      </c>
      <c r="C1028" s="193" t="s">
        <v>37</v>
      </c>
      <c r="D1028" s="277" t="s">
        <v>4385</v>
      </c>
      <c r="E1028" s="195" t="s">
        <v>4386</v>
      </c>
      <c r="F1028" s="196" t="s">
        <v>2073</v>
      </c>
      <c r="G1028" s="197" t="s">
        <v>3239</v>
      </c>
      <c r="H1028" s="198">
        <v>0.8</v>
      </c>
      <c r="I1028" s="199">
        <v>120000</v>
      </c>
      <c r="J1028" s="200" t="s">
        <v>2212</v>
      </c>
      <c r="K1028" s="200" t="s">
        <v>3109</v>
      </c>
      <c r="L1028" s="201">
        <v>0.4</v>
      </c>
      <c r="M1028" s="278" t="s">
        <v>4209</v>
      </c>
      <c r="N1028" s="205">
        <v>70000</v>
      </c>
      <c r="O1028" s="254">
        <v>70000</v>
      </c>
      <c r="P1028" s="205">
        <v>56000</v>
      </c>
      <c r="Q1028" s="205">
        <v>56000</v>
      </c>
      <c r="R1028" s="1262" t="s">
        <v>2556</v>
      </c>
      <c r="S1028" s="254">
        <v>28000</v>
      </c>
      <c r="T1028" s="204">
        <v>45075</v>
      </c>
      <c r="U1028" s="1262" t="s">
        <v>2228</v>
      </c>
      <c r="V1028" s="254">
        <v>14000</v>
      </c>
      <c r="W1028" s="1262" t="s">
        <v>3090</v>
      </c>
      <c r="X1028" s="206">
        <v>14000</v>
      </c>
      <c r="Y1028" s="192"/>
    </row>
    <row r="1029" ht="37.5" customHeight="1" spans="1:25">
      <c r="A1029" s="192">
        <f t="shared" si="26"/>
        <v>1021</v>
      </c>
      <c r="B1029" s="208">
        <v>2023</v>
      </c>
      <c r="C1029" s="193" t="s">
        <v>37</v>
      </c>
      <c r="D1029" s="277" t="s">
        <v>4387</v>
      </c>
      <c r="E1029" s="195" t="s">
        <v>4388</v>
      </c>
      <c r="F1029" s="196" t="s">
        <v>2073</v>
      </c>
      <c r="G1029" s="197" t="s">
        <v>3239</v>
      </c>
      <c r="H1029" s="198">
        <v>0.8</v>
      </c>
      <c r="I1029" s="199">
        <v>17204.17</v>
      </c>
      <c r="J1029" s="200" t="s">
        <v>2212</v>
      </c>
      <c r="K1029" s="200" t="s">
        <v>3109</v>
      </c>
      <c r="L1029" s="201">
        <v>0.4</v>
      </c>
      <c r="M1029" s="278" t="s">
        <v>4209</v>
      </c>
      <c r="N1029" s="205">
        <v>2916.1</v>
      </c>
      <c r="O1029" s="254">
        <v>2916.1</v>
      </c>
      <c r="P1029" s="205">
        <v>2332.88</v>
      </c>
      <c r="Q1029" s="205">
        <v>2332.88</v>
      </c>
      <c r="R1029" s="1262" t="s">
        <v>2556</v>
      </c>
      <c r="S1029" s="254">
        <v>1166.44</v>
      </c>
      <c r="T1029" s="204">
        <v>45075</v>
      </c>
      <c r="U1029" s="1262" t="s">
        <v>2228</v>
      </c>
      <c r="V1029" s="254">
        <v>583.22</v>
      </c>
      <c r="W1029" s="1262" t="s">
        <v>3090</v>
      </c>
      <c r="X1029" s="206">
        <v>583.22</v>
      </c>
      <c r="Y1029" s="192"/>
    </row>
    <row r="1030" ht="37.5" customHeight="1" spans="1:25">
      <c r="A1030" s="192">
        <f t="shared" si="26"/>
        <v>1022</v>
      </c>
      <c r="B1030" s="208">
        <v>2023</v>
      </c>
      <c r="C1030" s="193" t="s">
        <v>37</v>
      </c>
      <c r="D1030" s="277" t="s">
        <v>4256</v>
      </c>
      <c r="E1030" s="195" t="s">
        <v>4389</v>
      </c>
      <c r="F1030" s="196" t="s">
        <v>2073</v>
      </c>
      <c r="G1030" s="197" t="s">
        <v>3239</v>
      </c>
      <c r="H1030" s="198">
        <v>0.8</v>
      </c>
      <c r="I1030" s="199">
        <v>28800</v>
      </c>
      <c r="J1030" s="200" t="s">
        <v>2993</v>
      </c>
      <c r="K1030" s="200" t="s">
        <v>2994</v>
      </c>
      <c r="L1030" s="201">
        <v>0.4</v>
      </c>
      <c r="M1030" s="278" t="s">
        <v>4161</v>
      </c>
      <c r="N1030" s="205">
        <v>14400</v>
      </c>
      <c r="O1030" s="254">
        <v>14400</v>
      </c>
      <c r="P1030" s="205">
        <v>11520</v>
      </c>
      <c r="Q1030" s="205">
        <v>11520</v>
      </c>
      <c r="R1030" s="1262" t="s">
        <v>2556</v>
      </c>
      <c r="S1030" s="254">
        <v>5760</v>
      </c>
      <c r="T1030" s="204">
        <v>45075</v>
      </c>
      <c r="U1030" s="1262" t="s">
        <v>2228</v>
      </c>
      <c r="V1030" s="254">
        <v>2880</v>
      </c>
      <c r="W1030" s="1262" t="s">
        <v>3090</v>
      </c>
      <c r="X1030" s="206">
        <v>2880</v>
      </c>
      <c r="Y1030" s="192"/>
    </row>
    <row r="1031" ht="37.5" customHeight="1" spans="1:25">
      <c r="A1031" s="192">
        <f t="shared" si="26"/>
        <v>1023</v>
      </c>
      <c r="B1031" s="208">
        <v>2023</v>
      </c>
      <c r="C1031" s="193" t="s">
        <v>37</v>
      </c>
      <c r="D1031" s="277" t="s">
        <v>4218</v>
      </c>
      <c r="E1031" s="195" t="s">
        <v>4390</v>
      </c>
      <c r="F1031" s="196" t="s">
        <v>2073</v>
      </c>
      <c r="G1031" s="197" t="s">
        <v>3239</v>
      </c>
      <c r="H1031" s="198">
        <v>0.8</v>
      </c>
      <c r="I1031" s="199">
        <v>16542.17</v>
      </c>
      <c r="J1031" s="200" t="s">
        <v>1987</v>
      </c>
      <c r="K1031" s="200" t="s">
        <v>2982</v>
      </c>
      <c r="L1031" s="201">
        <v>0.4</v>
      </c>
      <c r="M1031" s="278" t="s">
        <v>4212</v>
      </c>
      <c r="N1031" s="205">
        <v>5000.02</v>
      </c>
      <c r="O1031" s="254">
        <v>5000.02</v>
      </c>
      <c r="P1031" s="205">
        <v>4000.02</v>
      </c>
      <c r="Q1031" s="205">
        <v>4000.02</v>
      </c>
      <c r="R1031" s="1262" t="s">
        <v>2556</v>
      </c>
      <c r="S1031" s="254">
        <v>2000.01</v>
      </c>
      <c r="T1031" s="204">
        <v>45075</v>
      </c>
      <c r="U1031" s="1262" t="s">
        <v>2228</v>
      </c>
      <c r="V1031" s="254">
        <v>1000</v>
      </c>
      <c r="W1031" s="1262" t="s">
        <v>3090</v>
      </c>
      <c r="X1031" s="206">
        <v>1000</v>
      </c>
      <c r="Y1031" s="192"/>
    </row>
    <row r="1032" ht="37.5" customHeight="1" spans="1:25">
      <c r="A1032" s="192">
        <f t="shared" si="26"/>
        <v>1024</v>
      </c>
      <c r="B1032" s="208">
        <v>2023</v>
      </c>
      <c r="C1032" s="193" t="s">
        <v>37</v>
      </c>
      <c r="D1032" s="277" t="s">
        <v>4391</v>
      </c>
      <c r="E1032" s="195" t="s">
        <v>4392</v>
      </c>
      <c r="F1032" s="196" t="s">
        <v>2073</v>
      </c>
      <c r="G1032" s="197" t="s">
        <v>3239</v>
      </c>
      <c r="H1032" s="198">
        <v>0.8</v>
      </c>
      <c r="I1032" s="199">
        <v>27100</v>
      </c>
      <c r="J1032" s="200" t="s">
        <v>1987</v>
      </c>
      <c r="K1032" s="200" t="s">
        <v>2982</v>
      </c>
      <c r="L1032" s="201">
        <v>0.4</v>
      </c>
      <c r="M1032" s="278" t="s">
        <v>2714</v>
      </c>
      <c r="N1032" s="205">
        <v>17069.89</v>
      </c>
      <c r="O1032" s="254">
        <v>17069.89</v>
      </c>
      <c r="P1032" s="205">
        <v>13655.91</v>
      </c>
      <c r="Q1032" s="205">
        <v>13655.91</v>
      </c>
      <c r="R1032" s="1262" t="s">
        <v>2556</v>
      </c>
      <c r="S1032" s="254">
        <v>6827.96</v>
      </c>
      <c r="T1032" s="204">
        <v>45075</v>
      </c>
      <c r="U1032" s="1262" t="s">
        <v>2228</v>
      </c>
      <c r="V1032" s="254">
        <v>3413.98</v>
      </c>
      <c r="W1032" s="1262" t="s">
        <v>3090</v>
      </c>
      <c r="X1032" s="206">
        <v>3413.98</v>
      </c>
      <c r="Y1032" s="192"/>
    </row>
    <row r="1033" ht="37.5" customHeight="1" spans="1:25">
      <c r="A1033" s="192">
        <f t="shared" si="26"/>
        <v>1025</v>
      </c>
      <c r="B1033" s="208">
        <v>2023</v>
      </c>
      <c r="C1033" s="193" t="s">
        <v>37</v>
      </c>
      <c r="D1033" s="277" t="s">
        <v>4201</v>
      </c>
      <c r="E1033" s="195" t="s">
        <v>4393</v>
      </c>
      <c r="F1033" s="196" t="s">
        <v>2073</v>
      </c>
      <c r="G1033" s="197" t="s">
        <v>3239</v>
      </c>
      <c r="H1033" s="198">
        <v>0.8</v>
      </c>
      <c r="I1033" s="199">
        <v>14593.47</v>
      </c>
      <c r="J1033" s="200" t="s">
        <v>1987</v>
      </c>
      <c r="K1033" s="200" t="s">
        <v>2982</v>
      </c>
      <c r="L1033" s="201">
        <v>0.4</v>
      </c>
      <c r="M1033" s="278" t="s">
        <v>4203</v>
      </c>
      <c r="N1033" s="205">
        <v>350</v>
      </c>
      <c r="O1033" s="254">
        <v>350</v>
      </c>
      <c r="P1033" s="205">
        <v>280</v>
      </c>
      <c r="Q1033" s="205">
        <v>280</v>
      </c>
      <c r="R1033" s="1262" t="s">
        <v>2556</v>
      </c>
      <c r="S1033" s="254">
        <v>140</v>
      </c>
      <c r="T1033" s="204">
        <v>45075</v>
      </c>
      <c r="U1033" s="1262" t="s">
        <v>2228</v>
      </c>
      <c r="V1033" s="254">
        <v>70</v>
      </c>
      <c r="W1033" s="1262" t="s">
        <v>3090</v>
      </c>
      <c r="X1033" s="206">
        <v>70</v>
      </c>
      <c r="Y1033" s="192"/>
    </row>
    <row r="1034" ht="37.5" customHeight="1" spans="1:25">
      <c r="A1034" s="192">
        <f t="shared" si="26"/>
        <v>1026</v>
      </c>
      <c r="B1034" s="208">
        <v>2023</v>
      </c>
      <c r="C1034" s="193" t="s">
        <v>37</v>
      </c>
      <c r="D1034" s="277" t="s">
        <v>4236</v>
      </c>
      <c r="E1034" s="195" t="s">
        <v>4394</v>
      </c>
      <c r="F1034" s="196" t="s">
        <v>2073</v>
      </c>
      <c r="G1034" s="197" t="s">
        <v>3239</v>
      </c>
      <c r="H1034" s="198">
        <v>0.8</v>
      </c>
      <c r="I1034" s="199">
        <v>12469.82</v>
      </c>
      <c r="J1034" s="200" t="s">
        <v>1987</v>
      </c>
      <c r="K1034" s="200" t="s">
        <v>2982</v>
      </c>
      <c r="L1034" s="201">
        <v>0.4</v>
      </c>
      <c r="M1034" s="278" t="s">
        <v>4395</v>
      </c>
      <c r="N1034" s="205">
        <v>875.06</v>
      </c>
      <c r="O1034" s="254">
        <v>875.06</v>
      </c>
      <c r="P1034" s="205">
        <v>700.05</v>
      </c>
      <c r="Q1034" s="205">
        <v>700.05</v>
      </c>
      <c r="R1034" s="1262" t="s">
        <v>2556</v>
      </c>
      <c r="S1034" s="254">
        <v>350.02</v>
      </c>
      <c r="T1034" s="204">
        <v>45075</v>
      </c>
      <c r="U1034" s="1262" t="s">
        <v>2228</v>
      </c>
      <c r="V1034" s="254">
        <v>175.01</v>
      </c>
      <c r="W1034" s="1262" t="s">
        <v>3090</v>
      </c>
      <c r="X1034" s="206">
        <v>175.01</v>
      </c>
      <c r="Y1034" s="192"/>
    </row>
    <row r="1035" ht="37.5" customHeight="1" spans="1:25">
      <c r="A1035" s="192">
        <f t="shared" si="26"/>
        <v>1027</v>
      </c>
      <c r="B1035" s="208">
        <v>2023</v>
      </c>
      <c r="C1035" s="193" t="s">
        <v>37</v>
      </c>
      <c r="D1035" s="277" t="s">
        <v>4246</v>
      </c>
      <c r="E1035" s="195" t="s">
        <v>4396</v>
      </c>
      <c r="F1035" s="196" t="s">
        <v>2073</v>
      </c>
      <c r="G1035" s="197" t="s">
        <v>3239</v>
      </c>
      <c r="H1035" s="198">
        <v>0.8</v>
      </c>
      <c r="I1035" s="199">
        <v>18619.74</v>
      </c>
      <c r="J1035" s="200" t="s">
        <v>1987</v>
      </c>
      <c r="K1035" s="200" t="s">
        <v>2982</v>
      </c>
      <c r="L1035" s="201">
        <v>0.4</v>
      </c>
      <c r="M1035" s="278" t="s">
        <v>4227</v>
      </c>
      <c r="N1035" s="205">
        <v>2916.7</v>
      </c>
      <c r="O1035" s="254">
        <v>2916.7</v>
      </c>
      <c r="P1035" s="205">
        <v>2333.36</v>
      </c>
      <c r="Q1035" s="205">
        <v>2333.36</v>
      </c>
      <c r="R1035" s="1262" t="s">
        <v>2556</v>
      </c>
      <c r="S1035" s="254">
        <v>1166.68</v>
      </c>
      <c r="T1035" s="204">
        <v>45075</v>
      </c>
      <c r="U1035" s="1262" t="s">
        <v>2228</v>
      </c>
      <c r="V1035" s="254">
        <v>583.34</v>
      </c>
      <c r="W1035" s="1262" t="s">
        <v>3090</v>
      </c>
      <c r="X1035" s="206">
        <v>583.34</v>
      </c>
      <c r="Y1035" s="192"/>
    </row>
    <row r="1036" ht="37.5" customHeight="1" spans="1:25">
      <c r="A1036" s="192">
        <f t="shared" si="26"/>
        <v>1028</v>
      </c>
      <c r="B1036" s="208">
        <v>2023</v>
      </c>
      <c r="C1036" s="193" t="s">
        <v>37</v>
      </c>
      <c r="D1036" s="277" t="s">
        <v>4334</v>
      </c>
      <c r="E1036" s="195" t="s">
        <v>4397</v>
      </c>
      <c r="F1036" s="196" t="s">
        <v>2073</v>
      </c>
      <c r="G1036" s="197" t="s">
        <v>3239</v>
      </c>
      <c r="H1036" s="198">
        <v>0.8</v>
      </c>
      <c r="I1036" s="199">
        <v>90000</v>
      </c>
      <c r="J1036" s="200" t="s">
        <v>2149</v>
      </c>
      <c r="K1036" s="200" t="s">
        <v>2923</v>
      </c>
      <c r="L1036" s="201">
        <v>0.4</v>
      </c>
      <c r="M1036" s="278" t="s">
        <v>2714</v>
      </c>
      <c r="N1036" s="205">
        <v>57500.04</v>
      </c>
      <c r="O1036" s="254">
        <v>57500.04</v>
      </c>
      <c r="P1036" s="205">
        <v>46000.03</v>
      </c>
      <c r="Q1036" s="205">
        <v>46000.03</v>
      </c>
      <c r="R1036" s="1262" t="s">
        <v>2556</v>
      </c>
      <c r="S1036" s="254">
        <v>23000.02</v>
      </c>
      <c r="T1036" s="204">
        <v>45075</v>
      </c>
      <c r="U1036" s="1262" t="s">
        <v>2228</v>
      </c>
      <c r="V1036" s="254">
        <v>11500.01</v>
      </c>
      <c r="W1036" s="1262" t="s">
        <v>3090</v>
      </c>
      <c r="X1036" s="206">
        <v>11500.01</v>
      </c>
      <c r="Y1036" s="192"/>
    </row>
    <row r="1037" ht="37.5" customHeight="1" spans="1:25">
      <c r="A1037" s="192">
        <f t="shared" si="26"/>
        <v>1029</v>
      </c>
      <c r="B1037" s="208">
        <v>2023</v>
      </c>
      <c r="C1037" s="193" t="s">
        <v>37</v>
      </c>
      <c r="D1037" s="277" t="s">
        <v>4353</v>
      </c>
      <c r="E1037" s="195" t="s">
        <v>4398</v>
      </c>
      <c r="F1037" s="196" t="s">
        <v>2073</v>
      </c>
      <c r="G1037" s="197" t="s">
        <v>3239</v>
      </c>
      <c r="H1037" s="198">
        <v>0.8</v>
      </c>
      <c r="I1037" s="199">
        <v>13885.87</v>
      </c>
      <c r="J1037" s="200" t="s">
        <v>2149</v>
      </c>
      <c r="K1037" s="200" t="s">
        <v>2923</v>
      </c>
      <c r="L1037" s="201">
        <v>0.4</v>
      </c>
      <c r="M1037" s="278" t="s">
        <v>2714</v>
      </c>
      <c r="N1037" s="205">
        <v>1750.05</v>
      </c>
      <c r="O1037" s="254">
        <v>1750.05</v>
      </c>
      <c r="P1037" s="205">
        <v>1400.04</v>
      </c>
      <c r="Q1037" s="205">
        <v>1400.04</v>
      </c>
      <c r="R1037" s="1262" t="s">
        <v>2556</v>
      </c>
      <c r="S1037" s="254">
        <v>700.02</v>
      </c>
      <c r="T1037" s="204">
        <v>45075</v>
      </c>
      <c r="U1037" s="1262" t="s">
        <v>2228</v>
      </c>
      <c r="V1037" s="254">
        <v>350.01</v>
      </c>
      <c r="W1037" s="1262" t="s">
        <v>3090</v>
      </c>
      <c r="X1037" s="206">
        <v>350.01</v>
      </c>
      <c r="Y1037" s="192"/>
    </row>
    <row r="1038" ht="37.5" customHeight="1" spans="1:25">
      <c r="A1038" s="192">
        <f t="shared" si="26"/>
        <v>1030</v>
      </c>
      <c r="B1038" s="208">
        <v>2023</v>
      </c>
      <c r="C1038" s="193" t="s">
        <v>37</v>
      </c>
      <c r="D1038" s="277" t="s">
        <v>4287</v>
      </c>
      <c r="E1038" s="195" t="s">
        <v>4399</v>
      </c>
      <c r="F1038" s="196" t="s">
        <v>2073</v>
      </c>
      <c r="G1038" s="197" t="s">
        <v>3239</v>
      </c>
      <c r="H1038" s="198">
        <v>0.8</v>
      </c>
      <c r="I1038" s="199">
        <v>19000</v>
      </c>
      <c r="J1038" s="200" t="s">
        <v>2152</v>
      </c>
      <c r="K1038" s="200" t="s">
        <v>4400</v>
      </c>
      <c r="L1038" s="201">
        <v>0.4</v>
      </c>
      <c r="M1038" s="278" t="s">
        <v>4107</v>
      </c>
      <c r="N1038" s="205">
        <v>3166.7</v>
      </c>
      <c r="O1038" s="254">
        <v>3166.7</v>
      </c>
      <c r="P1038" s="205">
        <v>2533.36</v>
      </c>
      <c r="Q1038" s="205">
        <v>2533.36</v>
      </c>
      <c r="R1038" s="1262" t="s">
        <v>2556</v>
      </c>
      <c r="S1038" s="254">
        <v>1266.68</v>
      </c>
      <c r="T1038" s="204">
        <v>45075</v>
      </c>
      <c r="U1038" s="1262" t="s">
        <v>2228</v>
      </c>
      <c r="V1038" s="254">
        <v>633.34</v>
      </c>
      <c r="W1038" s="1262" t="s">
        <v>3090</v>
      </c>
      <c r="X1038" s="206">
        <v>633.34</v>
      </c>
      <c r="Y1038" s="192"/>
    </row>
    <row r="1039" ht="37.5" customHeight="1" spans="1:25">
      <c r="A1039" s="192">
        <f t="shared" si="26"/>
        <v>1031</v>
      </c>
      <c r="B1039" s="208">
        <v>2023</v>
      </c>
      <c r="C1039" s="193" t="s">
        <v>37</v>
      </c>
      <c r="D1039" s="277" t="s">
        <v>4401</v>
      </c>
      <c r="E1039" s="195" t="s">
        <v>4402</v>
      </c>
      <c r="F1039" s="196" t="s">
        <v>2073</v>
      </c>
      <c r="G1039" s="197" t="s">
        <v>3239</v>
      </c>
      <c r="H1039" s="198">
        <v>0.8</v>
      </c>
      <c r="I1039" s="199">
        <v>14593.47</v>
      </c>
      <c r="J1039" s="200" t="s">
        <v>2152</v>
      </c>
      <c r="K1039" s="200" t="s">
        <v>4400</v>
      </c>
      <c r="L1039" s="201">
        <v>0.4</v>
      </c>
      <c r="M1039" s="278" t="s">
        <v>2896</v>
      </c>
      <c r="N1039" s="205">
        <v>2566.7</v>
      </c>
      <c r="O1039" s="254">
        <v>2566.7</v>
      </c>
      <c r="P1039" s="205">
        <v>2053.36</v>
      </c>
      <c r="Q1039" s="205">
        <v>2053.36</v>
      </c>
      <c r="R1039" s="1262" t="s">
        <v>2556</v>
      </c>
      <c r="S1039" s="254">
        <v>1026.68</v>
      </c>
      <c r="T1039" s="204">
        <v>45075</v>
      </c>
      <c r="U1039" s="1262" t="s">
        <v>2228</v>
      </c>
      <c r="V1039" s="254">
        <v>513.34</v>
      </c>
      <c r="W1039" s="1262" t="s">
        <v>3090</v>
      </c>
      <c r="X1039" s="206">
        <v>513.34</v>
      </c>
      <c r="Y1039" s="192"/>
    </row>
    <row r="1040" ht="37.5" customHeight="1" spans="1:25">
      <c r="A1040" s="192">
        <f t="shared" si="26"/>
        <v>1032</v>
      </c>
      <c r="B1040" s="208">
        <v>2023</v>
      </c>
      <c r="C1040" s="193" t="s">
        <v>37</v>
      </c>
      <c r="D1040" s="277" t="s">
        <v>4348</v>
      </c>
      <c r="E1040" s="195" t="s">
        <v>4403</v>
      </c>
      <c r="F1040" s="196" t="s">
        <v>2073</v>
      </c>
      <c r="G1040" s="197" t="s">
        <v>3239</v>
      </c>
      <c r="H1040" s="198">
        <v>0.8</v>
      </c>
      <c r="I1040" s="199">
        <v>12000</v>
      </c>
      <c r="J1040" s="200" t="s">
        <v>2152</v>
      </c>
      <c r="K1040" s="200" t="s">
        <v>4400</v>
      </c>
      <c r="L1040" s="201">
        <v>0.4</v>
      </c>
      <c r="M1040" s="278" t="s">
        <v>2883</v>
      </c>
      <c r="N1040" s="205">
        <v>5250</v>
      </c>
      <c r="O1040" s="254">
        <v>5250</v>
      </c>
      <c r="P1040" s="205">
        <v>4200</v>
      </c>
      <c r="Q1040" s="205">
        <v>4200</v>
      </c>
      <c r="R1040" s="1262" t="s">
        <v>2556</v>
      </c>
      <c r="S1040" s="254">
        <v>2100</v>
      </c>
      <c r="T1040" s="204">
        <v>45075</v>
      </c>
      <c r="U1040" s="1262" t="s">
        <v>2228</v>
      </c>
      <c r="V1040" s="254">
        <v>1050</v>
      </c>
      <c r="W1040" s="1262" t="s">
        <v>3090</v>
      </c>
      <c r="X1040" s="206">
        <v>1050</v>
      </c>
      <c r="Y1040" s="192"/>
    </row>
    <row r="1041" ht="37.5" customHeight="1" spans="1:25">
      <c r="A1041" s="192">
        <f t="shared" si="26"/>
        <v>1033</v>
      </c>
      <c r="B1041" s="208">
        <v>2023</v>
      </c>
      <c r="C1041" s="193" t="s">
        <v>37</v>
      </c>
      <c r="D1041" s="277" t="s">
        <v>4404</v>
      </c>
      <c r="E1041" s="195" t="s">
        <v>4405</v>
      </c>
      <c r="F1041" s="196" t="s">
        <v>2073</v>
      </c>
      <c r="G1041" s="197" t="s">
        <v>3239</v>
      </c>
      <c r="H1041" s="198">
        <v>0.8</v>
      </c>
      <c r="I1041" s="199">
        <v>34000</v>
      </c>
      <c r="J1041" s="200" t="s">
        <v>3891</v>
      </c>
      <c r="K1041" s="200" t="s">
        <v>3892</v>
      </c>
      <c r="L1041" s="201">
        <v>0.4</v>
      </c>
      <c r="M1041" s="278" t="s">
        <v>4296</v>
      </c>
      <c r="N1041" s="205">
        <v>34000</v>
      </c>
      <c r="O1041" s="254">
        <v>34000</v>
      </c>
      <c r="P1041" s="205">
        <v>27200</v>
      </c>
      <c r="Q1041" s="205">
        <v>27200</v>
      </c>
      <c r="R1041" s="1262" t="s">
        <v>2556</v>
      </c>
      <c r="S1041" s="254">
        <v>13600</v>
      </c>
      <c r="T1041" s="204">
        <v>45075</v>
      </c>
      <c r="U1041" s="1262" t="s">
        <v>2228</v>
      </c>
      <c r="V1041" s="254">
        <v>6800</v>
      </c>
      <c r="W1041" s="1262" t="s">
        <v>3090</v>
      </c>
      <c r="X1041" s="206">
        <v>6800</v>
      </c>
      <c r="Y1041" s="192"/>
    </row>
    <row r="1042" ht="37.5" customHeight="1" spans="1:25">
      <c r="A1042" s="192">
        <f t="shared" si="26"/>
        <v>1034</v>
      </c>
      <c r="B1042" s="208">
        <v>2023</v>
      </c>
      <c r="C1042" s="193" t="s">
        <v>37</v>
      </c>
      <c r="D1042" s="277" t="s">
        <v>4362</v>
      </c>
      <c r="E1042" s="195" t="s">
        <v>4406</v>
      </c>
      <c r="F1042" s="196" t="s">
        <v>2073</v>
      </c>
      <c r="G1042" s="197" t="s">
        <v>3239</v>
      </c>
      <c r="H1042" s="198">
        <v>0.8</v>
      </c>
      <c r="I1042" s="199">
        <v>18432.08</v>
      </c>
      <c r="J1042" s="200" t="s">
        <v>2958</v>
      </c>
      <c r="K1042" s="200" t="s">
        <v>2959</v>
      </c>
      <c r="L1042" s="201">
        <v>0.4</v>
      </c>
      <c r="M1042" s="278" t="s">
        <v>2889</v>
      </c>
      <c r="N1042" s="205">
        <v>5833.35</v>
      </c>
      <c r="O1042" s="254">
        <v>5833.35</v>
      </c>
      <c r="P1042" s="205">
        <v>4666.68</v>
      </c>
      <c r="Q1042" s="205">
        <v>4666.68</v>
      </c>
      <c r="R1042" s="1262" t="s">
        <v>2556</v>
      </c>
      <c r="S1042" s="254">
        <v>2333.34</v>
      </c>
      <c r="T1042" s="204">
        <v>45075</v>
      </c>
      <c r="U1042" s="1262" t="s">
        <v>2228</v>
      </c>
      <c r="V1042" s="254">
        <v>1166.67</v>
      </c>
      <c r="W1042" s="1262" t="s">
        <v>3090</v>
      </c>
      <c r="X1042" s="206">
        <v>1166.67</v>
      </c>
      <c r="Y1042" s="192"/>
    </row>
    <row r="1043" ht="37.5" customHeight="1" spans="1:25">
      <c r="A1043" s="192">
        <f t="shared" si="26"/>
        <v>1035</v>
      </c>
      <c r="B1043" s="208">
        <v>2023</v>
      </c>
      <c r="C1043" s="193" t="s">
        <v>37</v>
      </c>
      <c r="D1043" s="277" t="s">
        <v>4407</v>
      </c>
      <c r="E1043" s="195" t="s">
        <v>4408</v>
      </c>
      <c r="F1043" s="196" t="s">
        <v>2073</v>
      </c>
      <c r="G1043" s="197" t="s">
        <v>3239</v>
      </c>
      <c r="H1043" s="198">
        <v>0.8</v>
      </c>
      <c r="I1043" s="199">
        <v>233500</v>
      </c>
      <c r="J1043" s="200" t="s">
        <v>2958</v>
      </c>
      <c r="K1043" s="200" t="s">
        <v>2959</v>
      </c>
      <c r="L1043" s="201">
        <v>0.4</v>
      </c>
      <c r="M1043" s="278" t="s">
        <v>2896</v>
      </c>
      <c r="N1043" s="205">
        <v>136208.35</v>
      </c>
      <c r="O1043" s="254">
        <v>136208.35</v>
      </c>
      <c r="P1043" s="205">
        <v>108966.68</v>
      </c>
      <c r="Q1043" s="205">
        <v>108966.68</v>
      </c>
      <c r="R1043" s="1262" t="s">
        <v>2556</v>
      </c>
      <c r="S1043" s="254">
        <v>54483.34</v>
      </c>
      <c r="T1043" s="204">
        <v>45075</v>
      </c>
      <c r="U1043" s="1262" t="s">
        <v>2228</v>
      </c>
      <c r="V1043" s="254">
        <v>27241.67</v>
      </c>
      <c r="W1043" s="1262" t="s">
        <v>3090</v>
      </c>
      <c r="X1043" s="206">
        <v>27241.67</v>
      </c>
      <c r="Y1043" s="192"/>
    </row>
    <row r="1044" ht="37.5" customHeight="1" spans="1:25">
      <c r="A1044" s="192">
        <f t="shared" si="26"/>
        <v>1036</v>
      </c>
      <c r="B1044" s="208">
        <v>2023</v>
      </c>
      <c r="C1044" s="193" t="s">
        <v>37</v>
      </c>
      <c r="D1044" s="277" t="s">
        <v>4381</v>
      </c>
      <c r="E1044" s="195" t="s">
        <v>4409</v>
      </c>
      <c r="F1044" s="196" t="s">
        <v>2073</v>
      </c>
      <c r="G1044" s="197" t="s">
        <v>3239</v>
      </c>
      <c r="H1044" s="198">
        <v>0.8</v>
      </c>
      <c r="I1044" s="199">
        <v>350000</v>
      </c>
      <c r="J1044" s="200" t="s">
        <v>2958</v>
      </c>
      <c r="K1044" s="200" t="s">
        <v>2959</v>
      </c>
      <c r="L1044" s="201">
        <v>0.4</v>
      </c>
      <c r="M1044" s="278" t="s">
        <v>4410</v>
      </c>
      <c r="N1044" s="205">
        <v>136560.85</v>
      </c>
      <c r="O1044" s="254">
        <v>136560.85</v>
      </c>
      <c r="P1044" s="205">
        <v>109248.68</v>
      </c>
      <c r="Q1044" s="205">
        <v>109248.68</v>
      </c>
      <c r="R1044" s="1262" t="s">
        <v>2556</v>
      </c>
      <c r="S1044" s="254">
        <v>54624.34</v>
      </c>
      <c r="T1044" s="204">
        <v>45075</v>
      </c>
      <c r="U1044" s="1262" t="s">
        <v>2228</v>
      </c>
      <c r="V1044" s="254">
        <v>27312.17</v>
      </c>
      <c r="W1044" s="1262" t="s">
        <v>3090</v>
      </c>
      <c r="X1044" s="206">
        <v>27312.17</v>
      </c>
      <c r="Y1044" s="192"/>
    </row>
    <row r="1045" ht="37.5" customHeight="1" spans="1:25">
      <c r="A1045" s="192">
        <f t="shared" si="26"/>
        <v>1037</v>
      </c>
      <c r="B1045" s="208">
        <v>2023</v>
      </c>
      <c r="C1045" s="193" t="s">
        <v>37</v>
      </c>
      <c r="D1045" s="277" t="s">
        <v>4411</v>
      </c>
      <c r="E1045" s="195" t="s">
        <v>4412</v>
      </c>
      <c r="F1045" s="196" t="s">
        <v>2073</v>
      </c>
      <c r="G1045" s="197" t="s">
        <v>3239</v>
      </c>
      <c r="H1045" s="198">
        <v>0.8</v>
      </c>
      <c r="I1045" s="199">
        <v>41310</v>
      </c>
      <c r="J1045" s="200" t="s">
        <v>1965</v>
      </c>
      <c r="K1045" s="200" t="s">
        <v>3603</v>
      </c>
      <c r="L1045" s="201">
        <v>0.4</v>
      </c>
      <c r="M1045" s="278" t="s">
        <v>4209</v>
      </c>
      <c r="N1045" s="205">
        <v>24097.6</v>
      </c>
      <c r="O1045" s="254">
        <v>24097.6</v>
      </c>
      <c r="P1045" s="205">
        <v>19278.08</v>
      </c>
      <c r="Q1045" s="205">
        <v>19278.08</v>
      </c>
      <c r="R1045" s="1262" t="s">
        <v>2556</v>
      </c>
      <c r="S1045" s="254">
        <v>9639.04</v>
      </c>
      <c r="T1045" s="204">
        <v>45075</v>
      </c>
      <c r="U1045" s="1262" t="s">
        <v>2228</v>
      </c>
      <c r="V1045" s="254">
        <v>4819.52</v>
      </c>
      <c r="W1045" s="1262" t="s">
        <v>3090</v>
      </c>
      <c r="X1045" s="206">
        <v>4819.52</v>
      </c>
      <c r="Y1045" s="192"/>
    </row>
    <row r="1046" ht="37.5" customHeight="1" spans="1:25">
      <c r="A1046" s="192">
        <f t="shared" si="26"/>
        <v>1038</v>
      </c>
      <c r="B1046" s="208">
        <v>2023</v>
      </c>
      <c r="C1046" s="193" t="s">
        <v>37</v>
      </c>
      <c r="D1046" s="277" t="s">
        <v>4359</v>
      </c>
      <c r="E1046" s="195" t="s">
        <v>4413</v>
      </c>
      <c r="F1046" s="196" t="s">
        <v>2073</v>
      </c>
      <c r="G1046" s="197" t="s">
        <v>3239</v>
      </c>
      <c r="H1046" s="198">
        <v>0.8</v>
      </c>
      <c r="I1046" s="199">
        <v>18514.69</v>
      </c>
      <c r="J1046" s="200" t="s">
        <v>2039</v>
      </c>
      <c r="K1046" s="200" t="s">
        <v>3899</v>
      </c>
      <c r="L1046" s="201">
        <v>0.4</v>
      </c>
      <c r="M1046" s="278" t="s">
        <v>4030</v>
      </c>
      <c r="N1046" s="205">
        <v>583.35</v>
      </c>
      <c r="O1046" s="254">
        <v>583.35</v>
      </c>
      <c r="P1046" s="205">
        <v>466.68</v>
      </c>
      <c r="Q1046" s="205">
        <v>466.68</v>
      </c>
      <c r="R1046" s="1262" t="s">
        <v>2556</v>
      </c>
      <c r="S1046" s="254">
        <v>233.34</v>
      </c>
      <c r="T1046" s="204">
        <v>45075</v>
      </c>
      <c r="U1046" s="1262" t="s">
        <v>2228</v>
      </c>
      <c r="V1046" s="254">
        <v>116.67</v>
      </c>
      <c r="W1046" s="1262" t="s">
        <v>3090</v>
      </c>
      <c r="X1046" s="206">
        <v>116.67</v>
      </c>
      <c r="Y1046" s="192"/>
    </row>
    <row r="1047" ht="37.5" customHeight="1" spans="1:25">
      <c r="A1047" s="192">
        <f t="shared" si="26"/>
        <v>1039</v>
      </c>
      <c r="B1047" s="208">
        <v>2023</v>
      </c>
      <c r="C1047" s="193" t="s">
        <v>37</v>
      </c>
      <c r="D1047" s="277" t="s">
        <v>4414</v>
      </c>
      <c r="E1047" s="195" t="s">
        <v>4415</v>
      </c>
      <c r="F1047" s="196" t="s">
        <v>2073</v>
      </c>
      <c r="G1047" s="197" t="s">
        <v>3239</v>
      </c>
      <c r="H1047" s="198">
        <v>0.8</v>
      </c>
      <c r="I1047" s="199">
        <v>30000</v>
      </c>
      <c r="J1047" s="200" t="s">
        <v>2039</v>
      </c>
      <c r="K1047" s="200" t="s">
        <v>3899</v>
      </c>
      <c r="L1047" s="201">
        <v>0.4</v>
      </c>
      <c r="M1047" s="278" t="s">
        <v>4395</v>
      </c>
      <c r="N1047" s="205">
        <v>17500</v>
      </c>
      <c r="O1047" s="254">
        <v>17500</v>
      </c>
      <c r="P1047" s="205">
        <v>14000</v>
      </c>
      <c r="Q1047" s="205">
        <v>14000</v>
      </c>
      <c r="R1047" s="1262" t="s">
        <v>2556</v>
      </c>
      <c r="S1047" s="254">
        <v>7000</v>
      </c>
      <c r="T1047" s="204">
        <v>45075</v>
      </c>
      <c r="U1047" s="1262" t="s">
        <v>2228</v>
      </c>
      <c r="V1047" s="254">
        <v>3500</v>
      </c>
      <c r="W1047" s="1262" t="s">
        <v>3090</v>
      </c>
      <c r="X1047" s="206">
        <v>3500</v>
      </c>
      <c r="Y1047" s="192"/>
    </row>
    <row r="1048" ht="37.5" customHeight="1" spans="1:25">
      <c r="A1048" s="192">
        <f t="shared" si="26"/>
        <v>1040</v>
      </c>
      <c r="B1048" s="208">
        <v>2023</v>
      </c>
      <c r="C1048" s="193" t="s">
        <v>37</v>
      </c>
      <c r="D1048" s="277" t="s">
        <v>4416</v>
      </c>
      <c r="E1048" s="195" t="s">
        <v>4417</v>
      </c>
      <c r="F1048" s="196" t="s">
        <v>2073</v>
      </c>
      <c r="G1048" s="197" t="s">
        <v>3239</v>
      </c>
      <c r="H1048" s="198">
        <v>0.8</v>
      </c>
      <c r="I1048" s="199">
        <v>16000</v>
      </c>
      <c r="J1048" s="200" t="s">
        <v>2039</v>
      </c>
      <c r="K1048" s="200" t="s">
        <v>3899</v>
      </c>
      <c r="L1048" s="201">
        <v>0.4</v>
      </c>
      <c r="M1048" s="278" t="s">
        <v>2714</v>
      </c>
      <c r="N1048" s="205">
        <v>9333.44</v>
      </c>
      <c r="O1048" s="254">
        <v>9333.44</v>
      </c>
      <c r="P1048" s="205">
        <v>7466.76</v>
      </c>
      <c r="Q1048" s="205">
        <v>7466.76</v>
      </c>
      <c r="R1048" s="1262" t="s">
        <v>2556</v>
      </c>
      <c r="S1048" s="254">
        <v>3733.38</v>
      </c>
      <c r="T1048" s="204">
        <v>45075</v>
      </c>
      <c r="U1048" s="1262" t="s">
        <v>2228</v>
      </c>
      <c r="V1048" s="254">
        <v>1866.69</v>
      </c>
      <c r="W1048" s="1262" t="s">
        <v>3090</v>
      </c>
      <c r="X1048" s="206">
        <v>1866.69</v>
      </c>
      <c r="Y1048" s="192"/>
    </row>
    <row r="1049" ht="37.5" customHeight="1" spans="1:25">
      <c r="A1049" s="192">
        <f t="shared" si="26"/>
        <v>1041</v>
      </c>
      <c r="B1049" s="208">
        <v>2023</v>
      </c>
      <c r="C1049" s="193" t="s">
        <v>37</v>
      </c>
      <c r="D1049" s="277" t="s">
        <v>4366</v>
      </c>
      <c r="E1049" s="195" t="s">
        <v>4418</v>
      </c>
      <c r="F1049" s="196" t="s">
        <v>2073</v>
      </c>
      <c r="G1049" s="197" t="s">
        <v>3239</v>
      </c>
      <c r="H1049" s="198">
        <v>0.8</v>
      </c>
      <c r="I1049" s="199">
        <v>17713.62</v>
      </c>
      <c r="J1049" s="200" t="s">
        <v>1988</v>
      </c>
      <c r="K1049" s="200" t="s">
        <v>4419</v>
      </c>
      <c r="L1049" s="201">
        <v>0.4</v>
      </c>
      <c r="M1049" s="278" t="s">
        <v>2714</v>
      </c>
      <c r="N1049" s="205">
        <v>5000</v>
      </c>
      <c r="O1049" s="254">
        <v>5000</v>
      </c>
      <c r="P1049" s="205">
        <v>4000</v>
      </c>
      <c r="Q1049" s="205">
        <v>4000</v>
      </c>
      <c r="R1049" s="1262" t="s">
        <v>2556</v>
      </c>
      <c r="S1049" s="254">
        <v>2000</v>
      </c>
      <c r="T1049" s="204">
        <v>45075</v>
      </c>
      <c r="U1049" s="1262" t="s">
        <v>2228</v>
      </c>
      <c r="V1049" s="254">
        <v>1000</v>
      </c>
      <c r="W1049" s="1262" t="s">
        <v>3090</v>
      </c>
      <c r="X1049" s="206">
        <v>1000</v>
      </c>
      <c r="Y1049" s="192"/>
    </row>
    <row r="1050" ht="37.5" customHeight="1" spans="1:25">
      <c r="A1050" s="192">
        <f t="shared" si="26"/>
        <v>1042</v>
      </c>
      <c r="B1050" s="208">
        <v>2023</v>
      </c>
      <c r="C1050" s="193" t="s">
        <v>37</v>
      </c>
      <c r="D1050" s="277" t="s">
        <v>4420</v>
      </c>
      <c r="E1050" s="195" t="s">
        <v>4421</v>
      </c>
      <c r="F1050" s="196" t="s">
        <v>2073</v>
      </c>
      <c r="G1050" s="197" t="s">
        <v>3239</v>
      </c>
      <c r="H1050" s="198">
        <v>0.8</v>
      </c>
      <c r="I1050" s="199">
        <v>25500</v>
      </c>
      <c r="J1050" s="200" t="s">
        <v>1988</v>
      </c>
      <c r="K1050" s="200" t="s">
        <v>4419</v>
      </c>
      <c r="L1050" s="201">
        <v>0.4</v>
      </c>
      <c r="M1050" s="278" t="s">
        <v>4206</v>
      </c>
      <c r="N1050" s="205">
        <v>14875</v>
      </c>
      <c r="O1050" s="254">
        <v>14875</v>
      </c>
      <c r="P1050" s="205">
        <v>11900</v>
      </c>
      <c r="Q1050" s="205">
        <v>11900</v>
      </c>
      <c r="R1050" s="1262" t="s">
        <v>2556</v>
      </c>
      <c r="S1050" s="254">
        <v>5950</v>
      </c>
      <c r="T1050" s="204">
        <v>45075</v>
      </c>
      <c r="U1050" s="1262" t="s">
        <v>2228</v>
      </c>
      <c r="V1050" s="254">
        <v>2975</v>
      </c>
      <c r="W1050" s="1262" t="s">
        <v>3090</v>
      </c>
      <c r="X1050" s="206">
        <v>2975</v>
      </c>
      <c r="Y1050" s="192"/>
    </row>
    <row r="1051" ht="37.5" customHeight="1" spans="1:25">
      <c r="A1051" s="192">
        <f t="shared" si="26"/>
        <v>1043</v>
      </c>
      <c r="B1051" s="208">
        <v>2023</v>
      </c>
      <c r="C1051" s="193" t="s">
        <v>37</v>
      </c>
      <c r="D1051" s="277" t="s">
        <v>4422</v>
      </c>
      <c r="E1051" s="195" t="s">
        <v>4423</v>
      </c>
      <c r="F1051" s="196" t="s">
        <v>2073</v>
      </c>
      <c r="G1051" s="197" t="s">
        <v>3239</v>
      </c>
      <c r="H1051" s="198">
        <v>0.8</v>
      </c>
      <c r="I1051" s="199">
        <v>16292.85</v>
      </c>
      <c r="J1051" s="200" t="s">
        <v>2113</v>
      </c>
      <c r="K1051" s="200" t="s">
        <v>3559</v>
      </c>
      <c r="L1051" s="201">
        <v>0.4</v>
      </c>
      <c r="M1051" s="278" t="s">
        <v>4203</v>
      </c>
      <c r="N1051" s="205">
        <v>4000</v>
      </c>
      <c r="O1051" s="254">
        <v>4000</v>
      </c>
      <c r="P1051" s="205">
        <v>3200</v>
      </c>
      <c r="Q1051" s="205">
        <v>3200</v>
      </c>
      <c r="R1051" s="1262" t="s">
        <v>2556</v>
      </c>
      <c r="S1051" s="254">
        <v>1600</v>
      </c>
      <c r="T1051" s="204">
        <v>45075</v>
      </c>
      <c r="U1051" s="1262" t="s">
        <v>2228</v>
      </c>
      <c r="V1051" s="254">
        <v>800</v>
      </c>
      <c r="W1051" s="1262" t="s">
        <v>3090</v>
      </c>
      <c r="X1051" s="206">
        <v>800</v>
      </c>
      <c r="Y1051" s="192"/>
    </row>
    <row r="1052" ht="37.5" customHeight="1" spans="1:25">
      <c r="A1052" s="192">
        <f t="shared" si="26"/>
        <v>1044</v>
      </c>
      <c r="B1052" s="208">
        <v>2023</v>
      </c>
      <c r="C1052" s="193" t="s">
        <v>37</v>
      </c>
      <c r="D1052" s="277" t="s">
        <v>4385</v>
      </c>
      <c r="E1052" s="195" t="s">
        <v>4424</v>
      </c>
      <c r="F1052" s="196" t="s">
        <v>2073</v>
      </c>
      <c r="G1052" s="197" t="s">
        <v>3239</v>
      </c>
      <c r="H1052" s="198">
        <v>0.8</v>
      </c>
      <c r="I1052" s="199">
        <v>40000</v>
      </c>
      <c r="J1052" s="200" t="s">
        <v>2235</v>
      </c>
      <c r="K1052" s="200" t="s">
        <v>4425</v>
      </c>
      <c r="L1052" s="201">
        <v>0.4</v>
      </c>
      <c r="M1052" s="278" t="s">
        <v>4209</v>
      </c>
      <c r="N1052" s="205">
        <v>23333.35</v>
      </c>
      <c r="O1052" s="254">
        <v>23333.35</v>
      </c>
      <c r="P1052" s="205">
        <v>18666.68</v>
      </c>
      <c r="Q1052" s="205">
        <v>18666.68</v>
      </c>
      <c r="R1052" s="1262" t="s">
        <v>2556</v>
      </c>
      <c r="S1052" s="254">
        <v>9333.34</v>
      </c>
      <c r="T1052" s="204">
        <v>45075</v>
      </c>
      <c r="U1052" s="1262" t="s">
        <v>2228</v>
      </c>
      <c r="V1052" s="254">
        <v>4666.67</v>
      </c>
      <c r="W1052" s="1262" t="s">
        <v>3090</v>
      </c>
      <c r="X1052" s="206">
        <v>4666.67</v>
      </c>
      <c r="Y1052" s="192"/>
    </row>
    <row r="1053" ht="37.5" customHeight="1" spans="1:25">
      <c r="A1053" s="192">
        <f t="shared" si="26"/>
        <v>1045</v>
      </c>
      <c r="B1053" s="208">
        <v>2023</v>
      </c>
      <c r="C1053" s="193" t="s">
        <v>37</v>
      </c>
      <c r="D1053" s="277" t="s">
        <v>4426</v>
      </c>
      <c r="E1053" s="195" t="s">
        <v>4427</v>
      </c>
      <c r="F1053" s="196" t="s">
        <v>2073</v>
      </c>
      <c r="G1053" s="197" t="s">
        <v>3239</v>
      </c>
      <c r="H1053" s="198">
        <v>0.8</v>
      </c>
      <c r="I1053" s="199">
        <v>51000</v>
      </c>
      <c r="J1053" s="200" t="s">
        <v>2197</v>
      </c>
      <c r="K1053" s="200" t="s">
        <v>3909</v>
      </c>
      <c r="L1053" s="201">
        <v>0.4</v>
      </c>
      <c r="M1053" s="278" t="s">
        <v>4203</v>
      </c>
      <c r="N1053" s="205">
        <v>27363.64</v>
      </c>
      <c r="O1053" s="254">
        <v>27363.64</v>
      </c>
      <c r="P1053" s="205">
        <v>21890.91</v>
      </c>
      <c r="Q1053" s="205">
        <v>21890.91</v>
      </c>
      <c r="R1053" s="1262" t="s">
        <v>2556</v>
      </c>
      <c r="S1053" s="254">
        <v>10945.46</v>
      </c>
      <c r="T1053" s="204">
        <v>45075</v>
      </c>
      <c r="U1053" s="1262" t="s">
        <v>2228</v>
      </c>
      <c r="V1053" s="254">
        <v>5472.73</v>
      </c>
      <c r="W1053" s="1262" t="s">
        <v>3090</v>
      </c>
      <c r="X1053" s="206">
        <v>5472.73</v>
      </c>
      <c r="Y1053" s="192"/>
    </row>
    <row r="1054" ht="37.5" customHeight="1" spans="1:25">
      <c r="A1054" s="192">
        <f t="shared" ref="A1054:A1117" si="27">ROW()-8</f>
        <v>1046</v>
      </c>
      <c r="B1054" s="208">
        <v>2023</v>
      </c>
      <c r="C1054" s="193" t="s">
        <v>37</v>
      </c>
      <c r="D1054" s="277" t="s">
        <v>4383</v>
      </c>
      <c r="E1054" s="195" t="s">
        <v>4428</v>
      </c>
      <c r="F1054" s="196" t="s">
        <v>2073</v>
      </c>
      <c r="G1054" s="197" t="s">
        <v>3239</v>
      </c>
      <c r="H1054" s="198">
        <v>0.8</v>
      </c>
      <c r="I1054" s="199">
        <v>12276</v>
      </c>
      <c r="J1054" s="200" t="s">
        <v>2034</v>
      </c>
      <c r="K1054" s="200" t="s">
        <v>3546</v>
      </c>
      <c r="L1054" s="201">
        <v>0.4</v>
      </c>
      <c r="M1054" s="278" t="s">
        <v>2714</v>
      </c>
      <c r="N1054" s="205">
        <v>6650.68</v>
      </c>
      <c r="O1054" s="254">
        <v>6650.68</v>
      </c>
      <c r="P1054" s="205">
        <v>5320.54</v>
      </c>
      <c r="Q1054" s="205">
        <v>5320.54</v>
      </c>
      <c r="R1054" s="1262" t="s">
        <v>2556</v>
      </c>
      <c r="S1054" s="254">
        <v>2660.27</v>
      </c>
      <c r="T1054" s="204">
        <v>45075</v>
      </c>
      <c r="U1054" s="1262" t="s">
        <v>2228</v>
      </c>
      <c r="V1054" s="254">
        <v>1330.14</v>
      </c>
      <c r="W1054" s="1262" t="s">
        <v>3090</v>
      </c>
      <c r="X1054" s="206">
        <v>1330.14</v>
      </c>
      <c r="Y1054" s="192"/>
    </row>
    <row r="1055" ht="37.5" customHeight="1" spans="1:25">
      <c r="A1055" s="192">
        <f t="shared" si="27"/>
        <v>1047</v>
      </c>
      <c r="B1055" s="208">
        <v>2023</v>
      </c>
      <c r="C1055" s="193" t="s">
        <v>37</v>
      </c>
      <c r="D1055" s="277" t="s">
        <v>4429</v>
      </c>
      <c r="E1055" s="195" t="s">
        <v>4430</v>
      </c>
      <c r="F1055" s="196" t="s">
        <v>2073</v>
      </c>
      <c r="G1055" s="197" t="s">
        <v>3239</v>
      </c>
      <c r="H1055" s="198">
        <v>0.8</v>
      </c>
      <c r="I1055" s="199">
        <v>100000</v>
      </c>
      <c r="J1055" s="200" t="s">
        <v>2178</v>
      </c>
      <c r="K1055" s="200" t="s">
        <v>4059</v>
      </c>
      <c r="L1055" s="201">
        <v>0.4</v>
      </c>
      <c r="M1055" s="278" t="s">
        <v>3947</v>
      </c>
      <c r="N1055" s="205">
        <v>79166.7</v>
      </c>
      <c r="O1055" s="254">
        <v>79166.7</v>
      </c>
      <c r="P1055" s="205">
        <v>63333.36</v>
      </c>
      <c r="Q1055" s="205">
        <v>63333.36</v>
      </c>
      <c r="R1055" s="1262" t="s">
        <v>2556</v>
      </c>
      <c r="S1055" s="254">
        <v>31666.68</v>
      </c>
      <c r="T1055" s="204">
        <v>45075</v>
      </c>
      <c r="U1055" s="1262" t="s">
        <v>2228</v>
      </c>
      <c r="V1055" s="254">
        <v>15833.34</v>
      </c>
      <c r="W1055" s="1262" t="s">
        <v>3090</v>
      </c>
      <c r="X1055" s="206">
        <v>15833.34</v>
      </c>
      <c r="Y1055" s="192"/>
    </row>
    <row r="1056" ht="37.5" customHeight="1" spans="1:25">
      <c r="A1056" s="192">
        <f t="shared" si="27"/>
        <v>1048</v>
      </c>
      <c r="B1056" s="208">
        <v>2023</v>
      </c>
      <c r="C1056" s="193" t="s">
        <v>37</v>
      </c>
      <c r="D1056" s="277" t="s">
        <v>4431</v>
      </c>
      <c r="E1056" s="195" t="s">
        <v>4432</v>
      </c>
      <c r="F1056" s="196" t="s">
        <v>2073</v>
      </c>
      <c r="G1056" s="197" t="s">
        <v>3239</v>
      </c>
      <c r="H1056" s="198">
        <v>0.8</v>
      </c>
      <c r="I1056" s="199">
        <v>12683.28</v>
      </c>
      <c r="J1056" s="200" t="s">
        <v>2054</v>
      </c>
      <c r="K1056" s="200" t="s">
        <v>4433</v>
      </c>
      <c r="L1056" s="201">
        <v>0.4</v>
      </c>
      <c r="M1056" s="278" t="s">
        <v>4376</v>
      </c>
      <c r="N1056" s="205">
        <v>1166.7</v>
      </c>
      <c r="O1056" s="254">
        <v>1166.7</v>
      </c>
      <c r="P1056" s="205">
        <v>933.36</v>
      </c>
      <c r="Q1056" s="205">
        <v>933.36</v>
      </c>
      <c r="R1056" s="1262" t="s">
        <v>2556</v>
      </c>
      <c r="S1056" s="254">
        <v>466.68</v>
      </c>
      <c r="T1056" s="204">
        <v>45075</v>
      </c>
      <c r="U1056" s="1262" t="s">
        <v>2228</v>
      </c>
      <c r="V1056" s="254">
        <v>233.34</v>
      </c>
      <c r="W1056" s="1262" t="s">
        <v>3090</v>
      </c>
      <c r="X1056" s="206">
        <v>233.34</v>
      </c>
      <c r="Y1056" s="192"/>
    </row>
    <row r="1057" ht="37.5" customHeight="1" spans="1:25">
      <c r="A1057" s="192">
        <f t="shared" si="27"/>
        <v>1049</v>
      </c>
      <c r="B1057" s="208">
        <v>2023</v>
      </c>
      <c r="C1057" s="193" t="s">
        <v>37</v>
      </c>
      <c r="D1057" s="277" t="s">
        <v>4256</v>
      </c>
      <c r="E1057" s="195" t="s">
        <v>4434</v>
      </c>
      <c r="F1057" s="196" t="s">
        <v>2073</v>
      </c>
      <c r="G1057" s="197" t="s">
        <v>3239</v>
      </c>
      <c r="H1057" s="198">
        <v>0.8</v>
      </c>
      <c r="I1057" s="199">
        <v>29790</v>
      </c>
      <c r="J1057" s="200" t="s">
        <v>2659</v>
      </c>
      <c r="K1057" s="200" t="s">
        <v>4435</v>
      </c>
      <c r="L1057" s="201">
        <v>0.4</v>
      </c>
      <c r="M1057" s="278" t="s">
        <v>4161</v>
      </c>
      <c r="N1057" s="205">
        <v>17377.5</v>
      </c>
      <c r="O1057" s="254">
        <v>17377.5</v>
      </c>
      <c r="P1057" s="205">
        <v>13902</v>
      </c>
      <c r="Q1057" s="205">
        <v>13902</v>
      </c>
      <c r="R1057" s="1262" t="s">
        <v>2556</v>
      </c>
      <c r="S1057" s="254">
        <v>6951</v>
      </c>
      <c r="T1057" s="204">
        <v>45075</v>
      </c>
      <c r="U1057" s="1262" t="s">
        <v>2228</v>
      </c>
      <c r="V1057" s="254">
        <v>3475.5</v>
      </c>
      <c r="W1057" s="1262" t="s">
        <v>3090</v>
      </c>
      <c r="X1057" s="206">
        <v>3475.5</v>
      </c>
      <c r="Y1057" s="192"/>
    </row>
    <row r="1058" ht="37.5" customHeight="1" spans="1:25">
      <c r="A1058" s="192">
        <f t="shared" si="27"/>
        <v>1050</v>
      </c>
      <c r="B1058" s="208">
        <v>2023</v>
      </c>
      <c r="C1058" s="193" t="s">
        <v>37</v>
      </c>
      <c r="D1058" s="277" t="s">
        <v>4436</v>
      </c>
      <c r="E1058" s="195" t="s">
        <v>4437</v>
      </c>
      <c r="F1058" s="196" t="s">
        <v>2073</v>
      </c>
      <c r="G1058" s="197" t="s">
        <v>3239</v>
      </c>
      <c r="H1058" s="198">
        <v>0.8</v>
      </c>
      <c r="I1058" s="199">
        <v>55800</v>
      </c>
      <c r="J1058" s="200" t="s">
        <v>2011</v>
      </c>
      <c r="K1058" s="200" t="s">
        <v>4438</v>
      </c>
      <c r="L1058" s="201">
        <v>0.4</v>
      </c>
      <c r="M1058" s="278" t="s">
        <v>4203</v>
      </c>
      <c r="N1058" s="205">
        <v>41850.03</v>
      </c>
      <c r="O1058" s="254">
        <v>41850.03</v>
      </c>
      <c r="P1058" s="205">
        <v>33480.03</v>
      </c>
      <c r="Q1058" s="205">
        <v>33480.03</v>
      </c>
      <c r="R1058" s="1262" t="s">
        <v>2556</v>
      </c>
      <c r="S1058" s="254">
        <v>16740.01</v>
      </c>
      <c r="T1058" s="204">
        <v>45075</v>
      </c>
      <c r="U1058" s="1262" t="s">
        <v>2228</v>
      </c>
      <c r="V1058" s="254">
        <v>8370.01</v>
      </c>
      <c r="W1058" s="1262" t="s">
        <v>3090</v>
      </c>
      <c r="X1058" s="206">
        <v>8370.01</v>
      </c>
      <c r="Y1058" s="192"/>
    </row>
    <row r="1059" ht="37.5" customHeight="1" spans="1:25">
      <c r="A1059" s="192">
        <f t="shared" si="27"/>
        <v>1051</v>
      </c>
      <c r="B1059" s="208">
        <v>2023</v>
      </c>
      <c r="C1059" s="193" t="s">
        <v>37</v>
      </c>
      <c r="D1059" s="277" t="s">
        <v>4439</v>
      </c>
      <c r="E1059" s="195" t="s">
        <v>4440</v>
      </c>
      <c r="F1059" s="196" t="s">
        <v>2073</v>
      </c>
      <c r="G1059" s="197" t="s">
        <v>3239</v>
      </c>
      <c r="H1059" s="198">
        <v>0.8</v>
      </c>
      <c r="I1059" s="199">
        <v>14483.3</v>
      </c>
      <c r="J1059" s="200" t="s">
        <v>2585</v>
      </c>
      <c r="K1059" s="200" t="s">
        <v>4441</v>
      </c>
      <c r="L1059" s="201">
        <v>0.4</v>
      </c>
      <c r="M1059" s="278" t="s">
        <v>4442</v>
      </c>
      <c r="N1059" s="205">
        <v>3133.35</v>
      </c>
      <c r="O1059" s="254">
        <v>3133.35</v>
      </c>
      <c r="P1059" s="205">
        <v>2506.68</v>
      </c>
      <c r="Q1059" s="205">
        <v>2506.68</v>
      </c>
      <c r="R1059" s="1262" t="s">
        <v>2556</v>
      </c>
      <c r="S1059" s="254">
        <v>1253.34</v>
      </c>
      <c r="T1059" s="204">
        <v>45075</v>
      </c>
      <c r="U1059" s="1262" t="s">
        <v>2228</v>
      </c>
      <c r="V1059" s="254">
        <v>626.67</v>
      </c>
      <c r="W1059" s="1262" t="s">
        <v>3090</v>
      </c>
      <c r="X1059" s="206">
        <v>626.67</v>
      </c>
      <c r="Y1059" s="192"/>
    </row>
    <row r="1060" ht="37.5" customHeight="1" spans="1:25">
      <c r="A1060" s="192">
        <f t="shared" si="27"/>
        <v>1052</v>
      </c>
      <c r="B1060" s="208">
        <v>2023</v>
      </c>
      <c r="C1060" s="193" t="s">
        <v>37</v>
      </c>
      <c r="D1060" s="277" t="s">
        <v>4321</v>
      </c>
      <c r="E1060" s="195" t="s">
        <v>4443</v>
      </c>
      <c r="F1060" s="196" t="s">
        <v>2073</v>
      </c>
      <c r="G1060" s="197" t="s">
        <v>3239</v>
      </c>
      <c r="H1060" s="198">
        <v>0.8</v>
      </c>
      <c r="I1060" s="199">
        <v>10707.11</v>
      </c>
      <c r="J1060" s="200" t="s">
        <v>2542</v>
      </c>
      <c r="K1060" s="200" t="s">
        <v>4444</v>
      </c>
      <c r="L1060" s="201">
        <v>0.4</v>
      </c>
      <c r="M1060" s="278" t="s">
        <v>2714</v>
      </c>
      <c r="N1060" s="205">
        <v>6666.68</v>
      </c>
      <c r="O1060" s="254">
        <v>6666.68</v>
      </c>
      <c r="P1060" s="205">
        <v>5333.34</v>
      </c>
      <c r="Q1060" s="205">
        <v>5333.34</v>
      </c>
      <c r="R1060" s="1262" t="s">
        <v>2556</v>
      </c>
      <c r="S1060" s="254">
        <v>2666.67</v>
      </c>
      <c r="T1060" s="204">
        <v>45075</v>
      </c>
      <c r="U1060" s="1262" t="s">
        <v>2228</v>
      </c>
      <c r="V1060" s="254">
        <v>1333.34</v>
      </c>
      <c r="W1060" s="1262" t="s">
        <v>3090</v>
      </c>
      <c r="X1060" s="206">
        <v>1333.34</v>
      </c>
      <c r="Y1060" s="192"/>
    </row>
    <row r="1061" ht="37.5" customHeight="1" spans="1:25">
      <c r="A1061" s="192">
        <f t="shared" si="27"/>
        <v>1053</v>
      </c>
      <c r="B1061" s="208">
        <v>2023</v>
      </c>
      <c r="C1061" s="193" t="s">
        <v>37</v>
      </c>
      <c r="D1061" s="277" t="s">
        <v>4366</v>
      </c>
      <c r="E1061" s="195" t="s">
        <v>4445</v>
      </c>
      <c r="F1061" s="196" t="s">
        <v>2073</v>
      </c>
      <c r="G1061" s="197" t="s">
        <v>3239</v>
      </c>
      <c r="H1061" s="198">
        <v>0.8</v>
      </c>
      <c r="I1061" s="199">
        <v>33086</v>
      </c>
      <c r="J1061" s="200" t="s">
        <v>2457</v>
      </c>
      <c r="K1061" s="200" t="s">
        <v>4446</v>
      </c>
      <c r="L1061" s="201">
        <v>0.4</v>
      </c>
      <c r="M1061" s="278" t="s">
        <v>4232</v>
      </c>
      <c r="N1061" s="205">
        <v>26655.04</v>
      </c>
      <c r="O1061" s="254">
        <v>26655.04</v>
      </c>
      <c r="P1061" s="205">
        <v>21324.03</v>
      </c>
      <c r="Q1061" s="205">
        <v>21324.03</v>
      </c>
      <c r="R1061" s="1262" t="s">
        <v>2556</v>
      </c>
      <c r="S1061" s="254">
        <v>10662.02</v>
      </c>
      <c r="T1061" s="204">
        <v>45075</v>
      </c>
      <c r="U1061" s="1262" t="s">
        <v>2228</v>
      </c>
      <c r="V1061" s="254">
        <v>5331.01</v>
      </c>
      <c r="W1061" s="1262" t="s">
        <v>3090</v>
      </c>
      <c r="X1061" s="206">
        <v>5331.01</v>
      </c>
      <c r="Y1061" s="192"/>
    </row>
    <row r="1062" ht="37.5" customHeight="1" spans="1:25">
      <c r="A1062" s="192">
        <f t="shared" si="27"/>
        <v>1054</v>
      </c>
      <c r="B1062" s="208">
        <v>2023</v>
      </c>
      <c r="C1062" s="193" t="s">
        <v>37</v>
      </c>
      <c r="D1062" s="277" t="s">
        <v>4447</v>
      </c>
      <c r="E1062" s="195" t="s">
        <v>4448</v>
      </c>
      <c r="F1062" s="196" t="s">
        <v>2073</v>
      </c>
      <c r="G1062" s="197" t="s">
        <v>3239</v>
      </c>
      <c r="H1062" s="198">
        <v>0.8</v>
      </c>
      <c r="I1062" s="199">
        <v>15000</v>
      </c>
      <c r="J1062" s="200" t="s">
        <v>2457</v>
      </c>
      <c r="K1062" s="200" t="s">
        <v>4446</v>
      </c>
      <c r="L1062" s="201">
        <v>0.4</v>
      </c>
      <c r="M1062" s="278" t="s">
        <v>2897</v>
      </c>
      <c r="N1062" s="205">
        <v>11250</v>
      </c>
      <c r="O1062" s="254">
        <v>11250</v>
      </c>
      <c r="P1062" s="205">
        <v>9000</v>
      </c>
      <c r="Q1062" s="205">
        <v>9000</v>
      </c>
      <c r="R1062" s="1262" t="s">
        <v>2556</v>
      </c>
      <c r="S1062" s="254">
        <v>4500</v>
      </c>
      <c r="T1062" s="204">
        <v>45075</v>
      </c>
      <c r="U1062" s="1262" t="s">
        <v>2228</v>
      </c>
      <c r="V1062" s="254">
        <v>2250</v>
      </c>
      <c r="W1062" s="1262" t="s">
        <v>3090</v>
      </c>
      <c r="X1062" s="206">
        <v>2250</v>
      </c>
      <c r="Y1062" s="192"/>
    </row>
    <row r="1063" ht="37.5" customHeight="1" spans="1:25">
      <c r="A1063" s="192">
        <f t="shared" si="27"/>
        <v>1055</v>
      </c>
      <c r="B1063" s="208">
        <v>2023</v>
      </c>
      <c r="C1063" s="193" t="s">
        <v>37</v>
      </c>
      <c r="D1063" s="277" t="s">
        <v>4420</v>
      </c>
      <c r="E1063" s="195" t="s">
        <v>4449</v>
      </c>
      <c r="F1063" s="196" t="s">
        <v>2073</v>
      </c>
      <c r="G1063" s="197" t="s">
        <v>3239</v>
      </c>
      <c r="H1063" s="198">
        <v>0.8</v>
      </c>
      <c r="I1063" s="199">
        <v>36000</v>
      </c>
      <c r="J1063" s="200" t="s">
        <v>2457</v>
      </c>
      <c r="K1063" s="200" t="s">
        <v>4446</v>
      </c>
      <c r="L1063" s="201">
        <v>0.4</v>
      </c>
      <c r="M1063" s="278" t="s">
        <v>4206</v>
      </c>
      <c r="N1063" s="205">
        <v>27000.03</v>
      </c>
      <c r="O1063" s="254">
        <v>27000.03</v>
      </c>
      <c r="P1063" s="205">
        <v>21600.03</v>
      </c>
      <c r="Q1063" s="205">
        <v>21600.03</v>
      </c>
      <c r="R1063" s="1262" t="s">
        <v>2556</v>
      </c>
      <c r="S1063" s="254">
        <v>10800.01</v>
      </c>
      <c r="T1063" s="204">
        <v>45075</v>
      </c>
      <c r="U1063" s="1262" t="s">
        <v>2228</v>
      </c>
      <c r="V1063" s="254">
        <v>5400.01</v>
      </c>
      <c r="W1063" s="1262" t="s">
        <v>3090</v>
      </c>
      <c r="X1063" s="206">
        <v>5400.01</v>
      </c>
      <c r="Y1063" s="192"/>
    </row>
    <row r="1064" ht="37.5" customHeight="1" spans="1:25">
      <c r="A1064" s="192">
        <f t="shared" si="27"/>
        <v>1056</v>
      </c>
      <c r="B1064" s="208">
        <v>2023</v>
      </c>
      <c r="C1064" s="193" t="s">
        <v>37</v>
      </c>
      <c r="D1064" s="277" t="s">
        <v>4450</v>
      </c>
      <c r="E1064" s="195" t="s">
        <v>4451</v>
      </c>
      <c r="F1064" s="196" t="s">
        <v>2073</v>
      </c>
      <c r="G1064" s="197" t="s">
        <v>3239</v>
      </c>
      <c r="H1064" s="198">
        <v>0.8</v>
      </c>
      <c r="I1064" s="199">
        <v>12000</v>
      </c>
      <c r="J1064" s="200" t="s">
        <v>2634</v>
      </c>
      <c r="K1064" s="200" t="s">
        <v>3573</v>
      </c>
      <c r="L1064" s="201">
        <v>0.4</v>
      </c>
      <c r="M1064" s="278" t="s">
        <v>4245</v>
      </c>
      <c r="N1064" s="205">
        <v>9000</v>
      </c>
      <c r="O1064" s="254">
        <v>9000</v>
      </c>
      <c r="P1064" s="205">
        <v>7200</v>
      </c>
      <c r="Q1064" s="205">
        <v>7200</v>
      </c>
      <c r="R1064" s="1262" t="s">
        <v>2556</v>
      </c>
      <c r="S1064" s="254">
        <v>3600</v>
      </c>
      <c r="T1064" s="204">
        <v>45075</v>
      </c>
      <c r="U1064" s="1262" t="s">
        <v>2228</v>
      </c>
      <c r="V1064" s="254">
        <v>1800</v>
      </c>
      <c r="W1064" s="1262" t="s">
        <v>3090</v>
      </c>
      <c r="X1064" s="206">
        <v>1800</v>
      </c>
      <c r="Y1064" s="192"/>
    </row>
    <row r="1065" ht="37.5" customHeight="1" spans="1:25">
      <c r="A1065" s="192">
        <f t="shared" si="27"/>
        <v>1057</v>
      </c>
      <c r="B1065" s="208">
        <v>2023</v>
      </c>
      <c r="C1065" s="193" t="s">
        <v>37</v>
      </c>
      <c r="D1065" s="277" t="s">
        <v>4411</v>
      </c>
      <c r="E1065" s="195" t="s">
        <v>4452</v>
      </c>
      <c r="F1065" s="196" t="s">
        <v>2073</v>
      </c>
      <c r="G1065" s="197" t="s">
        <v>3239</v>
      </c>
      <c r="H1065" s="198">
        <v>0.8</v>
      </c>
      <c r="I1065" s="199">
        <v>24000</v>
      </c>
      <c r="J1065" s="200" t="s">
        <v>2466</v>
      </c>
      <c r="K1065" s="200" t="s">
        <v>4067</v>
      </c>
      <c r="L1065" s="201">
        <v>0.4</v>
      </c>
      <c r="M1065" s="278" t="s">
        <v>4209</v>
      </c>
      <c r="N1065" s="205">
        <v>18000</v>
      </c>
      <c r="O1065" s="254">
        <v>18000</v>
      </c>
      <c r="P1065" s="205">
        <v>14400</v>
      </c>
      <c r="Q1065" s="205">
        <v>14400</v>
      </c>
      <c r="R1065" s="1262" t="s">
        <v>2556</v>
      </c>
      <c r="S1065" s="254">
        <v>7200</v>
      </c>
      <c r="T1065" s="204">
        <v>45075</v>
      </c>
      <c r="U1065" s="1262" t="s">
        <v>2228</v>
      </c>
      <c r="V1065" s="254">
        <v>3600</v>
      </c>
      <c r="W1065" s="1262" t="s">
        <v>3090</v>
      </c>
      <c r="X1065" s="206">
        <v>3600</v>
      </c>
      <c r="Y1065" s="192"/>
    </row>
    <row r="1066" ht="37.5" customHeight="1" spans="1:25">
      <c r="A1066" s="192">
        <f t="shared" si="27"/>
        <v>1058</v>
      </c>
      <c r="B1066" s="208">
        <v>2023</v>
      </c>
      <c r="C1066" s="193" t="s">
        <v>37</v>
      </c>
      <c r="D1066" s="277" t="s">
        <v>4453</v>
      </c>
      <c r="E1066" s="195" t="s">
        <v>4454</v>
      </c>
      <c r="F1066" s="196" t="s">
        <v>2073</v>
      </c>
      <c r="G1066" s="197" t="s">
        <v>3239</v>
      </c>
      <c r="H1066" s="198">
        <v>0.8</v>
      </c>
      <c r="I1066" s="199">
        <v>19439.28</v>
      </c>
      <c r="J1066" s="200" t="s">
        <v>2200</v>
      </c>
      <c r="K1066" s="200" t="s">
        <v>3702</v>
      </c>
      <c r="L1066" s="201">
        <v>0.4</v>
      </c>
      <c r="M1066" s="278" t="s">
        <v>4039</v>
      </c>
      <c r="N1066" s="205">
        <v>7500.04</v>
      </c>
      <c r="O1066" s="254">
        <v>7500.04</v>
      </c>
      <c r="P1066" s="205">
        <v>6000.04</v>
      </c>
      <c r="Q1066" s="205">
        <v>6000.04</v>
      </c>
      <c r="R1066" s="1262" t="s">
        <v>2556</v>
      </c>
      <c r="S1066" s="254">
        <v>3000.02</v>
      </c>
      <c r="T1066" s="204">
        <v>45075</v>
      </c>
      <c r="U1066" s="1262" t="s">
        <v>2228</v>
      </c>
      <c r="V1066" s="254">
        <v>1500.01</v>
      </c>
      <c r="W1066" s="1262" t="s">
        <v>3090</v>
      </c>
      <c r="X1066" s="206">
        <v>1500.01</v>
      </c>
      <c r="Y1066" s="192"/>
    </row>
    <row r="1067" ht="37.5" customHeight="1" spans="1:25">
      <c r="A1067" s="192">
        <f t="shared" si="27"/>
        <v>1059</v>
      </c>
      <c r="B1067" s="208">
        <v>2023</v>
      </c>
      <c r="C1067" s="193" t="s">
        <v>37</v>
      </c>
      <c r="D1067" s="277" t="s">
        <v>4327</v>
      </c>
      <c r="E1067" s="195" t="s">
        <v>4455</v>
      </c>
      <c r="F1067" s="196" t="s">
        <v>2073</v>
      </c>
      <c r="G1067" s="197" t="s">
        <v>3239</v>
      </c>
      <c r="H1067" s="198">
        <v>0.8</v>
      </c>
      <c r="I1067" s="199">
        <v>13146.43</v>
      </c>
      <c r="J1067" s="200" t="s">
        <v>2011</v>
      </c>
      <c r="K1067" s="200" t="s">
        <v>4438</v>
      </c>
      <c r="L1067" s="201">
        <v>0.4</v>
      </c>
      <c r="M1067" s="278" t="s">
        <v>2896</v>
      </c>
      <c r="N1067" s="205">
        <v>6666.68</v>
      </c>
      <c r="O1067" s="254">
        <v>6666.68</v>
      </c>
      <c r="P1067" s="205">
        <v>5333.34</v>
      </c>
      <c r="Q1067" s="205">
        <v>5333.34</v>
      </c>
      <c r="R1067" s="1262" t="s">
        <v>2556</v>
      </c>
      <c r="S1067" s="254">
        <v>2666.67</v>
      </c>
      <c r="T1067" s="204">
        <v>45075</v>
      </c>
      <c r="U1067" s="1262" t="s">
        <v>2228</v>
      </c>
      <c r="V1067" s="254">
        <v>1333.34</v>
      </c>
      <c r="W1067" s="1262" t="s">
        <v>3090</v>
      </c>
      <c r="X1067" s="206">
        <v>1333.34</v>
      </c>
      <c r="Y1067" s="192"/>
    </row>
    <row r="1068" ht="37.5" customHeight="1" spans="1:25">
      <c r="A1068" s="192">
        <f t="shared" si="27"/>
        <v>1060</v>
      </c>
      <c r="B1068" s="208">
        <v>2023</v>
      </c>
      <c r="C1068" s="193" t="s">
        <v>37</v>
      </c>
      <c r="D1068" s="277" t="s">
        <v>4416</v>
      </c>
      <c r="E1068" s="195" t="s">
        <v>4456</v>
      </c>
      <c r="F1068" s="196" t="s">
        <v>2073</v>
      </c>
      <c r="G1068" s="197" t="s">
        <v>3239</v>
      </c>
      <c r="H1068" s="198">
        <v>0.8</v>
      </c>
      <c r="I1068" s="199">
        <v>10447.21</v>
      </c>
      <c r="J1068" s="200" t="s">
        <v>2512</v>
      </c>
      <c r="K1068" s="200" t="s">
        <v>4457</v>
      </c>
      <c r="L1068" s="201">
        <v>0.4</v>
      </c>
      <c r="M1068" s="278" t="s">
        <v>2714</v>
      </c>
      <c r="N1068" s="205">
        <v>1665.84</v>
      </c>
      <c r="O1068" s="254">
        <v>1665.84</v>
      </c>
      <c r="P1068" s="205">
        <v>1332.67</v>
      </c>
      <c r="Q1068" s="205">
        <v>1332.67</v>
      </c>
      <c r="R1068" s="1262" t="s">
        <v>2556</v>
      </c>
      <c r="S1068" s="254">
        <v>666.34</v>
      </c>
      <c r="T1068" s="204">
        <v>45075</v>
      </c>
      <c r="U1068" s="1262" t="s">
        <v>2228</v>
      </c>
      <c r="V1068" s="254">
        <v>333.17</v>
      </c>
      <c r="W1068" s="1262" t="s">
        <v>3090</v>
      </c>
      <c r="X1068" s="206">
        <v>333.17</v>
      </c>
      <c r="Y1068" s="192"/>
    </row>
    <row r="1069" ht="37.5" customHeight="1" spans="1:25">
      <c r="A1069" s="192">
        <f t="shared" si="27"/>
        <v>1061</v>
      </c>
      <c r="B1069" s="208">
        <v>2023</v>
      </c>
      <c r="C1069" s="193" t="s">
        <v>37</v>
      </c>
      <c r="D1069" s="277" t="s">
        <v>4458</v>
      </c>
      <c r="E1069" s="195" t="s">
        <v>4459</v>
      </c>
      <c r="F1069" s="196" t="s">
        <v>2073</v>
      </c>
      <c r="G1069" s="197" t="s">
        <v>3239</v>
      </c>
      <c r="H1069" s="198">
        <v>0.8</v>
      </c>
      <c r="I1069" s="199">
        <v>11643.17</v>
      </c>
      <c r="J1069" s="200" t="s">
        <v>2533</v>
      </c>
      <c r="K1069" s="200" t="s">
        <v>4460</v>
      </c>
      <c r="L1069" s="201">
        <v>0.4</v>
      </c>
      <c r="M1069" s="278" t="s">
        <v>4203</v>
      </c>
      <c r="N1069" s="205">
        <v>1500.02</v>
      </c>
      <c r="O1069" s="254">
        <v>1500.02</v>
      </c>
      <c r="P1069" s="205">
        <v>1200.02</v>
      </c>
      <c r="Q1069" s="205">
        <v>1200.02</v>
      </c>
      <c r="R1069" s="1262" t="s">
        <v>2556</v>
      </c>
      <c r="S1069" s="254">
        <v>600.01</v>
      </c>
      <c r="T1069" s="204">
        <v>45075</v>
      </c>
      <c r="U1069" s="1262" t="s">
        <v>2228</v>
      </c>
      <c r="V1069" s="254">
        <v>300</v>
      </c>
      <c r="W1069" s="1262" t="s">
        <v>3090</v>
      </c>
      <c r="X1069" s="206">
        <v>300</v>
      </c>
      <c r="Y1069" s="192"/>
    </row>
    <row r="1070" ht="37.5" customHeight="1" spans="1:25">
      <c r="A1070" s="192">
        <f t="shared" si="27"/>
        <v>1062</v>
      </c>
      <c r="B1070" s="208">
        <v>2023</v>
      </c>
      <c r="C1070" s="193" t="s">
        <v>37</v>
      </c>
      <c r="D1070" s="277" t="s">
        <v>4256</v>
      </c>
      <c r="E1070" s="195" t="s">
        <v>4461</v>
      </c>
      <c r="F1070" s="196" t="s">
        <v>2073</v>
      </c>
      <c r="G1070" s="197" t="s">
        <v>3239</v>
      </c>
      <c r="H1070" s="198">
        <v>0.8</v>
      </c>
      <c r="I1070" s="199">
        <v>32500</v>
      </c>
      <c r="J1070" s="200" t="s">
        <v>2466</v>
      </c>
      <c r="K1070" s="200" t="s">
        <v>4067</v>
      </c>
      <c r="L1070" s="201">
        <v>0.4</v>
      </c>
      <c r="M1070" s="278" t="s">
        <v>4161</v>
      </c>
      <c r="N1070" s="205">
        <v>24375.04</v>
      </c>
      <c r="O1070" s="254">
        <v>24375.04</v>
      </c>
      <c r="P1070" s="205">
        <v>19500.04</v>
      </c>
      <c r="Q1070" s="205">
        <v>19500.04</v>
      </c>
      <c r="R1070" s="1262" t="s">
        <v>2556</v>
      </c>
      <c r="S1070" s="254">
        <v>9750.02</v>
      </c>
      <c r="T1070" s="204">
        <v>45075</v>
      </c>
      <c r="U1070" s="1262" t="s">
        <v>2228</v>
      </c>
      <c r="V1070" s="254">
        <v>4875.01</v>
      </c>
      <c r="W1070" s="1262" t="s">
        <v>3090</v>
      </c>
      <c r="X1070" s="206">
        <v>4875.01</v>
      </c>
      <c r="Y1070" s="192"/>
    </row>
    <row r="1071" ht="37.5" customHeight="1" spans="1:25">
      <c r="A1071" s="192">
        <f t="shared" si="27"/>
        <v>1063</v>
      </c>
      <c r="B1071" s="208">
        <v>2023</v>
      </c>
      <c r="C1071" s="193" t="s">
        <v>37</v>
      </c>
      <c r="D1071" s="277" t="s">
        <v>4329</v>
      </c>
      <c r="E1071" s="195" t="s">
        <v>4462</v>
      </c>
      <c r="F1071" s="196" t="s">
        <v>2073</v>
      </c>
      <c r="G1071" s="197" t="s">
        <v>3239</v>
      </c>
      <c r="H1071" s="198">
        <v>0.8</v>
      </c>
      <c r="I1071" s="199">
        <v>20000</v>
      </c>
      <c r="J1071" s="200" t="s">
        <v>2466</v>
      </c>
      <c r="K1071" s="200" t="s">
        <v>4067</v>
      </c>
      <c r="L1071" s="201">
        <v>0.4</v>
      </c>
      <c r="M1071" s="278" t="s">
        <v>2889</v>
      </c>
      <c r="N1071" s="205">
        <v>15000.02</v>
      </c>
      <c r="O1071" s="254">
        <v>15000.02</v>
      </c>
      <c r="P1071" s="205">
        <v>12000.02</v>
      </c>
      <c r="Q1071" s="205">
        <v>12000.02</v>
      </c>
      <c r="R1071" s="1262" t="s">
        <v>2556</v>
      </c>
      <c r="S1071" s="254">
        <v>6000.01</v>
      </c>
      <c r="T1071" s="204">
        <v>45075</v>
      </c>
      <c r="U1071" s="1262" t="s">
        <v>2228</v>
      </c>
      <c r="V1071" s="254">
        <v>3000</v>
      </c>
      <c r="W1071" s="1262" t="s">
        <v>3090</v>
      </c>
      <c r="X1071" s="206">
        <v>3000</v>
      </c>
      <c r="Y1071" s="192"/>
    </row>
    <row r="1072" ht="37.5" customHeight="1" spans="1:25">
      <c r="A1072" s="192">
        <f t="shared" si="27"/>
        <v>1064</v>
      </c>
      <c r="B1072" s="208">
        <v>2023</v>
      </c>
      <c r="C1072" s="193" t="s">
        <v>37</v>
      </c>
      <c r="D1072" s="277" t="s">
        <v>4463</v>
      </c>
      <c r="E1072" s="195" t="s">
        <v>4464</v>
      </c>
      <c r="F1072" s="196" t="s">
        <v>2073</v>
      </c>
      <c r="G1072" s="197" t="s">
        <v>3239</v>
      </c>
      <c r="H1072" s="198">
        <v>0.8</v>
      </c>
      <c r="I1072" s="199">
        <v>35260</v>
      </c>
      <c r="J1072" s="200" t="s">
        <v>2691</v>
      </c>
      <c r="K1072" s="200" t="s">
        <v>4465</v>
      </c>
      <c r="L1072" s="201">
        <v>0.4</v>
      </c>
      <c r="M1072" s="278" t="s">
        <v>4209</v>
      </c>
      <c r="N1072" s="205">
        <v>17500</v>
      </c>
      <c r="O1072" s="254">
        <v>17500</v>
      </c>
      <c r="P1072" s="205">
        <v>14000</v>
      </c>
      <c r="Q1072" s="205">
        <v>14000</v>
      </c>
      <c r="R1072" s="1262" t="s">
        <v>2556</v>
      </c>
      <c r="S1072" s="254">
        <v>7000</v>
      </c>
      <c r="T1072" s="204">
        <v>45075</v>
      </c>
      <c r="U1072" s="1262" t="s">
        <v>2228</v>
      </c>
      <c r="V1072" s="254">
        <v>3500</v>
      </c>
      <c r="W1072" s="1262" t="s">
        <v>3090</v>
      </c>
      <c r="X1072" s="206">
        <v>3500</v>
      </c>
      <c r="Y1072" s="192"/>
    </row>
    <row r="1073" ht="37.5" customHeight="1" spans="1:25">
      <c r="A1073" s="192">
        <f t="shared" si="27"/>
        <v>1065</v>
      </c>
      <c r="B1073" s="208">
        <v>2023</v>
      </c>
      <c r="C1073" s="193" t="s">
        <v>37</v>
      </c>
      <c r="D1073" s="277" t="s">
        <v>3270</v>
      </c>
      <c r="E1073" s="195" t="s">
        <v>4466</v>
      </c>
      <c r="F1073" s="196" t="s">
        <v>2073</v>
      </c>
      <c r="G1073" s="197" t="s">
        <v>3239</v>
      </c>
      <c r="H1073" s="198">
        <v>0.8</v>
      </c>
      <c r="I1073" s="199">
        <v>179000</v>
      </c>
      <c r="J1073" s="200" t="s">
        <v>2691</v>
      </c>
      <c r="K1073" s="200" t="s">
        <v>4465</v>
      </c>
      <c r="L1073" s="201">
        <v>0.4</v>
      </c>
      <c r="M1073" s="278" t="s">
        <v>4296</v>
      </c>
      <c r="N1073" s="205">
        <v>54500.02</v>
      </c>
      <c r="O1073" s="254">
        <v>54500.02</v>
      </c>
      <c r="P1073" s="205">
        <v>43600.01</v>
      </c>
      <c r="Q1073" s="205">
        <v>43600.01</v>
      </c>
      <c r="R1073" s="1262" t="s">
        <v>2556</v>
      </c>
      <c r="S1073" s="254">
        <v>21800.01</v>
      </c>
      <c r="T1073" s="204">
        <v>45075</v>
      </c>
      <c r="U1073" s="1262" t="s">
        <v>2228</v>
      </c>
      <c r="V1073" s="254">
        <v>10900</v>
      </c>
      <c r="W1073" s="1262" t="s">
        <v>3090</v>
      </c>
      <c r="X1073" s="206">
        <v>10900</v>
      </c>
      <c r="Y1073" s="192"/>
    </row>
    <row r="1074" ht="37.5" customHeight="1" spans="1:25">
      <c r="A1074" s="192">
        <f t="shared" si="27"/>
        <v>1066</v>
      </c>
      <c r="B1074" s="208">
        <v>2023</v>
      </c>
      <c r="C1074" s="193" t="s">
        <v>37</v>
      </c>
      <c r="D1074" s="277" t="s">
        <v>4458</v>
      </c>
      <c r="E1074" s="195" t="s">
        <v>4467</v>
      </c>
      <c r="F1074" s="196" t="s">
        <v>2073</v>
      </c>
      <c r="G1074" s="197" t="s">
        <v>3239</v>
      </c>
      <c r="H1074" s="198">
        <v>0.8</v>
      </c>
      <c r="I1074" s="199">
        <v>11643.17</v>
      </c>
      <c r="J1074" s="200" t="s">
        <v>2691</v>
      </c>
      <c r="K1074" s="200" t="s">
        <v>4465</v>
      </c>
      <c r="L1074" s="201">
        <v>0.4</v>
      </c>
      <c r="M1074" s="278" t="s">
        <v>4203</v>
      </c>
      <c r="N1074" s="205">
        <v>1408.26</v>
      </c>
      <c r="O1074" s="254">
        <v>1408.26</v>
      </c>
      <c r="P1074" s="205">
        <v>1126.61</v>
      </c>
      <c r="Q1074" s="205">
        <v>1126.61</v>
      </c>
      <c r="R1074" s="1262" t="s">
        <v>2556</v>
      </c>
      <c r="S1074" s="254">
        <v>563.3</v>
      </c>
      <c r="T1074" s="204">
        <v>45075</v>
      </c>
      <c r="U1074" s="1262" t="s">
        <v>2228</v>
      </c>
      <c r="V1074" s="254">
        <v>281.65</v>
      </c>
      <c r="W1074" s="1262" t="s">
        <v>3090</v>
      </c>
      <c r="X1074" s="206">
        <v>281.65</v>
      </c>
      <c r="Y1074" s="192"/>
    </row>
    <row r="1075" ht="37.5" customHeight="1" spans="1:25">
      <c r="A1075" s="192">
        <f t="shared" si="27"/>
        <v>1067</v>
      </c>
      <c r="B1075" s="208">
        <v>2023</v>
      </c>
      <c r="C1075" s="193" t="s">
        <v>37</v>
      </c>
      <c r="D1075" s="277" t="s">
        <v>4468</v>
      </c>
      <c r="E1075" s="195" t="s">
        <v>4469</v>
      </c>
      <c r="F1075" s="196" t="s">
        <v>2073</v>
      </c>
      <c r="G1075" s="197" t="s">
        <v>3239</v>
      </c>
      <c r="H1075" s="198">
        <v>0.8</v>
      </c>
      <c r="I1075" s="199">
        <v>23000</v>
      </c>
      <c r="J1075" s="200" t="s">
        <v>2691</v>
      </c>
      <c r="K1075" s="200" t="s">
        <v>4465</v>
      </c>
      <c r="L1075" s="201">
        <v>0.4</v>
      </c>
      <c r="M1075" s="278" t="s">
        <v>2714</v>
      </c>
      <c r="N1075" s="205">
        <v>19166.68</v>
      </c>
      <c r="O1075" s="254">
        <v>19166.68</v>
      </c>
      <c r="P1075" s="205">
        <v>15333.34</v>
      </c>
      <c r="Q1075" s="205">
        <v>15333.34</v>
      </c>
      <c r="R1075" s="1262" t="s">
        <v>2556</v>
      </c>
      <c r="S1075" s="254">
        <v>7666.67</v>
      </c>
      <c r="T1075" s="204">
        <v>45075</v>
      </c>
      <c r="U1075" s="1262" t="s">
        <v>2228</v>
      </c>
      <c r="V1075" s="254">
        <v>3833.34</v>
      </c>
      <c r="W1075" s="1262" t="s">
        <v>3090</v>
      </c>
      <c r="X1075" s="206">
        <v>3833.34</v>
      </c>
      <c r="Y1075" s="192"/>
    </row>
    <row r="1076" ht="37.5" customHeight="1" spans="1:25">
      <c r="A1076" s="192">
        <f t="shared" si="27"/>
        <v>1068</v>
      </c>
      <c r="B1076" s="208">
        <v>2023</v>
      </c>
      <c r="C1076" s="193" t="s">
        <v>37</v>
      </c>
      <c r="D1076" s="277" t="s">
        <v>4470</v>
      </c>
      <c r="E1076" s="195" t="s">
        <v>4471</v>
      </c>
      <c r="F1076" s="196" t="s">
        <v>2073</v>
      </c>
      <c r="G1076" s="197" t="s">
        <v>3239</v>
      </c>
      <c r="H1076" s="198">
        <v>0.8</v>
      </c>
      <c r="I1076" s="199">
        <v>11500</v>
      </c>
      <c r="J1076" s="200" t="s">
        <v>2794</v>
      </c>
      <c r="K1076" s="200" t="s">
        <v>4085</v>
      </c>
      <c r="L1076" s="201">
        <v>0.4</v>
      </c>
      <c r="M1076" s="278" t="s">
        <v>4161</v>
      </c>
      <c r="N1076" s="205">
        <v>8333.34</v>
      </c>
      <c r="O1076" s="254">
        <v>8333.34</v>
      </c>
      <c r="P1076" s="205">
        <v>6666.67</v>
      </c>
      <c r="Q1076" s="205">
        <v>6666.67</v>
      </c>
      <c r="R1076" s="1262" t="s">
        <v>2556</v>
      </c>
      <c r="S1076" s="254">
        <v>3333.34</v>
      </c>
      <c r="T1076" s="204">
        <v>45075</v>
      </c>
      <c r="U1076" s="1262" t="s">
        <v>2228</v>
      </c>
      <c r="V1076" s="254">
        <v>1666.67</v>
      </c>
      <c r="W1076" s="1262" t="s">
        <v>3090</v>
      </c>
      <c r="X1076" s="206">
        <v>1666.67</v>
      </c>
      <c r="Y1076" s="192"/>
    </row>
    <row r="1077" ht="37.5" customHeight="1" spans="1:25">
      <c r="A1077" s="192">
        <f t="shared" si="27"/>
        <v>1069</v>
      </c>
      <c r="B1077" s="208">
        <v>2023</v>
      </c>
      <c r="C1077" s="193" t="s">
        <v>37</v>
      </c>
      <c r="D1077" s="277" t="s">
        <v>4414</v>
      </c>
      <c r="E1077" s="195" t="s">
        <v>4472</v>
      </c>
      <c r="F1077" s="196" t="s">
        <v>2073</v>
      </c>
      <c r="G1077" s="197" t="s">
        <v>3239</v>
      </c>
      <c r="H1077" s="198">
        <v>0.8</v>
      </c>
      <c r="I1077" s="199">
        <v>15900</v>
      </c>
      <c r="J1077" s="200" t="s">
        <v>2046</v>
      </c>
      <c r="K1077" s="200" t="s">
        <v>4473</v>
      </c>
      <c r="L1077" s="201">
        <v>0.4</v>
      </c>
      <c r="M1077" s="278" t="s">
        <v>4395</v>
      </c>
      <c r="N1077" s="205">
        <v>13250</v>
      </c>
      <c r="O1077" s="254">
        <v>13250</v>
      </c>
      <c r="P1077" s="205">
        <v>10600</v>
      </c>
      <c r="Q1077" s="205">
        <v>10600</v>
      </c>
      <c r="R1077" s="1262" t="s">
        <v>2556</v>
      </c>
      <c r="S1077" s="254">
        <v>5300</v>
      </c>
      <c r="T1077" s="204">
        <v>45075</v>
      </c>
      <c r="U1077" s="1262" t="s">
        <v>2228</v>
      </c>
      <c r="V1077" s="254">
        <v>2650</v>
      </c>
      <c r="W1077" s="1262" t="s">
        <v>3090</v>
      </c>
      <c r="X1077" s="206">
        <v>2650</v>
      </c>
      <c r="Y1077" s="192"/>
    </row>
    <row r="1078" ht="37.5" customHeight="1" spans="1:25">
      <c r="A1078" s="192">
        <f t="shared" si="27"/>
        <v>1070</v>
      </c>
      <c r="B1078" s="208">
        <v>2023</v>
      </c>
      <c r="C1078" s="193" t="s">
        <v>37</v>
      </c>
      <c r="D1078" s="277" t="s">
        <v>4420</v>
      </c>
      <c r="E1078" s="195" t="s">
        <v>4474</v>
      </c>
      <c r="F1078" s="196" t="s">
        <v>2073</v>
      </c>
      <c r="G1078" s="197" t="s">
        <v>3239</v>
      </c>
      <c r="H1078" s="198">
        <v>0.8</v>
      </c>
      <c r="I1078" s="199">
        <v>35000</v>
      </c>
      <c r="J1078" s="200" t="s">
        <v>3495</v>
      </c>
      <c r="K1078" s="200" t="s">
        <v>4475</v>
      </c>
      <c r="L1078" s="201">
        <v>0.4</v>
      </c>
      <c r="M1078" s="278" t="s">
        <v>4206</v>
      </c>
      <c r="N1078" s="205">
        <v>29166.68</v>
      </c>
      <c r="O1078" s="254">
        <v>29166.68</v>
      </c>
      <c r="P1078" s="205">
        <v>23333.34</v>
      </c>
      <c r="Q1078" s="205">
        <v>23333.34</v>
      </c>
      <c r="R1078" s="1262" t="s">
        <v>2556</v>
      </c>
      <c r="S1078" s="254">
        <v>11666.67</v>
      </c>
      <c r="T1078" s="204">
        <v>45075</v>
      </c>
      <c r="U1078" s="1262" t="s">
        <v>2228</v>
      </c>
      <c r="V1078" s="254">
        <v>5833.34</v>
      </c>
      <c r="W1078" s="1262" t="s">
        <v>3090</v>
      </c>
      <c r="X1078" s="206">
        <v>5833.34</v>
      </c>
      <c r="Y1078" s="192"/>
    </row>
    <row r="1079" ht="37.5" customHeight="1" spans="1:25">
      <c r="A1079" s="192">
        <f t="shared" si="27"/>
        <v>1071</v>
      </c>
      <c r="B1079" s="208">
        <v>2023</v>
      </c>
      <c r="C1079" s="193" t="s">
        <v>37</v>
      </c>
      <c r="D1079" s="277" t="s">
        <v>562</v>
      </c>
      <c r="E1079" s="195" t="s">
        <v>4476</v>
      </c>
      <c r="F1079" s="196" t="s">
        <v>2073</v>
      </c>
      <c r="G1079" s="197" t="s">
        <v>3239</v>
      </c>
      <c r="H1079" s="198">
        <v>0.8</v>
      </c>
      <c r="I1079" s="199">
        <v>49000</v>
      </c>
      <c r="J1079" s="200" t="s">
        <v>2059</v>
      </c>
      <c r="K1079" s="200" t="s">
        <v>4477</v>
      </c>
      <c r="L1079" s="201">
        <v>0.4</v>
      </c>
      <c r="M1079" s="278" t="s">
        <v>4203</v>
      </c>
      <c r="N1079" s="205">
        <v>40833.36</v>
      </c>
      <c r="O1079" s="254">
        <v>40833.36</v>
      </c>
      <c r="P1079" s="205">
        <v>32666.68</v>
      </c>
      <c r="Q1079" s="205">
        <v>32666.68</v>
      </c>
      <c r="R1079" s="1262" t="s">
        <v>2556</v>
      </c>
      <c r="S1079" s="254">
        <v>16333.34</v>
      </c>
      <c r="T1079" s="204">
        <v>45075</v>
      </c>
      <c r="U1079" s="1262" t="s">
        <v>2228</v>
      </c>
      <c r="V1079" s="254">
        <v>8166.67</v>
      </c>
      <c r="W1079" s="1262" t="s">
        <v>3090</v>
      </c>
      <c r="X1079" s="206">
        <v>8166.67</v>
      </c>
      <c r="Y1079" s="192"/>
    </row>
    <row r="1080" ht="37.5" customHeight="1" spans="1:25">
      <c r="A1080" s="192">
        <f t="shared" si="27"/>
        <v>1072</v>
      </c>
      <c r="B1080" s="208">
        <v>2023</v>
      </c>
      <c r="C1080" s="193" t="s">
        <v>37</v>
      </c>
      <c r="D1080" s="277" t="s">
        <v>4319</v>
      </c>
      <c r="E1080" s="195" t="s">
        <v>4478</v>
      </c>
      <c r="F1080" s="196" t="s">
        <v>2073</v>
      </c>
      <c r="G1080" s="197" t="s">
        <v>3239</v>
      </c>
      <c r="H1080" s="198">
        <v>0.8</v>
      </c>
      <c r="I1080" s="199">
        <v>13016.62</v>
      </c>
      <c r="J1080" s="200" t="s">
        <v>2059</v>
      </c>
      <c r="K1080" s="200" t="s">
        <v>4477</v>
      </c>
      <c r="L1080" s="201">
        <v>0.4</v>
      </c>
      <c r="M1080" s="278" t="s">
        <v>4260</v>
      </c>
      <c r="N1080" s="205">
        <v>2500</v>
      </c>
      <c r="O1080" s="254">
        <v>2500</v>
      </c>
      <c r="P1080" s="205">
        <v>2000</v>
      </c>
      <c r="Q1080" s="205">
        <v>2000</v>
      </c>
      <c r="R1080" s="1262" t="s">
        <v>2556</v>
      </c>
      <c r="S1080" s="254">
        <v>1000</v>
      </c>
      <c r="T1080" s="204">
        <v>45075</v>
      </c>
      <c r="U1080" s="1262" t="s">
        <v>2228</v>
      </c>
      <c r="V1080" s="254">
        <v>500</v>
      </c>
      <c r="W1080" s="1262" t="s">
        <v>3090</v>
      </c>
      <c r="X1080" s="206">
        <v>500</v>
      </c>
      <c r="Y1080" s="192"/>
    </row>
    <row r="1081" ht="37.5" customHeight="1" spans="1:25">
      <c r="A1081" s="192">
        <f t="shared" si="27"/>
        <v>1073</v>
      </c>
      <c r="B1081" s="208">
        <v>2023</v>
      </c>
      <c r="C1081" s="193" t="s">
        <v>37</v>
      </c>
      <c r="D1081" s="277" t="s">
        <v>4479</v>
      </c>
      <c r="E1081" s="195" t="s">
        <v>4480</v>
      </c>
      <c r="F1081" s="196" t="s">
        <v>2073</v>
      </c>
      <c r="G1081" s="197" t="s">
        <v>3239</v>
      </c>
      <c r="H1081" s="198">
        <v>0.8</v>
      </c>
      <c r="I1081" s="199">
        <v>13178.05</v>
      </c>
      <c r="J1081" s="200" t="s">
        <v>4164</v>
      </c>
      <c r="K1081" s="200" t="s">
        <v>4165</v>
      </c>
      <c r="L1081" s="201">
        <v>0.4</v>
      </c>
      <c r="M1081" s="278" t="s">
        <v>2714</v>
      </c>
      <c r="N1081" s="205">
        <v>7500.01</v>
      </c>
      <c r="O1081" s="254">
        <v>7500.01</v>
      </c>
      <c r="P1081" s="205">
        <v>6000.01</v>
      </c>
      <c r="Q1081" s="205">
        <v>6000.01</v>
      </c>
      <c r="R1081" s="1262" t="s">
        <v>2556</v>
      </c>
      <c r="S1081" s="254">
        <v>3000</v>
      </c>
      <c r="T1081" s="204">
        <v>45075</v>
      </c>
      <c r="U1081" s="203"/>
      <c r="V1081" s="254"/>
      <c r="W1081" s="203"/>
      <c r="X1081" s="206"/>
      <c r="Y1081" s="203" t="s">
        <v>1077</v>
      </c>
    </row>
    <row r="1082" ht="37.5" customHeight="1" spans="1:25">
      <c r="A1082" s="192">
        <f t="shared" si="27"/>
        <v>1074</v>
      </c>
      <c r="B1082" s="208">
        <v>2023</v>
      </c>
      <c r="C1082" s="193" t="s">
        <v>37</v>
      </c>
      <c r="D1082" s="277" t="s">
        <v>2392</v>
      </c>
      <c r="E1082" s="195" t="s">
        <v>4481</v>
      </c>
      <c r="F1082" s="196" t="s">
        <v>2073</v>
      </c>
      <c r="G1082" s="197" t="s">
        <v>3239</v>
      </c>
      <c r="H1082" s="198">
        <v>0.8</v>
      </c>
      <c r="I1082" s="199">
        <v>16500</v>
      </c>
      <c r="J1082" s="200" t="s">
        <v>4164</v>
      </c>
      <c r="K1082" s="200" t="s">
        <v>4165</v>
      </c>
      <c r="L1082" s="201">
        <v>0.4</v>
      </c>
      <c r="M1082" s="278" t="s">
        <v>2668</v>
      </c>
      <c r="N1082" s="205">
        <v>4462.45</v>
      </c>
      <c r="O1082" s="254">
        <v>4462.45</v>
      </c>
      <c r="P1082" s="205">
        <v>3569.96</v>
      </c>
      <c r="Q1082" s="205">
        <v>3569.96</v>
      </c>
      <c r="R1082" s="1262" t="s">
        <v>2556</v>
      </c>
      <c r="S1082" s="254">
        <v>1784.98</v>
      </c>
      <c r="T1082" s="204">
        <v>45075</v>
      </c>
      <c r="U1082" s="203"/>
      <c r="V1082" s="254"/>
      <c r="W1082" s="203"/>
      <c r="X1082" s="206"/>
      <c r="Y1082" s="203" t="s">
        <v>1077</v>
      </c>
    </row>
    <row r="1083" ht="37.5" customHeight="1" spans="1:25">
      <c r="A1083" s="192">
        <f t="shared" si="27"/>
        <v>1075</v>
      </c>
      <c r="B1083" s="208">
        <v>2023</v>
      </c>
      <c r="C1083" s="193" t="s">
        <v>37</v>
      </c>
      <c r="D1083" s="277" t="s">
        <v>4279</v>
      </c>
      <c r="E1083" s="195" t="s">
        <v>4482</v>
      </c>
      <c r="F1083" s="196" t="s">
        <v>2073</v>
      </c>
      <c r="G1083" s="197" t="s">
        <v>3239</v>
      </c>
      <c r="H1083" s="198">
        <v>0.8</v>
      </c>
      <c r="I1083" s="199">
        <v>75200</v>
      </c>
      <c r="J1083" s="200" t="s">
        <v>2612</v>
      </c>
      <c r="K1083" s="200" t="s">
        <v>3969</v>
      </c>
      <c r="L1083" s="201">
        <v>0.4</v>
      </c>
      <c r="M1083" s="278" t="s">
        <v>2714</v>
      </c>
      <c r="N1083" s="205">
        <v>68419.81</v>
      </c>
      <c r="O1083" s="254">
        <v>68419.81</v>
      </c>
      <c r="P1083" s="205">
        <v>54735.84</v>
      </c>
      <c r="Q1083" s="205">
        <v>54735.84</v>
      </c>
      <c r="R1083" s="1262" t="s">
        <v>2556</v>
      </c>
      <c r="S1083" s="254">
        <v>27367.92</v>
      </c>
      <c r="T1083" s="204">
        <v>45075</v>
      </c>
      <c r="U1083" s="203"/>
      <c r="V1083" s="254"/>
      <c r="W1083" s="203"/>
      <c r="X1083" s="206"/>
      <c r="Y1083" s="203" t="s">
        <v>1077</v>
      </c>
    </row>
    <row r="1084" ht="37.5" customHeight="1" spans="1:25">
      <c r="A1084" s="192">
        <f t="shared" si="27"/>
        <v>1076</v>
      </c>
      <c r="B1084" s="208">
        <v>2023</v>
      </c>
      <c r="C1084" s="193" t="s">
        <v>37</v>
      </c>
      <c r="D1084" s="277" t="s">
        <v>4483</v>
      </c>
      <c r="E1084" s="195" t="s">
        <v>4484</v>
      </c>
      <c r="F1084" s="196" t="s">
        <v>2073</v>
      </c>
      <c r="G1084" s="197" t="s">
        <v>3239</v>
      </c>
      <c r="H1084" s="198">
        <v>0.8</v>
      </c>
      <c r="I1084" s="199">
        <v>69000</v>
      </c>
      <c r="J1084" s="200" t="s">
        <v>2612</v>
      </c>
      <c r="K1084" s="200" t="s">
        <v>3969</v>
      </c>
      <c r="L1084" s="201">
        <v>0.4</v>
      </c>
      <c r="M1084" s="278" t="s">
        <v>3875</v>
      </c>
      <c r="N1084" s="205">
        <v>49083.37</v>
      </c>
      <c r="O1084" s="254">
        <v>49083.37</v>
      </c>
      <c r="P1084" s="205">
        <v>39266.7</v>
      </c>
      <c r="Q1084" s="205">
        <v>39266.7</v>
      </c>
      <c r="R1084" s="1262" t="s">
        <v>2556</v>
      </c>
      <c r="S1084" s="254">
        <v>19633.35</v>
      </c>
      <c r="T1084" s="204">
        <v>45075</v>
      </c>
      <c r="U1084" s="203"/>
      <c r="V1084" s="254"/>
      <c r="W1084" s="203"/>
      <c r="X1084" s="206"/>
      <c r="Y1084" s="203" t="s">
        <v>1077</v>
      </c>
    </row>
    <row r="1085" ht="37.5" customHeight="1" spans="1:25">
      <c r="A1085" s="192">
        <f t="shared" si="27"/>
        <v>1077</v>
      </c>
      <c r="B1085" s="208">
        <v>2023</v>
      </c>
      <c r="C1085" s="193" t="s">
        <v>37</v>
      </c>
      <c r="D1085" s="277" t="s">
        <v>4391</v>
      </c>
      <c r="E1085" s="195" t="s">
        <v>4485</v>
      </c>
      <c r="F1085" s="196" t="s">
        <v>2073</v>
      </c>
      <c r="G1085" s="197" t="s">
        <v>3239</v>
      </c>
      <c r="H1085" s="198">
        <v>0.8</v>
      </c>
      <c r="I1085" s="199">
        <v>15650</v>
      </c>
      <c r="J1085" s="200" t="s">
        <v>2307</v>
      </c>
      <c r="K1085" s="200" t="s">
        <v>3722</v>
      </c>
      <c r="L1085" s="201">
        <v>0.4</v>
      </c>
      <c r="M1085" s="278" t="s">
        <v>2714</v>
      </c>
      <c r="N1085" s="205">
        <v>10433.4</v>
      </c>
      <c r="O1085" s="254">
        <v>10433.4</v>
      </c>
      <c r="P1085" s="205">
        <v>8346.71</v>
      </c>
      <c r="Q1085" s="205">
        <v>8346.71</v>
      </c>
      <c r="R1085" s="1262" t="s">
        <v>2556</v>
      </c>
      <c r="S1085" s="254">
        <v>4173.36</v>
      </c>
      <c r="T1085" s="204">
        <v>45075</v>
      </c>
      <c r="U1085" s="203"/>
      <c r="V1085" s="254"/>
      <c r="W1085" s="203"/>
      <c r="X1085" s="206"/>
      <c r="Y1085" s="203" t="s">
        <v>1077</v>
      </c>
    </row>
    <row r="1086" ht="37.5" customHeight="1" spans="1:25">
      <c r="A1086" s="192">
        <f t="shared" si="27"/>
        <v>1078</v>
      </c>
      <c r="B1086" s="208">
        <v>2023</v>
      </c>
      <c r="C1086" s="193" t="s">
        <v>37</v>
      </c>
      <c r="D1086" s="277" t="s">
        <v>4325</v>
      </c>
      <c r="E1086" s="195" t="s">
        <v>4486</v>
      </c>
      <c r="F1086" s="196" t="s">
        <v>2073</v>
      </c>
      <c r="G1086" s="197" t="s">
        <v>3239</v>
      </c>
      <c r="H1086" s="198">
        <v>0.8</v>
      </c>
      <c r="I1086" s="199">
        <v>18130.19</v>
      </c>
      <c r="J1086" s="200" t="s">
        <v>2307</v>
      </c>
      <c r="K1086" s="200" t="s">
        <v>3722</v>
      </c>
      <c r="L1086" s="201">
        <v>0.4</v>
      </c>
      <c r="M1086" s="278" t="s">
        <v>2714</v>
      </c>
      <c r="N1086" s="205">
        <v>1266.68</v>
      </c>
      <c r="O1086" s="254">
        <v>1266.68</v>
      </c>
      <c r="P1086" s="205">
        <v>1013.34</v>
      </c>
      <c r="Q1086" s="205">
        <v>1013.34</v>
      </c>
      <c r="R1086" s="1262" t="s">
        <v>2556</v>
      </c>
      <c r="S1086" s="254">
        <v>506.67</v>
      </c>
      <c r="T1086" s="204">
        <v>45075</v>
      </c>
      <c r="U1086" s="203"/>
      <c r="V1086" s="254"/>
      <c r="W1086" s="203"/>
      <c r="X1086" s="206"/>
      <c r="Y1086" s="203" t="s">
        <v>1077</v>
      </c>
    </row>
    <row r="1087" ht="37.5" customHeight="1" spans="1:25">
      <c r="A1087" s="192">
        <f t="shared" si="27"/>
        <v>1079</v>
      </c>
      <c r="B1087" s="208">
        <v>2023</v>
      </c>
      <c r="C1087" s="193" t="s">
        <v>37</v>
      </c>
      <c r="D1087" s="277" t="s">
        <v>4487</v>
      </c>
      <c r="E1087" s="195" t="s">
        <v>4488</v>
      </c>
      <c r="F1087" s="196" t="s">
        <v>2073</v>
      </c>
      <c r="G1087" s="197" t="s">
        <v>3239</v>
      </c>
      <c r="H1087" s="198">
        <v>0.8</v>
      </c>
      <c r="I1087" s="199">
        <v>16400</v>
      </c>
      <c r="J1087" s="200" t="s">
        <v>2304</v>
      </c>
      <c r="K1087" s="200" t="s">
        <v>3716</v>
      </c>
      <c r="L1087" s="201">
        <v>0.4</v>
      </c>
      <c r="M1087" s="278" t="s">
        <v>4489</v>
      </c>
      <c r="N1087" s="205">
        <v>16400</v>
      </c>
      <c r="O1087" s="254">
        <v>16400</v>
      </c>
      <c r="P1087" s="205">
        <v>13120</v>
      </c>
      <c r="Q1087" s="205">
        <v>13120</v>
      </c>
      <c r="R1087" s="1262" t="s">
        <v>2556</v>
      </c>
      <c r="S1087" s="254">
        <v>6560</v>
      </c>
      <c r="T1087" s="204">
        <v>45075</v>
      </c>
      <c r="U1087" s="203"/>
      <c r="V1087" s="254"/>
      <c r="W1087" s="203"/>
      <c r="X1087" s="206"/>
      <c r="Y1087" s="203" t="s">
        <v>1077</v>
      </c>
    </row>
    <row r="1088" ht="37.5" customHeight="1" spans="1:25">
      <c r="A1088" s="192">
        <f t="shared" si="27"/>
        <v>1080</v>
      </c>
      <c r="B1088" s="208">
        <v>2023</v>
      </c>
      <c r="C1088" s="193" t="s">
        <v>37</v>
      </c>
      <c r="D1088" s="277" t="s">
        <v>4490</v>
      </c>
      <c r="E1088" s="195" t="s">
        <v>4491</v>
      </c>
      <c r="F1088" s="196" t="s">
        <v>2073</v>
      </c>
      <c r="G1088" s="197" t="s">
        <v>3239</v>
      </c>
      <c r="H1088" s="198">
        <v>0.8</v>
      </c>
      <c r="I1088" s="199">
        <v>15000</v>
      </c>
      <c r="J1088" s="200" t="s">
        <v>2304</v>
      </c>
      <c r="K1088" s="200" t="s">
        <v>3716</v>
      </c>
      <c r="L1088" s="201">
        <v>0.4</v>
      </c>
      <c r="M1088" s="278" t="s">
        <v>3199</v>
      </c>
      <c r="N1088" s="205">
        <v>7532.13</v>
      </c>
      <c r="O1088" s="254">
        <v>7532.13</v>
      </c>
      <c r="P1088" s="205">
        <v>6025.7</v>
      </c>
      <c r="Q1088" s="205">
        <v>6025.7</v>
      </c>
      <c r="R1088" s="1262" t="s">
        <v>2556</v>
      </c>
      <c r="S1088" s="254">
        <v>3012.85</v>
      </c>
      <c r="T1088" s="204">
        <v>45075</v>
      </c>
      <c r="U1088" s="203"/>
      <c r="V1088" s="254"/>
      <c r="W1088" s="203"/>
      <c r="X1088" s="206"/>
      <c r="Y1088" s="203" t="s">
        <v>1077</v>
      </c>
    </row>
    <row r="1089" ht="37.5" customHeight="1" spans="1:25">
      <c r="A1089" s="192">
        <f t="shared" si="27"/>
        <v>1081</v>
      </c>
      <c r="B1089" s="208">
        <v>2023</v>
      </c>
      <c r="C1089" s="193" t="s">
        <v>37</v>
      </c>
      <c r="D1089" s="277" t="s">
        <v>4162</v>
      </c>
      <c r="E1089" s="195" t="s">
        <v>4492</v>
      </c>
      <c r="F1089" s="196" t="s">
        <v>2073</v>
      </c>
      <c r="G1089" s="197" t="s">
        <v>3239</v>
      </c>
      <c r="H1089" s="198">
        <v>0.8</v>
      </c>
      <c r="I1089" s="199">
        <v>38000</v>
      </c>
      <c r="J1089" s="200" t="s">
        <v>3719</v>
      </c>
      <c r="K1089" s="200" t="s">
        <v>3720</v>
      </c>
      <c r="L1089" s="201">
        <v>0.4</v>
      </c>
      <c r="M1089" s="278" t="s">
        <v>2714</v>
      </c>
      <c r="N1089" s="205">
        <v>25333.36</v>
      </c>
      <c r="O1089" s="254">
        <v>25333.36</v>
      </c>
      <c r="P1089" s="205">
        <v>20266.69</v>
      </c>
      <c r="Q1089" s="205">
        <v>20266.69</v>
      </c>
      <c r="R1089" s="1262" t="s">
        <v>2556</v>
      </c>
      <c r="S1089" s="254">
        <v>10133.34</v>
      </c>
      <c r="T1089" s="204">
        <v>45075</v>
      </c>
      <c r="U1089" s="203"/>
      <c r="V1089" s="254"/>
      <c r="W1089" s="203"/>
      <c r="X1089" s="206"/>
      <c r="Y1089" s="203" t="s">
        <v>1077</v>
      </c>
    </row>
    <row r="1090" ht="37.5" customHeight="1" spans="1:25">
      <c r="A1090" s="192">
        <f t="shared" si="27"/>
        <v>1082</v>
      </c>
      <c r="B1090" s="208">
        <v>2023</v>
      </c>
      <c r="C1090" s="193" t="s">
        <v>37</v>
      </c>
      <c r="D1090" s="277" t="s">
        <v>4458</v>
      </c>
      <c r="E1090" s="195" t="s">
        <v>4493</v>
      </c>
      <c r="F1090" s="196" t="s">
        <v>2073</v>
      </c>
      <c r="G1090" s="197" t="s">
        <v>3239</v>
      </c>
      <c r="H1090" s="198">
        <v>0.8</v>
      </c>
      <c r="I1090" s="199">
        <v>16000</v>
      </c>
      <c r="J1090" s="200" t="s">
        <v>2164</v>
      </c>
      <c r="K1090" s="200" t="s">
        <v>4494</v>
      </c>
      <c r="L1090" s="201">
        <v>0.4</v>
      </c>
      <c r="M1090" s="278" t="s">
        <v>4203</v>
      </c>
      <c r="N1090" s="205">
        <v>9916.77</v>
      </c>
      <c r="O1090" s="254">
        <v>9916.77</v>
      </c>
      <c r="P1090" s="205">
        <v>7933.42</v>
      </c>
      <c r="Q1090" s="205">
        <v>7933.42</v>
      </c>
      <c r="R1090" s="1262" t="s">
        <v>2556</v>
      </c>
      <c r="S1090" s="254">
        <v>3966.71</v>
      </c>
      <c r="T1090" s="204">
        <v>45075</v>
      </c>
      <c r="U1090" s="203"/>
      <c r="V1090" s="254"/>
      <c r="W1090" s="203"/>
      <c r="X1090" s="206"/>
      <c r="Y1090" s="203" t="s">
        <v>1077</v>
      </c>
    </row>
    <row r="1091" ht="37.5" customHeight="1" spans="1:25">
      <c r="A1091" s="192">
        <f t="shared" si="27"/>
        <v>1083</v>
      </c>
      <c r="B1091" s="208">
        <v>2023</v>
      </c>
      <c r="C1091" s="193" t="s">
        <v>37</v>
      </c>
      <c r="D1091" s="277" t="s">
        <v>4431</v>
      </c>
      <c r="E1091" s="195" t="s">
        <v>4495</v>
      </c>
      <c r="F1091" s="196" t="s">
        <v>2073</v>
      </c>
      <c r="G1091" s="197" t="s">
        <v>3239</v>
      </c>
      <c r="H1091" s="198">
        <v>0.8</v>
      </c>
      <c r="I1091" s="199">
        <v>70000</v>
      </c>
      <c r="J1091" s="200" t="s">
        <v>2164</v>
      </c>
      <c r="K1091" s="200" t="s">
        <v>4494</v>
      </c>
      <c r="L1091" s="201">
        <v>0.4</v>
      </c>
      <c r="M1091" s="278" t="s">
        <v>4376</v>
      </c>
      <c r="N1091" s="205">
        <v>40833.35</v>
      </c>
      <c r="O1091" s="254">
        <v>40833.35</v>
      </c>
      <c r="P1091" s="205">
        <v>32666.68</v>
      </c>
      <c r="Q1091" s="205">
        <v>32666.68</v>
      </c>
      <c r="R1091" s="1262" t="s">
        <v>2556</v>
      </c>
      <c r="S1091" s="254">
        <v>16333.34</v>
      </c>
      <c r="T1091" s="204">
        <v>45075</v>
      </c>
      <c r="U1091" s="203"/>
      <c r="V1091" s="254"/>
      <c r="W1091" s="203"/>
      <c r="X1091" s="206"/>
      <c r="Y1091" s="203" t="s">
        <v>1077</v>
      </c>
    </row>
    <row r="1092" ht="37.5" customHeight="1" spans="1:25">
      <c r="A1092" s="192">
        <f t="shared" si="27"/>
        <v>1084</v>
      </c>
      <c r="B1092" s="208">
        <v>2023</v>
      </c>
      <c r="C1092" s="193" t="s">
        <v>37</v>
      </c>
      <c r="D1092" s="277" t="s">
        <v>4401</v>
      </c>
      <c r="E1092" s="195" t="s">
        <v>4496</v>
      </c>
      <c r="F1092" s="196" t="s">
        <v>2073</v>
      </c>
      <c r="G1092" s="197" t="s">
        <v>3239</v>
      </c>
      <c r="H1092" s="198">
        <v>0.8</v>
      </c>
      <c r="I1092" s="199">
        <v>14593.47</v>
      </c>
      <c r="J1092" s="200" t="s">
        <v>2368</v>
      </c>
      <c r="K1092" s="200" t="s">
        <v>2955</v>
      </c>
      <c r="L1092" s="201">
        <v>0.4</v>
      </c>
      <c r="M1092" s="278" t="s">
        <v>2896</v>
      </c>
      <c r="N1092" s="205">
        <v>2866.68</v>
      </c>
      <c r="O1092" s="254">
        <v>2866.68</v>
      </c>
      <c r="P1092" s="205">
        <v>2293.34</v>
      </c>
      <c r="Q1092" s="205">
        <v>2293.34</v>
      </c>
      <c r="R1092" s="1262" t="s">
        <v>2556</v>
      </c>
      <c r="S1092" s="254">
        <v>1146.67</v>
      </c>
      <c r="T1092" s="204">
        <v>45075</v>
      </c>
      <c r="U1092" s="203"/>
      <c r="V1092" s="254"/>
      <c r="W1092" s="203"/>
      <c r="X1092" s="206"/>
      <c r="Y1092" s="203" t="s">
        <v>1077</v>
      </c>
    </row>
    <row r="1093" ht="37.5" customHeight="1" spans="1:25">
      <c r="A1093" s="192">
        <f t="shared" si="27"/>
        <v>1085</v>
      </c>
      <c r="B1093" s="208">
        <v>2023</v>
      </c>
      <c r="C1093" s="193" t="s">
        <v>37</v>
      </c>
      <c r="D1093" s="277" t="s">
        <v>4411</v>
      </c>
      <c r="E1093" s="195" t="s">
        <v>4497</v>
      </c>
      <c r="F1093" s="196" t="s">
        <v>2073</v>
      </c>
      <c r="G1093" s="197" t="s">
        <v>3239</v>
      </c>
      <c r="H1093" s="198">
        <v>0.8</v>
      </c>
      <c r="I1093" s="199">
        <v>41300</v>
      </c>
      <c r="J1093" s="200" t="s">
        <v>1126</v>
      </c>
      <c r="K1093" s="200" t="s">
        <v>3976</v>
      </c>
      <c r="L1093" s="201">
        <v>0.4</v>
      </c>
      <c r="M1093" s="278" t="s">
        <v>4209</v>
      </c>
      <c r="N1093" s="205">
        <v>27533.36</v>
      </c>
      <c r="O1093" s="254">
        <v>27533.36</v>
      </c>
      <c r="P1093" s="205">
        <v>22026.69</v>
      </c>
      <c r="Q1093" s="205">
        <v>22026.69</v>
      </c>
      <c r="R1093" s="1262" t="s">
        <v>2556</v>
      </c>
      <c r="S1093" s="254">
        <v>11013.34</v>
      </c>
      <c r="T1093" s="204">
        <v>45075</v>
      </c>
      <c r="U1093" s="203"/>
      <c r="V1093" s="254"/>
      <c r="W1093" s="203"/>
      <c r="X1093" s="206"/>
      <c r="Y1093" s="203" t="s">
        <v>1077</v>
      </c>
    </row>
    <row r="1094" ht="37.5" customHeight="1" spans="1:25">
      <c r="A1094" s="192">
        <f t="shared" si="27"/>
        <v>1086</v>
      </c>
      <c r="B1094" s="208">
        <v>2023</v>
      </c>
      <c r="C1094" s="193" t="s">
        <v>37</v>
      </c>
      <c r="D1094" s="277" t="s">
        <v>4334</v>
      </c>
      <c r="E1094" s="195" t="s">
        <v>4498</v>
      </c>
      <c r="F1094" s="196" t="s">
        <v>2073</v>
      </c>
      <c r="G1094" s="197" t="s">
        <v>3239</v>
      </c>
      <c r="H1094" s="198">
        <v>0.8</v>
      </c>
      <c r="I1094" s="199">
        <v>60000</v>
      </c>
      <c r="J1094" s="200" t="s">
        <v>2311</v>
      </c>
      <c r="K1094" s="200" t="s">
        <v>4499</v>
      </c>
      <c r="L1094" s="201">
        <v>0.4</v>
      </c>
      <c r="M1094" s="278" t="s">
        <v>2714</v>
      </c>
      <c r="N1094" s="205">
        <v>45000</v>
      </c>
      <c r="O1094" s="254">
        <v>45000</v>
      </c>
      <c r="P1094" s="205">
        <v>36000</v>
      </c>
      <c r="Q1094" s="205">
        <v>36000</v>
      </c>
      <c r="R1094" s="1262" t="s">
        <v>2556</v>
      </c>
      <c r="S1094" s="254">
        <v>18000</v>
      </c>
      <c r="T1094" s="204">
        <v>45075</v>
      </c>
      <c r="U1094" s="203"/>
      <c r="V1094" s="254"/>
      <c r="W1094" s="203"/>
      <c r="X1094" s="206"/>
      <c r="Y1094" s="203" t="s">
        <v>1077</v>
      </c>
    </row>
    <row r="1095" ht="37.5" customHeight="1" spans="1:25">
      <c r="A1095" s="192">
        <f t="shared" si="27"/>
        <v>1087</v>
      </c>
      <c r="B1095" s="208">
        <v>2023</v>
      </c>
      <c r="C1095" s="193" t="s">
        <v>37</v>
      </c>
      <c r="D1095" s="277" t="s">
        <v>4372</v>
      </c>
      <c r="E1095" s="195" t="s">
        <v>4500</v>
      </c>
      <c r="F1095" s="196" t="s">
        <v>2073</v>
      </c>
      <c r="G1095" s="197" t="s">
        <v>3239</v>
      </c>
      <c r="H1095" s="198">
        <v>0.8</v>
      </c>
      <c r="I1095" s="199">
        <v>16332.46</v>
      </c>
      <c r="J1095" s="200" t="s">
        <v>2311</v>
      </c>
      <c r="K1095" s="200" t="s">
        <v>4499</v>
      </c>
      <c r="L1095" s="201">
        <v>0.4</v>
      </c>
      <c r="M1095" s="278" t="s">
        <v>4039</v>
      </c>
      <c r="N1095" s="205">
        <v>3333.36</v>
      </c>
      <c r="O1095" s="254">
        <v>3333.36</v>
      </c>
      <c r="P1095" s="205">
        <v>2666.69</v>
      </c>
      <c r="Q1095" s="205">
        <v>2666.69</v>
      </c>
      <c r="R1095" s="1262" t="s">
        <v>2556</v>
      </c>
      <c r="S1095" s="254">
        <v>1333.34</v>
      </c>
      <c r="T1095" s="204">
        <v>45075</v>
      </c>
      <c r="U1095" s="203"/>
      <c r="V1095" s="254"/>
      <c r="W1095" s="203"/>
      <c r="X1095" s="206"/>
      <c r="Y1095" s="203" t="s">
        <v>1077</v>
      </c>
    </row>
    <row r="1096" ht="37.5" customHeight="1" spans="1:25">
      <c r="A1096" s="192">
        <f t="shared" si="27"/>
        <v>1088</v>
      </c>
      <c r="B1096" s="208">
        <v>2023</v>
      </c>
      <c r="C1096" s="193" t="s">
        <v>37</v>
      </c>
      <c r="D1096" s="277" t="s">
        <v>4501</v>
      </c>
      <c r="E1096" s="195" t="s">
        <v>4502</v>
      </c>
      <c r="F1096" s="196" t="s">
        <v>2073</v>
      </c>
      <c r="G1096" s="197" t="s">
        <v>3239</v>
      </c>
      <c r="H1096" s="198">
        <v>0.8</v>
      </c>
      <c r="I1096" s="199">
        <v>15585.7</v>
      </c>
      <c r="J1096" s="200" t="s">
        <v>2297</v>
      </c>
      <c r="K1096" s="200" t="s">
        <v>4172</v>
      </c>
      <c r="L1096" s="201">
        <v>0.4</v>
      </c>
      <c r="M1096" s="278" t="s">
        <v>2714</v>
      </c>
      <c r="N1096" s="205">
        <v>2000</v>
      </c>
      <c r="O1096" s="254">
        <v>2000</v>
      </c>
      <c r="P1096" s="205">
        <v>1600</v>
      </c>
      <c r="Q1096" s="205">
        <v>1600</v>
      </c>
      <c r="R1096" s="1262" t="s">
        <v>2556</v>
      </c>
      <c r="S1096" s="254">
        <v>800</v>
      </c>
      <c r="T1096" s="204">
        <v>45075</v>
      </c>
      <c r="U1096" s="203"/>
      <c r="V1096" s="254"/>
      <c r="W1096" s="203"/>
      <c r="X1096" s="206"/>
      <c r="Y1096" s="203" t="s">
        <v>1077</v>
      </c>
    </row>
    <row r="1097" ht="37.5" customHeight="1" spans="1:25">
      <c r="A1097" s="192">
        <f t="shared" si="27"/>
        <v>1089</v>
      </c>
      <c r="B1097" s="208">
        <v>2023</v>
      </c>
      <c r="C1097" s="193" t="s">
        <v>37</v>
      </c>
      <c r="D1097" s="277" t="s">
        <v>4414</v>
      </c>
      <c r="E1097" s="195" t="s">
        <v>4503</v>
      </c>
      <c r="F1097" s="196" t="s">
        <v>2073</v>
      </c>
      <c r="G1097" s="197" t="s">
        <v>3239</v>
      </c>
      <c r="H1097" s="198">
        <v>0.8</v>
      </c>
      <c r="I1097" s="199">
        <v>32000</v>
      </c>
      <c r="J1097" s="200" t="s">
        <v>2413</v>
      </c>
      <c r="K1097" s="200" t="s">
        <v>4174</v>
      </c>
      <c r="L1097" s="201">
        <v>0.4</v>
      </c>
      <c r="M1097" s="278" t="s">
        <v>4395</v>
      </c>
      <c r="N1097" s="205">
        <v>21333.36</v>
      </c>
      <c r="O1097" s="254">
        <v>21333.36</v>
      </c>
      <c r="P1097" s="205">
        <v>17066.69</v>
      </c>
      <c r="Q1097" s="205">
        <v>17066.69</v>
      </c>
      <c r="R1097" s="1262" t="s">
        <v>2556</v>
      </c>
      <c r="S1097" s="254">
        <v>8533.34</v>
      </c>
      <c r="T1097" s="204">
        <v>45075</v>
      </c>
      <c r="U1097" s="203"/>
      <c r="V1097" s="254"/>
      <c r="W1097" s="203"/>
      <c r="X1097" s="206"/>
      <c r="Y1097" s="203" t="s">
        <v>1077</v>
      </c>
    </row>
    <row r="1098" ht="37.5" customHeight="1" spans="1:25">
      <c r="A1098" s="192">
        <f t="shared" si="27"/>
        <v>1090</v>
      </c>
      <c r="B1098" s="208">
        <v>2023</v>
      </c>
      <c r="C1098" s="193" t="s">
        <v>37</v>
      </c>
      <c r="D1098" s="277" t="s">
        <v>4504</v>
      </c>
      <c r="E1098" s="195" t="s">
        <v>4505</v>
      </c>
      <c r="F1098" s="196" t="s">
        <v>2073</v>
      </c>
      <c r="G1098" s="197" t="s">
        <v>3239</v>
      </c>
      <c r="H1098" s="198">
        <v>0.8</v>
      </c>
      <c r="I1098" s="199">
        <v>15504.54</v>
      </c>
      <c r="J1098" s="200" t="s">
        <v>2413</v>
      </c>
      <c r="K1098" s="200" t="s">
        <v>4174</v>
      </c>
      <c r="L1098" s="201">
        <v>0.4</v>
      </c>
      <c r="M1098" s="278" t="s">
        <v>2714</v>
      </c>
      <c r="N1098" s="205">
        <v>1950.02</v>
      </c>
      <c r="O1098" s="254">
        <v>1950.02</v>
      </c>
      <c r="P1098" s="205">
        <v>1560.02</v>
      </c>
      <c r="Q1098" s="205">
        <v>1560.02</v>
      </c>
      <c r="R1098" s="1262" t="s">
        <v>2556</v>
      </c>
      <c r="S1098" s="254">
        <v>780.01</v>
      </c>
      <c r="T1098" s="204">
        <v>45075</v>
      </c>
      <c r="U1098" s="203"/>
      <c r="V1098" s="254"/>
      <c r="W1098" s="203"/>
      <c r="X1098" s="206"/>
      <c r="Y1098" s="203" t="s">
        <v>1077</v>
      </c>
    </row>
    <row r="1099" ht="37.5" customHeight="1" spans="1:25">
      <c r="A1099" s="192">
        <f t="shared" si="27"/>
        <v>1091</v>
      </c>
      <c r="B1099" s="208">
        <v>2023</v>
      </c>
      <c r="C1099" s="193" t="s">
        <v>37</v>
      </c>
      <c r="D1099" s="277" t="s">
        <v>4279</v>
      </c>
      <c r="E1099" s="195" t="s">
        <v>4506</v>
      </c>
      <c r="F1099" s="196" t="s">
        <v>2073</v>
      </c>
      <c r="G1099" s="197" t="s">
        <v>3239</v>
      </c>
      <c r="H1099" s="198">
        <v>0.8</v>
      </c>
      <c r="I1099" s="199">
        <v>55000</v>
      </c>
      <c r="J1099" s="200" t="s">
        <v>2217</v>
      </c>
      <c r="K1099" s="200" t="s">
        <v>4507</v>
      </c>
      <c r="L1099" s="201">
        <v>0.4</v>
      </c>
      <c r="M1099" s="278" t="s">
        <v>2714</v>
      </c>
      <c r="N1099" s="205">
        <v>37016.33</v>
      </c>
      <c r="O1099" s="254">
        <v>37016.33</v>
      </c>
      <c r="P1099" s="205">
        <v>29613.07</v>
      </c>
      <c r="Q1099" s="205">
        <v>29613.07</v>
      </c>
      <c r="R1099" s="1262" t="s">
        <v>2556</v>
      </c>
      <c r="S1099" s="254">
        <v>14806.53</v>
      </c>
      <c r="T1099" s="204">
        <v>45075</v>
      </c>
      <c r="U1099" s="203"/>
      <c r="V1099" s="254"/>
      <c r="W1099" s="203"/>
      <c r="X1099" s="206"/>
      <c r="Y1099" s="203" t="s">
        <v>1077</v>
      </c>
    </row>
    <row r="1100" ht="37.5" customHeight="1" spans="1:25">
      <c r="A1100" s="192">
        <f t="shared" si="27"/>
        <v>1092</v>
      </c>
      <c r="B1100" s="208">
        <v>2023</v>
      </c>
      <c r="C1100" s="193" t="s">
        <v>37</v>
      </c>
      <c r="D1100" s="277" t="s">
        <v>4377</v>
      </c>
      <c r="E1100" s="195" t="s">
        <v>4508</v>
      </c>
      <c r="F1100" s="196" t="s">
        <v>2073</v>
      </c>
      <c r="G1100" s="197" t="s">
        <v>3239</v>
      </c>
      <c r="H1100" s="198">
        <v>0.8</v>
      </c>
      <c r="I1100" s="199">
        <v>44700</v>
      </c>
      <c r="J1100" s="200" t="s">
        <v>4509</v>
      </c>
      <c r="K1100" s="200" t="s">
        <v>4510</v>
      </c>
      <c r="L1100" s="201">
        <v>0.4</v>
      </c>
      <c r="M1100" s="278" t="s">
        <v>2714</v>
      </c>
      <c r="N1100" s="205">
        <v>33525</v>
      </c>
      <c r="O1100" s="254">
        <v>33525</v>
      </c>
      <c r="P1100" s="205">
        <v>26820</v>
      </c>
      <c r="Q1100" s="205">
        <v>26820</v>
      </c>
      <c r="R1100" s="1262" t="s">
        <v>2556</v>
      </c>
      <c r="S1100" s="254">
        <v>13410</v>
      </c>
      <c r="T1100" s="204">
        <v>45075</v>
      </c>
      <c r="U1100" s="203"/>
      <c r="V1100" s="254"/>
      <c r="W1100" s="203"/>
      <c r="X1100" s="206"/>
      <c r="Y1100" s="203" t="s">
        <v>1077</v>
      </c>
    </row>
    <row r="1101" ht="37.5" customHeight="1" spans="1:25">
      <c r="A1101" s="192">
        <f t="shared" si="27"/>
        <v>1093</v>
      </c>
      <c r="B1101" s="208">
        <v>2023</v>
      </c>
      <c r="C1101" s="193" t="s">
        <v>37</v>
      </c>
      <c r="D1101" s="277" t="s">
        <v>4511</v>
      </c>
      <c r="E1101" s="195" t="s">
        <v>4512</v>
      </c>
      <c r="F1101" s="196" t="s">
        <v>2073</v>
      </c>
      <c r="G1101" s="197" t="s">
        <v>3239</v>
      </c>
      <c r="H1101" s="198">
        <v>0.8</v>
      </c>
      <c r="I1101" s="199">
        <v>13781.53</v>
      </c>
      <c r="J1101" s="200" t="s">
        <v>2351</v>
      </c>
      <c r="K1101" s="200" t="s">
        <v>3981</v>
      </c>
      <c r="L1101" s="201">
        <v>0.4</v>
      </c>
      <c r="M1101" s="278" t="s">
        <v>2714</v>
      </c>
      <c r="N1101" s="205">
        <v>3600</v>
      </c>
      <c r="O1101" s="254">
        <v>3600</v>
      </c>
      <c r="P1101" s="205">
        <v>2880</v>
      </c>
      <c r="Q1101" s="205">
        <v>2880</v>
      </c>
      <c r="R1101" s="1262" t="s">
        <v>2556</v>
      </c>
      <c r="S1101" s="254">
        <v>1440</v>
      </c>
      <c r="T1101" s="204">
        <v>45075</v>
      </c>
      <c r="U1101" s="203"/>
      <c r="V1101" s="254"/>
      <c r="W1101" s="203"/>
      <c r="X1101" s="206"/>
      <c r="Y1101" s="203" t="s">
        <v>1077</v>
      </c>
    </row>
    <row r="1102" ht="37.5" customHeight="1" spans="1:25">
      <c r="A1102" s="192">
        <f t="shared" si="27"/>
        <v>1094</v>
      </c>
      <c r="B1102" s="208">
        <v>2023</v>
      </c>
      <c r="C1102" s="193" t="s">
        <v>37</v>
      </c>
      <c r="D1102" s="277" t="s">
        <v>562</v>
      </c>
      <c r="E1102" s="195" t="s">
        <v>4513</v>
      </c>
      <c r="F1102" s="196" t="s">
        <v>2073</v>
      </c>
      <c r="G1102" s="197" t="s">
        <v>3239</v>
      </c>
      <c r="H1102" s="198">
        <v>0.8</v>
      </c>
      <c r="I1102" s="199">
        <v>36999</v>
      </c>
      <c r="J1102" s="200" t="s">
        <v>2941</v>
      </c>
      <c r="K1102" s="200" t="s">
        <v>4514</v>
      </c>
      <c r="L1102" s="201">
        <v>0.4</v>
      </c>
      <c r="M1102" s="278" t="s">
        <v>4203</v>
      </c>
      <c r="N1102" s="205">
        <v>31407.67</v>
      </c>
      <c r="O1102" s="254">
        <v>31407.67</v>
      </c>
      <c r="P1102" s="205">
        <v>25126.13</v>
      </c>
      <c r="Q1102" s="205">
        <v>25126.13</v>
      </c>
      <c r="R1102" s="1262" t="s">
        <v>2556</v>
      </c>
      <c r="S1102" s="254">
        <v>12563.07</v>
      </c>
      <c r="T1102" s="204">
        <v>45075</v>
      </c>
      <c r="U1102" s="1262" t="s">
        <v>2228</v>
      </c>
      <c r="V1102" s="254">
        <v>6281.53</v>
      </c>
      <c r="W1102" s="203" t="s">
        <v>4193</v>
      </c>
      <c r="X1102" s="206">
        <v>6281.53</v>
      </c>
      <c r="Y1102" s="192"/>
    </row>
    <row r="1103" ht="37.5" customHeight="1" spans="1:25">
      <c r="A1103" s="192">
        <f t="shared" si="27"/>
        <v>1095</v>
      </c>
      <c r="B1103" s="208">
        <v>2023</v>
      </c>
      <c r="C1103" s="193" t="s">
        <v>37</v>
      </c>
      <c r="D1103" s="277" t="s">
        <v>2430</v>
      </c>
      <c r="E1103" s="195" t="s">
        <v>4515</v>
      </c>
      <c r="F1103" s="196" t="s">
        <v>2073</v>
      </c>
      <c r="G1103" s="197" t="s">
        <v>3239</v>
      </c>
      <c r="H1103" s="198">
        <v>0.8</v>
      </c>
      <c r="I1103" s="199">
        <v>50000</v>
      </c>
      <c r="J1103" s="200" t="s">
        <v>2642</v>
      </c>
      <c r="K1103" s="200" t="s">
        <v>4516</v>
      </c>
      <c r="L1103" s="201">
        <v>0.4</v>
      </c>
      <c r="M1103" s="278" t="s">
        <v>4206</v>
      </c>
      <c r="N1103" s="205">
        <v>41333.34</v>
      </c>
      <c r="O1103" s="254">
        <v>41333.34</v>
      </c>
      <c r="P1103" s="205">
        <v>33066.67</v>
      </c>
      <c r="Q1103" s="205">
        <v>33066.67</v>
      </c>
      <c r="R1103" s="1262" t="s">
        <v>2556</v>
      </c>
      <c r="S1103" s="254">
        <v>16533.34</v>
      </c>
      <c r="T1103" s="204">
        <v>45075</v>
      </c>
      <c r="U1103" s="1262" t="s">
        <v>2228</v>
      </c>
      <c r="V1103" s="254">
        <v>8266.67</v>
      </c>
      <c r="W1103" s="203" t="s">
        <v>4193</v>
      </c>
      <c r="X1103" s="206">
        <v>8266.67</v>
      </c>
      <c r="Y1103" s="192"/>
    </row>
    <row r="1104" ht="37.5" customHeight="1" spans="1:25">
      <c r="A1104" s="192">
        <f t="shared" si="27"/>
        <v>1096</v>
      </c>
      <c r="B1104" s="208">
        <v>2023</v>
      </c>
      <c r="C1104" s="193" t="s">
        <v>37</v>
      </c>
      <c r="D1104" s="277" t="s">
        <v>4429</v>
      </c>
      <c r="E1104" s="195" t="s">
        <v>4517</v>
      </c>
      <c r="F1104" s="196" t="s">
        <v>2073</v>
      </c>
      <c r="G1104" s="197" t="s">
        <v>3239</v>
      </c>
      <c r="H1104" s="198">
        <v>0.8</v>
      </c>
      <c r="I1104" s="199">
        <v>80000</v>
      </c>
      <c r="J1104" s="200" t="s">
        <v>3110</v>
      </c>
      <c r="K1104" s="200" t="s">
        <v>4518</v>
      </c>
      <c r="L1104" s="201">
        <v>0.4</v>
      </c>
      <c r="M1104" s="278" t="s">
        <v>3947</v>
      </c>
      <c r="N1104" s="205">
        <v>76666.68</v>
      </c>
      <c r="O1104" s="254">
        <v>76666.68</v>
      </c>
      <c r="P1104" s="205">
        <v>61333.34</v>
      </c>
      <c r="Q1104" s="205">
        <v>61333.34</v>
      </c>
      <c r="R1104" s="1262" t="s">
        <v>2556</v>
      </c>
      <c r="S1104" s="254">
        <v>30666.67</v>
      </c>
      <c r="T1104" s="204">
        <v>45075</v>
      </c>
      <c r="U1104" s="1262" t="s">
        <v>2228</v>
      </c>
      <c r="V1104" s="254">
        <v>15333.34</v>
      </c>
      <c r="W1104" s="203" t="s">
        <v>4193</v>
      </c>
      <c r="X1104" s="206">
        <v>15333.34</v>
      </c>
      <c r="Y1104" s="192"/>
    </row>
    <row r="1105" ht="37.5" customHeight="1" spans="1:25">
      <c r="A1105" s="192">
        <f t="shared" si="27"/>
        <v>1097</v>
      </c>
      <c r="B1105" s="208">
        <v>2023</v>
      </c>
      <c r="C1105" s="193" t="s">
        <v>37</v>
      </c>
      <c r="D1105" s="277" t="s">
        <v>3270</v>
      </c>
      <c r="E1105" s="195" t="s">
        <v>4519</v>
      </c>
      <c r="F1105" s="196" t="s">
        <v>2073</v>
      </c>
      <c r="G1105" s="197" t="s">
        <v>3239</v>
      </c>
      <c r="H1105" s="198">
        <v>0.8</v>
      </c>
      <c r="I1105" s="199">
        <v>110000</v>
      </c>
      <c r="J1105" s="200" t="s">
        <v>3041</v>
      </c>
      <c r="K1105" s="200" t="s">
        <v>4520</v>
      </c>
      <c r="L1105" s="201">
        <v>0.4</v>
      </c>
      <c r="M1105" s="278" t="s">
        <v>4296</v>
      </c>
      <c r="N1105" s="205">
        <v>73750.03</v>
      </c>
      <c r="O1105" s="254">
        <v>73750.03</v>
      </c>
      <c r="P1105" s="205">
        <v>59000.02</v>
      </c>
      <c r="Q1105" s="205">
        <v>59000.02</v>
      </c>
      <c r="R1105" s="1262" t="s">
        <v>2556</v>
      </c>
      <c r="S1105" s="254">
        <v>29500.01</v>
      </c>
      <c r="T1105" s="204">
        <v>45075</v>
      </c>
      <c r="U1105" s="1262" t="s">
        <v>2228</v>
      </c>
      <c r="V1105" s="254">
        <v>14750.01</v>
      </c>
      <c r="W1105" s="203" t="s">
        <v>4193</v>
      </c>
      <c r="X1105" s="206">
        <v>14750.01</v>
      </c>
      <c r="Y1105" s="192"/>
    </row>
    <row r="1106" ht="37.5" customHeight="1" spans="1:25">
      <c r="A1106" s="192">
        <f t="shared" si="27"/>
        <v>1098</v>
      </c>
      <c r="B1106" s="208">
        <v>2023</v>
      </c>
      <c r="C1106" s="193" t="s">
        <v>37</v>
      </c>
      <c r="D1106" s="277" t="s">
        <v>3867</v>
      </c>
      <c r="E1106" s="195" t="s">
        <v>4521</v>
      </c>
      <c r="F1106" s="196" t="s">
        <v>2073</v>
      </c>
      <c r="G1106" s="197" t="s">
        <v>3239</v>
      </c>
      <c r="H1106" s="198">
        <v>0.8</v>
      </c>
      <c r="I1106" s="199">
        <v>15300.94</v>
      </c>
      <c r="J1106" s="200" t="s">
        <v>3044</v>
      </c>
      <c r="K1106" s="200" t="s">
        <v>4522</v>
      </c>
      <c r="L1106" s="201">
        <v>0.4</v>
      </c>
      <c r="M1106" s="278" t="s">
        <v>2714</v>
      </c>
      <c r="N1106" s="205">
        <v>6000</v>
      </c>
      <c r="O1106" s="254">
        <v>6000</v>
      </c>
      <c r="P1106" s="205">
        <v>4800</v>
      </c>
      <c r="Q1106" s="205">
        <v>4800</v>
      </c>
      <c r="R1106" s="1262" t="s">
        <v>2556</v>
      </c>
      <c r="S1106" s="254">
        <v>2400</v>
      </c>
      <c r="T1106" s="204">
        <v>45075</v>
      </c>
      <c r="U1106" s="1262" t="s">
        <v>2228</v>
      </c>
      <c r="V1106" s="254">
        <v>1200</v>
      </c>
      <c r="W1106" s="203" t="s">
        <v>4193</v>
      </c>
      <c r="X1106" s="206">
        <v>1200</v>
      </c>
      <c r="Y1106" s="192"/>
    </row>
    <row r="1107" ht="37.5" customHeight="1" spans="1:25">
      <c r="A1107" s="192">
        <f t="shared" si="27"/>
        <v>1099</v>
      </c>
      <c r="B1107" s="208">
        <v>2023</v>
      </c>
      <c r="C1107" s="193" t="s">
        <v>37</v>
      </c>
      <c r="D1107" s="277" t="s">
        <v>4447</v>
      </c>
      <c r="E1107" s="195" t="s">
        <v>4523</v>
      </c>
      <c r="F1107" s="196" t="s">
        <v>2073</v>
      </c>
      <c r="G1107" s="197" t="s">
        <v>3239</v>
      </c>
      <c r="H1107" s="198">
        <v>0.8</v>
      </c>
      <c r="I1107" s="199">
        <v>10500</v>
      </c>
      <c r="J1107" s="200" t="s">
        <v>3044</v>
      </c>
      <c r="K1107" s="200" t="s">
        <v>4522</v>
      </c>
      <c r="L1107" s="201">
        <v>0.4</v>
      </c>
      <c r="M1107" s="278" t="s">
        <v>2897</v>
      </c>
      <c r="N1107" s="205">
        <v>9625.01</v>
      </c>
      <c r="O1107" s="254">
        <v>9625.01</v>
      </c>
      <c r="P1107" s="205">
        <v>7700.01</v>
      </c>
      <c r="Q1107" s="205">
        <v>7700.01</v>
      </c>
      <c r="R1107" s="1262" t="s">
        <v>2556</v>
      </c>
      <c r="S1107" s="254">
        <v>3850</v>
      </c>
      <c r="T1107" s="204">
        <v>45075</v>
      </c>
      <c r="U1107" s="1262" t="s">
        <v>2228</v>
      </c>
      <c r="V1107" s="254">
        <v>1925</v>
      </c>
      <c r="W1107" s="203" t="s">
        <v>4193</v>
      </c>
      <c r="X1107" s="206">
        <v>1925</v>
      </c>
      <c r="Y1107" s="192"/>
    </row>
    <row r="1108" ht="37.5" customHeight="1" spans="1:25">
      <c r="A1108" s="192">
        <f t="shared" si="27"/>
        <v>1100</v>
      </c>
      <c r="B1108" s="208">
        <v>2023</v>
      </c>
      <c r="C1108" s="193" t="s">
        <v>37</v>
      </c>
      <c r="D1108" s="277" t="s">
        <v>4524</v>
      </c>
      <c r="E1108" s="195" t="s">
        <v>4525</v>
      </c>
      <c r="F1108" s="196" t="s">
        <v>2073</v>
      </c>
      <c r="G1108" s="197" t="s">
        <v>3239</v>
      </c>
      <c r="H1108" s="198">
        <v>0.8</v>
      </c>
      <c r="I1108" s="199">
        <v>100000</v>
      </c>
      <c r="J1108" s="200" t="s">
        <v>1876</v>
      </c>
      <c r="K1108" s="200" t="s">
        <v>4526</v>
      </c>
      <c r="L1108" s="201">
        <v>0.4</v>
      </c>
      <c r="M1108" s="278" t="s">
        <v>4030</v>
      </c>
      <c r="N1108" s="205">
        <v>91666.67</v>
      </c>
      <c r="O1108" s="254">
        <v>91666.67</v>
      </c>
      <c r="P1108" s="205">
        <v>73333.34</v>
      </c>
      <c r="Q1108" s="205">
        <v>73333.34</v>
      </c>
      <c r="R1108" s="1262" t="s">
        <v>2556</v>
      </c>
      <c r="S1108" s="254">
        <v>36666.67</v>
      </c>
      <c r="T1108" s="204">
        <v>45075</v>
      </c>
      <c r="U1108" s="1262" t="s">
        <v>2228</v>
      </c>
      <c r="V1108" s="254">
        <v>18333.33</v>
      </c>
      <c r="W1108" s="203" t="s">
        <v>4193</v>
      </c>
      <c r="X1108" s="206">
        <v>18333.33</v>
      </c>
      <c r="Y1108" s="192"/>
    </row>
    <row r="1109" ht="37.5" customHeight="1" spans="1:25">
      <c r="A1109" s="192">
        <f t="shared" si="27"/>
        <v>1101</v>
      </c>
      <c r="B1109" s="208">
        <v>2023</v>
      </c>
      <c r="C1109" s="193" t="s">
        <v>37</v>
      </c>
      <c r="D1109" s="277" t="s">
        <v>4420</v>
      </c>
      <c r="E1109" s="195" t="s">
        <v>4527</v>
      </c>
      <c r="F1109" s="196" t="s">
        <v>2073</v>
      </c>
      <c r="G1109" s="197" t="s">
        <v>3239</v>
      </c>
      <c r="H1109" s="198">
        <v>0.8</v>
      </c>
      <c r="I1109" s="199">
        <v>73000</v>
      </c>
      <c r="J1109" s="200" t="s">
        <v>4528</v>
      </c>
      <c r="K1109" s="200" t="s">
        <v>4529</v>
      </c>
      <c r="L1109" s="201">
        <v>0.4</v>
      </c>
      <c r="M1109" s="278" t="s">
        <v>4206</v>
      </c>
      <c r="N1109" s="205">
        <v>48666.67</v>
      </c>
      <c r="O1109" s="254">
        <v>48666.67</v>
      </c>
      <c r="P1109" s="205">
        <v>38933.34</v>
      </c>
      <c r="Q1109" s="205">
        <v>38933.34</v>
      </c>
      <c r="R1109" s="1262" t="s">
        <v>2556</v>
      </c>
      <c r="S1109" s="254">
        <v>19466.67</v>
      </c>
      <c r="T1109" s="204">
        <v>45075</v>
      </c>
      <c r="U1109" s="1262" t="s">
        <v>2228</v>
      </c>
      <c r="V1109" s="254">
        <v>9733.33</v>
      </c>
      <c r="W1109" s="203" t="s">
        <v>4193</v>
      </c>
      <c r="X1109" s="206">
        <v>9733.33</v>
      </c>
      <c r="Y1109" s="192"/>
    </row>
    <row r="1110" ht="37.5" customHeight="1" spans="1:25">
      <c r="A1110" s="192">
        <f t="shared" si="27"/>
        <v>1102</v>
      </c>
      <c r="B1110" s="208">
        <v>2023</v>
      </c>
      <c r="C1110" s="193" t="s">
        <v>37</v>
      </c>
      <c r="D1110" s="277" t="s">
        <v>3922</v>
      </c>
      <c r="E1110" s="195" t="s">
        <v>4530</v>
      </c>
      <c r="F1110" s="196" t="s">
        <v>2073</v>
      </c>
      <c r="G1110" s="197" t="s">
        <v>3239</v>
      </c>
      <c r="H1110" s="198">
        <v>0.8</v>
      </c>
      <c r="I1110" s="199">
        <v>21000</v>
      </c>
      <c r="J1110" s="200" t="s">
        <v>2870</v>
      </c>
      <c r="K1110" s="200" t="s">
        <v>4531</v>
      </c>
      <c r="L1110" s="201">
        <v>0.4</v>
      </c>
      <c r="M1110" s="278" t="s">
        <v>2714</v>
      </c>
      <c r="N1110" s="205">
        <v>21000</v>
      </c>
      <c r="O1110" s="254">
        <v>21000</v>
      </c>
      <c r="P1110" s="205">
        <v>16800</v>
      </c>
      <c r="Q1110" s="205">
        <v>16800</v>
      </c>
      <c r="R1110" s="1262" t="s">
        <v>2556</v>
      </c>
      <c r="S1110" s="254">
        <v>8400</v>
      </c>
      <c r="T1110" s="204">
        <v>45075</v>
      </c>
      <c r="U1110" s="1262" t="s">
        <v>2228</v>
      </c>
      <c r="V1110" s="254">
        <v>4200</v>
      </c>
      <c r="W1110" s="203" t="s">
        <v>4193</v>
      </c>
      <c r="X1110" s="206">
        <v>4200</v>
      </c>
      <c r="Y1110" s="192"/>
    </row>
    <row r="1111" ht="37.5" customHeight="1" spans="1:25">
      <c r="A1111" s="192">
        <f t="shared" si="27"/>
        <v>1103</v>
      </c>
      <c r="B1111" s="208">
        <v>2023</v>
      </c>
      <c r="C1111" s="193" t="s">
        <v>37</v>
      </c>
      <c r="D1111" s="277" t="s">
        <v>4256</v>
      </c>
      <c r="E1111" s="195" t="s">
        <v>4532</v>
      </c>
      <c r="F1111" s="196" t="s">
        <v>2073</v>
      </c>
      <c r="G1111" s="197" t="s">
        <v>3239</v>
      </c>
      <c r="H1111" s="198">
        <v>0.8</v>
      </c>
      <c r="I1111" s="199">
        <v>31473</v>
      </c>
      <c r="J1111" s="200" t="s">
        <v>2055</v>
      </c>
      <c r="K1111" s="200" t="s">
        <v>4533</v>
      </c>
      <c r="L1111" s="201">
        <v>0.4</v>
      </c>
      <c r="M1111" s="278" t="s">
        <v>4534</v>
      </c>
      <c r="N1111" s="205">
        <v>28629.43</v>
      </c>
      <c r="O1111" s="254">
        <v>28629.43</v>
      </c>
      <c r="P1111" s="205">
        <v>22903.54</v>
      </c>
      <c r="Q1111" s="205">
        <v>22903.54</v>
      </c>
      <c r="R1111" s="1262" t="s">
        <v>2556</v>
      </c>
      <c r="S1111" s="254">
        <v>11451.77</v>
      </c>
      <c r="T1111" s="204">
        <v>45075</v>
      </c>
      <c r="U1111" s="1262" t="s">
        <v>2228</v>
      </c>
      <c r="V1111" s="254">
        <v>5725.89</v>
      </c>
      <c r="W1111" s="203" t="s">
        <v>4193</v>
      </c>
      <c r="X1111" s="206">
        <v>5725.89</v>
      </c>
      <c r="Y1111" s="192"/>
    </row>
    <row r="1112" ht="37.5" customHeight="1" spans="1:25">
      <c r="A1112" s="192">
        <f t="shared" si="27"/>
        <v>1104</v>
      </c>
      <c r="B1112" s="208">
        <v>2023</v>
      </c>
      <c r="C1112" s="193" t="s">
        <v>37</v>
      </c>
      <c r="D1112" s="277" t="s">
        <v>4470</v>
      </c>
      <c r="E1112" s="195" t="s">
        <v>4535</v>
      </c>
      <c r="F1112" s="196" t="s">
        <v>2073</v>
      </c>
      <c r="G1112" s="197" t="s">
        <v>3239</v>
      </c>
      <c r="H1112" s="198">
        <v>0.8</v>
      </c>
      <c r="I1112" s="199">
        <v>19455.16</v>
      </c>
      <c r="J1112" s="200" t="s">
        <v>2055</v>
      </c>
      <c r="K1112" s="200" t="s">
        <v>4533</v>
      </c>
      <c r="L1112" s="201">
        <v>0.4</v>
      </c>
      <c r="M1112" s="278" t="s">
        <v>4161</v>
      </c>
      <c r="N1112" s="205">
        <v>2016.67</v>
      </c>
      <c r="O1112" s="254">
        <v>2016.67</v>
      </c>
      <c r="P1112" s="205">
        <v>1613.34</v>
      </c>
      <c r="Q1112" s="205">
        <v>1613.34</v>
      </c>
      <c r="R1112" s="1262" t="s">
        <v>2556</v>
      </c>
      <c r="S1112" s="254">
        <v>806.67</v>
      </c>
      <c r="T1112" s="204">
        <v>45075</v>
      </c>
      <c r="U1112" s="1262" t="s">
        <v>2228</v>
      </c>
      <c r="V1112" s="254">
        <v>403.33</v>
      </c>
      <c r="W1112" s="203" t="s">
        <v>4193</v>
      </c>
      <c r="X1112" s="206">
        <v>403.33</v>
      </c>
      <c r="Y1112" s="192"/>
    </row>
    <row r="1113" ht="37.5" customHeight="1" spans="1:25">
      <c r="A1113" s="192">
        <f t="shared" si="27"/>
        <v>1105</v>
      </c>
      <c r="B1113" s="208">
        <v>2023</v>
      </c>
      <c r="C1113" s="193" t="s">
        <v>37</v>
      </c>
      <c r="D1113" s="277" t="s">
        <v>4450</v>
      </c>
      <c r="E1113" s="195" t="s">
        <v>4536</v>
      </c>
      <c r="F1113" s="196" t="s">
        <v>2073</v>
      </c>
      <c r="G1113" s="197" t="s">
        <v>3239</v>
      </c>
      <c r="H1113" s="198">
        <v>0.8</v>
      </c>
      <c r="I1113" s="199">
        <v>16434.28</v>
      </c>
      <c r="J1113" s="200" t="s">
        <v>2927</v>
      </c>
      <c r="K1113" s="200" t="s">
        <v>4537</v>
      </c>
      <c r="L1113" s="201">
        <v>0.4</v>
      </c>
      <c r="M1113" s="278" t="s">
        <v>4245</v>
      </c>
      <c r="N1113" s="205">
        <v>1985.5</v>
      </c>
      <c r="O1113" s="254">
        <v>1985.5</v>
      </c>
      <c r="P1113" s="205">
        <v>1588.4</v>
      </c>
      <c r="Q1113" s="205">
        <v>1588.4</v>
      </c>
      <c r="R1113" s="1262" t="s">
        <v>2556</v>
      </c>
      <c r="S1113" s="254">
        <v>794.2</v>
      </c>
      <c r="T1113" s="204">
        <v>45075</v>
      </c>
      <c r="U1113" s="1262" t="s">
        <v>2228</v>
      </c>
      <c r="V1113" s="254">
        <v>397.1</v>
      </c>
      <c r="W1113" s="203" t="s">
        <v>4193</v>
      </c>
      <c r="X1113" s="206">
        <v>397.1</v>
      </c>
      <c r="Y1113" s="192"/>
    </row>
    <row r="1114" ht="37.5" customHeight="1" spans="1:25">
      <c r="A1114" s="192">
        <f t="shared" si="27"/>
        <v>1106</v>
      </c>
      <c r="B1114" s="208">
        <v>2023</v>
      </c>
      <c r="C1114" s="193" t="s">
        <v>37</v>
      </c>
      <c r="D1114" s="277" t="s">
        <v>4524</v>
      </c>
      <c r="E1114" s="195" t="s">
        <v>4538</v>
      </c>
      <c r="F1114" s="196" t="s">
        <v>2073</v>
      </c>
      <c r="G1114" s="197" t="s">
        <v>3239</v>
      </c>
      <c r="H1114" s="198">
        <v>0.8</v>
      </c>
      <c r="I1114" s="199">
        <v>80000</v>
      </c>
      <c r="J1114" s="200" t="s">
        <v>2026</v>
      </c>
      <c r="K1114" s="200" t="s">
        <v>4539</v>
      </c>
      <c r="L1114" s="201">
        <v>0.4</v>
      </c>
      <c r="M1114" s="278" t="s">
        <v>4030</v>
      </c>
      <c r="N1114" s="205">
        <v>80000</v>
      </c>
      <c r="O1114" s="254">
        <v>80000</v>
      </c>
      <c r="P1114" s="205">
        <v>64000</v>
      </c>
      <c r="Q1114" s="205">
        <v>64000</v>
      </c>
      <c r="R1114" s="1262" t="s">
        <v>2556</v>
      </c>
      <c r="S1114" s="254">
        <v>32000</v>
      </c>
      <c r="T1114" s="204">
        <v>45075</v>
      </c>
      <c r="U1114" s="1262" t="s">
        <v>2228</v>
      </c>
      <c r="V1114" s="254">
        <v>16000</v>
      </c>
      <c r="W1114" s="203" t="s">
        <v>4193</v>
      </c>
      <c r="X1114" s="206">
        <v>16000</v>
      </c>
      <c r="Y1114" s="192"/>
    </row>
    <row r="1115" ht="37.5" customHeight="1" spans="1:25">
      <c r="A1115" s="192">
        <f t="shared" si="27"/>
        <v>1107</v>
      </c>
      <c r="B1115" s="208">
        <v>2023</v>
      </c>
      <c r="C1115" s="193" t="s">
        <v>37</v>
      </c>
      <c r="D1115" s="277" t="s">
        <v>3270</v>
      </c>
      <c r="E1115" s="195" t="s">
        <v>4540</v>
      </c>
      <c r="F1115" s="196" t="s">
        <v>2073</v>
      </c>
      <c r="G1115" s="197" t="s">
        <v>3239</v>
      </c>
      <c r="H1115" s="198">
        <v>0.8</v>
      </c>
      <c r="I1115" s="199">
        <v>95000</v>
      </c>
      <c r="J1115" s="200" t="s">
        <v>2026</v>
      </c>
      <c r="K1115" s="200" t="s">
        <v>4539</v>
      </c>
      <c r="L1115" s="201">
        <v>0.4</v>
      </c>
      <c r="M1115" s="278" t="s">
        <v>4296</v>
      </c>
      <c r="N1115" s="205">
        <v>95000</v>
      </c>
      <c r="O1115" s="254">
        <v>95000</v>
      </c>
      <c r="P1115" s="205">
        <v>76000</v>
      </c>
      <c r="Q1115" s="205">
        <v>76000</v>
      </c>
      <c r="R1115" s="1262" t="s">
        <v>2556</v>
      </c>
      <c r="S1115" s="254">
        <v>38000</v>
      </c>
      <c r="T1115" s="204">
        <v>45075</v>
      </c>
      <c r="U1115" s="1262" t="s">
        <v>2228</v>
      </c>
      <c r="V1115" s="254">
        <v>19000</v>
      </c>
      <c r="W1115" s="203" t="s">
        <v>4193</v>
      </c>
      <c r="X1115" s="206">
        <v>19000</v>
      </c>
      <c r="Y1115" s="192"/>
    </row>
    <row r="1116" ht="37.5" customHeight="1" spans="1:25">
      <c r="A1116" s="192">
        <f t="shared" si="27"/>
        <v>1108</v>
      </c>
      <c r="B1116" s="208">
        <v>2023</v>
      </c>
      <c r="C1116" s="193" t="s">
        <v>37</v>
      </c>
      <c r="D1116" s="277" t="s">
        <v>4450</v>
      </c>
      <c r="E1116" s="195" t="s">
        <v>4541</v>
      </c>
      <c r="F1116" s="196" t="s">
        <v>2073</v>
      </c>
      <c r="G1116" s="197" t="s">
        <v>3239</v>
      </c>
      <c r="H1116" s="198">
        <v>0.8</v>
      </c>
      <c r="I1116" s="199">
        <v>16434.28</v>
      </c>
      <c r="J1116" s="200" t="s">
        <v>2026</v>
      </c>
      <c r="K1116" s="200" t="s">
        <v>4539</v>
      </c>
      <c r="L1116" s="201">
        <v>0.4</v>
      </c>
      <c r="M1116" s="278" t="s">
        <v>4245</v>
      </c>
      <c r="N1116" s="205">
        <v>458.34</v>
      </c>
      <c r="O1116" s="254">
        <v>458.34</v>
      </c>
      <c r="P1116" s="205">
        <v>366.67</v>
      </c>
      <c r="Q1116" s="205">
        <v>366.67</v>
      </c>
      <c r="R1116" s="1262" t="s">
        <v>2556</v>
      </c>
      <c r="S1116" s="254">
        <v>183.34</v>
      </c>
      <c r="T1116" s="204">
        <v>45075</v>
      </c>
      <c r="U1116" s="1262" t="s">
        <v>2228</v>
      </c>
      <c r="V1116" s="254">
        <v>91.67</v>
      </c>
      <c r="W1116" s="203" t="s">
        <v>4193</v>
      </c>
      <c r="X1116" s="206">
        <v>91.67</v>
      </c>
      <c r="Y1116" s="192"/>
    </row>
    <row r="1117" ht="37.5" customHeight="1" spans="1:25">
      <c r="A1117" s="192">
        <f t="shared" si="27"/>
        <v>1109</v>
      </c>
      <c r="B1117" s="208">
        <v>2023</v>
      </c>
      <c r="C1117" s="193" t="s">
        <v>37</v>
      </c>
      <c r="D1117" s="277" t="s">
        <v>4429</v>
      </c>
      <c r="E1117" s="195" t="s">
        <v>4542</v>
      </c>
      <c r="F1117" s="196" t="s">
        <v>2073</v>
      </c>
      <c r="G1117" s="197" t="s">
        <v>3239</v>
      </c>
      <c r="H1117" s="198">
        <v>0.8</v>
      </c>
      <c r="I1117" s="199">
        <v>140000</v>
      </c>
      <c r="J1117" s="200" t="s">
        <v>2027</v>
      </c>
      <c r="K1117" s="200" t="s">
        <v>4543</v>
      </c>
      <c r="L1117" s="201">
        <v>0.4</v>
      </c>
      <c r="M1117" s="278" t="s">
        <v>2655</v>
      </c>
      <c r="N1117" s="205">
        <v>138333.34</v>
      </c>
      <c r="O1117" s="254">
        <v>138333.34</v>
      </c>
      <c r="P1117" s="205">
        <v>110666.67</v>
      </c>
      <c r="Q1117" s="205">
        <v>110666.67</v>
      </c>
      <c r="R1117" s="1262" t="s">
        <v>2556</v>
      </c>
      <c r="S1117" s="254">
        <v>55333.34</v>
      </c>
      <c r="T1117" s="204">
        <v>45075</v>
      </c>
      <c r="U1117" s="1262" t="s">
        <v>2228</v>
      </c>
      <c r="V1117" s="254">
        <v>27666.67</v>
      </c>
      <c r="W1117" s="203" t="s">
        <v>4193</v>
      </c>
      <c r="X1117" s="206">
        <v>27666.67</v>
      </c>
      <c r="Y1117" s="192"/>
    </row>
    <row r="1118" ht="37.5" customHeight="1" spans="1:25">
      <c r="A1118" s="192">
        <f t="shared" ref="A1118:A1181" si="28">ROW()-8</f>
        <v>1110</v>
      </c>
      <c r="B1118" s="208">
        <v>2023</v>
      </c>
      <c r="C1118" s="193" t="s">
        <v>37</v>
      </c>
      <c r="D1118" s="277" t="s">
        <v>4447</v>
      </c>
      <c r="E1118" s="195" t="s">
        <v>4544</v>
      </c>
      <c r="F1118" s="196" t="s">
        <v>2073</v>
      </c>
      <c r="G1118" s="197" t="s">
        <v>3239</v>
      </c>
      <c r="H1118" s="198">
        <v>0.8</v>
      </c>
      <c r="I1118" s="199">
        <v>14381.78</v>
      </c>
      <c r="J1118" s="200" t="s">
        <v>2851</v>
      </c>
      <c r="K1118" s="200" t="s">
        <v>4545</v>
      </c>
      <c r="L1118" s="201">
        <v>0.4</v>
      </c>
      <c r="M1118" s="278" t="s">
        <v>2897</v>
      </c>
      <c r="N1118" s="205">
        <v>3500</v>
      </c>
      <c r="O1118" s="254">
        <v>3500</v>
      </c>
      <c r="P1118" s="205">
        <v>2800</v>
      </c>
      <c r="Q1118" s="205">
        <v>2800</v>
      </c>
      <c r="R1118" s="1262" t="s">
        <v>2556</v>
      </c>
      <c r="S1118" s="254">
        <v>1400</v>
      </c>
      <c r="T1118" s="204">
        <v>45075</v>
      </c>
      <c r="U1118" s="1262" t="s">
        <v>2228</v>
      </c>
      <c r="V1118" s="254">
        <v>700</v>
      </c>
      <c r="W1118" s="203" t="s">
        <v>4193</v>
      </c>
      <c r="X1118" s="206">
        <v>700</v>
      </c>
      <c r="Y1118" s="192"/>
    </row>
    <row r="1119" ht="37.5" customHeight="1" spans="1:25">
      <c r="A1119" s="192">
        <f t="shared" si="28"/>
        <v>1111</v>
      </c>
      <c r="B1119" s="208">
        <v>2023</v>
      </c>
      <c r="C1119" s="193" t="s">
        <v>37</v>
      </c>
      <c r="D1119" s="277" t="s">
        <v>4463</v>
      </c>
      <c r="E1119" s="195" t="s">
        <v>4546</v>
      </c>
      <c r="F1119" s="196" t="s">
        <v>2073</v>
      </c>
      <c r="G1119" s="197" t="s">
        <v>3239</v>
      </c>
      <c r="H1119" s="198">
        <v>0.8</v>
      </c>
      <c r="I1119" s="199">
        <v>23400</v>
      </c>
      <c r="J1119" s="200" t="s">
        <v>2951</v>
      </c>
      <c r="K1119" s="200" t="s">
        <v>4547</v>
      </c>
      <c r="L1119" s="201">
        <v>0.4</v>
      </c>
      <c r="M1119" s="278" t="s">
        <v>4209</v>
      </c>
      <c r="N1119" s="205">
        <v>23400</v>
      </c>
      <c r="O1119" s="254">
        <v>23400</v>
      </c>
      <c r="P1119" s="205">
        <v>18720</v>
      </c>
      <c r="Q1119" s="205">
        <v>18720</v>
      </c>
      <c r="R1119" s="1262" t="s">
        <v>2556</v>
      </c>
      <c r="S1119" s="254">
        <v>9360</v>
      </c>
      <c r="T1119" s="204">
        <v>45075</v>
      </c>
      <c r="U1119" s="1262" t="s">
        <v>2228</v>
      </c>
      <c r="V1119" s="254">
        <v>4680</v>
      </c>
      <c r="W1119" s="203" t="s">
        <v>4193</v>
      </c>
      <c r="X1119" s="206">
        <v>4680</v>
      </c>
      <c r="Y1119" s="192"/>
    </row>
    <row r="1120" ht="37.5" customHeight="1" spans="1:25">
      <c r="A1120" s="192">
        <f t="shared" si="28"/>
        <v>1112</v>
      </c>
      <c r="B1120" s="208">
        <v>2023</v>
      </c>
      <c r="C1120" s="193" t="s">
        <v>37</v>
      </c>
      <c r="D1120" s="277" t="s">
        <v>4414</v>
      </c>
      <c r="E1120" s="195" t="s">
        <v>4548</v>
      </c>
      <c r="F1120" s="196" t="s">
        <v>2073</v>
      </c>
      <c r="G1120" s="197" t="s">
        <v>3239</v>
      </c>
      <c r="H1120" s="198">
        <v>0.8</v>
      </c>
      <c r="I1120" s="199">
        <v>130300</v>
      </c>
      <c r="J1120" s="200" t="s">
        <v>2095</v>
      </c>
      <c r="K1120" s="200" t="s">
        <v>2096</v>
      </c>
      <c r="L1120" s="201">
        <v>0.4</v>
      </c>
      <c r="M1120" s="278" t="s">
        <v>4395</v>
      </c>
      <c r="N1120" s="205">
        <v>1166.74</v>
      </c>
      <c r="O1120" s="254">
        <v>1166.74</v>
      </c>
      <c r="P1120" s="205">
        <v>933.39</v>
      </c>
      <c r="Q1120" s="205">
        <v>933.39</v>
      </c>
      <c r="R1120" s="1262" t="s">
        <v>2556</v>
      </c>
      <c r="S1120" s="254">
        <v>466.7</v>
      </c>
      <c r="T1120" s="204">
        <v>45075</v>
      </c>
      <c r="U1120" s="1262" t="s">
        <v>2228</v>
      </c>
      <c r="V1120" s="254">
        <v>233.35</v>
      </c>
      <c r="W1120" s="203" t="s">
        <v>4193</v>
      </c>
      <c r="X1120" s="206">
        <v>233.35</v>
      </c>
      <c r="Y1120" s="192"/>
    </row>
    <row r="1121" ht="37.5" customHeight="1" spans="1:25">
      <c r="A1121" s="192">
        <f t="shared" si="28"/>
        <v>1113</v>
      </c>
      <c r="B1121" s="208">
        <v>2023</v>
      </c>
      <c r="C1121" s="193" t="s">
        <v>37</v>
      </c>
      <c r="D1121" s="277" t="s">
        <v>4549</v>
      </c>
      <c r="E1121" s="195" t="s">
        <v>4550</v>
      </c>
      <c r="F1121" s="196" t="s">
        <v>2073</v>
      </c>
      <c r="G1121" s="197" t="s">
        <v>3239</v>
      </c>
      <c r="H1121" s="198">
        <v>0.8</v>
      </c>
      <c r="I1121" s="199">
        <v>180000</v>
      </c>
      <c r="J1121" s="200" t="s">
        <v>2111</v>
      </c>
      <c r="K1121" s="200" t="s">
        <v>2112</v>
      </c>
      <c r="L1121" s="201">
        <v>0.4</v>
      </c>
      <c r="M1121" s="278" t="s">
        <v>2714</v>
      </c>
      <c r="N1121" s="205">
        <v>16833.4</v>
      </c>
      <c r="O1121" s="254">
        <v>16833.4</v>
      </c>
      <c r="P1121" s="205">
        <v>13466.72</v>
      </c>
      <c r="Q1121" s="205">
        <v>13466.72</v>
      </c>
      <c r="R1121" s="1262" t="s">
        <v>2556</v>
      </c>
      <c r="S1121" s="254">
        <v>6733.36</v>
      </c>
      <c r="T1121" s="204">
        <v>45075</v>
      </c>
      <c r="U1121" s="1262" t="s">
        <v>2228</v>
      </c>
      <c r="V1121" s="254">
        <v>3366.68</v>
      </c>
      <c r="W1121" s="203" t="s">
        <v>4193</v>
      </c>
      <c r="X1121" s="206">
        <v>3366.68</v>
      </c>
      <c r="Y1121" s="192"/>
    </row>
    <row r="1122" ht="37.5" customHeight="1" spans="1:25">
      <c r="A1122" s="192">
        <f t="shared" si="28"/>
        <v>1114</v>
      </c>
      <c r="B1122" s="208">
        <v>2023</v>
      </c>
      <c r="C1122" s="193" t="s">
        <v>37</v>
      </c>
      <c r="D1122" s="277" t="s">
        <v>4551</v>
      </c>
      <c r="E1122" s="195" t="s">
        <v>4552</v>
      </c>
      <c r="F1122" s="196" t="s">
        <v>2073</v>
      </c>
      <c r="G1122" s="197" t="s">
        <v>3239</v>
      </c>
      <c r="H1122" s="198">
        <v>0.8</v>
      </c>
      <c r="I1122" s="199">
        <v>640540</v>
      </c>
      <c r="J1122" s="200" t="s">
        <v>2095</v>
      </c>
      <c r="K1122" s="200" t="s">
        <v>2096</v>
      </c>
      <c r="L1122" s="201">
        <v>0.4</v>
      </c>
      <c r="M1122" s="278" t="s">
        <v>4039</v>
      </c>
      <c r="N1122" s="205">
        <v>5000</v>
      </c>
      <c r="O1122" s="254">
        <v>5000</v>
      </c>
      <c r="P1122" s="205">
        <v>4000</v>
      </c>
      <c r="Q1122" s="205">
        <v>4000</v>
      </c>
      <c r="R1122" s="1262" t="s">
        <v>2556</v>
      </c>
      <c r="S1122" s="254">
        <v>2000</v>
      </c>
      <c r="T1122" s="204">
        <v>45075</v>
      </c>
      <c r="U1122" s="1262" t="s">
        <v>2228</v>
      </c>
      <c r="V1122" s="254">
        <v>1000</v>
      </c>
      <c r="W1122" s="203" t="s">
        <v>4193</v>
      </c>
      <c r="X1122" s="206">
        <v>1000</v>
      </c>
      <c r="Y1122" s="192"/>
    </row>
    <row r="1123" ht="37.5" customHeight="1" spans="1:25">
      <c r="A1123" s="192">
        <f t="shared" si="28"/>
        <v>1115</v>
      </c>
      <c r="B1123" s="208">
        <v>2023</v>
      </c>
      <c r="C1123" s="193" t="s">
        <v>37</v>
      </c>
      <c r="D1123" s="277" t="s">
        <v>822</v>
      </c>
      <c r="E1123" s="195" t="s">
        <v>4553</v>
      </c>
      <c r="F1123" s="196" t="s">
        <v>2073</v>
      </c>
      <c r="G1123" s="197" t="s">
        <v>3239</v>
      </c>
      <c r="H1123" s="198">
        <v>0.8</v>
      </c>
      <c r="I1123" s="199">
        <v>60500</v>
      </c>
      <c r="J1123" s="200" t="s">
        <v>2111</v>
      </c>
      <c r="K1123" s="200" t="s">
        <v>2112</v>
      </c>
      <c r="L1123" s="201">
        <v>0.4</v>
      </c>
      <c r="M1123" s="278" t="s">
        <v>2668</v>
      </c>
      <c r="N1123" s="205">
        <v>933.51</v>
      </c>
      <c r="O1123" s="254">
        <v>933.51</v>
      </c>
      <c r="P1123" s="205">
        <v>746.81</v>
      </c>
      <c r="Q1123" s="205">
        <v>746.81</v>
      </c>
      <c r="R1123" s="1262" t="s">
        <v>2556</v>
      </c>
      <c r="S1123" s="254">
        <v>373.4</v>
      </c>
      <c r="T1123" s="204">
        <v>45075</v>
      </c>
      <c r="U1123" s="1262" t="s">
        <v>2228</v>
      </c>
      <c r="V1123" s="254">
        <v>186.7</v>
      </c>
      <c r="W1123" s="203" t="s">
        <v>4193</v>
      </c>
      <c r="X1123" s="206">
        <v>186.7</v>
      </c>
      <c r="Y1123" s="192"/>
    </row>
    <row r="1124" ht="37.5" customHeight="1" spans="1:25">
      <c r="A1124" s="192">
        <f t="shared" si="28"/>
        <v>1116</v>
      </c>
      <c r="B1124" s="208">
        <v>2023</v>
      </c>
      <c r="C1124" s="193" t="s">
        <v>37</v>
      </c>
      <c r="D1124" s="277" t="s">
        <v>4554</v>
      </c>
      <c r="E1124" s="195" t="s">
        <v>4555</v>
      </c>
      <c r="F1124" s="196" t="s">
        <v>2073</v>
      </c>
      <c r="G1124" s="197" t="s">
        <v>3239</v>
      </c>
      <c r="H1124" s="198">
        <v>0.8</v>
      </c>
      <c r="I1124" s="199">
        <v>75020</v>
      </c>
      <c r="J1124" s="200" t="s">
        <v>2215</v>
      </c>
      <c r="K1124" s="200" t="s">
        <v>2216</v>
      </c>
      <c r="L1124" s="201">
        <v>0.4</v>
      </c>
      <c r="M1124" s="278" t="s">
        <v>2714</v>
      </c>
      <c r="N1124" s="205">
        <v>5000</v>
      </c>
      <c r="O1124" s="254">
        <v>5000</v>
      </c>
      <c r="P1124" s="205">
        <v>4000</v>
      </c>
      <c r="Q1124" s="205">
        <v>4000</v>
      </c>
      <c r="R1124" s="1262" t="s">
        <v>2556</v>
      </c>
      <c r="S1124" s="254">
        <v>2000</v>
      </c>
      <c r="T1124" s="204">
        <v>45075</v>
      </c>
      <c r="U1124" s="1262" t="s">
        <v>2228</v>
      </c>
      <c r="V1124" s="254">
        <v>1000</v>
      </c>
      <c r="W1124" s="203" t="s">
        <v>4193</v>
      </c>
      <c r="X1124" s="206">
        <v>1000</v>
      </c>
      <c r="Y1124" s="192"/>
    </row>
    <row r="1125" ht="37.5" customHeight="1" spans="1:25">
      <c r="A1125" s="192">
        <f t="shared" si="28"/>
        <v>1117</v>
      </c>
      <c r="B1125" s="208">
        <v>2023</v>
      </c>
      <c r="C1125" s="193" t="s">
        <v>37</v>
      </c>
      <c r="D1125" s="277" t="s">
        <v>4284</v>
      </c>
      <c r="E1125" s="195" t="s">
        <v>4556</v>
      </c>
      <c r="F1125" s="196" t="s">
        <v>2073</v>
      </c>
      <c r="G1125" s="197" t="s">
        <v>3239</v>
      </c>
      <c r="H1125" s="198">
        <v>0.8</v>
      </c>
      <c r="I1125" s="199">
        <v>51600</v>
      </c>
      <c r="J1125" s="200" t="s">
        <v>2106</v>
      </c>
      <c r="K1125" s="200" t="s">
        <v>2107</v>
      </c>
      <c r="L1125" s="201">
        <v>0.4</v>
      </c>
      <c r="M1125" s="278" t="s">
        <v>4206</v>
      </c>
      <c r="N1125" s="205">
        <v>14114.31</v>
      </c>
      <c r="O1125" s="254">
        <v>14114.31</v>
      </c>
      <c r="P1125" s="205">
        <v>11291.45</v>
      </c>
      <c r="Q1125" s="205">
        <v>11291.45</v>
      </c>
      <c r="R1125" s="1262" t="s">
        <v>2556</v>
      </c>
      <c r="S1125" s="254">
        <v>5645.72</v>
      </c>
      <c r="T1125" s="204">
        <v>45075</v>
      </c>
      <c r="U1125" s="1262" t="s">
        <v>2228</v>
      </c>
      <c r="V1125" s="254">
        <v>2822.86</v>
      </c>
      <c r="W1125" s="203" t="s">
        <v>4193</v>
      </c>
      <c r="X1125" s="206">
        <v>2822.86</v>
      </c>
      <c r="Y1125" s="192"/>
    </row>
    <row r="1126" ht="37.5" customHeight="1" spans="1:25">
      <c r="A1126" s="192">
        <f t="shared" si="28"/>
        <v>1118</v>
      </c>
      <c r="B1126" s="208">
        <v>2023</v>
      </c>
      <c r="C1126" s="193" t="s">
        <v>37</v>
      </c>
      <c r="D1126" s="277" t="s">
        <v>3992</v>
      </c>
      <c r="E1126" s="195" t="s">
        <v>4557</v>
      </c>
      <c r="F1126" s="196" t="s">
        <v>2073</v>
      </c>
      <c r="G1126" s="197" t="s">
        <v>3239</v>
      </c>
      <c r="H1126" s="198">
        <v>0.8</v>
      </c>
      <c r="I1126" s="199">
        <v>56020</v>
      </c>
      <c r="J1126" s="200" t="s">
        <v>2689</v>
      </c>
      <c r="K1126" s="200" t="s">
        <v>2690</v>
      </c>
      <c r="L1126" s="201">
        <v>0.4</v>
      </c>
      <c r="M1126" s="278" t="s">
        <v>4260</v>
      </c>
      <c r="N1126" s="205">
        <v>1000</v>
      </c>
      <c r="O1126" s="254">
        <v>1000</v>
      </c>
      <c r="P1126" s="205">
        <v>800</v>
      </c>
      <c r="Q1126" s="205">
        <v>800</v>
      </c>
      <c r="R1126" s="1262" t="s">
        <v>2556</v>
      </c>
      <c r="S1126" s="254">
        <v>400</v>
      </c>
      <c r="T1126" s="204">
        <v>45075</v>
      </c>
      <c r="U1126" s="1262" t="s">
        <v>2228</v>
      </c>
      <c r="V1126" s="254">
        <v>200</v>
      </c>
      <c r="W1126" s="203" t="s">
        <v>4193</v>
      </c>
      <c r="X1126" s="206">
        <v>200</v>
      </c>
      <c r="Y1126" s="192"/>
    </row>
    <row r="1127" ht="37.5" customHeight="1" spans="1:25">
      <c r="A1127" s="192">
        <f t="shared" si="28"/>
        <v>1119</v>
      </c>
      <c r="B1127" s="208">
        <v>2023</v>
      </c>
      <c r="C1127" s="193" t="s">
        <v>37</v>
      </c>
      <c r="D1127" s="277" t="s">
        <v>4558</v>
      </c>
      <c r="E1127" s="195" t="s">
        <v>4559</v>
      </c>
      <c r="F1127" s="196" t="s">
        <v>2073</v>
      </c>
      <c r="G1127" s="197" t="s">
        <v>3239</v>
      </c>
      <c r="H1127" s="198">
        <v>0.8</v>
      </c>
      <c r="I1127" s="199">
        <v>324000</v>
      </c>
      <c r="J1127" s="200" t="s">
        <v>2172</v>
      </c>
      <c r="K1127" s="200" t="s">
        <v>2173</v>
      </c>
      <c r="L1127" s="201">
        <v>0.4</v>
      </c>
      <c r="M1127" s="278" t="s">
        <v>4560</v>
      </c>
      <c r="N1127" s="205">
        <v>25750.47</v>
      </c>
      <c r="O1127" s="254">
        <v>25750.47</v>
      </c>
      <c r="P1127" s="205">
        <v>20600.38</v>
      </c>
      <c r="Q1127" s="205">
        <v>20600.38</v>
      </c>
      <c r="R1127" s="1262" t="s">
        <v>2556</v>
      </c>
      <c r="S1127" s="254">
        <v>10300.19</v>
      </c>
      <c r="T1127" s="204">
        <v>45075</v>
      </c>
      <c r="U1127" s="1262" t="s">
        <v>2228</v>
      </c>
      <c r="V1127" s="254">
        <v>5150.09</v>
      </c>
      <c r="W1127" s="203" t="s">
        <v>4193</v>
      </c>
      <c r="X1127" s="206">
        <v>5150.09</v>
      </c>
      <c r="Y1127" s="192"/>
    </row>
    <row r="1128" ht="37.5" customHeight="1" spans="1:25">
      <c r="A1128" s="192">
        <f t="shared" si="28"/>
        <v>1120</v>
      </c>
      <c r="B1128" s="208">
        <v>2023</v>
      </c>
      <c r="C1128" s="193" t="s">
        <v>37</v>
      </c>
      <c r="D1128" s="277" t="s">
        <v>4282</v>
      </c>
      <c r="E1128" s="195" t="s">
        <v>4561</v>
      </c>
      <c r="F1128" s="196" t="s">
        <v>2073</v>
      </c>
      <c r="G1128" s="197" t="s">
        <v>3239</v>
      </c>
      <c r="H1128" s="198">
        <v>0.8</v>
      </c>
      <c r="I1128" s="199">
        <v>312150</v>
      </c>
      <c r="J1128" s="200" t="s">
        <v>1825</v>
      </c>
      <c r="K1128" s="200" t="s">
        <v>2169</v>
      </c>
      <c r="L1128" s="201">
        <v>0.4</v>
      </c>
      <c r="M1128" s="278" t="s">
        <v>2714</v>
      </c>
      <c r="N1128" s="205">
        <v>15106.8</v>
      </c>
      <c r="O1128" s="254">
        <v>15106.8</v>
      </c>
      <c r="P1128" s="205">
        <v>12085.44</v>
      </c>
      <c r="Q1128" s="205">
        <v>12085.44</v>
      </c>
      <c r="R1128" s="1262" t="s">
        <v>2556</v>
      </c>
      <c r="S1128" s="254">
        <v>6042.72</v>
      </c>
      <c r="T1128" s="204">
        <v>45075</v>
      </c>
      <c r="U1128" s="1262" t="s">
        <v>2228</v>
      </c>
      <c r="V1128" s="254">
        <v>3021.36</v>
      </c>
      <c r="W1128" s="203" t="s">
        <v>4193</v>
      </c>
      <c r="X1128" s="206">
        <v>3021.36</v>
      </c>
      <c r="Y1128" s="192"/>
    </row>
    <row r="1129" ht="37.5" customHeight="1" spans="1:25">
      <c r="A1129" s="192">
        <f t="shared" si="28"/>
        <v>1121</v>
      </c>
      <c r="B1129" s="208">
        <v>2023</v>
      </c>
      <c r="C1129" s="193" t="s">
        <v>37</v>
      </c>
      <c r="D1129" s="277" t="s">
        <v>4562</v>
      </c>
      <c r="E1129" s="195" t="s">
        <v>4563</v>
      </c>
      <c r="F1129" s="196" t="s">
        <v>2073</v>
      </c>
      <c r="G1129" s="197" t="s">
        <v>3239</v>
      </c>
      <c r="H1129" s="198">
        <v>0.8</v>
      </c>
      <c r="I1129" s="199">
        <v>53000</v>
      </c>
      <c r="J1129" s="200" t="s">
        <v>2123</v>
      </c>
      <c r="K1129" s="200" t="s">
        <v>2124</v>
      </c>
      <c r="L1129" s="201">
        <v>0.4</v>
      </c>
      <c r="M1129" s="278" t="s">
        <v>2714</v>
      </c>
      <c r="N1129" s="205">
        <v>5583.54</v>
      </c>
      <c r="O1129" s="254">
        <v>5583.54</v>
      </c>
      <c r="P1129" s="205">
        <v>4466.83</v>
      </c>
      <c r="Q1129" s="205">
        <v>4466.83</v>
      </c>
      <c r="R1129" s="1262" t="s">
        <v>2556</v>
      </c>
      <c r="S1129" s="254">
        <v>2233.42</v>
      </c>
      <c r="T1129" s="204">
        <v>45075</v>
      </c>
      <c r="U1129" s="1262" t="s">
        <v>2228</v>
      </c>
      <c r="V1129" s="254">
        <v>1116.71</v>
      </c>
      <c r="W1129" s="203" t="s">
        <v>4193</v>
      </c>
      <c r="X1129" s="206">
        <v>1116.71</v>
      </c>
      <c r="Y1129" s="192"/>
    </row>
    <row r="1130" ht="37.5" customHeight="1" spans="1:25">
      <c r="A1130" s="192">
        <f t="shared" si="28"/>
        <v>1122</v>
      </c>
      <c r="B1130" s="208">
        <v>2023</v>
      </c>
      <c r="C1130" s="193" t="s">
        <v>37</v>
      </c>
      <c r="D1130" s="277" t="s">
        <v>4564</v>
      </c>
      <c r="E1130" s="195" t="s">
        <v>4565</v>
      </c>
      <c r="F1130" s="196" t="s">
        <v>2073</v>
      </c>
      <c r="G1130" s="197" t="s">
        <v>3239</v>
      </c>
      <c r="H1130" s="198">
        <v>0.8</v>
      </c>
      <c r="I1130" s="199">
        <v>39000</v>
      </c>
      <c r="J1130" s="200" t="s">
        <v>2215</v>
      </c>
      <c r="K1130" s="200" t="s">
        <v>2216</v>
      </c>
      <c r="L1130" s="201">
        <v>0.4</v>
      </c>
      <c r="M1130" s="278" t="s">
        <v>3875</v>
      </c>
      <c r="N1130" s="205">
        <v>5333.46</v>
      </c>
      <c r="O1130" s="254">
        <v>5333.46</v>
      </c>
      <c r="P1130" s="205">
        <v>4266.77</v>
      </c>
      <c r="Q1130" s="205">
        <v>4266.77</v>
      </c>
      <c r="R1130" s="1262" t="s">
        <v>2556</v>
      </c>
      <c r="S1130" s="254">
        <v>2133.38</v>
      </c>
      <c r="T1130" s="204">
        <v>45075</v>
      </c>
      <c r="U1130" s="1262" t="s">
        <v>2228</v>
      </c>
      <c r="V1130" s="254">
        <v>1066.69</v>
      </c>
      <c r="W1130" s="203" t="s">
        <v>4193</v>
      </c>
      <c r="X1130" s="206">
        <v>1066.69</v>
      </c>
      <c r="Y1130" s="192"/>
    </row>
    <row r="1131" ht="37.5" customHeight="1" spans="1:25">
      <c r="A1131" s="192">
        <f t="shared" si="28"/>
        <v>1123</v>
      </c>
      <c r="B1131" s="208">
        <v>2023</v>
      </c>
      <c r="C1131" s="193" t="s">
        <v>37</v>
      </c>
      <c r="D1131" s="277" t="s">
        <v>4566</v>
      </c>
      <c r="E1131" s="195" t="s">
        <v>4567</v>
      </c>
      <c r="F1131" s="196" t="s">
        <v>2073</v>
      </c>
      <c r="G1131" s="197" t="s">
        <v>3239</v>
      </c>
      <c r="H1131" s="198">
        <v>0.8</v>
      </c>
      <c r="I1131" s="199">
        <v>230340</v>
      </c>
      <c r="J1131" s="200" t="s">
        <v>2172</v>
      </c>
      <c r="K1131" s="200" t="s">
        <v>2173</v>
      </c>
      <c r="L1131" s="201">
        <v>0.4</v>
      </c>
      <c r="M1131" s="278" t="s">
        <v>4161</v>
      </c>
      <c r="N1131" s="205">
        <v>31677.24</v>
      </c>
      <c r="O1131" s="254">
        <v>31677.24</v>
      </c>
      <c r="P1131" s="205">
        <v>25341.79</v>
      </c>
      <c r="Q1131" s="205">
        <v>25341.79</v>
      </c>
      <c r="R1131" s="1262" t="s">
        <v>2556</v>
      </c>
      <c r="S1131" s="254">
        <v>12670.9</v>
      </c>
      <c r="T1131" s="204">
        <v>45075</v>
      </c>
      <c r="U1131" s="1262" t="s">
        <v>2228</v>
      </c>
      <c r="V1131" s="254">
        <v>6335.45</v>
      </c>
      <c r="W1131" s="203" t="s">
        <v>4193</v>
      </c>
      <c r="X1131" s="206">
        <v>6335.45</v>
      </c>
      <c r="Y1131" s="192"/>
    </row>
    <row r="1132" ht="37.5" customHeight="1" spans="1:25">
      <c r="A1132" s="192">
        <f t="shared" si="28"/>
        <v>1124</v>
      </c>
      <c r="B1132" s="208">
        <v>2023</v>
      </c>
      <c r="C1132" s="193" t="s">
        <v>37</v>
      </c>
      <c r="D1132" s="277" t="s">
        <v>4568</v>
      </c>
      <c r="E1132" s="195" t="s">
        <v>4569</v>
      </c>
      <c r="F1132" s="196" t="s">
        <v>2073</v>
      </c>
      <c r="G1132" s="197" t="s">
        <v>3239</v>
      </c>
      <c r="H1132" s="198">
        <v>0.8</v>
      </c>
      <c r="I1132" s="199">
        <v>715368</v>
      </c>
      <c r="J1132" s="200" t="s">
        <v>2176</v>
      </c>
      <c r="K1132" s="200" t="s">
        <v>2177</v>
      </c>
      <c r="L1132" s="201">
        <v>0.4</v>
      </c>
      <c r="M1132" s="278" t="s">
        <v>4570</v>
      </c>
      <c r="N1132" s="205">
        <v>514000</v>
      </c>
      <c r="O1132" s="254">
        <v>514000</v>
      </c>
      <c r="P1132" s="205">
        <v>411200</v>
      </c>
      <c r="Q1132" s="205">
        <v>411200</v>
      </c>
      <c r="R1132" s="1262" t="s">
        <v>2556</v>
      </c>
      <c r="S1132" s="254">
        <v>205600</v>
      </c>
      <c r="T1132" s="204">
        <v>45075</v>
      </c>
      <c r="U1132" s="1262" t="s">
        <v>2228</v>
      </c>
      <c r="V1132" s="254">
        <v>102800</v>
      </c>
      <c r="W1132" s="203" t="s">
        <v>4193</v>
      </c>
      <c r="X1132" s="206">
        <v>102800</v>
      </c>
      <c r="Y1132" s="192"/>
    </row>
    <row r="1133" ht="37.5" customHeight="1" spans="1:25">
      <c r="A1133" s="192">
        <f t="shared" si="28"/>
        <v>1125</v>
      </c>
      <c r="B1133" s="208">
        <v>2023</v>
      </c>
      <c r="C1133" s="193" t="s">
        <v>37</v>
      </c>
      <c r="D1133" s="277" t="s">
        <v>4236</v>
      </c>
      <c r="E1133" s="195" t="s">
        <v>4571</v>
      </c>
      <c r="F1133" s="196" t="s">
        <v>2073</v>
      </c>
      <c r="G1133" s="197" t="s">
        <v>3239</v>
      </c>
      <c r="H1133" s="198">
        <v>0.8</v>
      </c>
      <c r="I1133" s="199">
        <v>16000</v>
      </c>
      <c r="J1133" s="200" t="s">
        <v>2079</v>
      </c>
      <c r="K1133" s="200" t="s">
        <v>2080</v>
      </c>
      <c r="L1133" s="201">
        <v>0.4</v>
      </c>
      <c r="M1133" s="278" t="s">
        <v>2714</v>
      </c>
      <c r="N1133" s="205">
        <v>1666.7</v>
      </c>
      <c r="O1133" s="254">
        <v>1666.7</v>
      </c>
      <c r="P1133" s="205">
        <v>1333.36</v>
      </c>
      <c r="Q1133" s="205">
        <v>1333.36</v>
      </c>
      <c r="R1133" s="1262" t="s">
        <v>2556</v>
      </c>
      <c r="S1133" s="254">
        <v>666.68</v>
      </c>
      <c r="T1133" s="204">
        <v>45075</v>
      </c>
      <c r="U1133" s="1262" t="s">
        <v>2228</v>
      </c>
      <c r="V1133" s="254">
        <v>333.34</v>
      </c>
      <c r="W1133" s="203" t="s">
        <v>4193</v>
      </c>
      <c r="X1133" s="206">
        <v>333.34</v>
      </c>
      <c r="Y1133" s="192"/>
    </row>
    <row r="1134" ht="37.5" customHeight="1" spans="1:25">
      <c r="A1134" s="192">
        <f t="shared" si="28"/>
        <v>1126</v>
      </c>
      <c r="B1134" s="208">
        <v>2023</v>
      </c>
      <c r="C1134" s="193" t="s">
        <v>37</v>
      </c>
      <c r="D1134" s="277" t="s">
        <v>4572</v>
      </c>
      <c r="E1134" s="195" t="s">
        <v>4573</v>
      </c>
      <c r="F1134" s="196" t="s">
        <v>2073</v>
      </c>
      <c r="G1134" s="197" t="s">
        <v>3239</v>
      </c>
      <c r="H1134" s="198">
        <v>0.8</v>
      </c>
      <c r="I1134" s="199">
        <v>80000</v>
      </c>
      <c r="J1134" s="200" t="s">
        <v>1969</v>
      </c>
      <c r="K1134" s="200" t="s">
        <v>2480</v>
      </c>
      <c r="L1134" s="201">
        <v>0.4</v>
      </c>
      <c r="M1134" s="278" t="s">
        <v>4021</v>
      </c>
      <c r="N1134" s="205">
        <v>40833.4</v>
      </c>
      <c r="O1134" s="254">
        <v>40833.4</v>
      </c>
      <c r="P1134" s="205">
        <v>32666.72</v>
      </c>
      <c r="Q1134" s="205">
        <v>32666.72</v>
      </c>
      <c r="R1134" s="1262" t="s">
        <v>2556</v>
      </c>
      <c r="S1134" s="254">
        <v>16333.36</v>
      </c>
      <c r="T1134" s="204">
        <v>45075</v>
      </c>
      <c r="U1134" s="1262" t="s">
        <v>2228</v>
      </c>
      <c r="V1134" s="254">
        <v>8166.68</v>
      </c>
      <c r="W1134" s="203" t="s">
        <v>4193</v>
      </c>
      <c r="X1134" s="206">
        <v>8166.68</v>
      </c>
      <c r="Y1134" s="192"/>
    </row>
    <row r="1135" ht="37.5" customHeight="1" spans="1:25">
      <c r="A1135" s="192">
        <f t="shared" si="28"/>
        <v>1127</v>
      </c>
      <c r="B1135" s="208">
        <v>2023</v>
      </c>
      <c r="C1135" s="193" t="s">
        <v>37</v>
      </c>
      <c r="D1135" s="277" t="s">
        <v>4574</v>
      </c>
      <c r="E1135" s="195" t="s">
        <v>4575</v>
      </c>
      <c r="F1135" s="196" t="s">
        <v>2073</v>
      </c>
      <c r="G1135" s="197" t="s">
        <v>3239</v>
      </c>
      <c r="H1135" s="198">
        <v>0.8</v>
      </c>
      <c r="I1135" s="199">
        <v>130000</v>
      </c>
      <c r="J1135" s="200" t="s">
        <v>2079</v>
      </c>
      <c r="K1135" s="200" t="s">
        <v>2080</v>
      </c>
      <c r="L1135" s="201">
        <v>0.4</v>
      </c>
      <c r="M1135" s="278" t="s">
        <v>4212</v>
      </c>
      <c r="N1135" s="205">
        <v>1720.14</v>
      </c>
      <c r="O1135" s="254">
        <v>1720.14</v>
      </c>
      <c r="P1135" s="205">
        <v>1376.11</v>
      </c>
      <c r="Q1135" s="205">
        <v>1376.11</v>
      </c>
      <c r="R1135" s="1262" t="s">
        <v>2556</v>
      </c>
      <c r="S1135" s="254">
        <v>688.06</v>
      </c>
      <c r="T1135" s="204">
        <v>45075</v>
      </c>
      <c r="U1135" s="1262" t="s">
        <v>2228</v>
      </c>
      <c r="V1135" s="254">
        <v>344.03</v>
      </c>
      <c r="W1135" s="203" t="s">
        <v>4193</v>
      </c>
      <c r="X1135" s="206">
        <v>344.03</v>
      </c>
      <c r="Y1135" s="192"/>
    </row>
    <row r="1136" ht="37.5" customHeight="1" spans="1:25">
      <c r="A1136" s="192">
        <f t="shared" si="28"/>
        <v>1128</v>
      </c>
      <c r="B1136" s="208">
        <v>2023</v>
      </c>
      <c r="C1136" s="193" t="s">
        <v>37</v>
      </c>
      <c r="D1136" s="277" t="s">
        <v>4576</v>
      </c>
      <c r="E1136" s="195" t="s">
        <v>4577</v>
      </c>
      <c r="F1136" s="196" t="s">
        <v>2073</v>
      </c>
      <c r="G1136" s="197" t="s">
        <v>3239</v>
      </c>
      <c r="H1136" s="198">
        <v>0.8</v>
      </c>
      <c r="I1136" s="199">
        <v>30000</v>
      </c>
      <c r="J1136" s="200" t="s">
        <v>3945</v>
      </c>
      <c r="K1136" s="200" t="s">
        <v>3946</v>
      </c>
      <c r="L1136" s="201">
        <v>0.4</v>
      </c>
      <c r="M1136" s="278" t="s">
        <v>4578</v>
      </c>
      <c r="N1136" s="205">
        <v>2583.62</v>
      </c>
      <c r="O1136" s="254">
        <v>2583.62</v>
      </c>
      <c r="P1136" s="205">
        <v>2066.9</v>
      </c>
      <c r="Q1136" s="205">
        <v>2066.9</v>
      </c>
      <c r="R1136" s="1262" t="s">
        <v>2556</v>
      </c>
      <c r="S1136" s="254">
        <v>1033.45</v>
      </c>
      <c r="T1136" s="204">
        <v>45075</v>
      </c>
      <c r="U1136" s="1262" t="s">
        <v>2228</v>
      </c>
      <c r="V1136" s="254">
        <v>516.72</v>
      </c>
      <c r="W1136" s="203" t="s">
        <v>4193</v>
      </c>
      <c r="X1136" s="206">
        <v>516.72</v>
      </c>
      <c r="Y1136" s="192"/>
    </row>
    <row r="1137" ht="37.5" customHeight="1" spans="1:25">
      <c r="A1137" s="192">
        <f t="shared" si="28"/>
        <v>1129</v>
      </c>
      <c r="B1137" s="208">
        <v>2023</v>
      </c>
      <c r="C1137" s="193" t="s">
        <v>37</v>
      </c>
      <c r="D1137" s="277" t="s">
        <v>4579</v>
      </c>
      <c r="E1137" s="195" t="s">
        <v>4580</v>
      </c>
      <c r="F1137" s="196" t="s">
        <v>2073</v>
      </c>
      <c r="G1137" s="197" t="s">
        <v>3239</v>
      </c>
      <c r="H1137" s="198">
        <v>0.8</v>
      </c>
      <c r="I1137" s="199">
        <v>125130</v>
      </c>
      <c r="J1137" s="200" t="s">
        <v>1824</v>
      </c>
      <c r="K1137" s="200" t="s">
        <v>2102</v>
      </c>
      <c r="L1137" s="201">
        <v>0.4</v>
      </c>
      <c r="M1137" s="278" t="s">
        <v>4255</v>
      </c>
      <c r="N1137" s="205">
        <v>47205.71</v>
      </c>
      <c r="O1137" s="254">
        <v>47205.71</v>
      </c>
      <c r="P1137" s="205">
        <v>37764.57</v>
      </c>
      <c r="Q1137" s="205">
        <v>37764.57</v>
      </c>
      <c r="R1137" s="1262" t="s">
        <v>2556</v>
      </c>
      <c r="S1137" s="254">
        <v>18882.28</v>
      </c>
      <c r="T1137" s="204">
        <v>45075</v>
      </c>
      <c r="U1137" s="1262" t="s">
        <v>2228</v>
      </c>
      <c r="V1137" s="254">
        <v>9441.14</v>
      </c>
      <c r="W1137" s="203" t="s">
        <v>4193</v>
      </c>
      <c r="X1137" s="206">
        <v>9441.14</v>
      </c>
      <c r="Y1137" s="192"/>
    </row>
    <row r="1138" ht="37.5" customHeight="1" spans="1:25">
      <c r="A1138" s="192">
        <f t="shared" si="28"/>
        <v>1130</v>
      </c>
      <c r="B1138" s="208">
        <v>2023</v>
      </c>
      <c r="C1138" s="193" t="s">
        <v>37</v>
      </c>
      <c r="D1138" s="277" t="s">
        <v>4581</v>
      </c>
      <c r="E1138" s="195" t="s">
        <v>4582</v>
      </c>
      <c r="F1138" s="196" t="s">
        <v>2073</v>
      </c>
      <c r="G1138" s="197" t="s">
        <v>3239</v>
      </c>
      <c r="H1138" s="198">
        <v>0.8</v>
      </c>
      <c r="I1138" s="199">
        <v>263160</v>
      </c>
      <c r="J1138" s="200" t="s">
        <v>1928</v>
      </c>
      <c r="K1138" s="200" t="s">
        <v>2136</v>
      </c>
      <c r="L1138" s="201">
        <v>0.4</v>
      </c>
      <c r="M1138" s="278" t="s">
        <v>4242</v>
      </c>
      <c r="N1138" s="205">
        <v>2000</v>
      </c>
      <c r="O1138" s="254">
        <v>2000</v>
      </c>
      <c r="P1138" s="205">
        <v>1600</v>
      </c>
      <c r="Q1138" s="205">
        <v>1600</v>
      </c>
      <c r="R1138" s="1262" t="s">
        <v>2556</v>
      </c>
      <c r="S1138" s="254">
        <v>800</v>
      </c>
      <c r="T1138" s="204">
        <v>45075</v>
      </c>
      <c r="U1138" s="1262" t="s">
        <v>2228</v>
      </c>
      <c r="V1138" s="254">
        <v>400</v>
      </c>
      <c r="W1138" s="203" t="s">
        <v>4193</v>
      </c>
      <c r="X1138" s="206">
        <v>400</v>
      </c>
      <c r="Y1138" s="192"/>
    </row>
    <row r="1139" ht="37.5" customHeight="1" spans="1:25">
      <c r="A1139" s="192">
        <f t="shared" si="28"/>
        <v>1131</v>
      </c>
      <c r="B1139" s="208">
        <v>2023</v>
      </c>
      <c r="C1139" s="193" t="s">
        <v>37</v>
      </c>
      <c r="D1139" s="277" t="s">
        <v>4583</v>
      </c>
      <c r="E1139" s="195" t="s">
        <v>4584</v>
      </c>
      <c r="F1139" s="196" t="s">
        <v>2073</v>
      </c>
      <c r="G1139" s="197" t="s">
        <v>3239</v>
      </c>
      <c r="H1139" s="198">
        <v>0.8</v>
      </c>
      <c r="I1139" s="199">
        <v>200000</v>
      </c>
      <c r="J1139" s="200" t="s">
        <v>2172</v>
      </c>
      <c r="K1139" s="200" t="s">
        <v>2173</v>
      </c>
      <c r="L1139" s="201">
        <v>0.4</v>
      </c>
      <c r="M1139" s="278" t="s">
        <v>4080</v>
      </c>
      <c r="N1139" s="205">
        <v>9166.91</v>
      </c>
      <c r="O1139" s="254">
        <v>9166.91</v>
      </c>
      <c r="P1139" s="205">
        <v>7333.53</v>
      </c>
      <c r="Q1139" s="205">
        <v>7333.53</v>
      </c>
      <c r="R1139" s="1262" t="s">
        <v>2556</v>
      </c>
      <c r="S1139" s="254">
        <v>3666.76</v>
      </c>
      <c r="T1139" s="204">
        <v>45075</v>
      </c>
      <c r="U1139" s="1262" t="s">
        <v>2228</v>
      </c>
      <c r="V1139" s="254">
        <v>1833.38</v>
      </c>
      <c r="W1139" s="1262" t="s">
        <v>4156</v>
      </c>
      <c r="X1139" s="258">
        <v>1833.38</v>
      </c>
      <c r="Y1139" s="192"/>
    </row>
    <row r="1140" s="80" customFormat="1" ht="37.5" customHeight="1" spans="1:25">
      <c r="A1140" s="138">
        <f t="shared" si="28"/>
        <v>1132</v>
      </c>
      <c r="B1140" s="139">
        <v>2023</v>
      </c>
      <c r="C1140" s="189" t="s">
        <v>37</v>
      </c>
      <c r="D1140" s="279" t="s">
        <v>4585</v>
      </c>
      <c r="E1140" s="190" t="s">
        <v>4586</v>
      </c>
      <c r="F1140" s="142" t="s">
        <v>3192</v>
      </c>
      <c r="G1140" s="143" t="s">
        <v>4179</v>
      </c>
      <c r="H1140" s="144">
        <v>0.8</v>
      </c>
      <c r="I1140" s="145">
        <v>200000</v>
      </c>
      <c r="J1140" s="185" t="s">
        <v>2229</v>
      </c>
      <c r="K1140" s="185" t="s">
        <v>4587</v>
      </c>
      <c r="L1140" s="147">
        <v>0.4</v>
      </c>
      <c r="M1140" s="280" t="s">
        <v>1881</v>
      </c>
      <c r="N1140" s="186">
        <v>158333.35</v>
      </c>
      <c r="O1140" s="276">
        <v>158333.35</v>
      </c>
      <c r="P1140" s="186">
        <v>126666.68</v>
      </c>
      <c r="Q1140" s="186">
        <v>126666.68</v>
      </c>
      <c r="R1140" s="1260" t="s">
        <v>2581</v>
      </c>
      <c r="S1140" s="276">
        <v>63333.34</v>
      </c>
      <c r="T1140" s="150">
        <v>45085</v>
      </c>
      <c r="U1140" s="1260" t="s">
        <v>2260</v>
      </c>
      <c r="V1140" s="276">
        <v>31666.67</v>
      </c>
      <c r="W1140" s="184" t="s">
        <v>4193</v>
      </c>
      <c r="X1140" s="153">
        <v>31666.67</v>
      </c>
      <c r="Y1140" s="138"/>
    </row>
    <row r="1141" s="80" customFormat="1" ht="37.5" customHeight="1" spans="1:25">
      <c r="A1141" s="138">
        <f t="shared" si="28"/>
        <v>1133</v>
      </c>
      <c r="B1141" s="139">
        <v>2023</v>
      </c>
      <c r="C1141" s="189" t="s">
        <v>37</v>
      </c>
      <c r="D1141" s="279" t="s">
        <v>4585</v>
      </c>
      <c r="E1141" s="190" t="s">
        <v>4588</v>
      </c>
      <c r="F1141" s="142" t="s">
        <v>3192</v>
      </c>
      <c r="G1141" s="143" t="s">
        <v>4179</v>
      </c>
      <c r="H1141" s="144">
        <v>0.8</v>
      </c>
      <c r="I1141" s="145">
        <v>200000</v>
      </c>
      <c r="J1141" s="185" t="s">
        <v>2533</v>
      </c>
      <c r="K1141" s="185" t="s">
        <v>4589</v>
      </c>
      <c r="L1141" s="147">
        <v>0.4</v>
      </c>
      <c r="M1141" s="280" t="s">
        <v>1881</v>
      </c>
      <c r="N1141" s="186">
        <v>175000.01</v>
      </c>
      <c r="O1141" s="276">
        <v>175000.01</v>
      </c>
      <c r="P1141" s="186">
        <v>140000.01</v>
      </c>
      <c r="Q1141" s="186">
        <v>140000.01</v>
      </c>
      <c r="R1141" s="1260" t="s">
        <v>2581</v>
      </c>
      <c r="S1141" s="276">
        <v>70000</v>
      </c>
      <c r="T1141" s="150">
        <v>45085</v>
      </c>
      <c r="U1141" s="1260" t="s">
        <v>2260</v>
      </c>
      <c r="V1141" s="276">
        <v>35000</v>
      </c>
      <c r="W1141" s="184" t="s">
        <v>4193</v>
      </c>
      <c r="X1141" s="153">
        <v>35000</v>
      </c>
      <c r="Y1141" s="138"/>
    </row>
    <row r="1142" s="80" customFormat="1" ht="37.5" customHeight="1" spans="1:25">
      <c r="A1142" s="138">
        <f t="shared" si="28"/>
        <v>1134</v>
      </c>
      <c r="B1142" s="139">
        <v>2023</v>
      </c>
      <c r="C1142" s="189" t="s">
        <v>37</v>
      </c>
      <c r="D1142" s="279" t="s">
        <v>4590</v>
      </c>
      <c r="E1142" s="190" t="s">
        <v>4591</v>
      </c>
      <c r="F1142" s="142" t="s">
        <v>3192</v>
      </c>
      <c r="G1142" s="143" t="s">
        <v>4179</v>
      </c>
      <c r="H1142" s="144">
        <v>0.8</v>
      </c>
      <c r="I1142" s="145">
        <v>10000</v>
      </c>
      <c r="J1142" s="185" t="s">
        <v>2634</v>
      </c>
      <c r="K1142" s="185" t="s">
        <v>4592</v>
      </c>
      <c r="L1142" s="147">
        <v>0.4</v>
      </c>
      <c r="M1142" s="280" t="s">
        <v>4593</v>
      </c>
      <c r="N1142" s="186">
        <v>8333.32</v>
      </c>
      <c r="O1142" s="276">
        <v>8333.32</v>
      </c>
      <c r="P1142" s="186">
        <v>6666.66</v>
      </c>
      <c r="Q1142" s="186">
        <v>6666.66</v>
      </c>
      <c r="R1142" s="1260" t="s">
        <v>2581</v>
      </c>
      <c r="S1142" s="276">
        <v>3333.33</v>
      </c>
      <c r="T1142" s="150">
        <v>45085</v>
      </c>
      <c r="U1142" s="1260" t="s">
        <v>2260</v>
      </c>
      <c r="V1142" s="276">
        <v>1666.66</v>
      </c>
      <c r="W1142" s="184" t="s">
        <v>4193</v>
      </c>
      <c r="X1142" s="153">
        <v>1666.66</v>
      </c>
      <c r="Y1142" s="138"/>
    </row>
    <row r="1143" s="80" customFormat="1" ht="37.5" customHeight="1" spans="1:25">
      <c r="A1143" s="138">
        <f t="shared" si="28"/>
        <v>1135</v>
      </c>
      <c r="B1143" s="139">
        <v>2023</v>
      </c>
      <c r="C1143" s="189" t="s">
        <v>37</v>
      </c>
      <c r="D1143" s="279" t="s">
        <v>4594</v>
      </c>
      <c r="E1143" s="190" t="s">
        <v>4595</v>
      </c>
      <c r="F1143" s="142" t="s">
        <v>3192</v>
      </c>
      <c r="G1143" s="143" t="s">
        <v>4179</v>
      </c>
      <c r="H1143" s="144">
        <v>0.8</v>
      </c>
      <c r="I1143" s="145">
        <v>140000</v>
      </c>
      <c r="J1143" s="185" t="s">
        <v>2773</v>
      </c>
      <c r="K1143" s="185" t="s">
        <v>4596</v>
      </c>
      <c r="L1143" s="147">
        <v>0.4</v>
      </c>
      <c r="M1143" s="280" t="s">
        <v>4593</v>
      </c>
      <c r="N1143" s="186">
        <v>116666.68</v>
      </c>
      <c r="O1143" s="276">
        <v>116666.68</v>
      </c>
      <c r="P1143" s="186">
        <v>93333.34</v>
      </c>
      <c r="Q1143" s="186">
        <v>93333.34</v>
      </c>
      <c r="R1143" s="1260" t="s">
        <v>2581</v>
      </c>
      <c r="S1143" s="276">
        <v>46666.67</v>
      </c>
      <c r="T1143" s="150">
        <v>45085</v>
      </c>
      <c r="U1143" s="1260" t="s">
        <v>2260</v>
      </c>
      <c r="V1143" s="276">
        <v>23333.34</v>
      </c>
      <c r="W1143" s="184" t="s">
        <v>4193</v>
      </c>
      <c r="X1143" s="153">
        <v>23333.34</v>
      </c>
      <c r="Y1143" s="138"/>
    </row>
    <row r="1144" s="80" customFormat="1" ht="37.5" customHeight="1" spans="1:25">
      <c r="A1144" s="138">
        <f t="shared" si="28"/>
        <v>1136</v>
      </c>
      <c r="B1144" s="139">
        <v>2023</v>
      </c>
      <c r="C1144" s="189" t="s">
        <v>37</v>
      </c>
      <c r="D1144" s="279" t="s">
        <v>4597</v>
      </c>
      <c r="E1144" s="190" t="s">
        <v>4598</v>
      </c>
      <c r="F1144" s="142" t="s">
        <v>3192</v>
      </c>
      <c r="G1144" s="143" t="s">
        <v>4179</v>
      </c>
      <c r="H1144" s="144">
        <v>0.8</v>
      </c>
      <c r="I1144" s="145">
        <v>480000</v>
      </c>
      <c r="J1144" s="185" t="s">
        <v>2944</v>
      </c>
      <c r="K1144" s="185" t="s">
        <v>4599</v>
      </c>
      <c r="L1144" s="147">
        <v>0.4</v>
      </c>
      <c r="M1144" s="280" t="s">
        <v>4593</v>
      </c>
      <c r="N1144" s="186">
        <v>440000</v>
      </c>
      <c r="O1144" s="276">
        <v>440000</v>
      </c>
      <c r="P1144" s="186">
        <v>352000</v>
      </c>
      <c r="Q1144" s="186">
        <v>352000</v>
      </c>
      <c r="R1144" s="1260" t="s">
        <v>2581</v>
      </c>
      <c r="S1144" s="276">
        <v>176000</v>
      </c>
      <c r="T1144" s="150">
        <v>45085</v>
      </c>
      <c r="U1144" s="1260" t="s">
        <v>2260</v>
      </c>
      <c r="V1144" s="276">
        <v>88000</v>
      </c>
      <c r="W1144" s="184" t="s">
        <v>4193</v>
      </c>
      <c r="X1144" s="153">
        <v>88000</v>
      </c>
      <c r="Y1144" s="138"/>
    </row>
    <row r="1145" s="80" customFormat="1" ht="37.5" customHeight="1" spans="1:25">
      <c r="A1145" s="138">
        <f t="shared" si="28"/>
        <v>1137</v>
      </c>
      <c r="B1145" s="139">
        <v>2023</v>
      </c>
      <c r="C1145" s="189" t="s">
        <v>37</v>
      </c>
      <c r="D1145" s="279" t="s">
        <v>4600</v>
      </c>
      <c r="E1145" s="190" t="s">
        <v>4601</v>
      </c>
      <c r="F1145" s="142" t="s">
        <v>3192</v>
      </c>
      <c r="G1145" s="143" t="s">
        <v>4179</v>
      </c>
      <c r="H1145" s="144">
        <v>0.8</v>
      </c>
      <c r="I1145" s="145">
        <v>80000</v>
      </c>
      <c r="J1145" s="185" t="s">
        <v>2049</v>
      </c>
      <c r="K1145" s="185" t="s">
        <v>4602</v>
      </c>
      <c r="L1145" s="147">
        <v>0.4</v>
      </c>
      <c r="M1145" s="280" t="s">
        <v>1881</v>
      </c>
      <c r="N1145" s="186">
        <v>73333.34</v>
      </c>
      <c r="O1145" s="276">
        <v>73333.34</v>
      </c>
      <c r="P1145" s="186">
        <v>58666.67</v>
      </c>
      <c r="Q1145" s="186">
        <v>58666.67</v>
      </c>
      <c r="R1145" s="1260" t="s">
        <v>2581</v>
      </c>
      <c r="S1145" s="276">
        <v>29333.34</v>
      </c>
      <c r="T1145" s="150">
        <v>45085</v>
      </c>
      <c r="U1145" s="1260" t="s">
        <v>2260</v>
      </c>
      <c r="V1145" s="276">
        <v>14666.67</v>
      </c>
      <c r="W1145" s="184" t="s">
        <v>4193</v>
      </c>
      <c r="X1145" s="153">
        <v>14666.67</v>
      </c>
      <c r="Y1145" s="138"/>
    </row>
    <row r="1146" s="80" customFormat="1" ht="37.5" customHeight="1" spans="1:25">
      <c r="A1146" s="138">
        <f t="shared" si="28"/>
        <v>1138</v>
      </c>
      <c r="B1146" s="139">
        <v>2023</v>
      </c>
      <c r="C1146" s="189" t="s">
        <v>37</v>
      </c>
      <c r="D1146" s="279" t="s">
        <v>4585</v>
      </c>
      <c r="E1146" s="190" t="s">
        <v>4603</v>
      </c>
      <c r="F1146" s="142" t="s">
        <v>3192</v>
      </c>
      <c r="G1146" s="143" t="s">
        <v>4179</v>
      </c>
      <c r="H1146" s="144">
        <v>0.8</v>
      </c>
      <c r="I1146" s="145">
        <v>60000</v>
      </c>
      <c r="J1146" s="185" t="s">
        <v>4604</v>
      </c>
      <c r="K1146" s="185" t="s">
        <v>4605</v>
      </c>
      <c r="L1146" s="147">
        <v>0.4</v>
      </c>
      <c r="M1146" s="280" t="s">
        <v>1881</v>
      </c>
      <c r="N1146" s="186">
        <v>57500</v>
      </c>
      <c r="O1146" s="276">
        <v>57500</v>
      </c>
      <c r="P1146" s="186">
        <v>46000</v>
      </c>
      <c r="Q1146" s="186">
        <v>46000</v>
      </c>
      <c r="R1146" s="1260" t="s">
        <v>2581</v>
      </c>
      <c r="S1146" s="276">
        <v>23000</v>
      </c>
      <c r="T1146" s="150">
        <v>45085</v>
      </c>
      <c r="U1146" s="1260" t="s">
        <v>2260</v>
      </c>
      <c r="V1146" s="276">
        <v>11500</v>
      </c>
      <c r="W1146" s="184" t="s">
        <v>4193</v>
      </c>
      <c r="X1146" s="153">
        <v>11500</v>
      </c>
      <c r="Y1146" s="138"/>
    </row>
    <row r="1147" s="80" customFormat="1" ht="37.5" customHeight="1" spans="1:25">
      <c r="A1147" s="138">
        <f t="shared" si="28"/>
        <v>1139</v>
      </c>
      <c r="B1147" s="139">
        <v>2023</v>
      </c>
      <c r="C1147" s="189" t="s">
        <v>37</v>
      </c>
      <c r="D1147" s="279" t="s">
        <v>4606</v>
      </c>
      <c r="E1147" s="190" t="s">
        <v>4607</v>
      </c>
      <c r="F1147" s="142" t="s">
        <v>3192</v>
      </c>
      <c r="G1147" s="143" t="s">
        <v>4179</v>
      </c>
      <c r="H1147" s="144">
        <v>0.8</v>
      </c>
      <c r="I1147" s="145">
        <v>160000</v>
      </c>
      <c r="J1147" s="185" t="s">
        <v>2888</v>
      </c>
      <c r="K1147" s="185" t="s">
        <v>4608</v>
      </c>
      <c r="L1147" s="147">
        <v>0.4</v>
      </c>
      <c r="M1147" s="280" t="s">
        <v>1881</v>
      </c>
      <c r="N1147" s="186">
        <v>146666.66</v>
      </c>
      <c r="O1147" s="276">
        <v>146666.66</v>
      </c>
      <c r="P1147" s="186">
        <v>117333.33</v>
      </c>
      <c r="Q1147" s="186">
        <v>117333.33</v>
      </c>
      <c r="R1147" s="1260" t="s">
        <v>2581</v>
      </c>
      <c r="S1147" s="276">
        <v>58666.66</v>
      </c>
      <c r="T1147" s="150">
        <v>45085</v>
      </c>
      <c r="U1147" s="1260" t="s">
        <v>2260</v>
      </c>
      <c r="V1147" s="276">
        <v>29333.33</v>
      </c>
      <c r="W1147" s="184" t="s">
        <v>4193</v>
      </c>
      <c r="X1147" s="153">
        <v>29333.33</v>
      </c>
      <c r="Y1147" s="138"/>
    </row>
    <row r="1148" s="80" customFormat="1" ht="37.5" customHeight="1" spans="1:25">
      <c r="A1148" s="138">
        <f t="shared" si="28"/>
        <v>1140</v>
      </c>
      <c r="B1148" s="139">
        <v>2023</v>
      </c>
      <c r="C1148" s="189" t="s">
        <v>37</v>
      </c>
      <c r="D1148" s="279" t="s">
        <v>4600</v>
      </c>
      <c r="E1148" s="190" t="s">
        <v>4609</v>
      </c>
      <c r="F1148" s="142" t="s">
        <v>3192</v>
      </c>
      <c r="G1148" s="143" t="s">
        <v>4179</v>
      </c>
      <c r="H1148" s="144">
        <v>0.8</v>
      </c>
      <c r="I1148" s="145">
        <v>30000</v>
      </c>
      <c r="J1148" s="185" t="s">
        <v>2028</v>
      </c>
      <c r="K1148" s="185" t="s">
        <v>4610</v>
      </c>
      <c r="L1148" s="147">
        <v>0.4</v>
      </c>
      <c r="M1148" s="280" t="s">
        <v>1881</v>
      </c>
      <c r="N1148" s="186">
        <v>28093.51</v>
      </c>
      <c r="O1148" s="276">
        <v>28093.51</v>
      </c>
      <c r="P1148" s="186">
        <v>22474.81</v>
      </c>
      <c r="Q1148" s="186">
        <v>22474.81</v>
      </c>
      <c r="R1148" s="1260" t="s">
        <v>2581</v>
      </c>
      <c r="S1148" s="276">
        <v>11237.4</v>
      </c>
      <c r="T1148" s="150">
        <v>45085</v>
      </c>
      <c r="U1148" s="1260" t="s">
        <v>2260</v>
      </c>
      <c r="V1148" s="276">
        <v>5618.7</v>
      </c>
      <c r="W1148" s="184" t="s">
        <v>4193</v>
      </c>
      <c r="X1148" s="153">
        <v>5618.7</v>
      </c>
      <c r="Y1148" s="138"/>
    </row>
    <row r="1149" s="80" customFormat="1" ht="37.5" customHeight="1" spans="1:25">
      <c r="A1149" s="138">
        <f t="shared" si="28"/>
        <v>1141</v>
      </c>
      <c r="B1149" s="139">
        <v>2023</v>
      </c>
      <c r="C1149" s="189" t="s">
        <v>37</v>
      </c>
      <c r="D1149" s="279" t="s">
        <v>4611</v>
      </c>
      <c r="E1149" s="190" t="s">
        <v>4612</v>
      </c>
      <c r="F1149" s="142" t="s">
        <v>3192</v>
      </c>
      <c r="G1149" s="143" t="s">
        <v>4179</v>
      </c>
      <c r="H1149" s="144">
        <v>0.8</v>
      </c>
      <c r="I1149" s="145">
        <v>50000</v>
      </c>
      <c r="J1149" s="185" t="s">
        <v>2979</v>
      </c>
      <c r="K1149" s="185" t="s">
        <v>4613</v>
      </c>
      <c r="L1149" s="147">
        <v>0.4</v>
      </c>
      <c r="M1149" s="280" t="s">
        <v>1881</v>
      </c>
      <c r="N1149" s="186">
        <v>47916.67</v>
      </c>
      <c r="O1149" s="276">
        <v>47916.67</v>
      </c>
      <c r="P1149" s="186">
        <v>38333.34</v>
      </c>
      <c r="Q1149" s="186">
        <v>38333.34</v>
      </c>
      <c r="R1149" s="1260" t="s">
        <v>2581</v>
      </c>
      <c r="S1149" s="276">
        <v>19166.67</v>
      </c>
      <c r="T1149" s="150">
        <v>45085</v>
      </c>
      <c r="U1149" s="1260" t="s">
        <v>2260</v>
      </c>
      <c r="V1149" s="276">
        <v>9583.33</v>
      </c>
      <c r="W1149" s="184" t="s">
        <v>4193</v>
      </c>
      <c r="X1149" s="153">
        <v>9583.33</v>
      </c>
      <c r="Y1149" s="138"/>
    </row>
    <row r="1150" s="80" customFormat="1" ht="37.5" customHeight="1" spans="1:25">
      <c r="A1150" s="138">
        <f t="shared" si="28"/>
        <v>1142</v>
      </c>
      <c r="B1150" s="139">
        <v>2023</v>
      </c>
      <c r="C1150" s="189" t="s">
        <v>37</v>
      </c>
      <c r="D1150" s="279" t="s">
        <v>4606</v>
      </c>
      <c r="E1150" s="190" t="s">
        <v>4614</v>
      </c>
      <c r="F1150" s="142" t="s">
        <v>3192</v>
      </c>
      <c r="G1150" s="143" t="s">
        <v>4179</v>
      </c>
      <c r="H1150" s="144">
        <v>0.8</v>
      </c>
      <c r="I1150" s="145">
        <v>170000</v>
      </c>
      <c r="J1150" s="185" t="s">
        <v>3159</v>
      </c>
      <c r="K1150" s="185" t="s">
        <v>4615</v>
      </c>
      <c r="L1150" s="147">
        <v>0.4</v>
      </c>
      <c r="M1150" s="280" t="s">
        <v>1881</v>
      </c>
      <c r="N1150" s="186">
        <v>162916.67</v>
      </c>
      <c r="O1150" s="276">
        <v>162916.67</v>
      </c>
      <c r="P1150" s="186">
        <v>130333.34</v>
      </c>
      <c r="Q1150" s="186">
        <v>130333.34</v>
      </c>
      <c r="R1150" s="1260" t="s">
        <v>2581</v>
      </c>
      <c r="S1150" s="276">
        <v>65166.67</v>
      </c>
      <c r="T1150" s="150">
        <v>45085</v>
      </c>
      <c r="U1150" s="1260" t="s">
        <v>2260</v>
      </c>
      <c r="V1150" s="276">
        <v>32583.33</v>
      </c>
      <c r="W1150" s="184" t="s">
        <v>4193</v>
      </c>
      <c r="X1150" s="153">
        <v>32583.33</v>
      </c>
      <c r="Y1150" s="138"/>
    </row>
    <row r="1151" s="80" customFormat="1" ht="37.5" customHeight="1" spans="1:25">
      <c r="A1151" s="138">
        <f t="shared" si="28"/>
        <v>1143</v>
      </c>
      <c r="B1151" s="139">
        <v>2023</v>
      </c>
      <c r="C1151" s="189" t="s">
        <v>37</v>
      </c>
      <c r="D1151" s="279" t="s">
        <v>4606</v>
      </c>
      <c r="E1151" s="190" t="s">
        <v>4616</v>
      </c>
      <c r="F1151" s="142" t="s">
        <v>3192</v>
      </c>
      <c r="G1151" s="143" t="s">
        <v>4179</v>
      </c>
      <c r="H1151" s="144">
        <v>0.8</v>
      </c>
      <c r="I1151" s="145">
        <v>150000</v>
      </c>
      <c r="J1151" s="185" t="s">
        <v>4509</v>
      </c>
      <c r="K1151" s="185" t="s">
        <v>4617</v>
      </c>
      <c r="L1151" s="147">
        <v>0.4</v>
      </c>
      <c r="M1151" s="280" t="s">
        <v>1881</v>
      </c>
      <c r="N1151" s="186">
        <v>118750</v>
      </c>
      <c r="O1151" s="276">
        <v>118750</v>
      </c>
      <c r="P1151" s="186">
        <v>95000</v>
      </c>
      <c r="Q1151" s="186">
        <v>95000</v>
      </c>
      <c r="R1151" s="1260" t="s">
        <v>2581</v>
      </c>
      <c r="S1151" s="276">
        <v>47500</v>
      </c>
      <c r="T1151" s="150">
        <v>45085</v>
      </c>
      <c r="U1151" s="184"/>
      <c r="V1151" s="276"/>
      <c r="W1151" s="184"/>
      <c r="X1151" s="153"/>
      <c r="Y1151" s="184" t="s">
        <v>1077</v>
      </c>
    </row>
    <row r="1152" s="80" customFormat="1" ht="37.5" customHeight="1" spans="1:25">
      <c r="A1152" s="138">
        <f t="shared" si="28"/>
        <v>1144</v>
      </c>
      <c r="B1152" s="139">
        <v>2023</v>
      </c>
      <c r="C1152" s="189" t="s">
        <v>37</v>
      </c>
      <c r="D1152" s="279" t="s">
        <v>4585</v>
      </c>
      <c r="E1152" s="190" t="s">
        <v>4618</v>
      </c>
      <c r="F1152" s="142" t="s">
        <v>3192</v>
      </c>
      <c r="G1152" s="143" t="s">
        <v>4179</v>
      </c>
      <c r="H1152" s="144">
        <v>0.8</v>
      </c>
      <c r="I1152" s="145">
        <v>200000</v>
      </c>
      <c r="J1152" s="185" t="s">
        <v>2060</v>
      </c>
      <c r="K1152" s="185" t="s">
        <v>4619</v>
      </c>
      <c r="L1152" s="147">
        <v>0.4</v>
      </c>
      <c r="M1152" s="280" t="s">
        <v>1881</v>
      </c>
      <c r="N1152" s="186">
        <v>166666.68</v>
      </c>
      <c r="O1152" s="276">
        <v>166666.68</v>
      </c>
      <c r="P1152" s="186">
        <v>133333.34</v>
      </c>
      <c r="Q1152" s="186">
        <v>133333.34</v>
      </c>
      <c r="R1152" s="1260" t="s">
        <v>2581</v>
      </c>
      <c r="S1152" s="276">
        <v>66666.67</v>
      </c>
      <c r="T1152" s="150">
        <v>45085</v>
      </c>
      <c r="U1152" s="184"/>
      <c r="V1152" s="276"/>
      <c r="W1152" s="184"/>
      <c r="X1152" s="153"/>
      <c r="Y1152" s="184" t="s">
        <v>1077</v>
      </c>
    </row>
    <row r="1153" s="80" customFormat="1" ht="37.5" customHeight="1" spans="1:25">
      <c r="A1153" s="138">
        <f t="shared" si="28"/>
        <v>1145</v>
      </c>
      <c r="B1153" s="139">
        <v>2023</v>
      </c>
      <c r="C1153" s="189" t="s">
        <v>37</v>
      </c>
      <c r="D1153" s="279" t="s">
        <v>4620</v>
      </c>
      <c r="E1153" s="190" t="s">
        <v>4621</v>
      </c>
      <c r="F1153" s="142" t="s">
        <v>3192</v>
      </c>
      <c r="G1153" s="143" t="s">
        <v>4179</v>
      </c>
      <c r="H1153" s="144">
        <v>0.8</v>
      </c>
      <c r="I1153" s="145">
        <v>20000</v>
      </c>
      <c r="J1153" s="185" t="s">
        <v>2326</v>
      </c>
      <c r="K1153" s="185" t="s">
        <v>4622</v>
      </c>
      <c r="L1153" s="147">
        <v>0.4</v>
      </c>
      <c r="M1153" s="280" t="s">
        <v>1881</v>
      </c>
      <c r="N1153" s="186">
        <v>15833.35</v>
      </c>
      <c r="O1153" s="276">
        <v>15833.35</v>
      </c>
      <c r="P1153" s="186">
        <v>12666.68</v>
      </c>
      <c r="Q1153" s="186">
        <v>12666.68</v>
      </c>
      <c r="R1153" s="1260" t="s">
        <v>2581</v>
      </c>
      <c r="S1153" s="276">
        <v>6333.34</v>
      </c>
      <c r="T1153" s="150">
        <v>45085</v>
      </c>
      <c r="U1153" s="184"/>
      <c r="V1153" s="276"/>
      <c r="W1153" s="184"/>
      <c r="X1153" s="153"/>
      <c r="Y1153" s="184" t="s">
        <v>1077</v>
      </c>
    </row>
    <row r="1154" s="80" customFormat="1" ht="37.5" customHeight="1" spans="1:25">
      <c r="A1154" s="138">
        <f t="shared" si="28"/>
        <v>1146</v>
      </c>
      <c r="B1154" s="139">
        <v>2023</v>
      </c>
      <c r="C1154" s="189" t="s">
        <v>37</v>
      </c>
      <c r="D1154" s="279" t="s">
        <v>4623</v>
      </c>
      <c r="E1154" s="190" t="s">
        <v>4624</v>
      </c>
      <c r="F1154" s="142" t="s">
        <v>3192</v>
      </c>
      <c r="G1154" s="143" t="s">
        <v>4179</v>
      </c>
      <c r="H1154" s="144">
        <v>0.8</v>
      </c>
      <c r="I1154" s="145">
        <v>310000</v>
      </c>
      <c r="J1154" s="185" t="s">
        <v>2307</v>
      </c>
      <c r="K1154" s="185" t="s">
        <v>4625</v>
      </c>
      <c r="L1154" s="147">
        <v>0.4</v>
      </c>
      <c r="M1154" s="280" t="s">
        <v>4593</v>
      </c>
      <c r="N1154" s="186">
        <v>219583.31</v>
      </c>
      <c r="O1154" s="276">
        <v>219583.31</v>
      </c>
      <c r="P1154" s="186">
        <v>175666.65</v>
      </c>
      <c r="Q1154" s="186">
        <v>175666.65</v>
      </c>
      <c r="R1154" s="1260" t="s">
        <v>2581</v>
      </c>
      <c r="S1154" s="276">
        <v>87833.32</v>
      </c>
      <c r="T1154" s="150">
        <v>45085</v>
      </c>
      <c r="U1154" s="184"/>
      <c r="V1154" s="276"/>
      <c r="W1154" s="184"/>
      <c r="X1154" s="153"/>
      <c r="Y1154" s="184" t="s">
        <v>1077</v>
      </c>
    </row>
    <row r="1155" s="80" customFormat="1" ht="37.5" customHeight="1" spans="1:25">
      <c r="A1155" s="138">
        <f t="shared" si="28"/>
        <v>1147</v>
      </c>
      <c r="B1155" s="139">
        <v>2023</v>
      </c>
      <c r="C1155" s="189" t="s">
        <v>31</v>
      </c>
      <c r="D1155" s="279" t="s">
        <v>4626</v>
      </c>
      <c r="E1155" s="190" t="s">
        <v>4627</v>
      </c>
      <c r="F1155" s="142" t="s">
        <v>4628</v>
      </c>
      <c r="G1155" s="143" t="s">
        <v>1137</v>
      </c>
      <c r="H1155" s="144">
        <v>0.8</v>
      </c>
      <c r="I1155" s="145">
        <v>500000</v>
      </c>
      <c r="J1155" s="185" t="s">
        <v>1846</v>
      </c>
      <c r="K1155" s="185" t="s">
        <v>2665</v>
      </c>
      <c r="L1155" s="147">
        <v>0.4</v>
      </c>
      <c r="M1155" s="280" t="s">
        <v>4203</v>
      </c>
      <c r="N1155" s="186">
        <v>504277.78</v>
      </c>
      <c r="O1155" s="276">
        <v>500000</v>
      </c>
      <c r="P1155" s="186">
        <v>400000</v>
      </c>
      <c r="Q1155" s="186">
        <v>403222.22</v>
      </c>
      <c r="R1155" s="1260" t="s">
        <v>2232</v>
      </c>
      <c r="S1155" s="276">
        <v>201711.11</v>
      </c>
      <c r="T1155" s="150">
        <v>45086</v>
      </c>
      <c r="U1155" s="1260" t="s">
        <v>2260</v>
      </c>
      <c r="V1155" s="276">
        <v>100000</v>
      </c>
      <c r="W1155" s="1260" t="s">
        <v>2994</v>
      </c>
      <c r="X1155" s="296">
        <v>10000</v>
      </c>
      <c r="Y1155" s="138"/>
    </row>
    <row r="1156" s="80" customFormat="1" ht="37.5" customHeight="1" spans="1:25">
      <c r="A1156" s="138">
        <f t="shared" si="28"/>
        <v>1148</v>
      </c>
      <c r="B1156" s="139">
        <v>2023</v>
      </c>
      <c r="C1156" s="189" t="s">
        <v>22</v>
      </c>
      <c r="D1156" s="279" t="s">
        <v>4629</v>
      </c>
      <c r="E1156" s="190" t="s">
        <v>4630</v>
      </c>
      <c r="F1156" s="142" t="s">
        <v>1788</v>
      </c>
      <c r="G1156" s="143" t="s">
        <v>4631</v>
      </c>
      <c r="H1156" s="144">
        <v>0.8</v>
      </c>
      <c r="I1156" s="145">
        <v>1000000</v>
      </c>
      <c r="J1156" s="1258" t="s">
        <v>4632</v>
      </c>
      <c r="K1156" s="1258" t="s">
        <v>2346</v>
      </c>
      <c r="L1156" s="147">
        <v>0.5</v>
      </c>
      <c r="M1156" s="1276" t="s">
        <v>4272</v>
      </c>
      <c r="N1156" s="186">
        <v>1079337.99</v>
      </c>
      <c r="O1156" s="276">
        <v>1000000</v>
      </c>
      <c r="P1156" s="186">
        <v>800000</v>
      </c>
      <c r="Q1156" s="186">
        <v>863470.39</v>
      </c>
      <c r="R1156" s="1260" t="s">
        <v>2232</v>
      </c>
      <c r="S1156" s="276">
        <v>539669</v>
      </c>
      <c r="T1156" s="150">
        <v>45086</v>
      </c>
      <c r="U1156" s="1260" t="s">
        <v>2260</v>
      </c>
      <c r="V1156" s="276">
        <v>300000</v>
      </c>
      <c r="W1156" s="184" t="s">
        <v>4457</v>
      </c>
      <c r="X1156" s="296">
        <v>300000</v>
      </c>
      <c r="Y1156" s="138"/>
    </row>
    <row r="1157" s="80" customFormat="1" ht="37.5" customHeight="1" spans="1:25">
      <c r="A1157" s="138">
        <f t="shared" si="28"/>
        <v>1149</v>
      </c>
      <c r="B1157" s="139">
        <v>2023</v>
      </c>
      <c r="C1157" s="189" t="s">
        <v>22</v>
      </c>
      <c r="D1157" s="279" t="s">
        <v>4633</v>
      </c>
      <c r="E1157" s="190" t="s">
        <v>4634</v>
      </c>
      <c r="F1157" s="142" t="s">
        <v>1828</v>
      </c>
      <c r="G1157" s="143" t="s">
        <v>1610</v>
      </c>
      <c r="H1157" s="144">
        <v>1</v>
      </c>
      <c r="I1157" s="145">
        <v>2000000</v>
      </c>
      <c r="J1157" s="1258" t="s">
        <v>1763</v>
      </c>
      <c r="K1157" s="1258" t="s">
        <v>3272</v>
      </c>
      <c r="L1157" s="147">
        <v>0.4</v>
      </c>
      <c r="M1157" s="1276" t="s">
        <v>2668</v>
      </c>
      <c r="N1157" s="186">
        <v>2030467.11</v>
      </c>
      <c r="O1157" s="276">
        <v>2000000</v>
      </c>
      <c r="P1157" s="276">
        <v>2000000</v>
      </c>
      <c r="Q1157" s="276">
        <v>2030467.11</v>
      </c>
      <c r="R1157" s="1260" t="s">
        <v>2232</v>
      </c>
      <c r="S1157" s="276">
        <v>812186.84</v>
      </c>
      <c r="T1157" s="150">
        <v>45092</v>
      </c>
      <c r="U1157" s="1260" t="s">
        <v>2260</v>
      </c>
      <c r="V1157" s="276">
        <v>400000</v>
      </c>
      <c r="W1157" s="184" t="s">
        <v>4457</v>
      </c>
      <c r="X1157" s="296">
        <v>400000</v>
      </c>
      <c r="Y1157" s="138"/>
    </row>
    <row r="1158" s="80" customFormat="1" ht="37.5" customHeight="1" spans="1:25">
      <c r="A1158" s="138">
        <f t="shared" si="28"/>
        <v>1150</v>
      </c>
      <c r="B1158" s="139">
        <v>2023</v>
      </c>
      <c r="C1158" s="189" t="s">
        <v>31</v>
      </c>
      <c r="D1158" s="279" t="s">
        <v>4635</v>
      </c>
      <c r="E1158" s="190" t="s">
        <v>4636</v>
      </c>
      <c r="F1158" s="142" t="s">
        <v>4637</v>
      </c>
      <c r="G1158" s="143" t="s">
        <v>1137</v>
      </c>
      <c r="H1158" s="144">
        <v>0.8</v>
      </c>
      <c r="I1158" s="145">
        <v>3000000</v>
      </c>
      <c r="J1158" s="185" t="s">
        <v>1958</v>
      </c>
      <c r="K1158" s="185" t="s">
        <v>2292</v>
      </c>
      <c r="L1158" s="147">
        <v>0.4</v>
      </c>
      <c r="M1158" s="280" t="s">
        <v>4272</v>
      </c>
      <c r="N1158" s="186">
        <v>3092996.92</v>
      </c>
      <c r="O1158" s="276">
        <v>3000000</v>
      </c>
      <c r="P1158" s="276">
        <v>2400000</v>
      </c>
      <c r="Q1158" s="276">
        <v>2474397.54</v>
      </c>
      <c r="R1158" s="1260" t="s">
        <v>2253</v>
      </c>
      <c r="S1158" s="276">
        <v>1237198.77</v>
      </c>
      <c r="T1158" s="150">
        <v>45096</v>
      </c>
      <c r="U1158" s="1260" t="s">
        <v>2630</v>
      </c>
      <c r="V1158" s="276">
        <v>674680.37</v>
      </c>
      <c r="W1158" s="1260" t="s">
        <v>2994</v>
      </c>
      <c r="X1158" s="296">
        <v>674680.37</v>
      </c>
      <c r="Y1158" s="138"/>
    </row>
    <row r="1159" ht="37.5" customHeight="1" spans="1:25">
      <c r="A1159" s="192">
        <f t="shared" si="28"/>
        <v>1151</v>
      </c>
      <c r="B1159" s="208">
        <v>2023</v>
      </c>
      <c r="C1159" s="193" t="s">
        <v>37</v>
      </c>
      <c r="D1159" s="277" t="s">
        <v>4638</v>
      </c>
      <c r="E1159" s="195" t="s">
        <v>4639</v>
      </c>
      <c r="F1159" s="196" t="s">
        <v>2073</v>
      </c>
      <c r="G1159" s="197" t="s">
        <v>3239</v>
      </c>
      <c r="H1159" s="198">
        <v>0.8</v>
      </c>
      <c r="I1159" s="199">
        <v>850000</v>
      </c>
      <c r="J1159" s="200" t="s">
        <v>1945</v>
      </c>
      <c r="K1159" s="200" t="s">
        <v>2648</v>
      </c>
      <c r="L1159" s="201">
        <v>0.4</v>
      </c>
      <c r="M1159" s="278" t="s">
        <v>4640</v>
      </c>
      <c r="N1159" s="205">
        <v>36021.9</v>
      </c>
      <c r="O1159" s="254">
        <v>36021.9</v>
      </c>
      <c r="P1159" s="254">
        <v>28817.52</v>
      </c>
      <c r="Q1159" s="254">
        <v>28817.52</v>
      </c>
      <c r="R1159" s="1262" t="s">
        <v>2633</v>
      </c>
      <c r="S1159" s="254">
        <v>14408.76</v>
      </c>
      <c r="T1159" s="204">
        <v>45105</v>
      </c>
      <c r="U1159" s="1262" t="s">
        <v>3777</v>
      </c>
      <c r="V1159" s="254">
        <v>7204.38</v>
      </c>
      <c r="W1159" s="1262" t="s">
        <v>2994</v>
      </c>
      <c r="X1159" s="258">
        <v>7204.38</v>
      </c>
      <c r="Y1159" s="192"/>
    </row>
    <row r="1160" ht="37.5" customHeight="1" spans="1:25">
      <c r="A1160" s="192">
        <f t="shared" si="28"/>
        <v>1152</v>
      </c>
      <c r="B1160" s="208">
        <v>2023</v>
      </c>
      <c r="C1160" s="193" t="s">
        <v>37</v>
      </c>
      <c r="D1160" s="277" t="s">
        <v>4641</v>
      </c>
      <c r="E1160" s="195" t="s">
        <v>4642</v>
      </c>
      <c r="F1160" s="196" t="s">
        <v>2073</v>
      </c>
      <c r="G1160" s="197" t="s">
        <v>3239</v>
      </c>
      <c r="H1160" s="198">
        <v>0.8</v>
      </c>
      <c r="I1160" s="199">
        <v>550100</v>
      </c>
      <c r="J1160" s="200" t="s">
        <v>2079</v>
      </c>
      <c r="K1160" s="200" t="s">
        <v>2080</v>
      </c>
      <c r="L1160" s="201">
        <v>0.4</v>
      </c>
      <c r="M1160" s="278" t="s">
        <v>4341</v>
      </c>
      <c r="N1160" s="205">
        <v>32757.67</v>
      </c>
      <c r="O1160" s="254">
        <v>32757.67</v>
      </c>
      <c r="P1160" s="254">
        <v>26206.13</v>
      </c>
      <c r="Q1160" s="254">
        <v>26206.13</v>
      </c>
      <c r="R1160" s="1262" t="s">
        <v>2633</v>
      </c>
      <c r="S1160" s="254">
        <v>13103.07</v>
      </c>
      <c r="T1160" s="204">
        <v>45105</v>
      </c>
      <c r="U1160" s="1262" t="s">
        <v>3777</v>
      </c>
      <c r="V1160" s="254">
        <v>6551.53</v>
      </c>
      <c r="W1160" s="1262" t="s">
        <v>2994</v>
      </c>
      <c r="X1160" s="258">
        <v>6551.53</v>
      </c>
      <c r="Y1160" s="192"/>
    </row>
    <row r="1161" ht="37.5" customHeight="1" spans="1:25">
      <c r="A1161" s="192">
        <f t="shared" si="28"/>
        <v>1153</v>
      </c>
      <c r="B1161" s="208">
        <v>2023</v>
      </c>
      <c r="C1161" s="193" t="s">
        <v>37</v>
      </c>
      <c r="D1161" s="277" t="s">
        <v>4643</v>
      </c>
      <c r="E1161" s="195" t="s">
        <v>4644</v>
      </c>
      <c r="F1161" s="196" t="s">
        <v>2073</v>
      </c>
      <c r="G1161" s="197" t="s">
        <v>3239</v>
      </c>
      <c r="H1161" s="198">
        <v>0.8</v>
      </c>
      <c r="I1161" s="199">
        <v>50000</v>
      </c>
      <c r="J1161" s="200" t="s">
        <v>3734</v>
      </c>
      <c r="K1161" s="200" t="s">
        <v>2564</v>
      </c>
      <c r="L1161" s="201">
        <v>0.4</v>
      </c>
      <c r="M1161" s="278" t="s">
        <v>4560</v>
      </c>
      <c r="N1161" s="205">
        <v>1750.03</v>
      </c>
      <c r="O1161" s="254">
        <v>1750.03</v>
      </c>
      <c r="P1161" s="254">
        <v>1400.02</v>
      </c>
      <c r="Q1161" s="254">
        <v>1400.02</v>
      </c>
      <c r="R1161" s="1262" t="s">
        <v>2633</v>
      </c>
      <c r="S1161" s="254">
        <v>700.01</v>
      </c>
      <c r="T1161" s="204">
        <v>45105</v>
      </c>
      <c r="U1161" s="1262" t="s">
        <v>3777</v>
      </c>
      <c r="V1161" s="254">
        <v>350.01</v>
      </c>
      <c r="W1161" s="1262" t="s">
        <v>2994</v>
      </c>
      <c r="X1161" s="206">
        <v>350.01</v>
      </c>
      <c r="Y1161" s="192"/>
    </row>
    <row r="1162" ht="37.5" customHeight="1" spans="1:25">
      <c r="A1162" s="192">
        <f t="shared" si="28"/>
        <v>1154</v>
      </c>
      <c r="B1162" s="208">
        <v>2023</v>
      </c>
      <c r="C1162" s="193" t="s">
        <v>37</v>
      </c>
      <c r="D1162" s="277" t="s">
        <v>4645</v>
      </c>
      <c r="E1162" s="195" t="s">
        <v>4646</v>
      </c>
      <c r="F1162" s="196" t="s">
        <v>2073</v>
      </c>
      <c r="G1162" s="197" t="s">
        <v>3239</v>
      </c>
      <c r="H1162" s="198">
        <v>0.8</v>
      </c>
      <c r="I1162" s="199">
        <v>10000</v>
      </c>
      <c r="J1162" s="200" t="s">
        <v>2227</v>
      </c>
      <c r="K1162" s="200" t="s">
        <v>2228</v>
      </c>
      <c r="L1162" s="201">
        <v>0.4</v>
      </c>
      <c r="M1162" s="278" t="s">
        <v>3465</v>
      </c>
      <c r="N1162" s="205">
        <v>1562.75</v>
      </c>
      <c r="O1162" s="254">
        <v>1562.75</v>
      </c>
      <c r="P1162" s="254">
        <v>1250.2</v>
      </c>
      <c r="Q1162" s="254">
        <v>1250.2</v>
      </c>
      <c r="R1162" s="1262" t="s">
        <v>2633</v>
      </c>
      <c r="S1162" s="254">
        <v>625.1</v>
      </c>
      <c r="T1162" s="204">
        <v>45105</v>
      </c>
      <c r="U1162" s="1262" t="s">
        <v>3777</v>
      </c>
      <c r="V1162" s="254">
        <v>312.55</v>
      </c>
      <c r="W1162" s="1262" t="s">
        <v>2994</v>
      </c>
      <c r="X1162" s="206">
        <v>312.55</v>
      </c>
      <c r="Y1162" s="192"/>
    </row>
    <row r="1163" ht="37.5" customHeight="1" spans="1:25">
      <c r="A1163" s="192">
        <f t="shared" si="28"/>
        <v>1155</v>
      </c>
      <c r="B1163" s="208">
        <v>2023</v>
      </c>
      <c r="C1163" s="193" t="s">
        <v>37</v>
      </c>
      <c r="D1163" s="277" t="s">
        <v>4647</v>
      </c>
      <c r="E1163" s="195" t="s">
        <v>4648</v>
      </c>
      <c r="F1163" s="196" t="s">
        <v>2073</v>
      </c>
      <c r="G1163" s="197" t="s">
        <v>3239</v>
      </c>
      <c r="H1163" s="198">
        <v>0.8</v>
      </c>
      <c r="I1163" s="199">
        <v>65000</v>
      </c>
      <c r="J1163" s="200" t="s">
        <v>4649</v>
      </c>
      <c r="K1163" s="200" t="s">
        <v>2545</v>
      </c>
      <c r="L1163" s="201">
        <v>0.4</v>
      </c>
      <c r="M1163" s="278" t="s">
        <v>4235</v>
      </c>
      <c r="N1163" s="205">
        <v>25453.81</v>
      </c>
      <c r="O1163" s="254">
        <v>25453.81</v>
      </c>
      <c r="P1163" s="254">
        <v>20363.05</v>
      </c>
      <c r="Q1163" s="254">
        <v>20363.05</v>
      </c>
      <c r="R1163" s="1262" t="s">
        <v>2633</v>
      </c>
      <c r="S1163" s="254">
        <v>10181.52</v>
      </c>
      <c r="T1163" s="204">
        <v>45105</v>
      </c>
      <c r="U1163" s="1262" t="s">
        <v>3777</v>
      </c>
      <c r="V1163" s="254">
        <v>5090.76</v>
      </c>
      <c r="W1163" s="1262" t="s">
        <v>2994</v>
      </c>
      <c r="X1163" s="206">
        <v>5090.76</v>
      </c>
      <c r="Y1163" s="192"/>
    </row>
    <row r="1164" ht="37.5" customHeight="1" spans="1:25">
      <c r="A1164" s="192">
        <f t="shared" si="28"/>
        <v>1156</v>
      </c>
      <c r="B1164" s="208">
        <v>2023</v>
      </c>
      <c r="C1164" s="193" t="s">
        <v>37</v>
      </c>
      <c r="D1164" s="277" t="s">
        <v>4650</v>
      </c>
      <c r="E1164" s="195" t="s">
        <v>4651</v>
      </c>
      <c r="F1164" s="196" t="s">
        <v>2073</v>
      </c>
      <c r="G1164" s="197" t="s">
        <v>3239</v>
      </c>
      <c r="H1164" s="198">
        <v>0.8</v>
      </c>
      <c r="I1164" s="199">
        <v>95950</v>
      </c>
      <c r="J1164" s="200" t="s">
        <v>2191</v>
      </c>
      <c r="K1164" s="200" t="s">
        <v>2192</v>
      </c>
      <c r="L1164" s="201">
        <v>0.4</v>
      </c>
      <c r="M1164" s="278" t="s">
        <v>4489</v>
      </c>
      <c r="N1164" s="205">
        <v>1129.73</v>
      </c>
      <c r="O1164" s="254">
        <v>1129.73</v>
      </c>
      <c r="P1164" s="254">
        <v>903.79</v>
      </c>
      <c r="Q1164" s="254">
        <v>903.79</v>
      </c>
      <c r="R1164" s="1262" t="s">
        <v>2633</v>
      </c>
      <c r="S1164" s="254">
        <v>451.89</v>
      </c>
      <c r="T1164" s="204">
        <v>45105</v>
      </c>
      <c r="U1164" s="1262" t="s">
        <v>3777</v>
      </c>
      <c r="V1164" s="254">
        <v>225.95</v>
      </c>
      <c r="W1164" s="1262" t="s">
        <v>2994</v>
      </c>
      <c r="X1164" s="206">
        <v>225.95</v>
      </c>
      <c r="Y1164" s="192"/>
    </row>
    <row r="1165" ht="37.5" customHeight="1" spans="1:25">
      <c r="A1165" s="192">
        <f t="shared" si="28"/>
        <v>1157</v>
      </c>
      <c r="B1165" s="208">
        <v>2023</v>
      </c>
      <c r="C1165" s="193" t="s">
        <v>37</v>
      </c>
      <c r="D1165" s="277" t="s">
        <v>4652</v>
      </c>
      <c r="E1165" s="195" t="s">
        <v>4653</v>
      </c>
      <c r="F1165" s="196" t="s">
        <v>2073</v>
      </c>
      <c r="G1165" s="197" t="s">
        <v>3239</v>
      </c>
      <c r="H1165" s="198">
        <v>0.8</v>
      </c>
      <c r="I1165" s="199">
        <v>90020</v>
      </c>
      <c r="J1165" s="200" t="s">
        <v>2729</v>
      </c>
      <c r="K1165" s="200" t="s">
        <v>2507</v>
      </c>
      <c r="L1165" s="201">
        <v>0.4</v>
      </c>
      <c r="M1165" s="278" t="s">
        <v>4277</v>
      </c>
      <c r="N1165" s="205">
        <v>30000</v>
      </c>
      <c r="O1165" s="254">
        <v>30000</v>
      </c>
      <c r="P1165" s="254">
        <v>24000</v>
      </c>
      <c r="Q1165" s="254">
        <v>24000</v>
      </c>
      <c r="R1165" s="1262" t="s">
        <v>2633</v>
      </c>
      <c r="S1165" s="254">
        <v>12000</v>
      </c>
      <c r="T1165" s="204">
        <v>45105</v>
      </c>
      <c r="U1165" s="1262" t="s">
        <v>3777</v>
      </c>
      <c r="V1165" s="254">
        <v>6000</v>
      </c>
      <c r="W1165" s="1262" t="s">
        <v>2994</v>
      </c>
      <c r="X1165" s="206">
        <v>6000</v>
      </c>
      <c r="Y1165" s="192"/>
    </row>
    <row r="1166" ht="37.5" customHeight="1" spans="1:25">
      <c r="A1166" s="192">
        <f t="shared" si="28"/>
        <v>1158</v>
      </c>
      <c r="B1166" s="208">
        <v>2023</v>
      </c>
      <c r="C1166" s="193" t="s">
        <v>37</v>
      </c>
      <c r="D1166" s="277" t="s">
        <v>4654</v>
      </c>
      <c r="E1166" s="195" t="s">
        <v>4655</v>
      </c>
      <c r="F1166" s="196" t="s">
        <v>2073</v>
      </c>
      <c r="G1166" s="197" t="s">
        <v>3239</v>
      </c>
      <c r="H1166" s="198">
        <v>0.8</v>
      </c>
      <c r="I1166" s="199">
        <v>55010</v>
      </c>
      <c r="J1166" s="200" t="s">
        <v>1939</v>
      </c>
      <c r="K1166" s="200" t="s">
        <v>2241</v>
      </c>
      <c r="L1166" s="201">
        <v>0.4</v>
      </c>
      <c r="M1166" s="278" t="s">
        <v>4656</v>
      </c>
      <c r="N1166" s="205">
        <v>1666.74</v>
      </c>
      <c r="O1166" s="254">
        <v>1666.74</v>
      </c>
      <c r="P1166" s="254">
        <v>1333.39</v>
      </c>
      <c r="Q1166" s="254">
        <v>1333.39</v>
      </c>
      <c r="R1166" s="1262" t="s">
        <v>2633</v>
      </c>
      <c r="S1166" s="254">
        <v>666.7</v>
      </c>
      <c r="T1166" s="204">
        <v>45105</v>
      </c>
      <c r="U1166" s="1262" t="s">
        <v>3777</v>
      </c>
      <c r="V1166" s="254">
        <v>333.35</v>
      </c>
      <c r="W1166" s="1262" t="s">
        <v>2994</v>
      </c>
      <c r="X1166" s="206">
        <v>333.35</v>
      </c>
      <c r="Y1166" s="192"/>
    </row>
    <row r="1167" ht="37.5" customHeight="1" spans="1:25">
      <c r="A1167" s="192">
        <f t="shared" si="28"/>
        <v>1159</v>
      </c>
      <c r="B1167" s="208">
        <v>2023</v>
      </c>
      <c r="C1167" s="193" t="s">
        <v>37</v>
      </c>
      <c r="D1167" s="277" t="s">
        <v>4657</v>
      </c>
      <c r="E1167" s="195" t="s">
        <v>4658</v>
      </c>
      <c r="F1167" s="196" t="s">
        <v>2073</v>
      </c>
      <c r="G1167" s="197" t="s">
        <v>3239</v>
      </c>
      <c r="H1167" s="198">
        <v>0.8</v>
      </c>
      <c r="I1167" s="199">
        <v>142340</v>
      </c>
      <c r="J1167" s="200" t="s">
        <v>1894</v>
      </c>
      <c r="K1167" s="200" t="s">
        <v>2606</v>
      </c>
      <c r="L1167" s="201">
        <v>0.4</v>
      </c>
      <c r="M1167" s="278" t="s">
        <v>4570</v>
      </c>
      <c r="N1167" s="205">
        <v>4450.03</v>
      </c>
      <c r="O1167" s="254">
        <v>4450.03</v>
      </c>
      <c r="P1167" s="254">
        <v>3560.02</v>
      </c>
      <c r="Q1167" s="254">
        <v>3560.02</v>
      </c>
      <c r="R1167" s="1262" t="s">
        <v>2633</v>
      </c>
      <c r="S1167" s="254">
        <v>1780.01</v>
      </c>
      <c r="T1167" s="204">
        <v>45105</v>
      </c>
      <c r="U1167" s="1262" t="s">
        <v>3777</v>
      </c>
      <c r="V1167" s="254">
        <v>890.01</v>
      </c>
      <c r="W1167" s="1262" t="s">
        <v>2994</v>
      </c>
      <c r="X1167" s="206">
        <v>890.01</v>
      </c>
      <c r="Y1167" s="192"/>
    </row>
    <row r="1168" ht="37.5" customHeight="1" spans="1:25">
      <c r="A1168" s="192">
        <f t="shared" si="28"/>
        <v>1160</v>
      </c>
      <c r="B1168" s="208">
        <v>2023</v>
      </c>
      <c r="C1168" s="193" t="s">
        <v>37</v>
      </c>
      <c r="D1168" s="277" t="s">
        <v>4659</v>
      </c>
      <c r="E1168" s="195" t="s">
        <v>4660</v>
      </c>
      <c r="F1168" s="196" t="s">
        <v>2073</v>
      </c>
      <c r="G1168" s="197" t="s">
        <v>3239</v>
      </c>
      <c r="H1168" s="198">
        <v>0.8</v>
      </c>
      <c r="I1168" s="199">
        <v>18000</v>
      </c>
      <c r="J1168" s="200" t="s">
        <v>3305</v>
      </c>
      <c r="K1168" s="200" t="s">
        <v>2609</v>
      </c>
      <c r="L1168" s="201">
        <v>0.4</v>
      </c>
      <c r="M1168" s="278" t="s">
        <v>4215</v>
      </c>
      <c r="N1168" s="205">
        <v>831.22</v>
      </c>
      <c r="O1168" s="254">
        <v>831.22</v>
      </c>
      <c r="P1168" s="254">
        <v>664.98</v>
      </c>
      <c r="Q1168" s="254">
        <v>664.98</v>
      </c>
      <c r="R1168" s="1262" t="s">
        <v>2633</v>
      </c>
      <c r="S1168" s="254">
        <v>332.49</v>
      </c>
      <c r="T1168" s="204">
        <v>45105</v>
      </c>
      <c r="U1168" s="1262" t="s">
        <v>3777</v>
      </c>
      <c r="V1168" s="254">
        <v>166.24</v>
      </c>
      <c r="W1168" s="1262" t="s">
        <v>2994</v>
      </c>
      <c r="X1168" s="206">
        <v>166.24</v>
      </c>
      <c r="Y1168" s="192"/>
    </row>
    <row r="1169" ht="37.5" customHeight="1" spans="1:25">
      <c r="A1169" s="192">
        <f t="shared" si="28"/>
        <v>1161</v>
      </c>
      <c r="B1169" s="208">
        <v>2023</v>
      </c>
      <c r="C1169" s="193" t="s">
        <v>37</v>
      </c>
      <c r="D1169" s="277" t="s">
        <v>4661</v>
      </c>
      <c r="E1169" s="195" t="s">
        <v>4662</v>
      </c>
      <c r="F1169" s="196" t="s">
        <v>2073</v>
      </c>
      <c r="G1169" s="197" t="s">
        <v>3239</v>
      </c>
      <c r="H1169" s="198">
        <v>0.8</v>
      </c>
      <c r="I1169" s="199">
        <v>31000</v>
      </c>
      <c r="J1169" s="200" t="s">
        <v>2295</v>
      </c>
      <c r="K1169" s="200" t="s">
        <v>2296</v>
      </c>
      <c r="L1169" s="201">
        <v>0.4</v>
      </c>
      <c r="M1169" s="278" t="s">
        <v>3465</v>
      </c>
      <c r="N1169" s="205">
        <v>1000</v>
      </c>
      <c r="O1169" s="254">
        <v>1000</v>
      </c>
      <c r="P1169" s="254">
        <v>800</v>
      </c>
      <c r="Q1169" s="254">
        <v>800</v>
      </c>
      <c r="R1169" s="1262" t="s">
        <v>2633</v>
      </c>
      <c r="S1169" s="254">
        <v>400</v>
      </c>
      <c r="T1169" s="204">
        <v>45105</v>
      </c>
      <c r="U1169" s="1262" t="s">
        <v>3777</v>
      </c>
      <c r="V1169" s="254">
        <v>200</v>
      </c>
      <c r="W1169" s="1262" t="s">
        <v>2994</v>
      </c>
      <c r="X1169" s="206">
        <v>200</v>
      </c>
      <c r="Y1169" s="192"/>
    </row>
    <row r="1170" ht="37.5" customHeight="1" spans="1:25">
      <c r="A1170" s="192">
        <f t="shared" si="28"/>
        <v>1162</v>
      </c>
      <c r="B1170" s="208">
        <v>2023</v>
      </c>
      <c r="C1170" s="193" t="s">
        <v>37</v>
      </c>
      <c r="D1170" s="277" t="s">
        <v>4663</v>
      </c>
      <c r="E1170" s="195" t="s">
        <v>4664</v>
      </c>
      <c r="F1170" s="196" t="s">
        <v>2073</v>
      </c>
      <c r="G1170" s="197" t="s">
        <v>3239</v>
      </c>
      <c r="H1170" s="198">
        <v>0.8</v>
      </c>
      <c r="I1170" s="199">
        <v>63360</v>
      </c>
      <c r="J1170" s="200" t="s">
        <v>2252</v>
      </c>
      <c r="K1170" s="200" t="s">
        <v>2253</v>
      </c>
      <c r="L1170" s="201">
        <v>0.4</v>
      </c>
      <c r="M1170" s="278" t="s">
        <v>4665</v>
      </c>
      <c r="N1170" s="205">
        <v>3333.4</v>
      </c>
      <c r="O1170" s="254">
        <v>3333.4</v>
      </c>
      <c r="P1170" s="254">
        <v>2666.72</v>
      </c>
      <c r="Q1170" s="254">
        <v>2666.72</v>
      </c>
      <c r="R1170" s="1262" t="s">
        <v>2633</v>
      </c>
      <c r="S1170" s="254">
        <v>1333.36</v>
      </c>
      <c r="T1170" s="204">
        <v>45105</v>
      </c>
      <c r="U1170" s="1262" t="s">
        <v>3777</v>
      </c>
      <c r="V1170" s="254">
        <v>666.68</v>
      </c>
      <c r="W1170" s="1262" t="s">
        <v>2994</v>
      </c>
      <c r="X1170" s="206">
        <v>666.68</v>
      </c>
      <c r="Y1170" s="192"/>
    </row>
    <row r="1171" ht="37.5" customHeight="1" spans="1:25">
      <c r="A1171" s="192">
        <f t="shared" si="28"/>
        <v>1163</v>
      </c>
      <c r="B1171" s="208">
        <v>2023</v>
      </c>
      <c r="C1171" s="193" t="s">
        <v>37</v>
      </c>
      <c r="D1171" s="277" t="s">
        <v>4666</v>
      </c>
      <c r="E1171" s="195" t="s">
        <v>4667</v>
      </c>
      <c r="F1171" s="196" t="s">
        <v>2073</v>
      </c>
      <c r="G1171" s="197" t="s">
        <v>3239</v>
      </c>
      <c r="H1171" s="198">
        <v>0.8</v>
      </c>
      <c r="I1171" s="199">
        <v>13000</v>
      </c>
      <c r="J1171" s="200" t="s">
        <v>1957</v>
      </c>
      <c r="K1171" s="200" t="s">
        <v>2260</v>
      </c>
      <c r="L1171" s="201">
        <v>0.4</v>
      </c>
      <c r="M1171" s="278" t="s">
        <v>4665</v>
      </c>
      <c r="N1171" s="205">
        <v>777.7</v>
      </c>
      <c r="O1171" s="254">
        <v>777.7</v>
      </c>
      <c r="P1171" s="254">
        <v>622.16</v>
      </c>
      <c r="Q1171" s="254">
        <v>622.16</v>
      </c>
      <c r="R1171" s="1262" t="s">
        <v>2633</v>
      </c>
      <c r="S1171" s="254">
        <v>311.08</v>
      </c>
      <c r="T1171" s="204">
        <v>45105</v>
      </c>
      <c r="U1171" s="1262" t="s">
        <v>3777</v>
      </c>
      <c r="V1171" s="254">
        <v>155.54</v>
      </c>
      <c r="W1171" s="1262" t="s">
        <v>2994</v>
      </c>
      <c r="X1171" s="206">
        <v>155.54</v>
      </c>
      <c r="Y1171" s="192"/>
    </row>
    <row r="1172" ht="37.5" customHeight="1" spans="1:25">
      <c r="A1172" s="192">
        <f t="shared" si="28"/>
        <v>1164</v>
      </c>
      <c r="B1172" s="208">
        <v>2023</v>
      </c>
      <c r="C1172" s="193" t="s">
        <v>37</v>
      </c>
      <c r="D1172" s="277" t="s">
        <v>4668</v>
      </c>
      <c r="E1172" s="195" t="s">
        <v>4669</v>
      </c>
      <c r="F1172" s="196" t="s">
        <v>2073</v>
      </c>
      <c r="G1172" s="197" t="s">
        <v>3239</v>
      </c>
      <c r="H1172" s="198">
        <v>0.8</v>
      </c>
      <c r="I1172" s="199">
        <v>21000</v>
      </c>
      <c r="J1172" s="200" t="s">
        <v>3520</v>
      </c>
      <c r="K1172" s="200" t="s">
        <v>2633</v>
      </c>
      <c r="L1172" s="201">
        <v>0.4</v>
      </c>
      <c r="M1172" s="278" t="s">
        <v>4263</v>
      </c>
      <c r="N1172" s="205">
        <v>250</v>
      </c>
      <c r="O1172" s="254">
        <v>250</v>
      </c>
      <c r="P1172" s="254">
        <v>200</v>
      </c>
      <c r="Q1172" s="254">
        <v>200</v>
      </c>
      <c r="R1172" s="1262" t="s">
        <v>2633</v>
      </c>
      <c r="S1172" s="254">
        <v>100</v>
      </c>
      <c r="T1172" s="204">
        <v>45105</v>
      </c>
      <c r="U1172" s="1262" t="s">
        <v>3777</v>
      </c>
      <c r="V1172" s="254">
        <v>50</v>
      </c>
      <c r="W1172" s="1262" t="s">
        <v>2994</v>
      </c>
      <c r="X1172" s="206">
        <v>50</v>
      </c>
      <c r="Y1172" s="192"/>
    </row>
    <row r="1173" ht="37.5" customHeight="1" spans="1:25">
      <c r="A1173" s="192">
        <f t="shared" si="28"/>
        <v>1165</v>
      </c>
      <c r="B1173" s="208">
        <v>2023</v>
      </c>
      <c r="C1173" s="193" t="s">
        <v>37</v>
      </c>
      <c r="D1173" s="277" t="s">
        <v>4670</v>
      </c>
      <c r="E1173" s="195" t="s">
        <v>4671</v>
      </c>
      <c r="F1173" s="196" t="s">
        <v>2073</v>
      </c>
      <c r="G1173" s="197" t="s">
        <v>3239</v>
      </c>
      <c r="H1173" s="198">
        <v>0.8</v>
      </c>
      <c r="I1173" s="199">
        <v>30060</v>
      </c>
      <c r="J1173" s="200" t="s">
        <v>2140</v>
      </c>
      <c r="K1173" s="200" t="s">
        <v>3240</v>
      </c>
      <c r="L1173" s="201">
        <v>0.4</v>
      </c>
      <c r="M1173" s="278" t="s">
        <v>2655</v>
      </c>
      <c r="N1173" s="205">
        <v>6729.25</v>
      </c>
      <c r="O1173" s="254">
        <v>6729.25</v>
      </c>
      <c r="P1173" s="254">
        <v>5383.4</v>
      </c>
      <c r="Q1173" s="254">
        <v>5383.4</v>
      </c>
      <c r="R1173" s="1262" t="s">
        <v>2633</v>
      </c>
      <c r="S1173" s="254">
        <v>2691.7</v>
      </c>
      <c r="T1173" s="204">
        <v>45105</v>
      </c>
      <c r="U1173" s="1262" t="s">
        <v>3777</v>
      </c>
      <c r="V1173" s="254">
        <v>1345.85</v>
      </c>
      <c r="W1173" s="1262" t="s">
        <v>2994</v>
      </c>
      <c r="X1173" s="206">
        <v>1345.85</v>
      </c>
      <c r="Y1173" s="192"/>
    </row>
    <row r="1174" ht="37.5" customHeight="1" spans="1:25">
      <c r="A1174" s="192">
        <f t="shared" si="28"/>
        <v>1166</v>
      </c>
      <c r="B1174" s="208">
        <v>2023</v>
      </c>
      <c r="C1174" s="193" t="s">
        <v>37</v>
      </c>
      <c r="D1174" s="277" t="s">
        <v>4672</v>
      </c>
      <c r="E1174" s="195" t="s">
        <v>4673</v>
      </c>
      <c r="F1174" s="196" t="s">
        <v>2073</v>
      </c>
      <c r="G1174" s="197" t="s">
        <v>3239</v>
      </c>
      <c r="H1174" s="198">
        <v>0.8</v>
      </c>
      <c r="I1174" s="199">
        <v>51280</v>
      </c>
      <c r="J1174" s="200" t="s">
        <v>2453</v>
      </c>
      <c r="K1174" s="200" t="s">
        <v>2873</v>
      </c>
      <c r="L1174" s="201">
        <v>0.4</v>
      </c>
      <c r="M1174" s="278" t="s">
        <v>1881</v>
      </c>
      <c r="N1174" s="205">
        <v>2500.03</v>
      </c>
      <c r="O1174" s="254">
        <v>2500.03</v>
      </c>
      <c r="P1174" s="254">
        <v>2000.02</v>
      </c>
      <c r="Q1174" s="254">
        <v>2000.02</v>
      </c>
      <c r="R1174" s="1262" t="s">
        <v>2633</v>
      </c>
      <c r="S1174" s="254">
        <v>1000.01</v>
      </c>
      <c r="T1174" s="204">
        <v>45105</v>
      </c>
      <c r="U1174" s="1262" t="s">
        <v>3777</v>
      </c>
      <c r="V1174" s="254">
        <v>500.01</v>
      </c>
      <c r="W1174" s="1262" t="s">
        <v>2994</v>
      </c>
      <c r="X1174" s="206">
        <v>500.01</v>
      </c>
      <c r="Y1174" s="192"/>
    </row>
    <row r="1175" ht="37.5" customHeight="1" spans="1:25">
      <c r="A1175" s="192">
        <f t="shared" si="28"/>
        <v>1167</v>
      </c>
      <c r="B1175" s="208">
        <v>2023</v>
      </c>
      <c r="C1175" s="193" t="s">
        <v>37</v>
      </c>
      <c r="D1175" s="277" t="s">
        <v>3064</v>
      </c>
      <c r="E1175" s="195" t="s">
        <v>4674</v>
      </c>
      <c r="F1175" s="196" t="s">
        <v>2073</v>
      </c>
      <c r="G1175" s="197" t="s">
        <v>3239</v>
      </c>
      <c r="H1175" s="198">
        <v>0.8</v>
      </c>
      <c r="I1175" s="199">
        <v>229830</v>
      </c>
      <c r="J1175" s="200" t="s">
        <v>2999</v>
      </c>
      <c r="K1175" s="200" t="s">
        <v>3000</v>
      </c>
      <c r="L1175" s="201">
        <v>0.4</v>
      </c>
      <c r="M1175" s="278" t="s">
        <v>4250</v>
      </c>
      <c r="N1175" s="205">
        <v>25000.03</v>
      </c>
      <c r="O1175" s="254">
        <v>25000.03</v>
      </c>
      <c r="P1175" s="254">
        <v>20000.02</v>
      </c>
      <c r="Q1175" s="254">
        <v>20000.02</v>
      </c>
      <c r="R1175" s="1262" t="s">
        <v>2633</v>
      </c>
      <c r="S1175" s="254">
        <v>10000.01</v>
      </c>
      <c r="T1175" s="204">
        <v>45105</v>
      </c>
      <c r="U1175" s="1262" t="s">
        <v>3777</v>
      </c>
      <c r="V1175" s="254">
        <v>5000.01</v>
      </c>
      <c r="W1175" s="1262" t="s">
        <v>2994</v>
      </c>
      <c r="X1175" s="206">
        <v>5000.01</v>
      </c>
      <c r="Y1175" s="192"/>
    </row>
    <row r="1176" ht="37.5" customHeight="1" spans="1:25">
      <c r="A1176" s="192">
        <f t="shared" si="28"/>
        <v>1168</v>
      </c>
      <c r="B1176" s="208">
        <v>2023</v>
      </c>
      <c r="C1176" s="193" t="s">
        <v>37</v>
      </c>
      <c r="D1176" s="277" t="s">
        <v>4675</v>
      </c>
      <c r="E1176" s="195" t="s">
        <v>4676</v>
      </c>
      <c r="F1176" s="196" t="s">
        <v>2073</v>
      </c>
      <c r="G1176" s="197" t="s">
        <v>3239</v>
      </c>
      <c r="H1176" s="198">
        <v>0.8</v>
      </c>
      <c r="I1176" s="199">
        <v>10000</v>
      </c>
      <c r="J1176" s="200" t="s">
        <v>4271</v>
      </c>
      <c r="K1176" s="200" t="s">
        <v>4193</v>
      </c>
      <c r="L1176" s="201">
        <v>0.4</v>
      </c>
      <c r="M1176" s="278" t="s">
        <v>4489</v>
      </c>
      <c r="N1176" s="205">
        <v>1000.03</v>
      </c>
      <c r="O1176" s="254">
        <v>1000.03</v>
      </c>
      <c r="P1176" s="254">
        <v>800.02</v>
      </c>
      <c r="Q1176" s="254">
        <v>800.02</v>
      </c>
      <c r="R1176" s="1262" t="s">
        <v>2633</v>
      </c>
      <c r="S1176" s="254">
        <v>400.01</v>
      </c>
      <c r="T1176" s="204">
        <v>45105</v>
      </c>
      <c r="U1176" s="1262" t="s">
        <v>3777</v>
      </c>
      <c r="V1176" s="254">
        <v>200.01</v>
      </c>
      <c r="W1176" s="1262" t="s">
        <v>2994</v>
      </c>
      <c r="X1176" s="206">
        <v>200.01</v>
      </c>
      <c r="Y1176" s="192"/>
    </row>
    <row r="1177" ht="37.5" customHeight="1" spans="1:25">
      <c r="A1177" s="192">
        <f t="shared" si="28"/>
        <v>1169</v>
      </c>
      <c r="B1177" s="208">
        <v>2023</v>
      </c>
      <c r="C1177" s="193" t="s">
        <v>37</v>
      </c>
      <c r="D1177" s="277" t="s">
        <v>4677</v>
      </c>
      <c r="E1177" s="195" t="s">
        <v>4678</v>
      </c>
      <c r="F1177" s="196" t="s">
        <v>2073</v>
      </c>
      <c r="G1177" s="197" t="s">
        <v>3239</v>
      </c>
      <c r="H1177" s="198">
        <v>0.8</v>
      </c>
      <c r="I1177" s="199">
        <v>302000</v>
      </c>
      <c r="J1177" s="200" t="s">
        <v>4679</v>
      </c>
      <c r="K1177" s="200" t="s">
        <v>4680</v>
      </c>
      <c r="L1177" s="201">
        <v>0.4</v>
      </c>
      <c r="M1177" s="278" t="s">
        <v>4681</v>
      </c>
      <c r="N1177" s="205">
        <v>75500.06</v>
      </c>
      <c r="O1177" s="254">
        <v>75500.06</v>
      </c>
      <c r="P1177" s="254">
        <v>60400.05</v>
      </c>
      <c r="Q1177" s="254">
        <v>60400.05</v>
      </c>
      <c r="R1177" s="1262" t="s">
        <v>2633</v>
      </c>
      <c r="S1177" s="254">
        <v>30200.02</v>
      </c>
      <c r="T1177" s="204">
        <v>45105</v>
      </c>
      <c r="U1177" s="1262" t="s">
        <v>3777</v>
      </c>
      <c r="V1177" s="254">
        <v>15100.01</v>
      </c>
      <c r="W1177" s="1262" t="s">
        <v>2994</v>
      </c>
      <c r="X1177" s="206">
        <v>15100.01</v>
      </c>
      <c r="Y1177" s="192"/>
    </row>
    <row r="1178" ht="37.5" customHeight="1" spans="1:25">
      <c r="A1178" s="192">
        <f t="shared" si="28"/>
        <v>1170</v>
      </c>
      <c r="B1178" s="208">
        <v>2023</v>
      </c>
      <c r="C1178" s="193" t="s">
        <v>37</v>
      </c>
      <c r="D1178" s="277" t="s">
        <v>4682</v>
      </c>
      <c r="E1178" s="195" t="s">
        <v>4683</v>
      </c>
      <c r="F1178" s="196" t="s">
        <v>2073</v>
      </c>
      <c r="G1178" s="197" t="s">
        <v>3239</v>
      </c>
      <c r="H1178" s="198">
        <v>0.8</v>
      </c>
      <c r="I1178" s="199">
        <v>500000</v>
      </c>
      <c r="J1178" s="200" t="s">
        <v>2015</v>
      </c>
      <c r="K1178" s="200" t="s">
        <v>2810</v>
      </c>
      <c r="L1178" s="201">
        <v>0.4</v>
      </c>
      <c r="M1178" s="278" t="s">
        <v>4681</v>
      </c>
      <c r="N1178" s="205">
        <v>12500.06</v>
      </c>
      <c r="O1178" s="254">
        <v>12500.06</v>
      </c>
      <c r="P1178" s="254">
        <v>10000.05</v>
      </c>
      <c r="Q1178" s="254">
        <v>10000.05</v>
      </c>
      <c r="R1178" s="1262" t="s">
        <v>2633</v>
      </c>
      <c r="S1178" s="254">
        <v>5000.02</v>
      </c>
      <c r="T1178" s="204">
        <v>45105</v>
      </c>
      <c r="U1178" s="1262" t="s">
        <v>3777</v>
      </c>
      <c r="V1178" s="254">
        <v>2500.01</v>
      </c>
      <c r="W1178" s="1262" t="s">
        <v>2994</v>
      </c>
      <c r="X1178" s="206">
        <v>2500.01</v>
      </c>
      <c r="Y1178" s="192"/>
    </row>
    <row r="1179" ht="37.5" customHeight="1" spans="1:25">
      <c r="A1179" s="192">
        <f t="shared" si="28"/>
        <v>1171</v>
      </c>
      <c r="B1179" s="208">
        <v>2023</v>
      </c>
      <c r="C1179" s="193" t="s">
        <v>37</v>
      </c>
      <c r="D1179" s="277" t="s">
        <v>4684</v>
      </c>
      <c r="E1179" s="195" t="s">
        <v>4685</v>
      </c>
      <c r="F1179" s="196" t="s">
        <v>2073</v>
      </c>
      <c r="G1179" s="197" t="s">
        <v>3239</v>
      </c>
      <c r="H1179" s="198">
        <v>0.8</v>
      </c>
      <c r="I1179" s="199">
        <v>55070</v>
      </c>
      <c r="J1179" s="200" t="s">
        <v>3575</v>
      </c>
      <c r="K1179" s="200" t="s">
        <v>3576</v>
      </c>
      <c r="L1179" s="201">
        <v>0.4</v>
      </c>
      <c r="M1179" s="278" t="s">
        <v>1881</v>
      </c>
      <c r="N1179" s="205">
        <v>875.06</v>
      </c>
      <c r="O1179" s="254">
        <v>875.06</v>
      </c>
      <c r="P1179" s="254">
        <v>700.05</v>
      </c>
      <c r="Q1179" s="254">
        <v>700.05</v>
      </c>
      <c r="R1179" s="1262" t="s">
        <v>2633</v>
      </c>
      <c r="S1179" s="254">
        <v>350.02</v>
      </c>
      <c r="T1179" s="204">
        <v>45105</v>
      </c>
      <c r="U1179" s="1262" t="s">
        <v>3777</v>
      </c>
      <c r="V1179" s="254">
        <v>175.01</v>
      </c>
      <c r="W1179" s="1262" t="s">
        <v>2994</v>
      </c>
      <c r="X1179" s="206">
        <v>175.01</v>
      </c>
      <c r="Y1179" s="192"/>
    </row>
    <row r="1180" ht="37.5" customHeight="1" spans="1:25">
      <c r="A1180" s="192">
        <f t="shared" si="28"/>
        <v>1172</v>
      </c>
      <c r="B1180" s="208">
        <v>2023</v>
      </c>
      <c r="C1180" s="193" t="s">
        <v>37</v>
      </c>
      <c r="D1180" s="277" t="s">
        <v>4686</v>
      </c>
      <c r="E1180" s="195" t="s">
        <v>4687</v>
      </c>
      <c r="F1180" s="196" t="s">
        <v>2073</v>
      </c>
      <c r="G1180" s="197" t="s">
        <v>3239</v>
      </c>
      <c r="H1180" s="198">
        <v>0.8</v>
      </c>
      <c r="I1180" s="199">
        <v>17000</v>
      </c>
      <c r="J1180" s="200" t="s">
        <v>3575</v>
      </c>
      <c r="K1180" s="200" t="s">
        <v>3576</v>
      </c>
      <c r="L1180" s="201">
        <v>0.4</v>
      </c>
      <c r="M1180" s="278" t="s">
        <v>4578</v>
      </c>
      <c r="N1180" s="205">
        <v>2166.7</v>
      </c>
      <c r="O1180" s="254">
        <v>2166.7</v>
      </c>
      <c r="P1180" s="254">
        <v>1733.36</v>
      </c>
      <c r="Q1180" s="254">
        <v>1733.36</v>
      </c>
      <c r="R1180" s="1262" t="s">
        <v>2633</v>
      </c>
      <c r="S1180" s="254">
        <v>866.68</v>
      </c>
      <c r="T1180" s="204">
        <v>45105</v>
      </c>
      <c r="U1180" s="1262" t="s">
        <v>3777</v>
      </c>
      <c r="V1180" s="254">
        <v>433.34</v>
      </c>
      <c r="W1180" s="1262" t="s">
        <v>2994</v>
      </c>
      <c r="X1180" s="206">
        <v>433.34</v>
      </c>
      <c r="Y1180" s="192"/>
    </row>
    <row r="1181" ht="37.5" customHeight="1" spans="1:25">
      <c r="A1181" s="192">
        <f t="shared" si="28"/>
        <v>1173</v>
      </c>
      <c r="B1181" s="208">
        <v>2023</v>
      </c>
      <c r="C1181" s="193" t="s">
        <v>37</v>
      </c>
      <c r="D1181" s="277" t="s">
        <v>4688</v>
      </c>
      <c r="E1181" s="195" t="s">
        <v>4689</v>
      </c>
      <c r="F1181" s="196" t="s">
        <v>2073</v>
      </c>
      <c r="G1181" s="197" t="s">
        <v>3239</v>
      </c>
      <c r="H1181" s="198">
        <v>0.8</v>
      </c>
      <c r="I1181" s="199">
        <v>10000</v>
      </c>
      <c r="J1181" s="200" t="s">
        <v>2024</v>
      </c>
      <c r="K1181" s="200" t="s">
        <v>4690</v>
      </c>
      <c r="L1181" s="201">
        <v>0.4</v>
      </c>
      <c r="M1181" s="278" t="s">
        <v>4215</v>
      </c>
      <c r="N1181" s="205">
        <v>743.71</v>
      </c>
      <c r="O1181" s="254">
        <v>743.71</v>
      </c>
      <c r="P1181" s="254">
        <v>594.97</v>
      </c>
      <c r="Q1181" s="254">
        <v>594.97</v>
      </c>
      <c r="R1181" s="1262" t="s">
        <v>2633</v>
      </c>
      <c r="S1181" s="254">
        <v>297.48</v>
      </c>
      <c r="T1181" s="204">
        <v>45105</v>
      </c>
      <c r="U1181" s="1262" t="s">
        <v>3777</v>
      </c>
      <c r="V1181" s="254">
        <v>148.74</v>
      </c>
      <c r="W1181" s="1262" t="s">
        <v>2994</v>
      </c>
      <c r="X1181" s="206">
        <v>148.74</v>
      </c>
      <c r="Y1181" s="192"/>
    </row>
    <row r="1182" ht="37.5" customHeight="1" spans="1:25">
      <c r="A1182" s="192">
        <f t="shared" ref="A1182:A1245" si="29">ROW()-8</f>
        <v>1174</v>
      </c>
      <c r="B1182" s="208">
        <v>2023</v>
      </c>
      <c r="C1182" s="193" t="s">
        <v>37</v>
      </c>
      <c r="D1182" s="277" t="s">
        <v>4356</v>
      </c>
      <c r="E1182" s="195" t="s">
        <v>4691</v>
      </c>
      <c r="F1182" s="196" t="s">
        <v>2073</v>
      </c>
      <c r="G1182" s="197" t="s">
        <v>3239</v>
      </c>
      <c r="H1182" s="198">
        <v>0.8</v>
      </c>
      <c r="I1182" s="199">
        <v>14701.06</v>
      </c>
      <c r="J1182" s="200" t="s">
        <v>2429</v>
      </c>
      <c r="K1182" s="200" t="s">
        <v>2820</v>
      </c>
      <c r="L1182" s="201">
        <v>0.4</v>
      </c>
      <c r="M1182" s="278" t="s">
        <v>4358</v>
      </c>
      <c r="N1182" s="205">
        <v>2433.36</v>
      </c>
      <c r="O1182" s="254">
        <v>2433.36</v>
      </c>
      <c r="P1182" s="254">
        <v>1946.69</v>
      </c>
      <c r="Q1182" s="254">
        <v>1946.69</v>
      </c>
      <c r="R1182" s="1262" t="s">
        <v>2633</v>
      </c>
      <c r="S1182" s="254">
        <v>973.34</v>
      </c>
      <c r="T1182" s="204">
        <v>45105</v>
      </c>
      <c r="U1182" s="1262" t="s">
        <v>3777</v>
      </c>
      <c r="V1182" s="254">
        <v>486.67</v>
      </c>
      <c r="W1182" s="1262" t="s">
        <v>2994</v>
      </c>
      <c r="X1182" s="206">
        <v>486.67</v>
      </c>
      <c r="Y1182" s="192"/>
    </row>
    <row r="1183" ht="37.5" customHeight="1" spans="1:25">
      <c r="A1183" s="192">
        <f t="shared" si="29"/>
        <v>1175</v>
      </c>
      <c r="B1183" s="208">
        <v>2023</v>
      </c>
      <c r="C1183" s="193" t="s">
        <v>37</v>
      </c>
      <c r="D1183" s="277" t="s">
        <v>4692</v>
      </c>
      <c r="E1183" s="195" t="s">
        <v>4693</v>
      </c>
      <c r="F1183" s="196" t="s">
        <v>2073</v>
      </c>
      <c r="G1183" s="197" t="s">
        <v>3239</v>
      </c>
      <c r="H1183" s="198">
        <v>0.8</v>
      </c>
      <c r="I1183" s="199">
        <v>49100</v>
      </c>
      <c r="J1183" s="200" t="s">
        <v>2405</v>
      </c>
      <c r="K1183" s="200" t="s">
        <v>2731</v>
      </c>
      <c r="L1183" s="201">
        <v>0.4</v>
      </c>
      <c r="M1183" s="278" t="s">
        <v>4277</v>
      </c>
      <c r="N1183" s="205">
        <v>18450.05</v>
      </c>
      <c r="O1183" s="254">
        <v>18450.05</v>
      </c>
      <c r="P1183" s="254">
        <v>14760.04</v>
      </c>
      <c r="Q1183" s="254">
        <v>14760.04</v>
      </c>
      <c r="R1183" s="1262" t="s">
        <v>2633</v>
      </c>
      <c r="S1183" s="254">
        <v>7380.02</v>
      </c>
      <c r="T1183" s="204">
        <v>45105</v>
      </c>
      <c r="U1183" s="1262" t="s">
        <v>3777</v>
      </c>
      <c r="V1183" s="254">
        <v>3690.01</v>
      </c>
      <c r="W1183" s="1262" t="s">
        <v>2994</v>
      </c>
      <c r="X1183" s="206">
        <v>3690.01</v>
      </c>
      <c r="Y1183" s="192"/>
    </row>
    <row r="1184" ht="37.5" customHeight="1" spans="1:25">
      <c r="A1184" s="192">
        <f t="shared" si="29"/>
        <v>1176</v>
      </c>
      <c r="B1184" s="208">
        <v>2023</v>
      </c>
      <c r="C1184" s="193" t="s">
        <v>37</v>
      </c>
      <c r="D1184" s="277" t="s">
        <v>4694</v>
      </c>
      <c r="E1184" s="195" t="s">
        <v>4695</v>
      </c>
      <c r="F1184" s="196" t="s">
        <v>2073</v>
      </c>
      <c r="G1184" s="197" t="s">
        <v>3239</v>
      </c>
      <c r="H1184" s="198">
        <v>0.8</v>
      </c>
      <c r="I1184" s="199">
        <v>46500</v>
      </c>
      <c r="J1184" s="200" t="s">
        <v>2405</v>
      </c>
      <c r="K1184" s="200" t="s">
        <v>2731</v>
      </c>
      <c r="L1184" s="201">
        <v>0.4</v>
      </c>
      <c r="M1184" s="278" t="s">
        <v>3200</v>
      </c>
      <c r="N1184" s="205">
        <v>11625</v>
      </c>
      <c r="O1184" s="254">
        <v>11625</v>
      </c>
      <c r="P1184" s="254">
        <v>9300</v>
      </c>
      <c r="Q1184" s="254">
        <v>9300</v>
      </c>
      <c r="R1184" s="1262" t="s">
        <v>2633</v>
      </c>
      <c r="S1184" s="254">
        <v>4650</v>
      </c>
      <c r="T1184" s="204">
        <v>45105</v>
      </c>
      <c r="U1184" s="1262" t="s">
        <v>3777</v>
      </c>
      <c r="V1184" s="254">
        <v>2325</v>
      </c>
      <c r="W1184" s="1262" t="s">
        <v>2994</v>
      </c>
      <c r="X1184" s="206">
        <v>2325</v>
      </c>
      <c r="Y1184" s="192"/>
    </row>
    <row r="1185" ht="37.5" customHeight="1" spans="1:25">
      <c r="A1185" s="192">
        <f t="shared" si="29"/>
        <v>1177</v>
      </c>
      <c r="B1185" s="208">
        <v>2023</v>
      </c>
      <c r="C1185" s="193" t="s">
        <v>37</v>
      </c>
      <c r="D1185" s="277" t="s">
        <v>4682</v>
      </c>
      <c r="E1185" s="195" t="s">
        <v>4696</v>
      </c>
      <c r="F1185" s="196" t="s">
        <v>2073</v>
      </c>
      <c r="G1185" s="197" t="s">
        <v>3239</v>
      </c>
      <c r="H1185" s="198">
        <v>0.8</v>
      </c>
      <c r="I1185" s="199">
        <v>370000</v>
      </c>
      <c r="J1185" s="200" t="s">
        <v>2405</v>
      </c>
      <c r="K1185" s="200" t="s">
        <v>2731</v>
      </c>
      <c r="L1185" s="201">
        <v>0.4</v>
      </c>
      <c r="M1185" s="278" t="s">
        <v>4697</v>
      </c>
      <c r="N1185" s="205">
        <v>84166.7</v>
      </c>
      <c r="O1185" s="254">
        <v>84166.7</v>
      </c>
      <c r="P1185" s="254">
        <v>67333.36</v>
      </c>
      <c r="Q1185" s="254">
        <v>67333.36</v>
      </c>
      <c r="R1185" s="1262" t="s">
        <v>2633</v>
      </c>
      <c r="S1185" s="254">
        <v>33666.68</v>
      </c>
      <c r="T1185" s="204">
        <v>45105</v>
      </c>
      <c r="U1185" s="1262" t="s">
        <v>3777</v>
      </c>
      <c r="V1185" s="254">
        <v>16833.34</v>
      </c>
      <c r="W1185" s="1262" t="s">
        <v>2994</v>
      </c>
      <c r="X1185" s="206">
        <v>16833.34</v>
      </c>
      <c r="Y1185" s="192"/>
    </row>
    <row r="1186" ht="37.5" customHeight="1" spans="1:25">
      <c r="A1186" s="192">
        <f t="shared" si="29"/>
        <v>1178</v>
      </c>
      <c r="B1186" s="208">
        <v>2023</v>
      </c>
      <c r="C1186" s="193" t="s">
        <v>37</v>
      </c>
      <c r="D1186" s="277" t="s">
        <v>4672</v>
      </c>
      <c r="E1186" s="195" t="s">
        <v>4698</v>
      </c>
      <c r="F1186" s="196" t="s">
        <v>2073</v>
      </c>
      <c r="G1186" s="197" t="s">
        <v>3239</v>
      </c>
      <c r="H1186" s="198">
        <v>0.8</v>
      </c>
      <c r="I1186" s="199">
        <v>28000</v>
      </c>
      <c r="J1186" s="200" t="s">
        <v>2405</v>
      </c>
      <c r="K1186" s="200" t="s">
        <v>2731</v>
      </c>
      <c r="L1186" s="201">
        <v>0.4</v>
      </c>
      <c r="M1186" s="278" t="s">
        <v>1881</v>
      </c>
      <c r="N1186" s="205">
        <v>4333.36</v>
      </c>
      <c r="O1186" s="254">
        <v>4333.36</v>
      </c>
      <c r="P1186" s="254">
        <v>3466.69</v>
      </c>
      <c r="Q1186" s="254">
        <v>3466.69</v>
      </c>
      <c r="R1186" s="1262" t="s">
        <v>2633</v>
      </c>
      <c r="S1186" s="254">
        <v>1733.34</v>
      </c>
      <c r="T1186" s="204">
        <v>45105</v>
      </c>
      <c r="U1186" s="1262" t="s">
        <v>3777</v>
      </c>
      <c r="V1186" s="254">
        <v>866.67</v>
      </c>
      <c r="W1186" s="1262" t="s">
        <v>2994</v>
      </c>
      <c r="X1186" s="206">
        <v>866.67</v>
      </c>
      <c r="Y1186" s="192"/>
    </row>
    <row r="1187" ht="37.5" customHeight="1" spans="1:25">
      <c r="A1187" s="192">
        <f t="shared" si="29"/>
        <v>1179</v>
      </c>
      <c r="B1187" s="208">
        <v>2023</v>
      </c>
      <c r="C1187" s="193" t="s">
        <v>37</v>
      </c>
      <c r="D1187" s="277" t="s">
        <v>4641</v>
      </c>
      <c r="E1187" s="195" t="s">
        <v>4699</v>
      </c>
      <c r="F1187" s="196" t="s">
        <v>2073</v>
      </c>
      <c r="G1187" s="197" t="s">
        <v>3239</v>
      </c>
      <c r="H1187" s="198">
        <v>0.8</v>
      </c>
      <c r="I1187" s="199">
        <v>131500</v>
      </c>
      <c r="J1187" s="200" t="s">
        <v>2016</v>
      </c>
      <c r="K1187" s="200" t="s">
        <v>3330</v>
      </c>
      <c r="L1187" s="201">
        <v>0.4</v>
      </c>
      <c r="M1187" s="278" t="s">
        <v>4341</v>
      </c>
      <c r="N1187" s="205">
        <v>38333.68</v>
      </c>
      <c r="O1187" s="254">
        <v>38333.68</v>
      </c>
      <c r="P1187" s="254">
        <v>30666.97</v>
      </c>
      <c r="Q1187" s="254">
        <v>30666.97</v>
      </c>
      <c r="R1187" s="1262" t="s">
        <v>2633</v>
      </c>
      <c r="S1187" s="254">
        <v>15333.47</v>
      </c>
      <c r="T1187" s="204">
        <v>45105</v>
      </c>
      <c r="U1187" s="1262" t="s">
        <v>3777</v>
      </c>
      <c r="V1187" s="254">
        <v>7666.74</v>
      </c>
      <c r="W1187" s="1262" t="s">
        <v>2994</v>
      </c>
      <c r="X1187" s="206">
        <v>7666.74</v>
      </c>
      <c r="Y1187" s="192"/>
    </row>
    <row r="1188" ht="37.5" customHeight="1" spans="1:25">
      <c r="A1188" s="192">
        <f t="shared" si="29"/>
        <v>1180</v>
      </c>
      <c r="B1188" s="208">
        <v>2023</v>
      </c>
      <c r="C1188" s="193" t="s">
        <v>37</v>
      </c>
      <c r="D1188" s="277" t="s">
        <v>4700</v>
      </c>
      <c r="E1188" s="195" t="s">
        <v>4701</v>
      </c>
      <c r="F1188" s="196" t="s">
        <v>2073</v>
      </c>
      <c r="G1188" s="197" t="s">
        <v>3239</v>
      </c>
      <c r="H1188" s="198">
        <v>0.8</v>
      </c>
      <c r="I1188" s="199">
        <v>20000</v>
      </c>
      <c r="J1188" s="200" t="s">
        <v>2016</v>
      </c>
      <c r="K1188" s="200" t="s">
        <v>3330</v>
      </c>
      <c r="L1188" s="201">
        <v>0.4</v>
      </c>
      <c r="M1188" s="278" t="s">
        <v>3465</v>
      </c>
      <c r="N1188" s="205">
        <v>6558.65</v>
      </c>
      <c r="O1188" s="254">
        <v>6558.65</v>
      </c>
      <c r="P1188" s="254">
        <v>5246.93</v>
      </c>
      <c r="Q1188" s="254">
        <v>5246.93</v>
      </c>
      <c r="R1188" s="1262" t="s">
        <v>2633</v>
      </c>
      <c r="S1188" s="254">
        <v>2623.46</v>
      </c>
      <c r="T1188" s="204">
        <v>45105</v>
      </c>
      <c r="U1188" s="1262" t="s">
        <v>3777</v>
      </c>
      <c r="V1188" s="254">
        <v>1311.73</v>
      </c>
      <c r="W1188" s="1262" t="s">
        <v>2994</v>
      </c>
      <c r="X1188" s="206">
        <v>1311.73</v>
      </c>
      <c r="Y1188" s="192"/>
    </row>
    <row r="1189" ht="37.5" customHeight="1" spans="1:25">
      <c r="A1189" s="192">
        <f t="shared" si="29"/>
        <v>1181</v>
      </c>
      <c r="B1189" s="208">
        <v>2023</v>
      </c>
      <c r="C1189" s="193" t="s">
        <v>37</v>
      </c>
      <c r="D1189" s="277" t="s">
        <v>4670</v>
      </c>
      <c r="E1189" s="195" t="s">
        <v>4702</v>
      </c>
      <c r="F1189" s="196" t="s">
        <v>2073</v>
      </c>
      <c r="G1189" s="197" t="s">
        <v>3239</v>
      </c>
      <c r="H1189" s="198">
        <v>0.8</v>
      </c>
      <c r="I1189" s="199">
        <v>10447.21</v>
      </c>
      <c r="J1189" s="200" t="s">
        <v>2016</v>
      </c>
      <c r="K1189" s="200" t="s">
        <v>3330</v>
      </c>
      <c r="L1189" s="201">
        <v>0.4</v>
      </c>
      <c r="M1189" s="278" t="s">
        <v>2655</v>
      </c>
      <c r="N1189" s="205">
        <v>1000</v>
      </c>
      <c r="O1189" s="254">
        <v>1000</v>
      </c>
      <c r="P1189" s="254">
        <v>800</v>
      </c>
      <c r="Q1189" s="254">
        <v>800</v>
      </c>
      <c r="R1189" s="1262" t="s">
        <v>2633</v>
      </c>
      <c r="S1189" s="254">
        <v>400</v>
      </c>
      <c r="T1189" s="204">
        <v>45105</v>
      </c>
      <c r="U1189" s="1262" t="s">
        <v>3777</v>
      </c>
      <c r="V1189" s="254">
        <v>200</v>
      </c>
      <c r="W1189" s="1262" t="s">
        <v>2994</v>
      </c>
      <c r="X1189" s="206">
        <v>200</v>
      </c>
      <c r="Y1189" s="192"/>
    </row>
    <row r="1190" ht="37.5" customHeight="1" spans="1:25">
      <c r="A1190" s="192">
        <f t="shared" si="29"/>
        <v>1182</v>
      </c>
      <c r="B1190" s="208">
        <v>2023</v>
      </c>
      <c r="C1190" s="193" t="s">
        <v>37</v>
      </c>
      <c r="D1190" s="277" t="s">
        <v>4703</v>
      </c>
      <c r="E1190" s="195" t="s">
        <v>4704</v>
      </c>
      <c r="F1190" s="196" t="s">
        <v>2073</v>
      </c>
      <c r="G1190" s="197" t="s">
        <v>3239</v>
      </c>
      <c r="H1190" s="198">
        <v>0.8</v>
      </c>
      <c r="I1190" s="199">
        <v>12300</v>
      </c>
      <c r="J1190" s="200" t="s">
        <v>2836</v>
      </c>
      <c r="K1190" s="200" t="s">
        <v>2837</v>
      </c>
      <c r="L1190" s="201">
        <v>0.4</v>
      </c>
      <c r="M1190" s="278" t="s">
        <v>4341</v>
      </c>
      <c r="N1190" s="205">
        <v>4100</v>
      </c>
      <c r="O1190" s="254">
        <v>4100</v>
      </c>
      <c r="P1190" s="254">
        <v>3280</v>
      </c>
      <c r="Q1190" s="254">
        <v>3280</v>
      </c>
      <c r="R1190" s="1262" t="s">
        <v>2633</v>
      </c>
      <c r="S1190" s="254">
        <v>1640</v>
      </c>
      <c r="T1190" s="204">
        <v>45105</v>
      </c>
      <c r="U1190" s="1262" t="s">
        <v>3777</v>
      </c>
      <c r="V1190" s="254">
        <v>820</v>
      </c>
      <c r="W1190" s="1262" t="s">
        <v>2994</v>
      </c>
      <c r="X1190" s="206">
        <v>820</v>
      </c>
      <c r="Y1190" s="192"/>
    </row>
    <row r="1191" ht="37.5" customHeight="1" spans="1:25">
      <c r="A1191" s="192">
        <f t="shared" si="29"/>
        <v>1183</v>
      </c>
      <c r="B1191" s="208">
        <v>2023</v>
      </c>
      <c r="C1191" s="193" t="s">
        <v>37</v>
      </c>
      <c r="D1191" s="277" t="s">
        <v>4650</v>
      </c>
      <c r="E1191" s="195" t="s">
        <v>4705</v>
      </c>
      <c r="F1191" s="196" t="s">
        <v>2073</v>
      </c>
      <c r="G1191" s="197" t="s">
        <v>3239</v>
      </c>
      <c r="H1191" s="198">
        <v>0.8</v>
      </c>
      <c r="I1191" s="199">
        <v>12258.32</v>
      </c>
      <c r="J1191" s="200" t="s">
        <v>2836</v>
      </c>
      <c r="K1191" s="200" t="s">
        <v>2837</v>
      </c>
      <c r="L1191" s="201">
        <v>0.4</v>
      </c>
      <c r="M1191" s="278" t="s">
        <v>4489</v>
      </c>
      <c r="N1191" s="205">
        <v>1500</v>
      </c>
      <c r="O1191" s="254">
        <v>1500</v>
      </c>
      <c r="P1191" s="254">
        <v>1200</v>
      </c>
      <c r="Q1191" s="254">
        <v>1200</v>
      </c>
      <c r="R1191" s="1262" t="s">
        <v>2633</v>
      </c>
      <c r="S1191" s="254">
        <v>600</v>
      </c>
      <c r="T1191" s="204">
        <v>45105</v>
      </c>
      <c r="U1191" s="1262" t="s">
        <v>3777</v>
      </c>
      <c r="V1191" s="254">
        <v>300</v>
      </c>
      <c r="W1191" s="1262" t="s">
        <v>2994</v>
      </c>
      <c r="X1191" s="206">
        <v>300</v>
      </c>
      <c r="Y1191" s="192"/>
    </row>
    <row r="1192" ht="37.5" customHeight="1" spans="1:25">
      <c r="A1192" s="192">
        <f t="shared" si="29"/>
        <v>1184</v>
      </c>
      <c r="B1192" s="208">
        <v>2023</v>
      </c>
      <c r="C1192" s="193" t="s">
        <v>37</v>
      </c>
      <c r="D1192" s="277" t="s">
        <v>4706</v>
      </c>
      <c r="E1192" s="195" t="s">
        <v>4707</v>
      </c>
      <c r="F1192" s="196" t="s">
        <v>2073</v>
      </c>
      <c r="G1192" s="197" t="s">
        <v>3239</v>
      </c>
      <c r="H1192" s="198">
        <v>0.8</v>
      </c>
      <c r="I1192" s="199">
        <v>17500</v>
      </c>
      <c r="J1192" s="200" t="s">
        <v>3516</v>
      </c>
      <c r="K1192" s="200" t="s">
        <v>3517</v>
      </c>
      <c r="L1192" s="201">
        <v>0.4</v>
      </c>
      <c r="M1192" s="278" t="s">
        <v>4250</v>
      </c>
      <c r="N1192" s="205">
        <v>5833.52</v>
      </c>
      <c r="O1192" s="254">
        <v>5833.52</v>
      </c>
      <c r="P1192" s="254">
        <v>4666.83</v>
      </c>
      <c r="Q1192" s="254">
        <v>4666.83</v>
      </c>
      <c r="R1192" s="1262" t="s">
        <v>2633</v>
      </c>
      <c r="S1192" s="254">
        <v>2333.41</v>
      </c>
      <c r="T1192" s="204">
        <v>45105</v>
      </c>
      <c r="U1192" s="1262" t="s">
        <v>3777</v>
      </c>
      <c r="V1192" s="254">
        <v>1166.7</v>
      </c>
      <c r="W1192" s="1262" t="s">
        <v>2994</v>
      </c>
      <c r="X1192" s="206">
        <v>1166.7</v>
      </c>
      <c r="Y1192" s="192"/>
    </row>
    <row r="1193" ht="37.5" customHeight="1" spans="1:25">
      <c r="A1193" s="192">
        <f t="shared" si="29"/>
        <v>1185</v>
      </c>
      <c r="B1193" s="208">
        <v>2023</v>
      </c>
      <c r="C1193" s="193" t="s">
        <v>37</v>
      </c>
      <c r="D1193" s="277" t="s">
        <v>4708</v>
      </c>
      <c r="E1193" s="195" t="s">
        <v>4709</v>
      </c>
      <c r="F1193" s="196" t="s">
        <v>2073</v>
      </c>
      <c r="G1193" s="197" t="s">
        <v>3239</v>
      </c>
      <c r="H1193" s="198">
        <v>0.8</v>
      </c>
      <c r="I1193" s="199">
        <v>65000</v>
      </c>
      <c r="J1193" s="200" t="s">
        <v>2716</v>
      </c>
      <c r="K1193" s="200" t="s">
        <v>2717</v>
      </c>
      <c r="L1193" s="201">
        <v>0.4</v>
      </c>
      <c r="M1193" s="278" t="s">
        <v>2898</v>
      </c>
      <c r="N1193" s="205">
        <v>21666.72</v>
      </c>
      <c r="O1193" s="254">
        <v>21666.72</v>
      </c>
      <c r="P1193" s="254">
        <v>17333.38</v>
      </c>
      <c r="Q1193" s="254">
        <v>17333.38</v>
      </c>
      <c r="R1193" s="1262" t="s">
        <v>2633</v>
      </c>
      <c r="S1193" s="254">
        <v>8666.69</v>
      </c>
      <c r="T1193" s="204">
        <v>45105</v>
      </c>
      <c r="U1193" s="1262" t="s">
        <v>3777</v>
      </c>
      <c r="V1193" s="254">
        <v>4333.34</v>
      </c>
      <c r="W1193" s="1262" t="s">
        <v>2994</v>
      </c>
      <c r="X1193" s="206">
        <v>4333.34</v>
      </c>
      <c r="Y1193" s="192"/>
    </row>
    <row r="1194" ht="37.5" customHeight="1" spans="1:25">
      <c r="A1194" s="192">
        <f t="shared" si="29"/>
        <v>1186</v>
      </c>
      <c r="B1194" s="208">
        <v>2023</v>
      </c>
      <c r="C1194" s="193" t="s">
        <v>37</v>
      </c>
      <c r="D1194" s="277" t="s">
        <v>4710</v>
      </c>
      <c r="E1194" s="195" t="s">
        <v>4711</v>
      </c>
      <c r="F1194" s="196" t="s">
        <v>2073</v>
      </c>
      <c r="G1194" s="197" t="s">
        <v>3239</v>
      </c>
      <c r="H1194" s="198">
        <v>0.8</v>
      </c>
      <c r="I1194" s="199">
        <v>28000</v>
      </c>
      <c r="J1194" s="200" t="s">
        <v>3032</v>
      </c>
      <c r="K1194" s="200" t="s">
        <v>3033</v>
      </c>
      <c r="L1194" s="201">
        <v>0.4</v>
      </c>
      <c r="M1194" s="278" t="s">
        <v>4341</v>
      </c>
      <c r="N1194" s="205">
        <v>9333.36</v>
      </c>
      <c r="O1194" s="254">
        <v>9333.36</v>
      </c>
      <c r="P1194" s="254">
        <v>7466.69</v>
      </c>
      <c r="Q1194" s="254">
        <v>7466.69</v>
      </c>
      <c r="R1194" s="1262" t="s">
        <v>2633</v>
      </c>
      <c r="S1194" s="254">
        <v>3733.34</v>
      </c>
      <c r="T1194" s="204">
        <v>45105</v>
      </c>
      <c r="U1194" s="1262" t="s">
        <v>3777</v>
      </c>
      <c r="V1194" s="254">
        <v>1866.67</v>
      </c>
      <c r="W1194" s="1262" t="s">
        <v>2994</v>
      </c>
      <c r="X1194" s="206">
        <v>1866.67</v>
      </c>
      <c r="Y1194" s="192"/>
    </row>
    <row r="1195" ht="37.5" customHeight="1" spans="1:25">
      <c r="A1195" s="192">
        <f t="shared" si="29"/>
        <v>1187</v>
      </c>
      <c r="B1195" s="208">
        <v>2023</v>
      </c>
      <c r="C1195" s="193" t="s">
        <v>37</v>
      </c>
      <c r="D1195" s="277" t="s">
        <v>4712</v>
      </c>
      <c r="E1195" s="195" t="s">
        <v>4713</v>
      </c>
      <c r="F1195" s="196" t="s">
        <v>2073</v>
      </c>
      <c r="G1195" s="197" t="s">
        <v>3239</v>
      </c>
      <c r="H1195" s="198">
        <v>0.8</v>
      </c>
      <c r="I1195" s="199">
        <v>90000</v>
      </c>
      <c r="J1195" s="200" t="s">
        <v>4714</v>
      </c>
      <c r="K1195" s="200" t="s">
        <v>4715</v>
      </c>
      <c r="L1195" s="201">
        <v>0.4</v>
      </c>
      <c r="M1195" s="278" t="s">
        <v>4358</v>
      </c>
      <c r="N1195" s="205">
        <v>28445.44</v>
      </c>
      <c r="O1195" s="254">
        <v>28445.44</v>
      </c>
      <c r="P1195" s="254">
        <v>22756.35</v>
      </c>
      <c r="Q1195" s="254">
        <v>22756.35</v>
      </c>
      <c r="R1195" s="1262" t="s">
        <v>2633</v>
      </c>
      <c r="S1195" s="254">
        <v>11378.18</v>
      </c>
      <c r="T1195" s="204">
        <v>45105</v>
      </c>
      <c r="U1195" s="1262" t="s">
        <v>3777</v>
      </c>
      <c r="V1195" s="254">
        <v>5689.09</v>
      </c>
      <c r="W1195" s="1262" t="s">
        <v>2994</v>
      </c>
      <c r="X1195" s="206">
        <v>5689.09</v>
      </c>
      <c r="Y1195" s="192"/>
    </row>
    <row r="1196" ht="37.5" customHeight="1" spans="1:25">
      <c r="A1196" s="192">
        <f t="shared" si="29"/>
        <v>1188</v>
      </c>
      <c r="B1196" s="208">
        <v>2023</v>
      </c>
      <c r="C1196" s="193" t="s">
        <v>37</v>
      </c>
      <c r="D1196" s="277" t="s">
        <v>4716</v>
      </c>
      <c r="E1196" s="195" t="s">
        <v>4717</v>
      </c>
      <c r="F1196" s="196" t="s">
        <v>2073</v>
      </c>
      <c r="G1196" s="197" t="s">
        <v>3239</v>
      </c>
      <c r="H1196" s="198">
        <v>0.8</v>
      </c>
      <c r="I1196" s="199">
        <v>140000</v>
      </c>
      <c r="J1196" s="200" t="s">
        <v>2076</v>
      </c>
      <c r="K1196" s="200" t="s">
        <v>2996</v>
      </c>
      <c r="L1196" s="201">
        <v>0.4</v>
      </c>
      <c r="M1196" s="278" t="s">
        <v>4534</v>
      </c>
      <c r="N1196" s="205">
        <v>46666.72</v>
      </c>
      <c r="O1196" s="254">
        <v>46666.72</v>
      </c>
      <c r="P1196" s="254">
        <v>37333.38</v>
      </c>
      <c r="Q1196" s="254">
        <v>37333.38</v>
      </c>
      <c r="R1196" s="1262" t="s">
        <v>2633</v>
      </c>
      <c r="S1196" s="254">
        <v>18666.69</v>
      </c>
      <c r="T1196" s="204">
        <v>45105</v>
      </c>
      <c r="U1196" s="1262" t="s">
        <v>3777</v>
      </c>
      <c r="V1196" s="254">
        <v>9333.34</v>
      </c>
      <c r="W1196" s="1262" t="s">
        <v>2994</v>
      </c>
      <c r="X1196" s="206">
        <v>9333.34</v>
      </c>
      <c r="Y1196" s="192"/>
    </row>
    <row r="1197" ht="37.5" customHeight="1" spans="1:25">
      <c r="A1197" s="192">
        <f t="shared" si="29"/>
        <v>1189</v>
      </c>
      <c r="B1197" s="208">
        <v>2023</v>
      </c>
      <c r="C1197" s="193" t="s">
        <v>37</v>
      </c>
      <c r="D1197" s="277" t="s">
        <v>4362</v>
      </c>
      <c r="E1197" s="195" t="s">
        <v>4718</v>
      </c>
      <c r="F1197" s="196" t="s">
        <v>2073</v>
      </c>
      <c r="G1197" s="197" t="s">
        <v>3239</v>
      </c>
      <c r="H1197" s="198">
        <v>0.8</v>
      </c>
      <c r="I1197" s="199">
        <v>30000</v>
      </c>
      <c r="J1197" s="200" t="s">
        <v>2076</v>
      </c>
      <c r="K1197" s="200" t="s">
        <v>2996</v>
      </c>
      <c r="L1197" s="201">
        <v>0.4</v>
      </c>
      <c r="M1197" s="278" t="s">
        <v>4719</v>
      </c>
      <c r="N1197" s="205">
        <v>10000</v>
      </c>
      <c r="O1197" s="254">
        <v>10000</v>
      </c>
      <c r="P1197" s="254">
        <v>8000</v>
      </c>
      <c r="Q1197" s="254">
        <v>8000</v>
      </c>
      <c r="R1197" s="1262" t="s">
        <v>2633</v>
      </c>
      <c r="S1197" s="254">
        <v>4000</v>
      </c>
      <c r="T1197" s="204">
        <v>45105</v>
      </c>
      <c r="U1197" s="1262" t="s">
        <v>3777</v>
      </c>
      <c r="V1197" s="254">
        <v>2000</v>
      </c>
      <c r="W1197" s="1262" t="s">
        <v>2994</v>
      </c>
      <c r="X1197" s="206">
        <v>2000</v>
      </c>
      <c r="Y1197" s="192"/>
    </row>
    <row r="1198" ht="37.5" customHeight="1" spans="1:25">
      <c r="A1198" s="192">
        <f t="shared" si="29"/>
        <v>1190</v>
      </c>
      <c r="B1198" s="208">
        <v>2023</v>
      </c>
      <c r="C1198" s="193" t="s">
        <v>37</v>
      </c>
      <c r="D1198" s="277" t="s">
        <v>4720</v>
      </c>
      <c r="E1198" s="195" t="s">
        <v>4721</v>
      </c>
      <c r="F1198" s="196" t="s">
        <v>2073</v>
      </c>
      <c r="G1198" s="197" t="s">
        <v>3239</v>
      </c>
      <c r="H1198" s="198">
        <v>0.8</v>
      </c>
      <c r="I1198" s="199">
        <v>15486.35</v>
      </c>
      <c r="J1198" s="200" t="s">
        <v>2677</v>
      </c>
      <c r="K1198" s="200" t="s">
        <v>2678</v>
      </c>
      <c r="L1198" s="201">
        <v>0.4</v>
      </c>
      <c r="M1198" s="278" t="s">
        <v>4277</v>
      </c>
      <c r="N1198" s="205">
        <v>4166.69</v>
      </c>
      <c r="O1198" s="254">
        <v>4166.69</v>
      </c>
      <c r="P1198" s="254">
        <v>3333.35</v>
      </c>
      <c r="Q1198" s="254">
        <v>3333.35</v>
      </c>
      <c r="R1198" s="1262" t="s">
        <v>2633</v>
      </c>
      <c r="S1198" s="254">
        <v>1666.68</v>
      </c>
      <c r="T1198" s="204">
        <v>45105</v>
      </c>
      <c r="U1198" s="1262" t="s">
        <v>3777</v>
      </c>
      <c r="V1198" s="254">
        <v>833.34</v>
      </c>
      <c r="W1198" s="1262" t="s">
        <v>2994</v>
      </c>
      <c r="X1198" s="206">
        <v>833.34</v>
      </c>
      <c r="Y1198" s="192"/>
    </row>
    <row r="1199" ht="37.5" customHeight="1" spans="1:25">
      <c r="A1199" s="192">
        <f t="shared" si="29"/>
        <v>1191</v>
      </c>
      <c r="B1199" s="208">
        <v>2023</v>
      </c>
      <c r="C1199" s="193" t="s">
        <v>37</v>
      </c>
      <c r="D1199" s="277" t="s">
        <v>4722</v>
      </c>
      <c r="E1199" s="195" t="s">
        <v>4723</v>
      </c>
      <c r="F1199" s="196" t="s">
        <v>2073</v>
      </c>
      <c r="G1199" s="197" t="s">
        <v>3239</v>
      </c>
      <c r="H1199" s="198">
        <v>0.8</v>
      </c>
      <c r="I1199" s="199">
        <v>26000</v>
      </c>
      <c r="J1199" s="200" t="s">
        <v>2677</v>
      </c>
      <c r="K1199" s="200" t="s">
        <v>2678</v>
      </c>
      <c r="L1199" s="201">
        <v>0.4</v>
      </c>
      <c r="M1199" s="278" t="s">
        <v>4358</v>
      </c>
      <c r="N1199" s="205">
        <v>8666.72</v>
      </c>
      <c r="O1199" s="254">
        <v>8666.72</v>
      </c>
      <c r="P1199" s="254">
        <v>6933.38</v>
      </c>
      <c r="Q1199" s="254">
        <v>6933.38</v>
      </c>
      <c r="R1199" s="1262" t="s">
        <v>2633</v>
      </c>
      <c r="S1199" s="254">
        <v>3466.69</v>
      </c>
      <c r="T1199" s="204">
        <v>45105</v>
      </c>
      <c r="U1199" s="1262" t="s">
        <v>3777</v>
      </c>
      <c r="V1199" s="254">
        <v>1733.34</v>
      </c>
      <c r="W1199" s="1262" t="s">
        <v>2994</v>
      </c>
      <c r="X1199" s="206">
        <v>1733.34</v>
      </c>
      <c r="Y1199" s="192"/>
    </row>
    <row r="1200" ht="37.5" customHeight="1" spans="1:25">
      <c r="A1200" s="192">
        <f t="shared" si="29"/>
        <v>1192</v>
      </c>
      <c r="B1200" s="208">
        <v>2023</v>
      </c>
      <c r="C1200" s="193" t="s">
        <v>37</v>
      </c>
      <c r="D1200" s="277" t="s">
        <v>4724</v>
      </c>
      <c r="E1200" s="195" t="s">
        <v>4725</v>
      </c>
      <c r="F1200" s="196" t="s">
        <v>2073</v>
      </c>
      <c r="G1200" s="197" t="s">
        <v>3239</v>
      </c>
      <c r="H1200" s="198">
        <v>0.8</v>
      </c>
      <c r="I1200" s="199">
        <v>16737.95</v>
      </c>
      <c r="J1200" s="200" t="s">
        <v>2677</v>
      </c>
      <c r="K1200" s="200" t="s">
        <v>2678</v>
      </c>
      <c r="L1200" s="201">
        <v>0.4</v>
      </c>
      <c r="M1200" s="278" t="s">
        <v>4726</v>
      </c>
      <c r="N1200" s="205">
        <v>2898.36</v>
      </c>
      <c r="O1200" s="254">
        <v>2898.36</v>
      </c>
      <c r="P1200" s="254">
        <v>2318.69</v>
      </c>
      <c r="Q1200" s="254">
        <v>2318.69</v>
      </c>
      <c r="R1200" s="1262" t="s">
        <v>2633</v>
      </c>
      <c r="S1200" s="254">
        <v>1159.34</v>
      </c>
      <c r="T1200" s="204">
        <v>45105</v>
      </c>
      <c r="U1200" s="1262" t="s">
        <v>3777</v>
      </c>
      <c r="V1200" s="254">
        <v>579.67</v>
      </c>
      <c r="W1200" s="1262" t="s">
        <v>2994</v>
      </c>
      <c r="X1200" s="206">
        <v>579.67</v>
      </c>
      <c r="Y1200" s="192"/>
    </row>
    <row r="1201" ht="37.5" customHeight="1" spans="1:25">
      <c r="A1201" s="192">
        <f t="shared" si="29"/>
        <v>1193</v>
      </c>
      <c r="B1201" s="208">
        <v>2023</v>
      </c>
      <c r="C1201" s="193" t="s">
        <v>37</v>
      </c>
      <c r="D1201" s="277" t="s">
        <v>4727</v>
      </c>
      <c r="E1201" s="195" t="s">
        <v>4728</v>
      </c>
      <c r="F1201" s="196" t="s">
        <v>2073</v>
      </c>
      <c r="G1201" s="197" t="s">
        <v>3239</v>
      </c>
      <c r="H1201" s="198">
        <v>0.8</v>
      </c>
      <c r="I1201" s="199">
        <v>18596.51</v>
      </c>
      <c r="J1201" s="200" t="s">
        <v>2812</v>
      </c>
      <c r="K1201" s="200" t="s">
        <v>2813</v>
      </c>
      <c r="L1201" s="201">
        <v>0.4</v>
      </c>
      <c r="M1201" s="278" t="s">
        <v>3227</v>
      </c>
      <c r="N1201" s="205">
        <v>1166.72</v>
      </c>
      <c r="O1201" s="254">
        <v>1166.72</v>
      </c>
      <c r="P1201" s="254">
        <v>933.38</v>
      </c>
      <c r="Q1201" s="254">
        <v>933.38</v>
      </c>
      <c r="R1201" s="1262" t="s">
        <v>2633</v>
      </c>
      <c r="S1201" s="254">
        <v>466.69</v>
      </c>
      <c r="T1201" s="204">
        <v>45105</v>
      </c>
      <c r="U1201" s="1262" t="s">
        <v>3777</v>
      </c>
      <c r="V1201" s="254">
        <v>233.34</v>
      </c>
      <c r="W1201" s="1262" t="s">
        <v>2994</v>
      </c>
      <c r="X1201" s="206">
        <v>233.34</v>
      </c>
      <c r="Y1201" s="192"/>
    </row>
    <row r="1202" ht="37.5" customHeight="1" spans="1:25">
      <c r="A1202" s="192">
        <f t="shared" si="29"/>
        <v>1194</v>
      </c>
      <c r="B1202" s="208">
        <v>2023</v>
      </c>
      <c r="C1202" s="193" t="s">
        <v>37</v>
      </c>
      <c r="D1202" s="277" t="s">
        <v>4643</v>
      </c>
      <c r="E1202" s="195" t="s">
        <v>4729</v>
      </c>
      <c r="F1202" s="196" t="s">
        <v>2073</v>
      </c>
      <c r="G1202" s="197" t="s">
        <v>3239</v>
      </c>
      <c r="H1202" s="198">
        <v>0.8</v>
      </c>
      <c r="I1202" s="199">
        <v>12549.51</v>
      </c>
      <c r="J1202" s="200" t="s">
        <v>2812</v>
      </c>
      <c r="K1202" s="200" t="s">
        <v>2813</v>
      </c>
      <c r="L1202" s="201">
        <v>0.4</v>
      </c>
      <c r="M1202" s="278" t="s">
        <v>4560</v>
      </c>
      <c r="N1202" s="205">
        <v>2166.72</v>
      </c>
      <c r="O1202" s="254">
        <v>2166.72</v>
      </c>
      <c r="P1202" s="254">
        <v>1733.38</v>
      </c>
      <c r="Q1202" s="254">
        <v>1733.38</v>
      </c>
      <c r="R1202" s="1262" t="s">
        <v>2633</v>
      </c>
      <c r="S1202" s="254">
        <v>866.69</v>
      </c>
      <c r="T1202" s="204">
        <v>45105</v>
      </c>
      <c r="U1202" s="1262" t="s">
        <v>3777</v>
      </c>
      <c r="V1202" s="254">
        <v>433.34</v>
      </c>
      <c r="W1202" s="1262" t="s">
        <v>2994</v>
      </c>
      <c r="X1202" s="206">
        <v>433.34</v>
      </c>
      <c r="Y1202" s="192"/>
    </row>
    <row r="1203" ht="37.5" customHeight="1" spans="1:25">
      <c r="A1203" s="192">
        <f t="shared" si="29"/>
        <v>1195</v>
      </c>
      <c r="B1203" s="208">
        <v>2023</v>
      </c>
      <c r="C1203" s="193" t="s">
        <v>37</v>
      </c>
      <c r="D1203" s="277" t="s">
        <v>4730</v>
      </c>
      <c r="E1203" s="195" t="s">
        <v>4731</v>
      </c>
      <c r="F1203" s="196" t="s">
        <v>2073</v>
      </c>
      <c r="G1203" s="197" t="s">
        <v>3239</v>
      </c>
      <c r="H1203" s="198">
        <v>0.8</v>
      </c>
      <c r="I1203" s="199">
        <v>14494.44</v>
      </c>
      <c r="J1203" s="200" t="s">
        <v>3361</v>
      </c>
      <c r="K1203" s="200" t="s">
        <v>3362</v>
      </c>
      <c r="L1203" s="201">
        <v>0.4</v>
      </c>
      <c r="M1203" s="278" t="s">
        <v>4726</v>
      </c>
      <c r="N1203" s="205">
        <v>1000</v>
      </c>
      <c r="O1203" s="254">
        <v>1000</v>
      </c>
      <c r="P1203" s="254">
        <v>800</v>
      </c>
      <c r="Q1203" s="254">
        <v>800</v>
      </c>
      <c r="R1203" s="1262" t="s">
        <v>2633</v>
      </c>
      <c r="S1203" s="254">
        <v>400</v>
      </c>
      <c r="T1203" s="204">
        <v>45105</v>
      </c>
      <c r="U1203" s="1262" t="s">
        <v>3777</v>
      </c>
      <c r="V1203" s="254">
        <v>200</v>
      </c>
      <c r="W1203" s="1262" t="s">
        <v>2994</v>
      </c>
      <c r="X1203" s="206">
        <v>200</v>
      </c>
      <c r="Y1203" s="192"/>
    </row>
    <row r="1204" ht="37.5" customHeight="1" spans="1:25">
      <c r="A1204" s="192">
        <f t="shared" si="29"/>
        <v>1196</v>
      </c>
      <c r="B1204" s="208">
        <v>2023</v>
      </c>
      <c r="C1204" s="193" t="s">
        <v>37</v>
      </c>
      <c r="D1204" s="277" t="s">
        <v>4732</v>
      </c>
      <c r="E1204" s="195" t="s">
        <v>4733</v>
      </c>
      <c r="F1204" s="196" t="s">
        <v>2073</v>
      </c>
      <c r="G1204" s="197" t="s">
        <v>3239</v>
      </c>
      <c r="H1204" s="198">
        <v>0.8</v>
      </c>
      <c r="I1204" s="199">
        <v>18746.43</v>
      </c>
      <c r="J1204" s="200" t="s">
        <v>1847</v>
      </c>
      <c r="K1204" s="200" t="s">
        <v>2701</v>
      </c>
      <c r="L1204" s="201">
        <v>0.4</v>
      </c>
      <c r="M1204" s="278" t="s">
        <v>4570</v>
      </c>
      <c r="N1204" s="205">
        <v>1666.72</v>
      </c>
      <c r="O1204" s="254">
        <v>1666.72</v>
      </c>
      <c r="P1204" s="254">
        <v>1333.38</v>
      </c>
      <c r="Q1204" s="254">
        <v>1333.38</v>
      </c>
      <c r="R1204" s="1262" t="s">
        <v>2633</v>
      </c>
      <c r="S1204" s="254">
        <v>666.69</v>
      </c>
      <c r="T1204" s="204">
        <v>45105</v>
      </c>
      <c r="U1204" s="1262" t="s">
        <v>3777</v>
      </c>
      <c r="V1204" s="254">
        <v>333.34</v>
      </c>
      <c r="W1204" s="1262" t="s">
        <v>2994</v>
      </c>
      <c r="X1204" s="206">
        <v>333.34</v>
      </c>
      <c r="Y1204" s="192"/>
    </row>
    <row r="1205" ht="37.5" customHeight="1" spans="1:25">
      <c r="A1205" s="192">
        <f t="shared" si="29"/>
        <v>1197</v>
      </c>
      <c r="B1205" s="208">
        <v>2023</v>
      </c>
      <c r="C1205" s="193" t="s">
        <v>37</v>
      </c>
      <c r="D1205" s="277" t="s">
        <v>4666</v>
      </c>
      <c r="E1205" s="195" t="s">
        <v>4734</v>
      </c>
      <c r="F1205" s="196" t="s">
        <v>2073</v>
      </c>
      <c r="G1205" s="197" t="s">
        <v>3239</v>
      </c>
      <c r="H1205" s="198">
        <v>0.8</v>
      </c>
      <c r="I1205" s="199">
        <v>17569.68</v>
      </c>
      <c r="J1205" s="200" t="s">
        <v>1847</v>
      </c>
      <c r="K1205" s="200" t="s">
        <v>2701</v>
      </c>
      <c r="L1205" s="201">
        <v>0.4</v>
      </c>
      <c r="M1205" s="278" t="s">
        <v>4665</v>
      </c>
      <c r="N1205" s="205">
        <v>1000</v>
      </c>
      <c r="O1205" s="254">
        <v>1000</v>
      </c>
      <c r="P1205" s="254">
        <v>800</v>
      </c>
      <c r="Q1205" s="254">
        <v>800</v>
      </c>
      <c r="R1205" s="1262" t="s">
        <v>2633</v>
      </c>
      <c r="S1205" s="254">
        <v>400</v>
      </c>
      <c r="T1205" s="204">
        <v>45105</v>
      </c>
      <c r="U1205" s="1262" t="s">
        <v>3777</v>
      </c>
      <c r="V1205" s="254">
        <v>200</v>
      </c>
      <c r="W1205" s="1262" t="s">
        <v>2994</v>
      </c>
      <c r="X1205" s="206">
        <v>200</v>
      </c>
      <c r="Y1205" s="192"/>
    </row>
    <row r="1206" ht="37.5" customHeight="1" spans="1:25">
      <c r="A1206" s="192">
        <f t="shared" si="29"/>
        <v>1198</v>
      </c>
      <c r="B1206" s="208">
        <v>2023</v>
      </c>
      <c r="C1206" s="193" t="s">
        <v>37</v>
      </c>
      <c r="D1206" s="277" t="s">
        <v>4735</v>
      </c>
      <c r="E1206" s="195" t="s">
        <v>4736</v>
      </c>
      <c r="F1206" s="196" t="s">
        <v>2073</v>
      </c>
      <c r="G1206" s="197" t="s">
        <v>3239</v>
      </c>
      <c r="H1206" s="198">
        <v>0.8</v>
      </c>
      <c r="I1206" s="199">
        <v>25000</v>
      </c>
      <c r="J1206" s="200" t="s">
        <v>3089</v>
      </c>
      <c r="K1206" s="200" t="s">
        <v>3090</v>
      </c>
      <c r="L1206" s="201">
        <v>0.4</v>
      </c>
      <c r="M1206" s="278" t="s">
        <v>4737</v>
      </c>
      <c r="N1206" s="205">
        <v>10416.69</v>
      </c>
      <c r="O1206" s="254">
        <v>10416.69</v>
      </c>
      <c r="P1206" s="254">
        <v>8333.35</v>
      </c>
      <c r="Q1206" s="254">
        <v>8333.35</v>
      </c>
      <c r="R1206" s="1262" t="s">
        <v>2633</v>
      </c>
      <c r="S1206" s="254">
        <v>4166.68</v>
      </c>
      <c r="T1206" s="204">
        <v>45105</v>
      </c>
      <c r="U1206" s="1262" t="s">
        <v>3777</v>
      </c>
      <c r="V1206" s="254">
        <v>2083.34</v>
      </c>
      <c r="W1206" s="1262" t="s">
        <v>2994</v>
      </c>
      <c r="X1206" s="206">
        <v>2083.34</v>
      </c>
      <c r="Y1206" s="192"/>
    </row>
    <row r="1207" ht="37.5" customHeight="1" spans="1:25">
      <c r="A1207" s="192">
        <f t="shared" si="29"/>
        <v>1199</v>
      </c>
      <c r="B1207" s="208">
        <v>2023</v>
      </c>
      <c r="C1207" s="193" t="s">
        <v>37</v>
      </c>
      <c r="D1207" s="277" t="s">
        <v>4738</v>
      </c>
      <c r="E1207" s="195" t="s">
        <v>4739</v>
      </c>
      <c r="F1207" s="196" t="s">
        <v>2073</v>
      </c>
      <c r="G1207" s="197" t="s">
        <v>3239</v>
      </c>
      <c r="H1207" s="198">
        <v>0.8</v>
      </c>
      <c r="I1207" s="199">
        <v>48000</v>
      </c>
      <c r="J1207" s="200" t="s">
        <v>2785</v>
      </c>
      <c r="K1207" s="200" t="s">
        <v>2786</v>
      </c>
      <c r="L1207" s="201">
        <v>0.4</v>
      </c>
      <c r="M1207" s="278" t="s">
        <v>4740</v>
      </c>
      <c r="N1207" s="205">
        <v>14750</v>
      </c>
      <c r="O1207" s="254">
        <v>14750</v>
      </c>
      <c r="P1207" s="254">
        <v>11800</v>
      </c>
      <c r="Q1207" s="254">
        <v>11800</v>
      </c>
      <c r="R1207" s="1262" t="s">
        <v>2633</v>
      </c>
      <c r="S1207" s="254">
        <v>5900</v>
      </c>
      <c r="T1207" s="204">
        <v>45105</v>
      </c>
      <c r="U1207" s="1262" t="s">
        <v>3777</v>
      </c>
      <c r="V1207" s="254">
        <v>2950</v>
      </c>
      <c r="W1207" s="1262" t="s">
        <v>2994</v>
      </c>
      <c r="X1207" s="206">
        <v>2950</v>
      </c>
      <c r="Y1207" s="192"/>
    </row>
    <row r="1208" ht="37.5" customHeight="1" spans="1:25">
      <c r="A1208" s="192">
        <f t="shared" si="29"/>
        <v>1200</v>
      </c>
      <c r="B1208" s="208">
        <v>2023</v>
      </c>
      <c r="C1208" s="193" t="s">
        <v>37</v>
      </c>
      <c r="D1208" s="277" t="s">
        <v>4741</v>
      </c>
      <c r="E1208" s="195" t="s">
        <v>4742</v>
      </c>
      <c r="F1208" s="196" t="s">
        <v>2073</v>
      </c>
      <c r="G1208" s="197" t="s">
        <v>3239</v>
      </c>
      <c r="H1208" s="198">
        <v>0.8</v>
      </c>
      <c r="I1208" s="199">
        <v>59229</v>
      </c>
      <c r="J1208" s="200" t="s">
        <v>3543</v>
      </c>
      <c r="K1208" s="200" t="s">
        <v>3544</v>
      </c>
      <c r="L1208" s="201">
        <v>0.4</v>
      </c>
      <c r="M1208" s="278" t="s">
        <v>4656</v>
      </c>
      <c r="N1208" s="205">
        <v>22262.16</v>
      </c>
      <c r="O1208" s="254">
        <v>22262.16</v>
      </c>
      <c r="P1208" s="254">
        <v>17809.73</v>
      </c>
      <c r="Q1208" s="254">
        <v>17809.73</v>
      </c>
      <c r="R1208" s="1262" t="s">
        <v>2633</v>
      </c>
      <c r="S1208" s="254">
        <v>8904.86</v>
      </c>
      <c r="T1208" s="204">
        <v>45105</v>
      </c>
      <c r="U1208" s="1262" t="s">
        <v>3777</v>
      </c>
      <c r="V1208" s="254">
        <v>4452.43</v>
      </c>
      <c r="W1208" s="1262" t="s">
        <v>2994</v>
      </c>
      <c r="X1208" s="206">
        <v>4452.43</v>
      </c>
      <c r="Y1208" s="192"/>
    </row>
    <row r="1209" ht="37.5" customHeight="1" spans="1:25">
      <c r="A1209" s="192">
        <f t="shared" si="29"/>
        <v>1201</v>
      </c>
      <c r="B1209" s="208">
        <v>2023</v>
      </c>
      <c r="C1209" s="193" t="s">
        <v>37</v>
      </c>
      <c r="D1209" s="277" t="s">
        <v>2187</v>
      </c>
      <c r="E1209" s="195" t="s">
        <v>4743</v>
      </c>
      <c r="F1209" s="196" t="s">
        <v>2073</v>
      </c>
      <c r="G1209" s="197" t="s">
        <v>3239</v>
      </c>
      <c r="H1209" s="198">
        <v>0.8</v>
      </c>
      <c r="I1209" s="199">
        <v>15000</v>
      </c>
      <c r="J1209" s="200" t="s">
        <v>2103</v>
      </c>
      <c r="K1209" s="200" t="s">
        <v>2740</v>
      </c>
      <c r="L1209" s="201">
        <v>0.4</v>
      </c>
      <c r="M1209" s="278" t="s">
        <v>2898</v>
      </c>
      <c r="N1209" s="205">
        <v>6250</v>
      </c>
      <c r="O1209" s="254">
        <v>6250</v>
      </c>
      <c r="P1209" s="254">
        <v>5000</v>
      </c>
      <c r="Q1209" s="254">
        <v>5000</v>
      </c>
      <c r="R1209" s="1262" t="s">
        <v>2633</v>
      </c>
      <c r="S1209" s="254">
        <v>2500</v>
      </c>
      <c r="T1209" s="204">
        <v>45105</v>
      </c>
      <c r="U1209" s="1262" t="s">
        <v>3777</v>
      </c>
      <c r="V1209" s="254">
        <v>1250</v>
      </c>
      <c r="W1209" s="1262" t="s">
        <v>2994</v>
      </c>
      <c r="X1209" s="206">
        <v>1250</v>
      </c>
      <c r="Y1209" s="192"/>
    </row>
    <row r="1210" ht="37.5" customHeight="1" spans="1:25">
      <c r="A1210" s="192">
        <f t="shared" si="29"/>
        <v>1202</v>
      </c>
      <c r="B1210" s="208">
        <v>2023</v>
      </c>
      <c r="C1210" s="193" t="s">
        <v>37</v>
      </c>
      <c r="D1210" s="277" t="s">
        <v>4744</v>
      </c>
      <c r="E1210" s="195" t="s">
        <v>4745</v>
      </c>
      <c r="F1210" s="196" t="s">
        <v>2073</v>
      </c>
      <c r="G1210" s="197" t="s">
        <v>3239</v>
      </c>
      <c r="H1210" s="198">
        <v>0.8</v>
      </c>
      <c r="I1210" s="199">
        <v>30000</v>
      </c>
      <c r="J1210" s="200" t="s">
        <v>2103</v>
      </c>
      <c r="K1210" s="200" t="s">
        <v>2740</v>
      </c>
      <c r="L1210" s="201">
        <v>0.4</v>
      </c>
      <c r="M1210" s="278" t="s">
        <v>4560</v>
      </c>
      <c r="N1210" s="205">
        <v>10000</v>
      </c>
      <c r="O1210" s="254">
        <v>10000</v>
      </c>
      <c r="P1210" s="254">
        <v>8000</v>
      </c>
      <c r="Q1210" s="254">
        <v>8000</v>
      </c>
      <c r="R1210" s="1262" t="s">
        <v>2633</v>
      </c>
      <c r="S1210" s="254">
        <v>4000</v>
      </c>
      <c r="T1210" s="204">
        <v>45105</v>
      </c>
      <c r="U1210" s="1262" t="s">
        <v>3777</v>
      </c>
      <c r="V1210" s="254">
        <v>2000</v>
      </c>
      <c r="W1210" s="1262" t="s">
        <v>2994</v>
      </c>
      <c r="X1210" s="206">
        <v>2000</v>
      </c>
      <c r="Y1210" s="192"/>
    </row>
    <row r="1211" ht="37.5" customHeight="1" spans="1:25">
      <c r="A1211" s="192">
        <f t="shared" si="29"/>
        <v>1203</v>
      </c>
      <c r="B1211" s="208">
        <v>2023</v>
      </c>
      <c r="C1211" s="193" t="s">
        <v>37</v>
      </c>
      <c r="D1211" s="277" t="s">
        <v>4641</v>
      </c>
      <c r="E1211" s="195" t="s">
        <v>4746</v>
      </c>
      <c r="F1211" s="196" t="s">
        <v>2073</v>
      </c>
      <c r="G1211" s="197" t="s">
        <v>3239</v>
      </c>
      <c r="H1211" s="198">
        <v>0.8</v>
      </c>
      <c r="I1211" s="199">
        <v>65730</v>
      </c>
      <c r="J1211" s="200" t="s">
        <v>3376</v>
      </c>
      <c r="K1211" s="200" t="s">
        <v>3377</v>
      </c>
      <c r="L1211" s="201">
        <v>0.4</v>
      </c>
      <c r="M1211" s="278" t="s">
        <v>4341</v>
      </c>
      <c r="N1211" s="205">
        <v>27821.04</v>
      </c>
      <c r="O1211" s="254">
        <v>27821.04</v>
      </c>
      <c r="P1211" s="254">
        <v>22256.82</v>
      </c>
      <c r="Q1211" s="254">
        <v>22256.82</v>
      </c>
      <c r="R1211" s="1262" t="s">
        <v>2633</v>
      </c>
      <c r="S1211" s="254">
        <v>11128.42</v>
      </c>
      <c r="T1211" s="204">
        <v>45105</v>
      </c>
      <c r="U1211" s="1262" t="s">
        <v>3777</v>
      </c>
      <c r="V1211" s="254">
        <v>5564.21</v>
      </c>
      <c r="W1211" s="1262" t="s">
        <v>2994</v>
      </c>
      <c r="X1211" s="206">
        <v>5564.21</v>
      </c>
      <c r="Y1211" s="192"/>
    </row>
    <row r="1212" ht="37.5" customHeight="1" spans="1:25">
      <c r="A1212" s="192">
        <f t="shared" si="29"/>
        <v>1204</v>
      </c>
      <c r="B1212" s="208">
        <v>2023</v>
      </c>
      <c r="C1212" s="193" t="s">
        <v>37</v>
      </c>
      <c r="D1212" s="277" t="s">
        <v>4747</v>
      </c>
      <c r="E1212" s="195" t="s">
        <v>4748</v>
      </c>
      <c r="F1212" s="196" t="s">
        <v>2073</v>
      </c>
      <c r="G1212" s="197" t="s">
        <v>3239</v>
      </c>
      <c r="H1212" s="198">
        <v>0.8</v>
      </c>
      <c r="I1212" s="199">
        <v>10447.21</v>
      </c>
      <c r="J1212" s="200" t="s">
        <v>3376</v>
      </c>
      <c r="K1212" s="200" t="s">
        <v>3377</v>
      </c>
      <c r="L1212" s="201">
        <v>0.4</v>
      </c>
      <c r="M1212" s="278" t="s">
        <v>4560</v>
      </c>
      <c r="N1212" s="205">
        <v>2000</v>
      </c>
      <c r="O1212" s="254">
        <v>2000</v>
      </c>
      <c r="P1212" s="254">
        <v>1600</v>
      </c>
      <c r="Q1212" s="254">
        <v>1600</v>
      </c>
      <c r="R1212" s="1262" t="s">
        <v>2633</v>
      </c>
      <c r="S1212" s="254">
        <v>800</v>
      </c>
      <c r="T1212" s="204">
        <v>45105</v>
      </c>
      <c r="U1212" s="1262" t="s">
        <v>3777</v>
      </c>
      <c r="V1212" s="254">
        <v>400</v>
      </c>
      <c r="W1212" s="1262" t="s">
        <v>2994</v>
      </c>
      <c r="X1212" s="206">
        <v>400</v>
      </c>
      <c r="Y1212" s="192"/>
    </row>
    <row r="1213" ht="37.5" customHeight="1" spans="1:25">
      <c r="A1213" s="192">
        <f t="shared" si="29"/>
        <v>1205</v>
      </c>
      <c r="B1213" s="208">
        <v>2023</v>
      </c>
      <c r="C1213" s="193" t="s">
        <v>37</v>
      </c>
      <c r="D1213" s="277" t="s">
        <v>4749</v>
      </c>
      <c r="E1213" s="195" t="s">
        <v>4750</v>
      </c>
      <c r="F1213" s="196" t="s">
        <v>2073</v>
      </c>
      <c r="G1213" s="197" t="s">
        <v>3239</v>
      </c>
      <c r="H1213" s="198">
        <v>0.8</v>
      </c>
      <c r="I1213" s="199">
        <v>13178.05</v>
      </c>
      <c r="J1213" s="200" t="s">
        <v>1848</v>
      </c>
      <c r="K1213" s="200" t="s">
        <v>2671</v>
      </c>
      <c r="L1213" s="201">
        <v>0.4</v>
      </c>
      <c r="M1213" s="278" t="s">
        <v>4751</v>
      </c>
      <c r="N1213" s="205">
        <v>3333.36</v>
      </c>
      <c r="O1213" s="254">
        <v>3333.36</v>
      </c>
      <c r="P1213" s="254">
        <v>2666.69</v>
      </c>
      <c r="Q1213" s="254">
        <v>2666.69</v>
      </c>
      <c r="R1213" s="1262" t="s">
        <v>2633</v>
      </c>
      <c r="S1213" s="254">
        <v>1333.34</v>
      </c>
      <c r="T1213" s="204">
        <v>45105</v>
      </c>
      <c r="U1213" s="1262" t="s">
        <v>3777</v>
      </c>
      <c r="V1213" s="254">
        <v>666.67</v>
      </c>
      <c r="W1213" s="1262" t="s">
        <v>2994</v>
      </c>
      <c r="X1213" s="206">
        <v>666.67</v>
      </c>
      <c r="Y1213" s="192"/>
    </row>
    <row r="1214" ht="37.5" customHeight="1" spans="1:25">
      <c r="A1214" s="192">
        <f t="shared" si="29"/>
        <v>1206</v>
      </c>
      <c r="B1214" s="208">
        <v>2023</v>
      </c>
      <c r="C1214" s="193" t="s">
        <v>37</v>
      </c>
      <c r="D1214" s="277" t="s">
        <v>4377</v>
      </c>
      <c r="E1214" s="195" t="s">
        <v>4752</v>
      </c>
      <c r="F1214" s="196" t="s">
        <v>2073</v>
      </c>
      <c r="G1214" s="197" t="s">
        <v>3239</v>
      </c>
      <c r="H1214" s="198">
        <v>0.8</v>
      </c>
      <c r="I1214" s="199">
        <v>262000</v>
      </c>
      <c r="J1214" s="200" t="s">
        <v>1946</v>
      </c>
      <c r="K1214" s="200" t="s">
        <v>3068</v>
      </c>
      <c r="L1214" s="201">
        <v>0.4</v>
      </c>
      <c r="M1214" s="278" t="s">
        <v>4235</v>
      </c>
      <c r="N1214" s="205">
        <v>85000.07</v>
      </c>
      <c r="O1214" s="254">
        <v>85000.07</v>
      </c>
      <c r="P1214" s="254">
        <v>68000.05</v>
      </c>
      <c r="Q1214" s="254">
        <v>68000.05</v>
      </c>
      <c r="R1214" s="1262" t="s">
        <v>2633</v>
      </c>
      <c r="S1214" s="254">
        <v>34000.03</v>
      </c>
      <c r="T1214" s="204">
        <v>45105</v>
      </c>
      <c r="U1214" s="1262" t="s">
        <v>3777</v>
      </c>
      <c r="V1214" s="254">
        <v>17000.01</v>
      </c>
      <c r="W1214" s="1262" t="s">
        <v>2994</v>
      </c>
      <c r="X1214" s="206">
        <v>17000.01</v>
      </c>
      <c r="Y1214" s="192"/>
    </row>
    <row r="1215" ht="37.5" customHeight="1" spans="1:25">
      <c r="A1215" s="192">
        <f t="shared" si="29"/>
        <v>1207</v>
      </c>
      <c r="B1215" s="208">
        <v>2023</v>
      </c>
      <c r="C1215" s="193" t="s">
        <v>37</v>
      </c>
      <c r="D1215" s="277" t="s">
        <v>4670</v>
      </c>
      <c r="E1215" s="195" t="s">
        <v>4753</v>
      </c>
      <c r="F1215" s="196" t="s">
        <v>2073</v>
      </c>
      <c r="G1215" s="197" t="s">
        <v>3239</v>
      </c>
      <c r="H1215" s="198">
        <v>0.8</v>
      </c>
      <c r="I1215" s="199">
        <v>10447.21</v>
      </c>
      <c r="J1215" s="200" t="s">
        <v>2792</v>
      </c>
      <c r="K1215" s="200" t="s">
        <v>2793</v>
      </c>
      <c r="L1215" s="201">
        <v>0.4</v>
      </c>
      <c r="M1215" s="278" t="s">
        <v>2655</v>
      </c>
      <c r="N1215" s="205">
        <v>625</v>
      </c>
      <c r="O1215" s="254">
        <v>625</v>
      </c>
      <c r="P1215" s="254">
        <v>500</v>
      </c>
      <c r="Q1215" s="254">
        <v>500</v>
      </c>
      <c r="R1215" s="1262" t="s">
        <v>2633</v>
      </c>
      <c r="S1215" s="254">
        <v>250</v>
      </c>
      <c r="T1215" s="204">
        <v>45105</v>
      </c>
      <c r="U1215" s="1262" t="s">
        <v>3777</v>
      </c>
      <c r="V1215" s="254">
        <v>125</v>
      </c>
      <c r="W1215" s="1262" t="s">
        <v>2994</v>
      </c>
      <c r="X1215" s="206">
        <v>125</v>
      </c>
      <c r="Y1215" s="192"/>
    </row>
    <row r="1216" ht="37.5" customHeight="1" spans="1:25">
      <c r="A1216" s="192">
        <f t="shared" si="29"/>
        <v>1208</v>
      </c>
      <c r="B1216" s="208">
        <v>2023</v>
      </c>
      <c r="C1216" s="193" t="s">
        <v>37</v>
      </c>
      <c r="D1216" s="277" t="s">
        <v>4754</v>
      </c>
      <c r="E1216" s="195" t="s">
        <v>4755</v>
      </c>
      <c r="F1216" s="196" t="s">
        <v>2073</v>
      </c>
      <c r="G1216" s="197" t="s">
        <v>3239</v>
      </c>
      <c r="H1216" s="198">
        <v>0.8</v>
      </c>
      <c r="I1216" s="199">
        <v>100000</v>
      </c>
      <c r="J1216" s="200" t="s">
        <v>2761</v>
      </c>
      <c r="K1216" s="200" t="s">
        <v>2762</v>
      </c>
      <c r="L1216" s="201">
        <v>0.4</v>
      </c>
      <c r="M1216" s="278" t="s">
        <v>2655</v>
      </c>
      <c r="N1216" s="205">
        <v>41666.69</v>
      </c>
      <c r="O1216" s="254">
        <v>41666.69</v>
      </c>
      <c r="P1216" s="254">
        <v>33333.35</v>
      </c>
      <c r="Q1216" s="254">
        <v>33333.35</v>
      </c>
      <c r="R1216" s="1262" t="s">
        <v>2633</v>
      </c>
      <c r="S1216" s="254">
        <v>16666.68</v>
      </c>
      <c r="T1216" s="204">
        <v>45105</v>
      </c>
      <c r="U1216" s="1262" t="s">
        <v>3777</v>
      </c>
      <c r="V1216" s="254">
        <v>8333.34</v>
      </c>
      <c r="W1216" s="1262" t="s">
        <v>2994</v>
      </c>
      <c r="X1216" s="206">
        <v>8333.34</v>
      </c>
      <c r="Y1216" s="192"/>
    </row>
    <row r="1217" ht="37.5" customHeight="1" spans="1:25">
      <c r="A1217" s="192">
        <f t="shared" si="29"/>
        <v>1209</v>
      </c>
      <c r="B1217" s="208">
        <v>2023</v>
      </c>
      <c r="C1217" s="193" t="s">
        <v>37</v>
      </c>
      <c r="D1217" s="277" t="s">
        <v>4756</v>
      </c>
      <c r="E1217" s="195" t="s">
        <v>4757</v>
      </c>
      <c r="F1217" s="196" t="s">
        <v>2073</v>
      </c>
      <c r="G1217" s="197" t="s">
        <v>3239</v>
      </c>
      <c r="H1217" s="198">
        <v>0.8</v>
      </c>
      <c r="I1217" s="199">
        <v>12000</v>
      </c>
      <c r="J1217" s="200" t="s">
        <v>2761</v>
      </c>
      <c r="K1217" s="200" t="s">
        <v>2762</v>
      </c>
      <c r="L1217" s="201">
        <v>0.4</v>
      </c>
      <c r="M1217" s="278" t="s">
        <v>4235</v>
      </c>
      <c r="N1217" s="205">
        <v>5000</v>
      </c>
      <c r="O1217" s="254">
        <v>5000</v>
      </c>
      <c r="P1217" s="254">
        <v>4000</v>
      </c>
      <c r="Q1217" s="254">
        <v>4000</v>
      </c>
      <c r="R1217" s="1262" t="s">
        <v>2633</v>
      </c>
      <c r="S1217" s="254">
        <v>2000</v>
      </c>
      <c r="T1217" s="204">
        <v>45105</v>
      </c>
      <c r="U1217" s="1262" t="s">
        <v>3777</v>
      </c>
      <c r="V1217" s="254">
        <v>1000</v>
      </c>
      <c r="W1217" s="1262" t="s">
        <v>2994</v>
      </c>
      <c r="X1217" s="206">
        <v>1000</v>
      </c>
      <c r="Y1217" s="192"/>
    </row>
    <row r="1218" ht="37.5" customHeight="1" spans="1:25">
      <c r="A1218" s="192">
        <f t="shared" si="29"/>
        <v>1210</v>
      </c>
      <c r="B1218" s="208">
        <v>2023</v>
      </c>
      <c r="C1218" s="193" t="s">
        <v>37</v>
      </c>
      <c r="D1218" s="277" t="s">
        <v>4758</v>
      </c>
      <c r="E1218" s="195" t="s">
        <v>4759</v>
      </c>
      <c r="F1218" s="196" t="s">
        <v>2073</v>
      </c>
      <c r="G1218" s="197" t="s">
        <v>3239</v>
      </c>
      <c r="H1218" s="198">
        <v>0.8</v>
      </c>
      <c r="I1218" s="199">
        <v>63000</v>
      </c>
      <c r="J1218" s="200" t="s">
        <v>2092</v>
      </c>
      <c r="K1218" s="200" t="s">
        <v>2926</v>
      </c>
      <c r="L1218" s="201">
        <v>0.4</v>
      </c>
      <c r="M1218" s="278" t="s">
        <v>4760</v>
      </c>
      <c r="N1218" s="205">
        <v>23333.41</v>
      </c>
      <c r="O1218" s="254">
        <v>23333.41</v>
      </c>
      <c r="P1218" s="254">
        <v>18666.73</v>
      </c>
      <c r="Q1218" s="254">
        <v>18666.73</v>
      </c>
      <c r="R1218" s="1262" t="s">
        <v>2633</v>
      </c>
      <c r="S1218" s="254">
        <v>9333.36</v>
      </c>
      <c r="T1218" s="204">
        <v>45105</v>
      </c>
      <c r="U1218" s="1262" t="s">
        <v>3777</v>
      </c>
      <c r="V1218" s="254">
        <v>4666.68</v>
      </c>
      <c r="W1218" s="1262" t="s">
        <v>2994</v>
      </c>
      <c r="X1218" s="206">
        <v>4666.68</v>
      </c>
      <c r="Y1218" s="192"/>
    </row>
    <row r="1219" ht="37.5" customHeight="1" spans="1:25">
      <c r="A1219" s="192">
        <f t="shared" si="29"/>
        <v>1211</v>
      </c>
      <c r="B1219" s="208">
        <v>2023</v>
      </c>
      <c r="C1219" s="193" t="s">
        <v>37</v>
      </c>
      <c r="D1219" s="277" t="s">
        <v>4761</v>
      </c>
      <c r="E1219" s="195" t="s">
        <v>4762</v>
      </c>
      <c r="F1219" s="196" t="s">
        <v>2073</v>
      </c>
      <c r="G1219" s="197" t="s">
        <v>3239</v>
      </c>
      <c r="H1219" s="198">
        <v>0.8</v>
      </c>
      <c r="I1219" s="199">
        <v>14527.69</v>
      </c>
      <c r="J1219" s="200" t="s">
        <v>2961</v>
      </c>
      <c r="K1219" s="200" t="s">
        <v>2962</v>
      </c>
      <c r="L1219" s="201">
        <v>0.4</v>
      </c>
      <c r="M1219" s="278" t="s">
        <v>3200</v>
      </c>
      <c r="N1219" s="205">
        <v>10000</v>
      </c>
      <c r="O1219" s="254">
        <v>10000</v>
      </c>
      <c r="P1219" s="254">
        <v>8000</v>
      </c>
      <c r="Q1219" s="254">
        <v>8000</v>
      </c>
      <c r="R1219" s="1262" t="s">
        <v>2633</v>
      </c>
      <c r="S1219" s="254">
        <v>4000</v>
      </c>
      <c r="T1219" s="204">
        <v>45105</v>
      </c>
      <c r="U1219" s="1262" t="s">
        <v>3777</v>
      </c>
      <c r="V1219" s="254">
        <v>2000</v>
      </c>
      <c r="W1219" s="1262" t="s">
        <v>2994</v>
      </c>
      <c r="X1219" s="206">
        <v>2000</v>
      </c>
      <c r="Y1219" s="192"/>
    </row>
    <row r="1220" ht="37.5" customHeight="1" spans="1:25">
      <c r="A1220" s="192">
        <f t="shared" si="29"/>
        <v>1212</v>
      </c>
      <c r="B1220" s="208">
        <v>2023</v>
      </c>
      <c r="C1220" s="193" t="s">
        <v>37</v>
      </c>
      <c r="D1220" s="277" t="s">
        <v>4763</v>
      </c>
      <c r="E1220" s="195" t="s">
        <v>4764</v>
      </c>
      <c r="F1220" s="196" t="s">
        <v>2073</v>
      </c>
      <c r="G1220" s="197" t="s">
        <v>3239</v>
      </c>
      <c r="H1220" s="198">
        <v>0.8</v>
      </c>
      <c r="I1220" s="199">
        <v>130000</v>
      </c>
      <c r="J1220" s="200" t="s">
        <v>2961</v>
      </c>
      <c r="K1220" s="200" t="s">
        <v>2962</v>
      </c>
      <c r="L1220" s="201">
        <v>0.4</v>
      </c>
      <c r="M1220" s="278" t="s">
        <v>4719</v>
      </c>
      <c r="N1220" s="205">
        <v>25000</v>
      </c>
      <c r="O1220" s="254">
        <v>25000</v>
      </c>
      <c r="P1220" s="254">
        <v>20000</v>
      </c>
      <c r="Q1220" s="254">
        <v>20000</v>
      </c>
      <c r="R1220" s="1262" t="s">
        <v>2633</v>
      </c>
      <c r="S1220" s="254">
        <v>10000</v>
      </c>
      <c r="T1220" s="204">
        <v>45105</v>
      </c>
      <c r="U1220" s="1262" t="s">
        <v>3777</v>
      </c>
      <c r="V1220" s="254">
        <v>5000</v>
      </c>
      <c r="W1220" s="1262" t="s">
        <v>2994</v>
      </c>
      <c r="X1220" s="206">
        <v>5000</v>
      </c>
      <c r="Y1220" s="192"/>
    </row>
    <row r="1221" ht="37.5" customHeight="1" spans="1:25">
      <c r="A1221" s="192">
        <f t="shared" si="29"/>
        <v>1213</v>
      </c>
      <c r="B1221" s="208">
        <v>2023</v>
      </c>
      <c r="C1221" s="193" t="s">
        <v>37</v>
      </c>
      <c r="D1221" s="277" t="s">
        <v>4727</v>
      </c>
      <c r="E1221" s="195" t="s">
        <v>4765</v>
      </c>
      <c r="F1221" s="196" t="s">
        <v>2073</v>
      </c>
      <c r="G1221" s="197" t="s">
        <v>3239</v>
      </c>
      <c r="H1221" s="198">
        <v>0.8</v>
      </c>
      <c r="I1221" s="199">
        <v>18596.51</v>
      </c>
      <c r="J1221" s="200" t="s">
        <v>1932</v>
      </c>
      <c r="K1221" s="200" t="s">
        <v>3863</v>
      </c>
      <c r="L1221" s="201">
        <v>0.4</v>
      </c>
      <c r="M1221" s="278" t="s">
        <v>3227</v>
      </c>
      <c r="N1221" s="205">
        <v>1666.76</v>
      </c>
      <c r="O1221" s="254">
        <v>1666.76</v>
      </c>
      <c r="P1221" s="254">
        <v>1333.4</v>
      </c>
      <c r="Q1221" s="254">
        <v>1333.4</v>
      </c>
      <c r="R1221" s="1262" t="s">
        <v>2633</v>
      </c>
      <c r="S1221" s="254">
        <v>666.7</v>
      </c>
      <c r="T1221" s="204">
        <v>45105</v>
      </c>
      <c r="U1221" s="1262" t="s">
        <v>3777</v>
      </c>
      <c r="V1221" s="254">
        <v>333.35</v>
      </c>
      <c r="W1221" s="1262" t="s">
        <v>2994</v>
      </c>
      <c r="X1221" s="206">
        <v>333.35</v>
      </c>
      <c r="Y1221" s="192"/>
    </row>
    <row r="1222" ht="37.5" customHeight="1" spans="1:25">
      <c r="A1222" s="192">
        <f t="shared" si="29"/>
        <v>1214</v>
      </c>
      <c r="B1222" s="208">
        <v>2023</v>
      </c>
      <c r="C1222" s="193" t="s">
        <v>37</v>
      </c>
      <c r="D1222" s="277" t="s">
        <v>4300</v>
      </c>
      <c r="E1222" s="195" t="s">
        <v>4766</v>
      </c>
      <c r="F1222" s="196" t="s">
        <v>2073</v>
      </c>
      <c r="G1222" s="197" t="s">
        <v>3239</v>
      </c>
      <c r="H1222" s="198">
        <v>0.8</v>
      </c>
      <c r="I1222" s="199">
        <v>14012.48</v>
      </c>
      <c r="J1222" s="200" t="s">
        <v>1932</v>
      </c>
      <c r="K1222" s="200" t="s">
        <v>3863</v>
      </c>
      <c r="L1222" s="201">
        <v>0.4</v>
      </c>
      <c r="M1222" s="278" t="s">
        <v>3465</v>
      </c>
      <c r="N1222" s="205">
        <v>3800</v>
      </c>
      <c r="O1222" s="254">
        <v>3800</v>
      </c>
      <c r="P1222" s="254">
        <v>3040</v>
      </c>
      <c r="Q1222" s="254">
        <v>3040</v>
      </c>
      <c r="R1222" s="1262" t="s">
        <v>2633</v>
      </c>
      <c r="S1222" s="254">
        <v>1520</v>
      </c>
      <c r="T1222" s="204">
        <v>45105</v>
      </c>
      <c r="U1222" s="1262" t="s">
        <v>3777</v>
      </c>
      <c r="V1222" s="254">
        <v>760</v>
      </c>
      <c r="W1222" s="1262" t="s">
        <v>2994</v>
      </c>
      <c r="X1222" s="206">
        <v>760</v>
      </c>
      <c r="Y1222" s="192"/>
    </row>
    <row r="1223" ht="37.5" customHeight="1" spans="1:25">
      <c r="A1223" s="192">
        <f t="shared" si="29"/>
        <v>1215</v>
      </c>
      <c r="B1223" s="208">
        <v>2023</v>
      </c>
      <c r="C1223" s="193" t="s">
        <v>37</v>
      </c>
      <c r="D1223" s="277" t="s">
        <v>4767</v>
      </c>
      <c r="E1223" s="195" t="s">
        <v>4768</v>
      </c>
      <c r="F1223" s="196" t="s">
        <v>2073</v>
      </c>
      <c r="G1223" s="197" t="s">
        <v>3239</v>
      </c>
      <c r="H1223" s="198">
        <v>0.8</v>
      </c>
      <c r="I1223" s="199">
        <v>111368</v>
      </c>
      <c r="J1223" s="200" t="s">
        <v>1932</v>
      </c>
      <c r="K1223" s="200" t="s">
        <v>3863</v>
      </c>
      <c r="L1223" s="201">
        <v>0.4</v>
      </c>
      <c r="M1223" s="278" t="s">
        <v>4769</v>
      </c>
      <c r="N1223" s="205">
        <v>43155.28</v>
      </c>
      <c r="O1223" s="254">
        <v>43155.28</v>
      </c>
      <c r="P1223" s="254">
        <v>34524.22</v>
      </c>
      <c r="Q1223" s="254">
        <v>34524.22</v>
      </c>
      <c r="R1223" s="1262" t="s">
        <v>2633</v>
      </c>
      <c r="S1223" s="254">
        <v>17262.11</v>
      </c>
      <c r="T1223" s="204">
        <v>45105</v>
      </c>
      <c r="U1223" s="1262" t="s">
        <v>3777</v>
      </c>
      <c r="V1223" s="254">
        <v>8631.06</v>
      </c>
      <c r="W1223" s="1262" t="s">
        <v>2994</v>
      </c>
      <c r="X1223" s="206">
        <v>8631.06</v>
      </c>
      <c r="Y1223" s="192"/>
    </row>
    <row r="1224" ht="37.5" customHeight="1" spans="1:25">
      <c r="A1224" s="192">
        <f t="shared" si="29"/>
        <v>1216</v>
      </c>
      <c r="B1224" s="208">
        <v>2023</v>
      </c>
      <c r="C1224" s="193" t="s">
        <v>37</v>
      </c>
      <c r="D1224" s="277" t="s">
        <v>4770</v>
      </c>
      <c r="E1224" s="195" t="s">
        <v>4771</v>
      </c>
      <c r="F1224" s="196" t="s">
        <v>2073</v>
      </c>
      <c r="G1224" s="197" t="s">
        <v>3239</v>
      </c>
      <c r="H1224" s="198">
        <v>0.8</v>
      </c>
      <c r="I1224" s="199">
        <v>50000</v>
      </c>
      <c r="J1224" s="200" t="s">
        <v>2009</v>
      </c>
      <c r="K1224" s="200" t="s">
        <v>3699</v>
      </c>
      <c r="L1224" s="201">
        <v>0.4</v>
      </c>
      <c r="M1224" s="278" t="s">
        <v>4769</v>
      </c>
      <c r="N1224" s="205">
        <v>19696.73</v>
      </c>
      <c r="O1224" s="254">
        <v>19696.73</v>
      </c>
      <c r="P1224" s="254">
        <v>15757.38</v>
      </c>
      <c r="Q1224" s="254">
        <v>15757.38</v>
      </c>
      <c r="R1224" s="1262" t="s">
        <v>2633</v>
      </c>
      <c r="S1224" s="254">
        <v>7878.69</v>
      </c>
      <c r="T1224" s="204">
        <v>45105</v>
      </c>
      <c r="U1224" s="1262" t="s">
        <v>3777</v>
      </c>
      <c r="V1224" s="254">
        <v>3939.35</v>
      </c>
      <c r="W1224" s="1262" t="s">
        <v>2994</v>
      </c>
      <c r="X1224" s="206">
        <v>3939.35</v>
      </c>
      <c r="Y1224" s="192"/>
    </row>
    <row r="1225" ht="37.5" customHeight="1" spans="1:25">
      <c r="A1225" s="192">
        <f t="shared" si="29"/>
        <v>1217</v>
      </c>
      <c r="B1225" s="208">
        <v>2023</v>
      </c>
      <c r="C1225" s="193" t="s">
        <v>37</v>
      </c>
      <c r="D1225" s="277" t="s">
        <v>4772</v>
      </c>
      <c r="E1225" s="195" t="s">
        <v>4773</v>
      </c>
      <c r="F1225" s="196" t="s">
        <v>2073</v>
      </c>
      <c r="G1225" s="197" t="s">
        <v>3239</v>
      </c>
      <c r="H1225" s="198">
        <v>0.8</v>
      </c>
      <c r="I1225" s="199">
        <v>16000</v>
      </c>
      <c r="J1225" s="200" t="s">
        <v>2117</v>
      </c>
      <c r="K1225" s="200" t="s">
        <v>2990</v>
      </c>
      <c r="L1225" s="201">
        <v>0.4</v>
      </c>
      <c r="M1225" s="278" t="s">
        <v>4570</v>
      </c>
      <c r="N1225" s="205">
        <v>14000</v>
      </c>
      <c r="O1225" s="254">
        <v>14000</v>
      </c>
      <c r="P1225" s="254">
        <v>11200</v>
      </c>
      <c r="Q1225" s="254">
        <v>11200</v>
      </c>
      <c r="R1225" s="1262" t="s">
        <v>2633</v>
      </c>
      <c r="S1225" s="254">
        <v>5600</v>
      </c>
      <c r="T1225" s="204">
        <v>45105</v>
      </c>
      <c r="U1225" s="1262" t="s">
        <v>3777</v>
      </c>
      <c r="V1225" s="254">
        <v>2800</v>
      </c>
      <c r="W1225" s="1262" t="s">
        <v>2994</v>
      </c>
      <c r="X1225" s="206">
        <v>2800</v>
      </c>
      <c r="Y1225" s="192"/>
    </row>
    <row r="1226" ht="37.5" customHeight="1" spans="1:25">
      <c r="A1226" s="192">
        <f t="shared" si="29"/>
        <v>1218</v>
      </c>
      <c r="B1226" s="208">
        <v>2023</v>
      </c>
      <c r="C1226" s="193" t="s">
        <v>37</v>
      </c>
      <c r="D1226" s="277" t="s">
        <v>4774</v>
      </c>
      <c r="E1226" s="195" t="s">
        <v>4775</v>
      </c>
      <c r="F1226" s="196" t="s">
        <v>2073</v>
      </c>
      <c r="G1226" s="197" t="s">
        <v>3239</v>
      </c>
      <c r="H1226" s="198">
        <v>0.8</v>
      </c>
      <c r="I1226" s="199">
        <v>18619.74</v>
      </c>
      <c r="J1226" s="200" t="s">
        <v>2117</v>
      </c>
      <c r="K1226" s="200" t="s">
        <v>2990</v>
      </c>
      <c r="L1226" s="201">
        <v>0.4</v>
      </c>
      <c r="M1226" s="278" t="s">
        <v>4534</v>
      </c>
      <c r="N1226" s="205">
        <v>625</v>
      </c>
      <c r="O1226" s="254">
        <v>625</v>
      </c>
      <c r="P1226" s="254">
        <v>500</v>
      </c>
      <c r="Q1226" s="254">
        <v>500</v>
      </c>
      <c r="R1226" s="1262" t="s">
        <v>2633</v>
      </c>
      <c r="S1226" s="254">
        <v>250</v>
      </c>
      <c r="T1226" s="204">
        <v>45105</v>
      </c>
      <c r="U1226" s="1262" t="s">
        <v>3777</v>
      </c>
      <c r="V1226" s="254">
        <v>125</v>
      </c>
      <c r="W1226" s="1262" t="s">
        <v>2994</v>
      </c>
      <c r="X1226" s="206">
        <v>125</v>
      </c>
      <c r="Y1226" s="192"/>
    </row>
    <row r="1227" ht="37.5" customHeight="1" spans="1:25">
      <c r="A1227" s="192">
        <f t="shared" si="29"/>
        <v>1219</v>
      </c>
      <c r="B1227" s="208">
        <v>2023</v>
      </c>
      <c r="C1227" s="193" t="s">
        <v>37</v>
      </c>
      <c r="D1227" s="277" t="s">
        <v>4776</v>
      </c>
      <c r="E1227" s="195" t="s">
        <v>4777</v>
      </c>
      <c r="F1227" s="196" t="s">
        <v>2073</v>
      </c>
      <c r="G1227" s="197" t="s">
        <v>3239</v>
      </c>
      <c r="H1227" s="198">
        <v>0.8</v>
      </c>
      <c r="I1227" s="199">
        <v>16400</v>
      </c>
      <c r="J1227" s="200" t="s">
        <v>2261</v>
      </c>
      <c r="K1227" s="200" t="s">
        <v>3389</v>
      </c>
      <c r="L1227" s="201">
        <v>0.4</v>
      </c>
      <c r="M1227" s="278" t="s">
        <v>4726</v>
      </c>
      <c r="N1227" s="205">
        <v>6833.38</v>
      </c>
      <c r="O1227" s="254">
        <v>6833.38</v>
      </c>
      <c r="P1227" s="254">
        <v>5466.7</v>
      </c>
      <c r="Q1227" s="254">
        <v>5466.7</v>
      </c>
      <c r="R1227" s="1262" t="s">
        <v>2633</v>
      </c>
      <c r="S1227" s="254">
        <v>2733.35</v>
      </c>
      <c r="T1227" s="204">
        <v>45105</v>
      </c>
      <c r="U1227" s="1262" t="s">
        <v>3777</v>
      </c>
      <c r="V1227" s="254">
        <v>1366.68</v>
      </c>
      <c r="W1227" s="1262" t="s">
        <v>2994</v>
      </c>
      <c r="X1227" s="206">
        <v>1366.68</v>
      </c>
      <c r="Y1227" s="192"/>
    </row>
    <row r="1228" ht="37.5" customHeight="1" spans="1:25">
      <c r="A1228" s="192">
        <f t="shared" si="29"/>
        <v>1220</v>
      </c>
      <c r="B1228" s="208">
        <v>2023</v>
      </c>
      <c r="C1228" s="193" t="s">
        <v>37</v>
      </c>
      <c r="D1228" s="277" t="s">
        <v>4724</v>
      </c>
      <c r="E1228" s="195" t="s">
        <v>4778</v>
      </c>
      <c r="F1228" s="196" t="s">
        <v>2073</v>
      </c>
      <c r="G1228" s="197" t="s">
        <v>3239</v>
      </c>
      <c r="H1228" s="198">
        <v>0.8</v>
      </c>
      <c r="I1228" s="199">
        <v>16737.95</v>
      </c>
      <c r="J1228" s="200" t="s">
        <v>2261</v>
      </c>
      <c r="K1228" s="200" t="s">
        <v>3389</v>
      </c>
      <c r="L1228" s="201">
        <v>0.4</v>
      </c>
      <c r="M1228" s="278" t="s">
        <v>4726</v>
      </c>
      <c r="N1228" s="205">
        <v>3867.13</v>
      </c>
      <c r="O1228" s="254">
        <v>3867.13</v>
      </c>
      <c r="P1228" s="254">
        <v>3093.7</v>
      </c>
      <c r="Q1228" s="254">
        <v>3093.7</v>
      </c>
      <c r="R1228" s="1262" t="s">
        <v>2633</v>
      </c>
      <c r="S1228" s="254">
        <v>1546.85</v>
      </c>
      <c r="T1228" s="204">
        <v>45105</v>
      </c>
      <c r="U1228" s="1262" t="s">
        <v>3777</v>
      </c>
      <c r="V1228" s="254">
        <v>773.43</v>
      </c>
      <c r="W1228" s="1262" t="s">
        <v>2994</v>
      </c>
      <c r="X1228" s="206">
        <v>773.43</v>
      </c>
      <c r="Y1228" s="192"/>
    </row>
    <row r="1229" ht="37.5" customHeight="1" spans="1:25">
      <c r="A1229" s="192">
        <f t="shared" si="29"/>
        <v>1221</v>
      </c>
      <c r="B1229" s="208">
        <v>2023</v>
      </c>
      <c r="C1229" s="193" t="s">
        <v>37</v>
      </c>
      <c r="D1229" s="277" t="s">
        <v>4779</v>
      </c>
      <c r="E1229" s="195" t="s">
        <v>4780</v>
      </c>
      <c r="F1229" s="196" t="s">
        <v>2073</v>
      </c>
      <c r="G1229" s="197" t="s">
        <v>3239</v>
      </c>
      <c r="H1229" s="198">
        <v>0.8</v>
      </c>
      <c r="I1229" s="199">
        <v>40000</v>
      </c>
      <c r="J1229" s="200" t="s">
        <v>2143</v>
      </c>
      <c r="K1229" s="200" t="s">
        <v>4143</v>
      </c>
      <c r="L1229" s="201">
        <v>0.4</v>
      </c>
      <c r="M1229" s="278" t="s">
        <v>4570</v>
      </c>
      <c r="N1229" s="205">
        <v>40000</v>
      </c>
      <c r="O1229" s="254">
        <v>40000</v>
      </c>
      <c r="P1229" s="254">
        <v>32000</v>
      </c>
      <c r="Q1229" s="254">
        <v>32000</v>
      </c>
      <c r="R1229" s="1262" t="s">
        <v>2633</v>
      </c>
      <c r="S1229" s="254">
        <v>16000</v>
      </c>
      <c r="T1229" s="204">
        <v>45105</v>
      </c>
      <c r="U1229" s="1262" t="s">
        <v>3777</v>
      </c>
      <c r="V1229" s="254">
        <v>8000</v>
      </c>
      <c r="W1229" s="1262" t="s">
        <v>2994</v>
      </c>
      <c r="X1229" s="206">
        <v>8000</v>
      </c>
      <c r="Y1229" s="192"/>
    </row>
    <row r="1230" ht="37.5" customHeight="1" spans="1:25">
      <c r="A1230" s="192">
        <f t="shared" si="29"/>
        <v>1222</v>
      </c>
      <c r="B1230" s="208">
        <v>2023</v>
      </c>
      <c r="C1230" s="193" t="s">
        <v>37</v>
      </c>
      <c r="D1230" s="277" t="s">
        <v>4781</v>
      </c>
      <c r="E1230" s="195" t="s">
        <v>4782</v>
      </c>
      <c r="F1230" s="196" t="s">
        <v>2073</v>
      </c>
      <c r="G1230" s="197" t="s">
        <v>3239</v>
      </c>
      <c r="H1230" s="198">
        <v>0.8</v>
      </c>
      <c r="I1230" s="199">
        <v>14049.69</v>
      </c>
      <c r="J1230" s="200" t="s">
        <v>1960</v>
      </c>
      <c r="K1230" s="200" t="s">
        <v>3394</v>
      </c>
      <c r="L1230" s="201">
        <v>0.4</v>
      </c>
      <c r="M1230" s="278" t="s">
        <v>4250</v>
      </c>
      <c r="N1230" s="205">
        <v>2704.44</v>
      </c>
      <c r="O1230" s="254">
        <v>2704.44</v>
      </c>
      <c r="P1230" s="254">
        <v>2163.55</v>
      </c>
      <c r="Q1230" s="254">
        <v>2163.55</v>
      </c>
      <c r="R1230" s="1262" t="s">
        <v>2633</v>
      </c>
      <c r="S1230" s="254">
        <v>1081.78</v>
      </c>
      <c r="T1230" s="204">
        <v>45105</v>
      </c>
      <c r="U1230" s="1262" t="s">
        <v>3777</v>
      </c>
      <c r="V1230" s="254">
        <v>540.89</v>
      </c>
      <c r="W1230" s="1262" t="s">
        <v>2994</v>
      </c>
      <c r="X1230" s="206">
        <v>540.89</v>
      </c>
      <c r="Y1230" s="192"/>
    </row>
    <row r="1231" ht="37.5" customHeight="1" spans="1:25">
      <c r="A1231" s="192">
        <f t="shared" si="29"/>
        <v>1223</v>
      </c>
      <c r="B1231" s="208">
        <v>2023</v>
      </c>
      <c r="C1231" s="193" t="s">
        <v>37</v>
      </c>
      <c r="D1231" s="277" t="s">
        <v>4306</v>
      </c>
      <c r="E1231" s="195" t="s">
        <v>4783</v>
      </c>
      <c r="F1231" s="196" t="s">
        <v>2073</v>
      </c>
      <c r="G1231" s="197" t="s">
        <v>3239</v>
      </c>
      <c r="H1231" s="198">
        <v>0.8</v>
      </c>
      <c r="I1231" s="199">
        <v>11673.32</v>
      </c>
      <c r="J1231" s="200" t="s">
        <v>1960</v>
      </c>
      <c r="K1231" s="200" t="s">
        <v>3394</v>
      </c>
      <c r="L1231" s="201">
        <v>0.4</v>
      </c>
      <c r="M1231" s="278" t="s">
        <v>4665</v>
      </c>
      <c r="N1231" s="205">
        <v>3500</v>
      </c>
      <c r="O1231" s="254">
        <v>3500</v>
      </c>
      <c r="P1231" s="254">
        <v>2800</v>
      </c>
      <c r="Q1231" s="254">
        <v>2800</v>
      </c>
      <c r="R1231" s="1262" t="s">
        <v>2633</v>
      </c>
      <c r="S1231" s="254">
        <v>1400</v>
      </c>
      <c r="T1231" s="204">
        <v>45105</v>
      </c>
      <c r="U1231" s="1262" t="s">
        <v>3777</v>
      </c>
      <c r="V1231" s="254">
        <v>700</v>
      </c>
      <c r="W1231" s="1262" t="s">
        <v>2994</v>
      </c>
      <c r="X1231" s="206">
        <v>700</v>
      </c>
      <c r="Y1231" s="192"/>
    </row>
    <row r="1232" ht="37.5" customHeight="1" spans="1:25">
      <c r="A1232" s="192">
        <f t="shared" si="29"/>
        <v>1224</v>
      </c>
      <c r="B1232" s="208">
        <v>2023</v>
      </c>
      <c r="C1232" s="193" t="s">
        <v>37</v>
      </c>
      <c r="D1232" s="277" t="s">
        <v>4732</v>
      </c>
      <c r="E1232" s="195" t="s">
        <v>4784</v>
      </c>
      <c r="F1232" s="196" t="s">
        <v>2073</v>
      </c>
      <c r="G1232" s="197" t="s">
        <v>3239</v>
      </c>
      <c r="H1232" s="198">
        <v>0.8</v>
      </c>
      <c r="I1232" s="199">
        <v>11000</v>
      </c>
      <c r="J1232" s="200" t="s">
        <v>1960</v>
      </c>
      <c r="K1232" s="200" t="s">
        <v>3394</v>
      </c>
      <c r="L1232" s="201">
        <v>0.4</v>
      </c>
      <c r="M1232" s="278" t="s">
        <v>4570</v>
      </c>
      <c r="N1232" s="205">
        <v>4583.38</v>
      </c>
      <c r="O1232" s="254">
        <v>4583.38</v>
      </c>
      <c r="P1232" s="254">
        <v>3666.7</v>
      </c>
      <c r="Q1232" s="254">
        <v>3666.7</v>
      </c>
      <c r="R1232" s="1262" t="s">
        <v>2633</v>
      </c>
      <c r="S1232" s="254">
        <v>1833.35</v>
      </c>
      <c r="T1232" s="204">
        <v>45105</v>
      </c>
      <c r="U1232" s="1262" t="s">
        <v>3777</v>
      </c>
      <c r="V1232" s="254">
        <v>916.68</v>
      </c>
      <c r="W1232" s="1262" t="s">
        <v>2994</v>
      </c>
      <c r="X1232" s="206">
        <v>916.68</v>
      </c>
      <c r="Y1232" s="192"/>
    </row>
    <row r="1233" ht="37.5" customHeight="1" spans="1:25">
      <c r="A1233" s="192">
        <f t="shared" si="29"/>
        <v>1225</v>
      </c>
      <c r="B1233" s="208">
        <v>2023</v>
      </c>
      <c r="C1233" s="193" t="s">
        <v>37</v>
      </c>
      <c r="D1233" s="277" t="s">
        <v>4785</v>
      </c>
      <c r="E1233" s="195" t="s">
        <v>4786</v>
      </c>
      <c r="F1233" s="196" t="s">
        <v>2073</v>
      </c>
      <c r="G1233" s="197" t="s">
        <v>3239</v>
      </c>
      <c r="H1233" s="198">
        <v>0.8</v>
      </c>
      <c r="I1233" s="199">
        <v>60000</v>
      </c>
      <c r="J1233" s="200" t="s">
        <v>2212</v>
      </c>
      <c r="K1233" s="200" t="s">
        <v>3109</v>
      </c>
      <c r="L1233" s="201">
        <v>0.4</v>
      </c>
      <c r="M1233" s="278" t="s">
        <v>4534</v>
      </c>
      <c r="N1233" s="205">
        <v>40000</v>
      </c>
      <c r="O1233" s="254">
        <v>40000</v>
      </c>
      <c r="P1233" s="254">
        <v>32000</v>
      </c>
      <c r="Q1233" s="254">
        <v>32000</v>
      </c>
      <c r="R1233" s="1262" t="s">
        <v>2633</v>
      </c>
      <c r="S1233" s="254">
        <v>16000</v>
      </c>
      <c r="T1233" s="204">
        <v>45105</v>
      </c>
      <c r="U1233" s="1262" t="s">
        <v>3777</v>
      </c>
      <c r="V1233" s="254">
        <v>8000</v>
      </c>
      <c r="W1233" s="1262" t="s">
        <v>2994</v>
      </c>
      <c r="X1233" s="206">
        <v>8000</v>
      </c>
      <c r="Y1233" s="192"/>
    </row>
    <row r="1234" ht="37.5" customHeight="1" spans="1:25">
      <c r="A1234" s="192">
        <f t="shared" si="29"/>
        <v>1226</v>
      </c>
      <c r="B1234" s="208">
        <v>2023</v>
      </c>
      <c r="C1234" s="193" t="s">
        <v>37</v>
      </c>
      <c r="D1234" s="277" t="s">
        <v>4735</v>
      </c>
      <c r="E1234" s="195" t="s">
        <v>4787</v>
      </c>
      <c r="F1234" s="196" t="s">
        <v>2073</v>
      </c>
      <c r="G1234" s="197" t="s">
        <v>3239</v>
      </c>
      <c r="H1234" s="198">
        <v>0.8</v>
      </c>
      <c r="I1234" s="199">
        <v>12000</v>
      </c>
      <c r="J1234" s="200" t="s">
        <v>2993</v>
      </c>
      <c r="K1234" s="200" t="s">
        <v>2994</v>
      </c>
      <c r="L1234" s="201">
        <v>0.4</v>
      </c>
      <c r="M1234" s="278" t="s">
        <v>4737</v>
      </c>
      <c r="N1234" s="205">
        <v>6000</v>
      </c>
      <c r="O1234" s="254">
        <v>6000</v>
      </c>
      <c r="P1234" s="254">
        <v>4800</v>
      </c>
      <c r="Q1234" s="254">
        <v>4800</v>
      </c>
      <c r="R1234" s="1262" t="s">
        <v>2633</v>
      </c>
      <c r="S1234" s="254">
        <v>2400</v>
      </c>
      <c r="T1234" s="204">
        <v>45105</v>
      </c>
      <c r="U1234" s="1262" t="s">
        <v>3777</v>
      </c>
      <c r="V1234" s="254">
        <v>1200</v>
      </c>
      <c r="W1234" s="1262" t="s">
        <v>2994</v>
      </c>
      <c r="X1234" s="206">
        <v>1200</v>
      </c>
      <c r="Y1234" s="192"/>
    </row>
    <row r="1235" ht="37.5" customHeight="1" spans="1:25">
      <c r="A1235" s="192">
        <f t="shared" si="29"/>
        <v>1227</v>
      </c>
      <c r="B1235" s="208">
        <v>2023</v>
      </c>
      <c r="C1235" s="193" t="s">
        <v>37</v>
      </c>
      <c r="D1235" s="277" t="s">
        <v>4785</v>
      </c>
      <c r="E1235" s="195" t="s">
        <v>4788</v>
      </c>
      <c r="F1235" s="196" t="s">
        <v>2073</v>
      </c>
      <c r="G1235" s="197" t="s">
        <v>3239</v>
      </c>
      <c r="H1235" s="198">
        <v>0.8</v>
      </c>
      <c r="I1235" s="199">
        <v>80000</v>
      </c>
      <c r="J1235" s="200" t="s">
        <v>2919</v>
      </c>
      <c r="K1235" s="200" t="s">
        <v>2920</v>
      </c>
      <c r="L1235" s="201">
        <v>0.4</v>
      </c>
      <c r="M1235" s="278" t="s">
        <v>4534</v>
      </c>
      <c r="N1235" s="205">
        <v>80000</v>
      </c>
      <c r="O1235" s="254">
        <v>80000</v>
      </c>
      <c r="P1235" s="254">
        <v>64000</v>
      </c>
      <c r="Q1235" s="254">
        <v>64000</v>
      </c>
      <c r="R1235" s="1262" t="s">
        <v>2633</v>
      </c>
      <c r="S1235" s="254">
        <v>32000</v>
      </c>
      <c r="T1235" s="204">
        <v>45105</v>
      </c>
      <c r="U1235" s="1262" t="s">
        <v>3777</v>
      </c>
      <c r="V1235" s="254">
        <v>16000</v>
      </c>
      <c r="W1235" s="1262" t="s">
        <v>2994</v>
      </c>
      <c r="X1235" s="206">
        <v>16000</v>
      </c>
      <c r="Y1235" s="192"/>
    </row>
    <row r="1236" ht="37.5" customHeight="1" spans="1:25">
      <c r="A1236" s="192">
        <f t="shared" si="29"/>
        <v>1228</v>
      </c>
      <c r="B1236" s="208">
        <v>2023</v>
      </c>
      <c r="C1236" s="193" t="s">
        <v>37</v>
      </c>
      <c r="D1236" s="277" t="s">
        <v>4763</v>
      </c>
      <c r="E1236" s="195" t="s">
        <v>4789</v>
      </c>
      <c r="F1236" s="196" t="s">
        <v>2073</v>
      </c>
      <c r="G1236" s="197" t="s">
        <v>3239</v>
      </c>
      <c r="H1236" s="198">
        <v>0.8</v>
      </c>
      <c r="I1236" s="199">
        <v>134500</v>
      </c>
      <c r="J1236" s="200" t="s">
        <v>2919</v>
      </c>
      <c r="K1236" s="200" t="s">
        <v>2920</v>
      </c>
      <c r="L1236" s="201">
        <v>0.4</v>
      </c>
      <c r="M1236" s="278" t="s">
        <v>4719</v>
      </c>
      <c r="N1236" s="205">
        <v>68000</v>
      </c>
      <c r="O1236" s="254">
        <v>68000</v>
      </c>
      <c r="P1236" s="254">
        <v>54400</v>
      </c>
      <c r="Q1236" s="254">
        <v>54400</v>
      </c>
      <c r="R1236" s="1262" t="s">
        <v>2633</v>
      </c>
      <c r="S1236" s="254">
        <v>27200</v>
      </c>
      <c r="T1236" s="204">
        <v>45105</v>
      </c>
      <c r="U1236" s="1262" t="s">
        <v>3777</v>
      </c>
      <c r="V1236" s="254">
        <v>13600</v>
      </c>
      <c r="W1236" s="1262" t="s">
        <v>2994</v>
      </c>
      <c r="X1236" s="206">
        <v>13600</v>
      </c>
      <c r="Y1236" s="192"/>
    </row>
    <row r="1237" ht="37.5" customHeight="1" spans="1:25">
      <c r="A1237" s="192">
        <f t="shared" si="29"/>
        <v>1229</v>
      </c>
      <c r="B1237" s="208">
        <v>2023</v>
      </c>
      <c r="C1237" s="193" t="s">
        <v>37</v>
      </c>
      <c r="D1237" s="277" t="s">
        <v>4356</v>
      </c>
      <c r="E1237" s="195" t="s">
        <v>4790</v>
      </c>
      <c r="F1237" s="196" t="s">
        <v>2073</v>
      </c>
      <c r="G1237" s="197" t="s">
        <v>3239</v>
      </c>
      <c r="H1237" s="198">
        <v>0.8</v>
      </c>
      <c r="I1237" s="199">
        <v>14701.06</v>
      </c>
      <c r="J1237" s="200" t="s">
        <v>1987</v>
      </c>
      <c r="K1237" s="200" t="s">
        <v>2982</v>
      </c>
      <c r="L1237" s="201">
        <v>0.4</v>
      </c>
      <c r="M1237" s="278" t="s">
        <v>4358</v>
      </c>
      <c r="N1237" s="205">
        <v>3112.17</v>
      </c>
      <c r="O1237" s="254">
        <v>3112.17</v>
      </c>
      <c r="P1237" s="254">
        <v>2489.73</v>
      </c>
      <c r="Q1237" s="254">
        <v>2489.73</v>
      </c>
      <c r="R1237" s="1262" t="s">
        <v>2633</v>
      </c>
      <c r="S1237" s="254">
        <v>1244.87</v>
      </c>
      <c r="T1237" s="204">
        <v>45105</v>
      </c>
      <c r="U1237" s="1262" t="s">
        <v>3777</v>
      </c>
      <c r="V1237" s="254">
        <v>622.43</v>
      </c>
      <c r="W1237" s="1262" t="s">
        <v>2994</v>
      </c>
      <c r="X1237" s="206">
        <v>622.43</v>
      </c>
      <c r="Y1237" s="192"/>
    </row>
    <row r="1238" ht="37.5" customHeight="1" spans="1:25">
      <c r="A1238" s="192">
        <f t="shared" si="29"/>
        <v>1230</v>
      </c>
      <c r="B1238" s="208">
        <v>2023</v>
      </c>
      <c r="C1238" s="193" t="s">
        <v>37</v>
      </c>
      <c r="D1238" s="277" t="s">
        <v>4289</v>
      </c>
      <c r="E1238" s="195" t="s">
        <v>4791</v>
      </c>
      <c r="F1238" s="196" t="s">
        <v>2073</v>
      </c>
      <c r="G1238" s="197" t="s">
        <v>3239</v>
      </c>
      <c r="H1238" s="198">
        <v>0.8</v>
      </c>
      <c r="I1238" s="199">
        <v>14919.35</v>
      </c>
      <c r="J1238" s="200" t="s">
        <v>1987</v>
      </c>
      <c r="K1238" s="200" t="s">
        <v>2982</v>
      </c>
      <c r="L1238" s="201">
        <v>0.4</v>
      </c>
      <c r="M1238" s="278" t="s">
        <v>4341</v>
      </c>
      <c r="N1238" s="205">
        <v>5000.02</v>
      </c>
      <c r="O1238" s="254">
        <v>5000.02</v>
      </c>
      <c r="P1238" s="254">
        <v>4000.02</v>
      </c>
      <c r="Q1238" s="254">
        <v>4000.02</v>
      </c>
      <c r="R1238" s="1262" t="s">
        <v>2633</v>
      </c>
      <c r="S1238" s="254">
        <v>2000.01</v>
      </c>
      <c r="T1238" s="204">
        <v>45105</v>
      </c>
      <c r="U1238" s="1262" t="s">
        <v>3777</v>
      </c>
      <c r="V1238" s="254">
        <v>1000</v>
      </c>
      <c r="W1238" s="1262" t="s">
        <v>2994</v>
      </c>
      <c r="X1238" s="206">
        <v>1000</v>
      </c>
      <c r="Y1238" s="192"/>
    </row>
    <row r="1239" ht="37.5" customHeight="1" spans="1:25">
      <c r="A1239" s="192">
        <f t="shared" si="29"/>
        <v>1231</v>
      </c>
      <c r="B1239" s="208">
        <v>2023</v>
      </c>
      <c r="C1239" s="193" t="s">
        <v>37</v>
      </c>
      <c r="D1239" s="277" t="s">
        <v>4738</v>
      </c>
      <c r="E1239" s="195" t="s">
        <v>4792</v>
      </c>
      <c r="F1239" s="196" t="s">
        <v>2073</v>
      </c>
      <c r="G1239" s="197" t="s">
        <v>3239</v>
      </c>
      <c r="H1239" s="198">
        <v>0.8</v>
      </c>
      <c r="I1239" s="199">
        <v>26600</v>
      </c>
      <c r="J1239" s="200" t="s">
        <v>1987</v>
      </c>
      <c r="K1239" s="200" t="s">
        <v>2982</v>
      </c>
      <c r="L1239" s="201">
        <v>0.4</v>
      </c>
      <c r="M1239" s="278" t="s">
        <v>3200</v>
      </c>
      <c r="N1239" s="205">
        <v>11083.38</v>
      </c>
      <c r="O1239" s="254">
        <v>11083.38</v>
      </c>
      <c r="P1239" s="254">
        <v>8866.7</v>
      </c>
      <c r="Q1239" s="254">
        <v>8866.7</v>
      </c>
      <c r="R1239" s="1262" t="s">
        <v>2633</v>
      </c>
      <c r="S1239" s="254">
        <v>4433.35</v>
      </c>
      <c r="T1239" s="204">
        <v>45105</v>
      </c>
      <c r="U1239" s="1262" t="s">
        <v>3777</v>
      </c>
      <c r="V1239" s="254">
        <v>2216.68</v>
      </c>
      <c r="W1239" s="1262" t="s">
        <v>2994</v>
      </c>
      <c r="X1239" s="206">
        <v>2216.68</v>
      </c>
      <c r="Y1239" s="192"/>
    </row>
    <row r="1240" ht="37.5" customHeight="1" spans="1:25">
      <c r="A1240" s="192">
        <f t="shared" si="29"/>
        <v>1232</v>
      </c>
      <c r="B1240" s="208">
        <v>2023</v>
      </c>
      <c r="C1240" s="193" t="s">
        <v>37</v>
      </c>
      <c r="D1240" s="277" t="s">
        <v>4793</v>
      </c>
      <c r="E1240" s="195" t="s">
        <v>4794</v>
      </c>
      <c r="F1240" s="196" t="s">
        <v>2073</v>
      </c>
      <c r="G1240" s="197" t="s">
        <v>3239</v>
      </c>
      <c r="H1240" s="198">
        <v>0.8</v>
      </c>
      <c r="I1240" s="199">
        <v>19000</v>
      </c>
      <c r="J1240" s="200" t="s">
        <v>2970</v>
      </c>
      <c r="K1240" s="200" t="s">
        <v>2971</v>
      </c>
      <c r="L1240" s="201">
        <v>0.4</v>
      </c>
      <c r="M1240" s="278" t="s">
        <v>4719</v>
      </c>
      <c r="N1240" s="205">
        <v>9500.08</v>
      </c>
      <c r="O1240" s="254">
        <v>9500.08</v>
      </c>
      <c r="P1240" s="254">
        <v>7600.06</v>
      </c>
      <c r="Q1240" s="254">
        <v>7600.06</v>
      </c>
      <c r="R1240" s="1262" t="s">
        <v>2633</v>
      </c>
      <c r="S1240" s="254">
        <v>3800.03</v>
      </c>
      <c r="T1240" s="204">
        <v>45105</v>
      </c>
      <c r="U1240" s="1262" t="s">
        <v>3777</v>
      </c>
      <c r="V1240" s="254">
        <v>1900.02</v>
      </c>
      <c r="W1240" s="1262" t="s">
        <v>2994</v>
      </c>
      <c r="X1240" s="206">
        <v>1900.02</v>
      </c>
      <c r="Y1240" s="192"/>
    </row>
    <row r="1241" ht="37.5" customHeight="1" spans="1:25">
      <c r="A1241" s="192">
        <f t="shared" si="29"/>
        <v>1233</v>
      </c>
      <c r="B1241" s="208">
        <v>2023</v>
      </c>
      <c r="C1241" s="193" t="s">
        <v>37</v>
      </c>
      <c r="D1241" s="277" t="s">
        <v>2187</v>
      </c>
      <c r="E1241" s="195" t="s">
        <v>4795</v>
      </c>
      <c r="F1241" s="196" t="s">
        <v>2073</v>
      </c>
      <c r="G1241" s="197" t="s">
        <v>3239</v>
      </c>
      <c r="H1241" s="198">
        <v>0.8</v>
      </c>
      <c r="I1241" s="199">
        <v>17503.33</v>
      </c>
      <c r="J1241" s="200" t="s">
        <v>2209</v>
      </c>
      <c r="K1241" s="200" t="s">
        <v>2902</v>
      </c>
      <c r="L1241" s="201">
        <v>0.4</v>
      </c>
      <c r="M1241" s="278" t="s">
        <v>2898</v>
      </c>
      <c r="N1241" s="205">
        <v>6000</v>
      </c>
      <c r="O1241" s="254">
        <v>6000</v>
      </c>
      <c r="P1241" s="254">
        <v>4800</v>
      </c>
      <c r="Q1241" s="254">
        <v>4800</v>
      </c>
      <c r="R1241" s="1262" t="s">
        <v>2633</v>
      </c>
      <c r="S1241" s="254">
        <v>2400</v>
      </c>
      <c r="T1241" s="204">
        <v>45105</v>
      </c>
      <c r="U1241" s="1262" t="s">
        <v>3777</v>
      </c>
      <c r="V1241" s="254">
        <v>1200</v>
      </c>
      <c r="W1241" s="1262" t="s">
        <v>2994</v>
      </c>
      <c r="X1241" s="206">
        <v>1200</v>
      </c>
      <c r="Y1241" s="192"/>
    </row>
    <row r="1242" ht="37.5" customHeight="1" spans="1:25">
      <c r="A1242" s="192">
        <f t="shared" si="29"/>
        <v>1234</v>
      </c>
      <c r="B1242" s="208">
        <v>2023</v>
      </c>
      <c r="C1242" s="193" t="s">
        <v>37</v>
      </c>
      <c r="D1242" s="277" t="s">
        <v>4796</v>
      </c>
      <c r="E1242" s="195" t="s">
        <v>4797</v>
      </c>
      <c r="F1242" s="196" t="s">
        <v>2073</v>
      </c>
      <c r="G1242" s="197" t="s">
        <v>3239</v>
      </c>
      <c r="H1242" s="198">
        <v>0.8</v>
      </c>
      <c r="I1242" s="199">
        <v>12258.32</v>
      </c>
      <c r="J1242" s="200" t="s">
        <v>2209</v>
      </c>
      <c r="K1242" s="200" t="s">
        <v>2902</v>
      </c>
      <c r="L1242" s="201">
        <v>0.4</v>
      </c>
      <c r="M1242" s="278" t="s">
        <v>4292</v>
      </c>
      <c r="N1242" s="205">
        <v>2500.04</v>
      </c>
      <c r="O1242" s="254">
        <v>2500.04</v>
      </c>
      <c r="P1242" s="254">
        <v>2000.03</v>
      </c>
      <c r="Q1242" s="254">
        <v>2000.03</v>
      </c>
      <c r="R1242" s="1262" t="s">
        <v>2633</v>
      </c>
      <c r="S1242" s="254">
        <v>1000.02</v>
      </c>
      <c r="T1242" s="204">
        <v>45105</v>
      </c>
      <c r="U1242" s="1262" t="s">
        <v>3777</v>
      </c>
      <c r="V1242" s="254">
        <v>500.01</v>
      </c>
      <c r="W1242" s="1262" t="s">
        <v>2994</v>
      </c>
      <c r="X1242" s="206">
        <v>500.01</v>
      </c>
      <c r="Y1242" s="192"/>
    </row>
    <row r="1243" ht="37.5" customHeight="1" spans="1:25">
      <c r="A1243" s="192">
        <f t="shared" si="29"/>
        <v>1235</v>
      </c>
      <c r="B1243" s="208">
        <v>2023</v>
      </c>
      <c r="C1243" s="193" t="s">
        <v>37</v>
      </c>
      <c r="D1243" s="277" t="s">
        <v>4798</v>
      </c>
      <c r="E1243" s="195" t="s">
        <v>4799</v>
      </c>
      <c r="F1243" s="196" t="s">
        <v>2073</v>
      </c>
      <c r="G1243" s="197" t="s">
        <v>3239</v>
      </c>
      <c r="H1243" s="198">
        <v>0.8</v>
      </c>
      <c r="I1243" s="199">
        <v>60000</v>
      </c>
      <c r="J1243" s="200" t="s">
        <v>2209</v>
      </c>
      <c r="K1243" s="200" t="s">
        <v>2902</v>
      </c>
      <c r="L1243" s="201">
        <v>0.4</v>
      </c>
      <c r="M1243" s="278" t="s">
        <v>4800</v>
      </c>
      <c r="N1243" s="205">
        <v>26666.8</v>
      </c>
      <c r="O1243" s="254">
        <v>26666.8</v>
      </c>
      <c r="P1243" s="254">
        <v>21333.43</v>
      </c>
      <c r="Q1243" s="254">
        <v>21333.43</v>
      </c>
      <c r="R1243" s="1262" t="s">
        <v>2633</v>
      </c>
      <c r="S1243" s="254">
        <v>10666.72</v>
      </c>
      <c r="T1243" s="204">
        <v>45105</v>
      </c>
      <c r="U1243" s="1262" t="s">
        <v>3777</v>
      </c>
      <c r="V1243" s="254">
        <v>5333.36</v>
      </c>
      <c r="W1243" s="1262" t="s">
        <v>2994</v>
      </c>
      <c r="X1243" s="206">
        <v>5333.36</v>
      </c>
      <c r="Y1243" s="192"/>
    </row>
    <row r="1244" ht="37.5" customHeight="1" spans="1:25">
      <c r="A1244" s="192">
        <f t="shared" si="29"/>
        <v>1236</v>
      </c>
      <c r="B1244" s="208">
        <v>2023</v>
      </c>
      <c r="C1244" s="193" t="s">
        <v>37</v>
      </c>
      <c r="D1244" s="277" t="s">
        <v>4772</v>
      </c>
      <c r="E1244" s="195" t="s">
        <v>4801</v>
      </c>
      <c r="F1244" s="196" t="s">
        <v>2073</v>
      </c>
      <c r="G1244" s="197" t="s">
        <v>3239</v>
      </c>
      <c r="H1244" s="198">
        <v>0.8</v>
      </c>
      <c r="I1244" s="199">
        <v>14393.18</v>
      </c>
      <c r="J1244" s="200" t="s">
        <v>2149</v>
      </c>
      <c r="K1244" s="200" t="s">
        <v>2923</v>
      </c>
      <c r="L1244" s="201">
        <v>0.4</v>
      </c>
      <c r="M1244" s="278" t="s">
        <v>4570</v>
      </c>
      <c r="N1244" s="205">
        <v>5000</v>
      </c>
      <c r="O1244" s="254">
        <v>5000</v>
      </c>
      <c r="P1244" s="254">
        <v>4000</v>
      </c>
      <c r="Q1244" s="254">
        <v>4000</v>
      </c>
      <c r="R1244" s="1262" t="s">
        <v>2633</v>
      </c>
      <c r="S1244" s="254">
        <v>2000</v>
      </c>
      <c r="T1244" s="204">
        <v>45105</v>
      </c>
      <c r="U1244" s="1262" t="s">
        <v>3777</v>
      </c>
      <c r="V1244" s="254">
        <v>1000</v>
      </c>
      <c r="W1244" s="1262" t="s">
        <v>2994</v>
      </c>
      <c r="X1244" s="206">
        <v>1000</v>
      </c>
      <c r="Y1244" s="192"/>
    </row>
    <row r="1245" ht="37.5" customHeight="1" spans="1:25">
      <c r="A1245" s="192">
        <f t="shared" si="29"/>
        <v>1237</v>
      </c>
      <c r="B1245" s="208">
        <v>2023</v>
      </c>
      <c r="C1245" s="193" t="s">
        <v>37</v>
      </c>
      <c r="D1245" s="277" t="s">
        <v>4802</v>
      </c>
      <c r="E1245" s="195" t="s">
        <v>4803</v>
      </c>
      <c r="F1245" s="196" t="s">
        <v>2073</v>
      </c>
      <c r="G1245" s="197" t="s">
        <v>3239</v>
      </c>
      <c r="H1245" s="198">
        <v>0.8</v>
      </c>
      <c r="I1245" s="199">
        <v>50000</v>
      </c>
      <c r="J1245" s="200" t="s">
        <v>2149</v>
      </c>
      <c r="K1245" s="200" t="s">
        <v>2923</v>
      </c>
      <c r="L1245" s="201">
        <v>0.4</v>
      </c>
      <c r="M1245" s="278" t="s">
        <v>4341</v>
      </c>
      <c r="N1245" s="205">
        <v>50000</v>
      </c>
      <c r="O1245" s="254">
        <v>50000</v>
      </c>
      <c r="P1245" s="254">
        <v>40000</v>
      </c>
      <c r="Q1245" s="254">
        <v>40000</v>
      </c>
      <c r="R1245" s="1262" t="s">
        <v>2633</v>
      </c>
      <c r="S1245" s="254">
        <v>20000</v>
      </c>
      <c r="T1245" s="204">
        <v>45105</v>
      </c>
      <c r="U1245" s="1262" t="s">
        <v>3777</v>
      </c>
      <c r="V1245" s="254">
        <v>10000</v>
      </c>
      <c r="W1245" s="1262" t="s">
        <v>2994</v>
      </c>
      <c r="X1245" s="206">
        <v>10000</v>
      </c>
      <c r="Y1245" s="192"/>
    </row>
    <row r="1246" ht="37.5" customHeight="1" spans="1:25">
      <c r="A1246" s="192">
        <f t="shared" ref="A1246:A1309" si="30">ROW()-8</f>
        <v>1238</v>
      </c>
      <c r="B1246" s="208">
        <v>2023</v>
      </c>
      <c r="C1246" s="193" t="s">
        <v>37</v>
      </c>
      <c r="D1246" s="277" t="s">
        <v>4804</v>
      </c>
      <c r="E1246" s="195" t="s">
        <v>4805</v>
      </c>
      <c r="F1246" s="196" t="s">
        <v>2073</v>
      </c>
      <c r="G1246" s="197" t="s">
        <v>3239</v>
      </c>
      <c r="H1246" s="198">
        <v>0.8</v>
      </c>
      <c r="I1246" s="199">
        <v>17078.14</v>
      </c>
      <c r="J1246" s="200" t="s">
        <v>2149</v>
      </c>
      <c r="K1246" s="200" t="s">
        <v>2923</v>
      </c>
      <c r="L1246" s="201">
        <v>0.4</v>
      </c>
      <c r="M1246" s="278" t="s">
        <v>4235</v>
      </c>
      <c r="N1246" s="205">
        <v>2823</v>
      </c>
      <c r="O1246" s="254">
        <v>2823</v>
      </c>
      <c r="P1246" s="254">
        <v>2258.4</v>
      </c>
      <c r="Q1246" s="254">
        <v>2258.4</v>
      </c>
      <c r="R1246" s="1262" t="s">
        <v>2633</v>
      </c>
      <c r="S1246" s="254">
        <v>1129.2</v>
      </c>
      <c r="T1246" s="204">
        <v>45105</v>
      </c>
      <c r="U1246" s="1262" t="s">
        <v>3777</v>
      </c>
      <c r="V1246" s="254">
        <v>564.6</v>
      </c>
      <c r="W1246" s="1262" t="s">
        <v>2994</v>
      </c>
      <c r="X1246" s="206">
        <v>564.6</v>
      </c>
      <c r="Y1246" s="192"/>
    </row>
    <row r="1247" ht="37.5" customHeight="1" spans="1:25">
      <c r="A1247" s="192">
        <f t="shared" si="30"/>
        <v>1239</v>
      </c>
      <c r="B1247" s="208">
        <v>2023</v>
      </c>
      <c r="C1247" s="193" t="s">
        <v>37</v>
      </c>
      <c r="D1247" s="277" t="s">
        <v>4806</v>
      </c>
      <c r="E1247" s="195" t="s">
        <v>4807</v>
      </c>
      <c r="F1247" s="196" t="s">
        <v>2073</v>
      </c>
      <c r="G1247" s="197" t="s">
        <v>3239</v>
      </c>
      <c r="H1247" s="198">
        <v>0.8</v>
      </c>
      <c r="I1247" s="199">
        <v>50000</v>
      </c>
      <c r="J1247" s="200" t="s">
        <v>2152</v>
      </c>
      <c r="K1247" s="200" t="s">
        <v>4400</v>
      </c>
      <c r="L1247" s="201">
        <v>0.4</v>
      </c>
      <c r="M1247" s="278" t="s">
        <v>4235</v>
      </c>
      <c r="N1247" s="205">
        <v>25000.04</v>
      </c>
      <c r="O1247" s="254">
        <v>25000.04</v>
      </c>
      <c r="P1247" s="254">
        <v>20000.03</v>
      </c>
      <c r="Q1247" s="254">
        <v>20000.03</v>
      </c>
      <c r="R1247" s="1262" t="s">
        <v>2633</v>
      </c>
      <c r="S1247" s="254">
        <v>10000.02</v>
      </c>
      <c r="T1247" s="204">
        <v>45105</v>
      </c>
      <c r="U1247" s="1262" t="s">
        <v>3777</v>
      </c>
      <c r="V1247" s="254">
        <v>5000.01</v>
      </c>
      <c r="W1247" s="1262" t="s">
        <v>2994</v>
      </c>
      <c r="X1247" s="206">
        <v>5000.01</v>
      </c>
      <c r="Y1247" s="192"/>
    </row>
    <row r="1248" ht="37.5" customHeight="1" spans="1:25">
      <c r="A1248" s="192">
        <f t="shared" si="30"/>
        <v>1240</v>
      </c>
      <c r="B1248" s="208">
        <v>2023</v>
      </c>
      <c r="C1248" s="193" t="s">
        <v>37</v>
      </c>
      <c r="D1248" s="277" t="s">
        <v>4306</v>
      </c>
      <c r="E1248" s="195" t="s">
        <v>4808</v>
      </c>
      <c r="F1248" s="196" t="s">
        <v>2073</v>
      </c>
      <c r="G1248" s="197" t="s">
        <v>3239</v>
      </c>
      <c r="H1248" s="198">
        <v>0.8</v>
      </c>
      <c r="I1248" s="199">
        <v>11673.32</v>
      </c>
      <c r="J1248" s="200" t="s">
        <v>2152</v>
      </c>
      <c r="K1248" s="200" t="s">
        <v>4400</v>
      </c>
      <c r="L1248" s="201">
        <v>0.4</v>
      </c>
      <c r="M1248" s="278" t="s">
        <v>4665</v>
      </c>
      <c r="N1248" s="205">
        <v>312.5</v>
      </c>
      <c r="O1248" s="254">
        <v>312.5</v>
      </c>
      <c r="P1248" s="254">
        <v>250</v>
      </c>
      <c r="Q1248" s="254">
        <v>250</v>
      </c>
      <c r="R1248" s="1262" t="s">
        <v>2633</v>
      </c>
      <c r="S1248" s="254">
        <v>125</v>
      </c>
      <c r="T1248" s="204">
        <v>45105</v>
      </c>
      <c r="U1248" s="1262" t="s">
        <v>3777</v>
      </c>
      <c r="V1248" s="254">
        <v>62.5</v>
      </c>
      <c r="W1248" s="1262" t="s">
        <v>2994</v>
      </c>
      <c r="X1248" s="206">
        <v>62.5</v>
      </c>
      <c r="Y1248" s="192"/>
    </row>
    <row r="1249" ht="37.5" customHeight="1" spans="1:25">
      <c r="A1249" s="192">
        <f t="shared" si="30"/>
        <v>1241</v>
      </c>
      <c r="B1249" s="208">
        <v>2023</v>
      </c>
      <c r="C1249" s="193" t="s">
        <v>37</v>
      </c>
      <c r="D1249" s="277" t="s">
        <v>4809</v>
      </c>
      <c r="E1249" s="195" t="s">
        <v>4810</v>
      </c>
      <c r="F1249" s="196" t="s">
        <v>2073</v>
      </c>
      <c r="G1249" s="197" t="s">
        <v>3239</v>
      </c>
      <c r="H1249" s="198">
        <v>0.8</v>
      </c>
      <c r="I1249" s="199">
        <v>80000</v>
      </c>
      <c r="J1249" s="200" t="s">
        <v>2152</v>
      </c>
      <c r="K1249" s="200" t="s">
        <v>4400</v>
      </c>
      <c r="L1249" s="201">
        <v>0.4</v>
      </c>
      <c r="M1249" s="278" t="s">
        <v>4277</v>
      </c>
      <c r="N1249" s="205">
        <v>40000.04</v>
      </c>
      <c r="O1249" s="254">
        <v>40000.04</v>
      </c>
      <c r="P1249" s="254">
        <v>32000.03</v>
      </c>
      <c r="Q1249" s="254">
        <v>32000.03</v>
      </c>
      <c r="R1249" s="1262" t="s">
        <v>2633</v>
      </c>
      <c r="S1249" s="254">
        <v>16000.02</v>
      </c>
      <c r="T1249" s="204">
        <v>45105</v>
      </c>
      <c r="U1249" s="1262" t="s">
        <v>3777</v>
      </c>
      <c r="V1249" s="254">
        <v>8000.01</v>
      </c>
      <c r="W1249" s="1262" t="s">
        <v>2994</v>
      </c>
      <c r="X1249" s="206">
        <v>8000.01</v>
      </c>
      <c r="Y1249" s="192"/>
    </row>
    <row r="1250" ht="37.5" customHeight="1" spans="1:25">
      <c r="A1250" s="192">
        <f t="shared" si="30"/>
        <v>1242</v>
      </c>
      <c r="B1250" s="208">
        <v>2023</v>
      </c>
      <c r="C1250" s="193" t="s">
        <v>37</v>
      </c>
      <c r="D1250" s="277" t="s">
        <v>4672</v>
      </c>
      <c r="E1250" s="195" t="s">
        <v>4811</v>
      </c>
      <c r="F1250" s="196" t="s">
        <v>2073</v>
      </c>
      <c r="G1250" s="197" t="s">
        <v>3239</v>
      </c>
      <c r="H1250" s="198">
        <v>0.8</v>
      </c>
      <c r="I1250" s="199">
        <v>17000</v>
      </c>
      <c r="J1250" s="200" t="s">
        <v>2152</v>
      </c>
      <c r="K1250" s="200" t="s">
        <v>4400</v>
      </c>
      <c r="L1250" s="201">
        <v>0.4</v>
      </c>
      <c r="M1250" s="278" t="s">
        <v>1881</v>
      </c>
      <c r="N1250" s="205">
        <v>8500.02</v>
      </c>
      <c r="O1250" s="254">
        <v>8500.02</v>
      </c>
      <c r="P1250" s="254">
        <v>6800.02</v>
      </c>
      <c r="Q1250" s="254">
        <v>6800.02</v>
      </c>
      <c r="R1250" s="1262" t="s">
        <v>2633</v>
      </c>
      <c r="S1250" s="254">
        <v>3400.01</v>
      </c>
      <c r="T1250" s="204">
        <v>45105</v>
      </c>
      <c r="U1250" s="1262" t="s">
        <v>3777</v>
      </c>
      <c r="V1250" s="254">
        <v>1700</v>
      </c>
      <c r="W1250" s="1262" t="s">
        <v>2994</v>
      </c>
      <c r="X1250" s="206">
        <v>1700</v>
      </c>
      <c r="Y1250" s="192"/>
    </row>
    <row r="1251" ht="37.5" customHeight="1" spans="1:25">
      <c r="A1251" s="192">
        <f t="shared" si="30"/>
        <v>1243</v>
      </c>
      <c r="B1251" s="208">
        <v>2023</v>
      </c>
      <c r="C1251" s="193" t="s">
        <v>37</v>
      </c>
      <c r="D1251" s="277" t="s">
        <v>4812</v>
      </c>
      <c r="E1251" s="195" t="s">
        <v>4813</v>
      </c>
      <c r="F1251" s="196" t="s">
        <v>2073</v>
      </c>
      <c r="G1251" s="197" t="s">
        <v>3239</v>
      </c>
      <c r="H1251" s="198">
        <v>0.8</v>
      </c>
      <c r="I1251" s="199">
        <v>12529.82</v>
      </c>
      <c r="J1251" s="200" t="s">
        <v>3891</v>
      </c>
      <c r="K1251" s="200" t="s">
        <v>3892</v>
      </c>
      <c r="L1251" s="201">
        <v>0.4</v>
      </c>
      <c r="M1251" s="278" t="s">
        <v>4814</v>
      </c>
      <c r="N1251" s="205">
        <v>10000</v>
      </c>
      <c r="O1251" s="254">
        <v>10000</v>
      </c>
      <c r="P1251" s="254">
        <v>8000</v>
      </c>
      <c r="Q1251" s="254">
        <v>8000</v>
      </c>
      <c r="R1251" s="1262" t="s">
        <v>2633</v>
      </c>
      <c r="S1251" s="254">
        <v>4000</v>
      </c>
      <c r="T1251" s="204">
        <v>45105</v>
      </c>
      <c r="U1251" s="1262" t="s">
        <v>3777</v>
      </c>
      <c r="V1251" s="254">
        <v>2000</v>
      </c>
      <c r="W1251" s="1262" t="s">
        <v>2994</v>
      </c>
      <c r="X1251" s="206">
        <v>2000</v>
      </c>
      <c r="Y1251" s="192"/>
    </row>
    <row r="1252" ht="37.5" customHeight="1" spans="1:25">
      <c r="A1252" s="192">
        <f t="shared" si="30"/>
        <v>1244</v>
      </c>
      <c r="B1252" s="208">
        <v>2023</v>
      </c>
      <c r="C1252" s="193" t="s">
        <v>37</v>
      </c>
      <c r="D1252" s="277" t="s">
        <v>4815</v>
      </c>
      <c r="E1252" s="195" t="s">
        <v>4816</v>
      </c>
      <c r="F1252" s="196" t="s">
        <v>2073</v>
      </c>
      <c r="G1252" s="197" t="s">
        <v>3239</v>
      </c>
      <c r="H1252" s="198">
        <v>0.8</v>
      </c>
      <c r="I1252" s="199">
        <v>11760.68</v>
      </c>
      <c r="J1252" s="200" t="s">
        <v>2958</v>
      </c>
      <c r="K1252" s="200" t="s">
        <v>2959</v>
      </c>
      <c r="L1252" s="201">
        <v>0.4</v>
      </c>
      <c r="M1252" s="278" t="s">
        <v>2655</v>
      </c>
      <c r="N1252" s="205">
        <v>1500.06</v>
      </c>
      <c r="O1252" s="254">
        <v>1500.06</v>
      </c>
      <c r="P1252" s="254">
        <v>1200.06</v>
      </c>
      <c r="Q1252" s="254">
        <v>1200.06</v>
      </c>
      <c r="R1252" s="1262" t="s">
        <v>2633</v>
      </c>
      <c r="S1252" s="254">
        <v>600.02</v>
      </c>
      <c r="T1252" s="204">
        <v>45105</v>
      </c>
      <c r="U1252" s="1262" t="s">
        <v>3777</v>
      </c>
      <c r="V1252" s="254">
        <v>300.01</v>
      </c>
      <c r="W1252" s="1262" t="s">
        <v>2994</v>
      </c>
      <c r="X1252" s="206">
        <v>300.01</v>
      </c>
      <c r="Y1252" s="192"/>
    </row>
    <row r="1253" ht="37.5" customHeight="1" spans="1:25">
      <c r="A1253" s="192">
        <f t="shared" si="30"/>
        <v>1245</v>
      </c>
      <c r="B1253" s="208">
        <v>2023</v>
      </c>
      <c r="C1253" s="193" t="s">
        <v>37</v>
      </c>
      <c r="D1253" s="277" t="s">
        <v>4758</v>
      </c>
      <c r="E1253" s="195" t="s">
        <v>4817</v>
      </c>
      <c r="F1253" s="196" t="s">
        <v>2073</v>
      </c>
      <c r="G1253" s="197" t="s">
        <v>3239</v>
      </c>
      <c r="H1253" s="198">
        <v>0.8</v>
      </c>
      <c r="I1253" s="199">
        <v>43000</v>
      </c>
      <c r="J1253" s="200" t="s">
        <v>2908</v>
      </c>
      <c r="K1253" s="200" t="s">
        <v>2909</v>
      </c>
      <c r="L1253" s="201">
        <v>0.4</v>
      </c>
      <c r="M1253" s="278" t="s">
        <v>4737</v>
      </c>
      <c r="N1253" s="205">
        <v>5000.02</v>
      </c>
      <c r="O1253" s="254">
        <v>5000.02</v>
      </c>
      <c r="P1253" s="254">
        <v>4000.02</v>
      </c>
      <c r="Q1253" s="254">
        <v>4000.02</v>
      </c>
      <c r="R1253" s="1262" t="s">
        <v>2633</v>
      </c>
      <c r="S1253" s="254">
        <v>2000.01</v>
      </c>
      <c r="T1253" s="204">
        <v>45105</v>
      </c>
      <c r="U1253" s="1262" t="s">
        <v>3777</v>
      </c>
      <c r="V1253" s="254">
        <v>1000</v>
      </c>
      <c r="W1253" s="1262" t="s">
        <v>2994</v>
      </c>
      <c r="X1253" s="206">
        <v>1000</v>
      </c>
      <c r="Y1253" s="192"/>
    </row>
    <row r="1254" ht="37.5" customHeight="1" spans="1:25">
      <c r="A1254" s="192">
        <f t="shared" si="30"/>
        <v>1246</v>
      </c>
      <c r="B1254" s="208">
        <v>2023</v>
      </c>
      <c r="C1254" s="193" t="s">
        <v>37</v>
      </c>
      <c r="D1254" s="277" t="s">
        <v>4300</v>
      </c>
      <c r="E1254" s="195" t="s">
        <v>4818</v>
      </c>
      <c r="F1254" s="196" t="s">
        <v>2073</v>
      </c>
      <c r="G1254" s="197" t="s">
        <v>3239</v>
      </c>
      <c r="H1254" s="198">
        <v>0.8</v>
      </c>
      <c r="I1254" s="199">
        <v>14012.48</v>
      </c>
      <c r="J1254" s="200" t="s">
        <v>1981</v>
      </c>
      <c r="K1254" s="200" t="s">
        <v>3674</v>
      </c>
      <c r="L1254" s="201">
        <v>0.4</v>
      </c>
      <c r="M1254" s="278" t="s">
        <v>3465</v>
      </c>
      <c r="N1254" s="205">
        <v>1950</v>
      </c>
      <c r="O1254" s="254">
        <v>1950</v>
      </c>
      <c r="P1254" s="254">
        <v>1560</v>
      </c>
      <c r="Q1254" s="254">
        <v>1560</v>
      </c>
      <c r="R1254" s="1262" t="s">
        <v>2633</v>
      </c>
      <c r="S1254" s="254">
        <v>780</v>
      </c>
      <c r="T1254" s="204">
        <v>45105</v>
      </c>
      <c r="U1254" s="1262" t="s">
        <v>3777</v>
      </c>
      <c r="V1254" s="254">
        <v>390</v>
      </c>
      <c r="W1254" s="1262" t="s">
        <v>2994</v>
      </c>
      <c r="X1254" s="206">
        <v>390</v>
      </c>
      <c r="Y1254" s="192"/>
    </row>
    <row r="1255" ht="37.5" customHeight="1" spans="1:25">
      <c r="A1255" s="192">
        <f t="shared" si="30"/>
        <v>1247</v>
      </c>
      <c r="B1255" s="208">
        <v>2023</v>
      </c>
      <c r="C1255" s="193" t="s">
        <v>37</v>
      </c>
      <c r="D1255" s="277" t="s">
        <v>4741</v>
      </c>
      <c r="E1255" s="195" t="s">
        <v>4819</v>
      </c>
      <c r="F1255" s="196" t="s">
        <v>2073</v>
      </c>
      <c r="G1255" s="197" t="s">
        <v>3239</v>
      </c>
      <c r="H1255" s="198">
        <v>0.8</v>
      </c>
      <c r="I1255" s="199">
        <v>25000</v>
      </c>
      <c r="J1255" s="200" t="s">
        <v>2235</v>
      </c>
      <c r="K1255" s="200" t="s">
        <v>4425</v>
      </c>
      <c r="L1255" s="201">
        <v>0.4</v>
      </c>
      <c r="M1255" s="278" t="s">
        <v>4656</v>
      </c>
      <c r="N1255" s="205">
        <v>12500.02</v>
      </c>
      <c r="O1255" s="254">
        <v>12500.02</v>
      </c>
      <c r="P1255" s="254">
        <v>10000.02</v>
      </c>
      <c r="Q1255" s="254">
        <v>10000.02</v>
      </c>
      <c r="R1255" s="1262" t="s">
        <v>2633</v>
      </c>
      <c r="S1255" s="254">
        <v>5000.01</v>
      </c>
      <c r="T1255" s="204">
        <v>45105</v>
      </c>
      <c r="U1255" s="1262" t="s">
        <v>3777</v>
      </c>
      <c r="V1255" s="254">
        <v>2500</v>
      </c>
      <c r="W1255" s="1262" t="s">
        <v>2994</v>
      </c>
      <c r="X1255" s="206">
        <v>2500</v>
      </c>
      <c r="Y1255" s="192"/>
    </row>
    <row r="1256" ht="37.5" customHeight="1" spans="1:25">
      <c r="A1256" s="192">
        <f t="shared" si="30"/>
        <v>1248</v>
      </c>
      <c r="B1256" s="208">
        <v>2023</v>
      </c>
      <c r="C1256" s="193" t="s">
        <v>37</v>
      </c>
      <c r="D1256" s="277" t="s">
        <v>4776</v>
      </c>
      <c r="E1256" s="195" t="s">
        <v>4820</v>
      </c>
      <c r="F1256" s="196" t="s">
        <v>2073</v>
      </c>
      <c r="G1256" s="197" t="s">
        <v>3239</v>
      </c>
      <c r="H1256" s="198">
        <v>0.8</v>
      </c>
      <c r="I1256" s="199">
        <v>13500</v>
      </c>
      <c r="J1256" s="200" t="s">
        <v>2235</v>
      </c>
      <c r="K1256" s="200" t="s">
        <v>4425</v>
      </c>
      <c r="L1256" s="201">
        <v>0.4</v>
      </c>
      <c r="M1256" s="278" t="s">
        <v>4726</v>
      </c>
      <c r="N1256" s="205">
        <v>13500</v>
      </c>
      <c r="O1256" s="254">
        <v>13500</v>
      </c>
      <c r="P1256" s="254">
        <v>10800</v>
      </c>
      <c r="Q1256" s="254">
        <v>10800</v>
      </c>
      <c r="R1256" s="1262" t="s">
        <v>2633</v>
      </c>
      <c r="S1256" s="254">
        <v>5400</v>
      </c>
      <c r="T1256" s="204">
        <v>45105</v>
      </c>
      <c r="U1256" s="1262" t="s">
        <v>3777</v>
      </c>
      <c r="V1256" s="254">
        <v>2700</v>
      </c>
      <c r="W1256" s="1262" t="s">
        <v>2994</v>
      </c>
      <c r="X1256" s="206">
        <v>2700</v>
      </c>
      <c r="Y1256" s="192"/>
    </row>
    <row r="1257" ht="37.5" customHeight="1" spans="1:25">
      <c r="A1257" s="192">
        <f t="shared" si="30"/>
        <v>1249</v>
      </c>
      <c r="B1257" s="208">
        <v>2023</v>
      </c>
      <c r="C1257" s="193" t="s">
        <v>37</v>
      </c>
      <c r="D1257" s="277" t="s">
        <v>4724</v>
      </c>
      <c r="E1257" s="195" t="s">
        <v>4821</v>
      </c>
      <c r="F1257" s="196" t="s">
        <v>2073</v>
      </c>
      <c r="G1257" s="197" t="s">
        <v>3239</v>
      </c>
      <c r="H1257" s="198">
        <v>0.8</v>
      </c>
      <c r="I1257" s="199">
        <v>16737.95</v>
      </c>
      <c r="J1257" s="200" t="s">
        <v>4822</v>
      </c>
      <c r="K1257" s="200" t="s">
        <v>4823</v>
      </c>
      <c r="L1257" s="201">
        <v>0.4</v>
      </c>
      <c r="M1257" s="278" t="s">
        <v>4726</v>
      </c>
      <c r="N1257" s="205">
        <v>2527.04</v>
      </c>
      <c r="O1257" s="254">
        <v>2527.04</v>
      </c>
      <c r="P1257" s="254">
        <v>2021.63</v>
      </c>
      <c r="Q1257" s="254">
        <v>2021.63</v>
      </c>
      <c r="R1257" s="1262" t="s">
        <v>2633</v>
      </c>
      <c r="S1257" s="254">
        <v>1010.82</v>
      </c>
      <c r="T1257" s="204">
        <v>45105</v>
      </c>
      <c r="U1257" s="1262" t="s">
        <v>3777</v>
      </c>
      <c r="V1257" s="254">
        <v>505.41</v>
      </c>
      <c r="W1257" s="1262" t="s">
        <v>2994</v>
      </c>
      <c r="X1257" s="206">
        <v>505.41</v>
      </c>
      <c r="Y1257" s="192"/>
    </row>
    <row r="1258" ht="37.5" customHeight="1" spans="1:25">
      <c r="A1258" s="192">
        <f t="shared" si="30"/>
        <v>1250</v>
      </c>
      <c r="B1258" s="208">
        <v>2023</v>
      </c>
      <c r="C1258" s="193" t="s">
        <v>37</v>
      </c>
      <c r="D1258" s="277" t="s">
        <v>4824</v>
      </c>
      <c r="E1258" s="195" t="s">
        <v>4825</v>
      </c>
      <c r="F1258" s="196" t="s">
        <v>2073</v>
      </c>
      <c r="G1258" s="197" t="s">
        <v>3239</v>
      </c>
      <c r="H1258" s="198">
        <v>0.8</v>
      </c>
      <c r="I1258" s="199">
        <v>25000</v>
      </c>
      <c r="J1258" s="200" t="s">
        <v>2054</v>
      </c>
      <c r="K1258" s="200" t="s">
        <v>4433</v>
      </c>
      <c r="L1258" s="201">
        <v>0.4</v>
      </c>
      <c r="M1258" s="278" t="s">
        <v>1881</v>
      </c>
      <c r="N1258" s="205">
        <v>14583.35</v>
      </c>
      <c r="O1258" s="254">
        <v>14583.35</v>
      </c>
      <c r="P1258" s="254">
        <v>11666.68</v>
      </c>
      <c r="Q1258" s="254">
        <v>11666.68</v>
      </c>
      <c r="R1258" s="1262" t="s">
        <v>2633</v>
      </c>
      <c r="S1258" s="254">
        <v>5833.34</v>
      </c>
      <c r="T1258" s="204">
        <v>45105</v>
      </c>
      <c r="U1258" s="1262" t="s">
        <v>3777</v>
      </c>
      <c r="V1258" s="254">
        <v>2916.67</v>
      </c>
      <c r="W1258" s="1262" t="s">
        <v>2994</v>
      </c>
      <c r="X1258" s="206">
        <v>2916.67</v>
      </c>
      <c r="Y1258" s="192"/>
    </row>
    <row r="1259" ht="37.5" customHeight="1" spans="1:25">
      <c r="A1259" s="192">
        <f t="shared" si="30"/>
        <v>1251</v>
      </c>
      <c r="B1259" s="208">
        <v>2023</v>
      </c>
      <c r="C1259" s="193" t="s">
        <v>37</v>
      </c>
      <c r="D1259" s="277" t="s">
        <v>4826</v>
      </c>
      <c r="E1259" s="195" t="s">
        <v>4827</v>
      </c>
      <c r="F1259" s="196" t="s">
        <v>2073</v>
      </c>
      <c r="G1259" s="197" t="s">
        <v>3239</v>
      </c>
      <c r="H1259" s="198">
        <v>0.8</v>
      </c>
      <c r="I1259" s="199">
        <v>30000</v>
      </c>
      <c r="J1259" s="200" t="s">
        <v>2001</v>
      </c>
      <c r="K1259" s="200" t="s">
        <v>4828</v>
      </c>
      <c r="L1259" s="201">
        <v>0.4</v>
      </c>
      <c r="M1259" s="278" t="s">
        <v>4263</v>
      </c>
      <c r="N1259" s="205">
        <v>15000</v>
      </c>
      <c r="O1259" s="254">
        <v>15000</v>
      </c>
      <c r="P1259" s="254">
        <v>12000</v>
      </c>
      <c r="Q1259" s="254">
        <v>12000</v>
      </c>
      <c r="R1259" s="1262" t="s">
        <v>2633</v>
      </c>
      <c r="S1259" s="254">
        <v>6000</v>
      </c>
      <c r="T1259" s="204">
        <v>45105</v>
      </c>
      <c r="U1259" s="1262" t="s">
        <v>3777</v>
      </c>
      <c r="V1259" s="254">
        <v>3000</v>
      </c>
      <c r="W1259" s="1262" t="s">
        <v>2994</v>
      </c>
      <c r="X1259" s="206">
        <v>3000</v>
      </c>
      <c r="Y1259" s="192"/>
    </row>
    <row r="1260" ht="37.5" customHeight="1" spans="1:25">
      <c r="A1260" s="192">
        <f t="shared" si="30"/>
        <v>1252</v>
      </c>
      <c r="B1260" s="208">
        <v>2023</v>
      </c>
      <c r="C1260" s="193" t="s">
        <v>37</v>
      </c>
      <c r="D1260" s="277" t="s">
        <v>4829</v>
      </c>
      <c r="E1260" s="195" t="s">
        <v>4830</v>
      </c>
      <c r="F1260" s="196" t="s">
        <v>2073</v>
      </c>
      <c r="G1260" s="197" t="s">
        <v>3239</v>
      </c>
      <c r="H1260" s="198">
        <v>0.8</v>
      </c>
      <c r="I1260" s="199">
        <v>46010</v>
      </c>
      <c r="J1260" s="200" t="s">
        <v>2463</v>
      </c>
      <c r="K1260" s="200" t="s">
        <v>4831</v>
      </c>
      <c r="L1260" s="201">
        <v>0.4</v>
      </c>
      <c r="M1260" s="278" t="s">
        <v>4769</v>
      </c>
      <c r="N1260" s="205">
        <v>8192.75</v>
      </c>
      <c r="O1260" s="254">
        <v>8192.75</v>
      </c>
      <c r="P1260" s="254">
        <v>6554.2</v>
      </c>
      <c r="Q1260" s="254">
        <v>6554.2</v>
      </c>
      <c r="R1260" s="1262" t="s">
        <v>2633</v>
      </c>
      <c r="S1260" s="254">
        <v>3277.1</v>
      </c>
      <c r="T1260" s="204">
        <v>45105</v>
      </c>
      <c r="U1260" s="1262" t="s">
        <v>3777</v>
      </c>
      <c r="V1260" s="254">
        <v>1638.55</v>
      </c>
      <c r="W1260" s="1262" t="s">
        <v>2994</v>
      </c>
      <c r="X1260" s="206">
        <v>1638.55</v>
      </c>
      <c r="Y1260" s="192"/>
    </row>
    <row r="1261" ht="37.5" customHeight="1" spans="1:25">
      <c r="A1261" s="192">
        <f t="shared" si="30"/>
        <v>1253</v>
      </c>
      <c r="B1261" s="208">
        <v>2023</v>
      </c>
      <c r="C1261" s="193" t="s">
        <v>37</v>
      </c>
      <c r="D1261" s="277" t="s">
        <v>4832</v>
      </c>
      <c r="E1261" s="195" t="s">
        <v>4833</v>
      </c>
      <c r="F1261" s="196" t="s">
        <v>2073</v>
      </c>
      <c r="G1261" s="197" t="s">
        <v>3239</v>
      </c>
      <c r="H1261" s="198">
        <v>0.8</v>
      </c>
      <c r="I1261" s="199">
        <v>18000</v>
      </c>
      <c r="J1261" s="200" t="s">
        <v>2585</v>
      </c>
      <c r="K1261" s="200" t="s">
        <v>4441</v>
      </c>
      <c r="L1261" s="201">
        <v>0.4</v>
      </c>
      <c r="M1261" s="278" t="s">
        <v>4235</v>
      </c>
      <c r="N1261" s="205">
        <v>12000</v>
      </c>
      <c r="O1261" s="254">
        <v>12000</v>
      </c>
      <c r="P1261" s="254">
        <v>9600</v>
      </c>
      <c r="Q1261" s="254">
        <v>9600</v>
      </c>
      <c r="R1261" s="1262" t="s">
        <v>2633</v>
      </c>
      <c r="S1261" s="254">
        <v>4800</v>
      </c>
      <c r="T1261" s="204">
        <v>45105</v>
      </c>
      <c r="U1261" s="1262" t="s">
        <v>3777</v>
      </c>
      <c r="V1261" s="254">
        <v>2400</v>
      </c>
      <c r="W1261" s="1262" t="s">
        <v>2994</v>
      </c>
      <c r="X1261" s="206">
        <v>2400</v>
      </c>
      <c r="Y1261" s="192"/>
    </row>
    <row r="1262" ht="37.5" customHeight="1" spans="1:25">
      <c r="A1262" s="192">
        <f t="shared" si="30"/>
        <v>1254</v>
      </c>
      <c r="B1262" s="208">
        <v>2023</v>
      </c>
      <c r="C1262" s="193" t="s">
        <v>37</v>
      </c>
      <c r="D1262" s="277" t="s">
        <v>4834</v>
      </c>
      <c r="E1262" s="195" t="s">
        <v>4835</v>
      </c>
      <c r="F1262" s="196" t="s">
        <v>2073</v>
      </c>
      <c r="G1262" s="197" t="s">
        <v>3239</v>
      </c>
      <c r="H1262" s="198">
        <v>0.8</v>
      </c>
      <c r="I1262" s="199">
        <v>25000</v>
      </c>
      <c r="J1262" s="200" t="s">
        <v>2585</v>
      </c>
      <c r="K1262" s="200" t="s">
        <v>4441</v>
      </c>
      <c r="L1262" s="201">
        <v>0.4</v>
      </c>
      <c r="M1262" s="278" t="s">
        <v>4235</v>
      </c>
      <c r="N1262" s="205">
        <v>8333.36</v>
      </c>
      <c r="O1262" s="254">
        <v>8333.36</v>
      </c>
      <c r="P1262" s="254">
        <v>6666.69</v>
      </c>
      <c r="Q1262" s="254">
        <v>6666.69</v>
      </c>
      <c r="R1262" s="1262" t="s">
        <v>2633</v>
      </c>
      <c r="S1262" s="254">
        <v>3333.34</v>
      </c>
      <c r="T1262" s="204">
        <v>45105</v>
      </c>
      <c r="U1262" s="1262" t="s">
        <v>3777</v>
      </c>
      <c r="V1262" s="254">
        <v>1666.67</v>
      </c>
      <c r="W1262" s="1262" t="s">
        <v>2994</v>
      </c>
      <c r="X1262" s="206">
        <v>1666.67</v>
      </c>
      <c r="Y1262" s="192"/>
    </row>
    <row r="1263" ht="37.5" customHeight="1" spans="1:25">
      <c r="A1263" s="192">
        <f t="shared" si="30"/>
        <v>1255</v>
      </c>
      <c r="B1263" s="208">
        <v>2023</v>
      </c>
      <c r="C1263" s="193" t="s">
        <v>37</v>
      </c>
      <c r="D1263" s="277" t="s">
        <v>4579</v>
      </c>
      <c r="E1263" s="195" t="s">
        <v>4836</v>
      </c>
      <c r="F1263" s="196" t="s">
        <v>2073</v>
      </c>
      <c r="G1263" s="197" t="s">
        <v>3239</v>
      </c>
      <c r="H1263" s="198">
        <v>0.8</v>
      </c>
      <c r="I1263" s="199">
        <v>17000</v>
      </c>
      <c r="J1263" s="200" t="s">
        <v>4837</v>
      </c>
      <c r="K1263" s="200" t="s">
        <v>4838</v>
      </c>
      <c r="L1263" s="201">
        <v>0.4</v>
      </c>
      <c r="M1263" s="278" t="s">
        <v>4665</v>
      </c>
      <c r="N1263" s="205">
        <v>11333.36</v>
      </c>
      <c r="O1263" s="254">
        <v>11333.36</v>
      </c>
      <c r="P1263" s="254">
        <v>9066.68</v>
      </c>
      <c r="Q1263" s="254">
        <v>9066.68</v>
      </c>
      <c r="R1263" s="1262" t="s">
        <v>2633</v>
      </c>
      <c r="S1263" s="254">
        <v>4533.34</v>
      </c>
      <c r="T1263" s="204">
        <v>45105</v>
      </c>
      <c r="U1263" s="1262" t="s">
        <v>3777</v>
      </c>
      <c r="V1263" s="254">
        <v>2266.67</v>
      </c>
      <c r="W1263" s="1262" t="s">
        <v>2994</v>
      </c>
      <c r="X1263" s="206">
        <v>2266.67</v>
      </c>
      <c r="Y1263" s="192"/>
    </row>
    <row r="1264" ht="37.5" customHeight="1" spans="1:25">
      <c r="A1264" s="192">
        <f t="shared" si="30"/>
        <v>1256</v>
      </c>
      <c r="B1264" s="208">
        <v>2023</v>
      </c>
      <c r="C1264" s="193" t="s">
        <v>37</v>
      </c>
      <c r="D1264" s="277" t="s">
        <v>655</v>
      </c>
      <c r="E1264" s="195" t="s">
        <v>4839</v>
      </c>
      <c r="F1264" s="196" t="s">
        <v>2073</v>
      </c>
      <c r="G1264" s="197" t="s">
        <v>3239</v>
      </c>
      <c r="H1264" s="198">
        <v>0.8</v>
      </c>
      <c r="I1264" s="199">
        <v>18330.67</v>
      </c>
      <c r="J1264" s="200" t="s">
        <v>2010</v>
      </c>
      <c r="K1264" s="200" t="s">
        <v>3593</v>
      </c>
      <c r="L1264" s="201">
        <v>0.4</v>
      </c>
      <c r="M1264" s="278" t="s">
        <v>4341</v>
      </c>
      <c r="N1264" s="205">
        <v>3333.36</v>
      </c>
      <c r="O1264" s="254">
        <v>3333.36</v>
      </c>
      <c r="P1264" s="254">
        <v>2666.69</v>
      </c>
      <c r="Q1264" s="254">
        <v>2666.69</v>
      </c>
      <c r="R1264" s="1262" t="s">
        <v>2633</v>
      </c>
      <c r="S1264" s="254">
        <v>1333.34</v>
      </c>
      <c r="T1264" s="204">
        <v>45105</v>
      </c>
      <c r="U1264" s="1262" t="s">
        <v>3777</v>
      </c>
      <c r="V1264" s="254">
        <v>666.67</v>
      </c>
      <c r="W1264" s="1262" t="s">
        <v>2994</v>
      </c>
      <c r="X1264" s="206">
        <v>666.67</v>
      </c>
      <c r="Y1264" s="192"/>
    </row>
    <row r="1265" ht="37.5" customHeight="1" spans="1:25">
      <c r="A1265" s="192">
        <f t="shared" si="30"/>
        <v>1257</v>
      </c>
      <c r="B1265" s="208">
        <v>2023</v>
      </c>
      <c r="C1265" s="193" t="s">
        <v>37</v>
      </c>
      <c r="D1265" s="277" t="s">
        <v>4840</v>
      </c>
      <c r="E1265" s="195" t="s">
        <v>4841</v>
      </c>
      <c r="F1265" s="196" t="s">
        <v>2073</v>
      </c>
      <c r="G1265" s="197" t="s">
        <v>3239</v>
      </c>
      <c r="H1265" s="198">
        <v>0.8</v>
      </c>
      <c r="I1265" s="199">
        <v>14483.3</v>
      </c>
      <c r="J1265" s="200" t="s">
        <v>2454</v>
      </c>
      <c r="K1265" s="200" t="s">
        <v>3918</v>
      </c>
      <c r="L1265" s="201">
        <v>0.4</v>
      </c>
      <c r="M1265" s="278" t="s">
        <v>4250</v>
      </c>
      <c r="N1265" s="205">
        <v>3333.36</v>
      </c>
      <c r="O1265" s="254">
        <v>3333.36</v>
      </c>
      <c r="P1265" s="254">
        <v>2666.68</v>
      </c>
      <c r="Q1265" s="254">
        <v>2666.68</v>
      </c>
      <c r="R1265" s="1262" t="s">
        <v>2633</v>
      </c>
      <c r="S1265" s="254">
        <v>1333.34</v>
      </c>
      <c r="T1265" s="204">
        <v>45105</v>
      </c>
      <c r="U1265" s="1262" t="s">
        <v>3777</v>
      </c>
      <c r="V1265" s="254">
        <v>666.67</v>
      </c>
      <c r="W1265" s="1262" t="s">
        <v>2994</v>
      </c>
      <c r="X1265" s="206">
        <v>666.67</v>
      </c>
      <c r="Y1265" s="192"/>
    </row>
    <row r="1266" ht="37.5" customHeight="1" spans="1:25">
      <c r="A1266" s="192">
        <f t="shared" si="30"/>
        <v>1258</v>
      </c>
      <c r="B1266" s="208">
        <v>2023</v>
      </c>
      <c r="C1266" s="193" t="s">
        <v>37</v>
      </c>
      <c r="D1266" s="277" t="s">
        <v>4842</v>
      </c>
      <c r="E1266" s="195" t="s">
        <v>4843</v>
      </c>
      <c r="F1266" s="196" t="s">
        <v>2073</v>
      </c>
      <c r="G1266" s="197" t="s">
        <v>3239</v>
      </c>
      <c r="H1266" s="198">
        <v>0.8</v>
      </c>
      <c r="I1266" s="199">
        <v>15700</v>
      </c>
      <c r="J1266" s="200" t="s">
        <v>2454</v>
      </c>
      <c r="K1266" s="200" t="s">
        <v>3918</v>
      </c>
      <c r="L1266" s="201">
        <v>0.4</v>
      </c>
      <c r="M1266" s="278" t="s">
        <v>4737</v>
      </c>
      <c r="N1266" s="205">
        <v>9916.07</v>
      </c>
      <c r="O1266" s="254">
        <v>9916.07</v>
      </c>
      <c r="P1266" s="254">
        <v>7932.86</v>
      </c>
      <c r="Q1266" s="254">
        <v>7932.86</v>
      </c>
      <c r="R1266" s="1262" t="s">
        <v>2633</v>
      </c>
      <c r="S1266" s="254">
        <v>3966.43</v>
      </c>
      <c r="T1266" s="204">
        <v>45105</v>
      </c>
      <c r="U1266" s="1262" t="s">
        <v>3777</v>
      </c>
      <c r="V1266" s="254">
        <v>1983.21</v>
      </c>
      <c r="W1266" s="1262" t="s">
        <v>2994</v>
      </c>
      <c r="X1266" s="206">
        <v>1983.21</v>
      </c>
      <c r="Y1266" s="192"/>
    </row>
    <row r="1267" ht="37.5" customHeight="1" spans="1:25">
      <c r="A1267" s="192">
        <f t="shared" si="30"/>
        <v>1259</v>
      </c>
      <c r="B1267" s="208">
        <v>2023</v>
      </c>
      <c r="C1267" s="193" t="s">
        <v>37</v>
      </c>
      <c r="D1267" s="277" t="s">
        <v>4844</v>
      </c>
      <c r="E1267" s="195" t="s">
        <v>4845</v>
      </c>
      <c r="F1267" s="196" t="s">
        <v>2073</v>
      </c>
      <c r="G1267" s="197" t="s">
        <v>3239</v>
      </c>
      <c r="H1267" s="198">
        <v>0.8</v>
      </c>
      <c r="I1267" s="199">
        <v>65000</v>
      </c>
      <c r="J1267" s="200" t="s">
        <v>2484</v>
      </c>
      <c r="K1267" s="200" t="s">
        <v>3564</v>
      </c>
      <c r="L1267" s="201">
        <v>0.4</v>
      </c>
      <c r="M1267" s="278" t="s">
        <v>4846</v>
      </c>
      <c r="N1267" s="205">
        <v>14157.25</v>
      </c>
      <c r="O1267" s="254">
        <v>14157.25</v>
      </c>
      <c r="P1267" s="254">
        <v>11325.8</v>
      </c>
      <c r="Q1267" s="254">
        <v>11325.8</v>
      </c>
      <c r="R1267" s="1262" t="s">
        <v>2633</v>
      </c>
      <c r="S1267" s="254">
        <v>5662.9</v>
      </c>
      <c r="T1267" s="204">
        <v>45105</v>
      </c>
      <c r="U1267" s="1262" t="s">
        <v>3777</v>
      </c>
      <c r="V1267" s="254">
        <v>2831.45</v>
      </c>
      <c r="W1267" s="1262" t="s">
        <v>2994</v>
      </c>
      <c r="X1267" s="206">
        <v>2831.45</v>
      </c>
      <c r="Y1267" s="192"/>
    </row>
    <row r="1268" ht="37.5" customHeight="1" spans="1:25">
      <c r="A1268" s="192">
        <f t="shared" si="30"/>
        <v>1260</v>
      </c>
      <c r="B1268" s="208">
        <v>2023</v>
      </c>
      <c r="C1268" s="193" t="s">
        <v>37</v>
      </c>
      <c r="D1268" s="277" t="s">
        <v>4847</v>
      </c>
      <c r="E1268" s="195" t="s">
        <v>4848</v>
      </c>
      <c r="F1268" s="196" t="s">
        <v>2073</v>
      </c>
      <c r="G1268" s="197" t="s">
        <v>3239</v>
      </c>
      <c r="H1268" s="198">
        <v>0.8</v>
      </c>
      <c r="I1268" s="199">
        <v>15244.04</v>
      </c>
      <c r="J1268" s="200" t="s">
        <v>2484</v>
      </c>
      <c r="K1268" s="200" t="s">
        <v>3564</v>
      </c>
      <c r="L1268" s="201">
        <v>0.4</v>
      </c>
      <c r="M1268" s="278" t="s">
        <v>4277</v>
      </c>
      <c r="N1268" s="205">
        <v>750.01</v>
      </c>
      <c r="O1268" s="254">
        <v>750.01</v>
      </c>
      <c r="P1268" s="254">
        <v>600.01</v>
      </c>
      <c r="Q1268" s="254">
        <v>600.01</v>
      </c>
      <c r="R1268" s="1262" t="s">
        <v>2633</v>
      </c>
      <c r="S1268" s="254">
        <v>300</v>
      </c>
      <c r="T1268" s="204">
        <v>45105</v>
      </c>
      <c r="U1268" s="1262" t="s">
        <v>3777</v>
      </c>
      <c r="V1268" s="254">
        <v>150</v>
      </c>
      <c r="W1268" s="1262" t="s">
        <v>2994</v>
      </c>
      <c r="X1268" s="206">
        <v>150</v>
      </c>
      <c r="Y1268" s="192"/>
    </row>
    <row r="1269" ht="37.5" customHeight="1" spans="1:25">
      <c r="A1269" s="192">
        <f t="shared" si="30"/>
        <v>1261</v>
      </c>
      <c r="B1269" s="208">
        <v>2023</v>
      </c>
      <c r="C1269" s="193" t="s">
        <v>37</v>
      </c>
      <c r="D1269" s="277" t="s">
        <v>4767</v>
      </c>
      <c r="E1269" s="195" t="s">
        <v>4849</v>
      </c>
      <c r="F1269" s="196" t="s">
        <v>2073</v>
      </c>
      <c r="G1269" s="197" t="s">
        <v>3239</v>
      </c>
      <c r="H1269" s="198">
        <v>0.8</v>
      </c>
      <c r="I1269" s="199">
        <v>27000</v>
      </c>
      <c r="J1269" s="200" t="s">
        <v>2457</v>
      </c>
      <c r="K1269" s="200" t="s">
        <v>4446</v>
      </c>
      <c r="L1269" s="201">
        <v>0.4</v>
      </c>
      <c r="M1269" s="278" t="s">
        <v>4769</v>
      </c>
      <c r="N1269" s="205">
        <v>18000</v>
      </c>
      <c r="O1269" s="254">
        <v>18000</v>
      </c>
      <c r="P1269" s="254">
        <v>14400</v>
      </c>
      <c r="Q1269" s="254">
        <v>14400</v>
      </c>
      <c r="R1269" s="1262" t="s">
        <v>2633</v>
      </c>
      <c r="S1269" s="254">
        <v>7200</v>
      </c>
      <c r="T1269" s="204">
        <v>45105</v>
      </c>
      <c r="U1269" s="1262" t="s">
        <v>3777</v>
      </c>
      <c r="V1269" s="254">
        <v>3600</v>
      </c>
      <c r="W1269" s="1262" t="s">
        <v>2994</v>
      </c>
      <c r="X1269" s="206">
        <v>3600</v>
      </c>
      <c r="Y1269" s="192"/>
    </row>
    <row r="1270" ht="37.5" customHeight="1" spans="1:25">
      <c r="A1270" s="192">
        <f t="shared" si="30"/>
        <v>1262</v>
      </c>
      <c r="B1270" s="208">
        <v>2023</v>
      </c>
      <c r="C1270" s="193" t="s">
        <v>37</v>
      </c>
      <c r="D1270" s="277" t="s">
        <v>4850</v>
      </c>
      <c r="E1270" s="195" t="s">
        <v>4851</v>
      </c>
      <c r="F1270" s="196" t="s">
        <v>2073</v>
      </c>
      <c r="G1270" s="197" t="s">
        <v>3239</v>
      </c>
      <c r="H1270" s="198">
        <v>0.8</v>
      </c>
      <c r="I1270" s="199">
        <v>13178.05</v>
      </c>
      <c r="J1270" s="200" t="s">
        <v>2634</v>
      </c>
      <c r="K1270" s="200" t="s">
        <v>3573</v>
      </c>
      <c r="L1270" s="201">
        <v>0.4</v>
      </c>
      <c r="M1270" s="278" t="s">
        <v>4719</v>
      </c>
      <c r="N1270" s="205">
        <v>4000.04</v>
      </c>
      <c r="O1270" s="254">
        <v>4000.04</v>
      </c>
      <c r="P1270" s="254">
        <v>3200.03</v>
      </c>
      <c r="Q1270" s="254">
        <v>3200.03</v>
      </c>
      <c r="R1270" s="1262" t="s">
        <v>2633</v>
      </c>
      <c r="S1270" s="254">
        <v>1600.02</v>
      </c>
      <c r="T1270" s="204">
        <v>45105</v>
      </c>
      <c r="U1270" s="1262" t="s">
        <v>3777</v>
      </c>
      <c r="V1270" s="254">
        <v>800.01</v>
      </c>
      <c r="W1270" s="1262" t="s">
        <v>2994</v>
      </c>
      <c r="X1270" s="206">
        <v>800.01</v>
      </c>
      <c r="Y1270" s="192"/>
    </row>
    <row r="1271" ht="37.5" customHeight="1" spans="1:25">
      <c r="A1271" s="192">
        <f t="shared" si="30"/>
        <v>1263</v>
      </c>
      <c r="B1271" s="208">
        <v>2023</v>
      </c>
      <c r="C1271" s="193" t="s">
        <v>37</v>
      </c>
      <c r="D1271" s="277" t="s">
        <v>4776</v>
      </c>
      <c r="E1271" s="195" t="s">
        <v>4852</v>
      </c>
      <c r="F1271" s="196" t="s">
        <v>2073</v>
      </c>
      <c r="G1271" s="197" t="s">
        <v>3239</v>
      </c>
      <c r="H1271" s="198">
        <v>0.8</v>
      </c>
      <c r="I1271" s="199">
        <v>10632.46</v>
      </c>
      <c r="J1271" s="200" t="s">
        <v>2466</v>
      </c>
      <c r="K1271" s="200" t="s">
        <v>4067</v>
      </c>
      <c r="L1271" s="201">
        <v>0.4</v>
      </c>
      <c r="M1271" s="278" t="s">
        <v>4726</v>
      </c>
      <c r="N1271" s="205">
        <v>4266.68</v>
      </c>
      <c r="O1271" s="254">
        <v>4266.68</v>
      </c>
      <c r="P1271" s="254">
        <v>3413.34</v>
      </c>
      <c r="Q1271" s="254">
        <v>3413.34</v>
      </c>
      <c r="R1271" s="1262" t="s">
        <v>2633</v>
      </c>
      <c r="S1271" s="254">
        <v>1706.67</v>
      </c>
      <c r="T1271" s="204">
        <v>45105</v>
      </c>
      <c r="U1271" s="1262" t="s">
        <v>3777</v>
      </c>
      <c r="V1271" s="254">
        <v>853.34</v>
      </c>
      <c r="W1271" s="1262" t="s">
        <v>2994</v>
      </c>
      <c r="X1271" s="206">
        <v>853.34</v>
      </c>
      <c r="Y1271" s="192"/>
    </row>
    <row r="1272" ht="37.5" customHeight="1" spans="1:25">
      <c r="A1272" s="192">
        <f t="shared" si="30"/>
        <v>1264</v>
      </c>
      <c r="B1272" s="208">
        <v>2023</v>
      </c>
      <c r="C1272" s="193" t="s">
        <v>37</v>
      </c>
      <c r="D1272" s="277" t="s">
        <v>4853</v>
      </c>
      <c r="E1272" s="195" t="s">
        <v>4854</v>
      </c>
      <c r="F1272" s="196" t="s">
        <v>2073</v>
      </c>
      <c r="G1272" s="197" t="s">
        <v>3239</v>
      </c>
      <c r="H1272" s="198">
        <v>0.8</v>
      </c>
      <c r="I1272" s="199">
        <v>20000</v>
      </c>
      <c r="J1272" s="200" t="s">
        <v>2578</v>
      </c>
      <c r="K1272" s="200" t="s">
        <v>4855</v>
      </c>
      <c r="L1272" s="201">
        <v>0.4</v>
      </c>
      <c r="M1272" s="278" t="s">
        <v>4856</v>
      </c>
      <c r="N1272" s="205">
        <v>12833.36</v>
      </c>
      <c r="O1272" s="254">
        <v>12833.36</v>
      </c>
      <c r="P1272" s="254">
        <v>10266.69</v>
      </c>
      <c r="Q1272" s="254">
        <v>10266.69</v>
      </c>
      <c r="R1272" s="1262" t="s">
        <v>2633</v>
      </c>
      <c r="S1272" s="254">
        <v>5133.34</v>
      </c>
      <c r="T1272" s="204">
        <v>45105</v>
      </c>
      <c r="U1272" s="1262" t="s">
        <v>3777</v>
      </c>
      <c r="V1272" s="254">
        <v>2566.67</v>
      </c>
      <c r="W1272" s="1262" t="s">
        <v>2994</v>
      </c>
      <c r="X1272" s="206">
        <v>2566.67</v>
      </c>
      <c r="Y1272" s="192"/>
    </row>
    <row r="1273" ht="37.5" customHeight="1" spans="1:25">
      <c r="A1273" s="192">
        <f t="shared" si="30"/>
        <v>1265</v>
      </c>
      <c r="B1273" s="208">
        <v>2023</v>
      </c>
      <c r="C1273" s="193" t="s">
        <v>37</v>
      </c>
      <c r="D1273" s="277" t="s">
        <v>4857</v>
      </c>
      <c r="E1273" s="195" t="s">
        <v>4858</v>
      </c>
      <c r="F1273" s="196" t="s">
        <v>2073</v>
      </c>
      <c r="G1273" s="197" t="s">
        <v>3239</v>
      </c>
      <c r="H1273" s="198">
        <v>0.8</v>
      </c>
      <c r="I1273" s="199">
        <v>13633.18</v>
      </c>
      <c r="J1273" s="200" t="s">
        <v>2589</v>
      </c>
      <c r="K1273" s="200" t="s">
        <v>3926</v>
      </c>
      <c r="L1273" s="201">
        <v>0.4</v>
      </c>
      <c r="M1273" s="278" t="s">
        <v>4534</v>
      </c>
      <c r="N1273" s="205">
        <v>666.68</v>
      </c>
      <c r="O1273" s="254">
        <v>666.68</v>
      </c>
      <c r="P1273" s="254">
        <v>533.34</v>
      </c>
      <c r="Q1273" s="254">
        <v>533.34</v>
      </c>
      <c r="R1273" s="1262" t="s">
        <v>2633</v>
      </c>
      <c r="S1273" s="254">
        <v>266.67</v>
      </c>
      <c r="T1273" s="204">
        <v>45105</v>
      </c>
      <c r="U1273" s="1262" t="s">
        <v>3777</v>
      </c>
      <c r="V1273" s="254">
        <v>133.34</v>
      </c>
      <c r="W1273" s="1262" t="s">
        <v>2994</v>
      </c>
      <c r="X1273" s="206">
        <v>133.34</v>
      </c>
      <c r="Y1273" s="192"/>
    </row>
    <row r="1274" ht="37.5" customHeight="1" spans="1:25">
      <c r="A1274" s="192">
        <f t="shared" si="30"/>
        <v>1266</v>
      </c>
      <c r="B1274" s="208">
        <v>2023</v>
      </c>
      <c r="C1274" s="193" t="s">
        <v>37</v>
      </c>
      <c r="D1274" s="277" t="s">
        <v>4859</v>
      </c>
      <c r="E1274" s="195" t="s">
        <v>4860</v>
      </c>
      <c r="F1274" s="196" t="s">
        <v>2073</v>
      </c>
      <c r="G1274" s="197" t="s">
        <v>3239</v>
      </c>
      <c r="H1274" s="198">
        <v>0.8</v>
      </c>
      <c r="I1274" s="199">
        <v>16789.7</v>
      </c>
      <c r="J1274" s="200" t="s">
        <v>2492</v>
      </c>
      <c r="K1274" s="200" t="s">
        <v>3930</v>
      </c>
      <c r="L1274" s="201">
        <v>0.4</v>
      </c>
      <c r="M1274" s="278" t="s">
        <v>4726</v>
      </c>
      <c r="N1274" s="205">
        <v>6666.68</v>
      </c>
      <c r="O1274" s="254">
        <v>6666.68</v>
      </c>
      <c r="P1274" s="254">
        <v>5333.34</v>
      </c>
      <c r="Q1274" s="254">
        <v>5333.34</v>
      </c>
      <c r="R1274" s="1262" t="s">
        <v>2633</v>
      </c>
      <c r="S1274" s="254">
        <v>2666.67</v>
      </c>
      <c r="T1274" s="204">
        <v>45105</v>
      </c>
      <c r="U1274" s="1262" t="s">
        <v>3777</v>
      </c>
      <c r="V1274" s="254">
        <v>1333.34</v>
      </c>
      <c r="W1274" s="1262" t="s">
        <v>2994</v>
      </c>
      <c r="X1274" s="206">
        <v>1333.34</v>
      </c>
      <c r="Y1274" s="192"/>
    </row>
    <row r="1275" ht="37.5" customHeight="1" spans="1:25">
      <c r="A1275" s="192">
        <f t="shared" si="30"/>
        <v>1267</v>
      </c>
      <c r="B1275" s="208">
        <v>2023</v>
      </c>
      <c r="C1275" s="193" t="s">
        <v>37</v>
      </c>
      <c r="D1275" s="277" t="s">
        <v>4663</v>
      </c>
      <c r="E1275" s="195" t="s">
        <v>4861</v>
      </c>
      <c r="F1275" s="196" t="s">
        <v>2073</v>
      </c>
      <c r="G1275" s="197" t="s">
        <v>3239</v>
      </c>
      <c r="H1275" s="198">
        <v>0.8</v>
      </c>
      <c r="I1275" s="199">
        <v>14483.3</v>
      </c>
      <c r="J1275" s="200" t="s">
        <v>2492</v>
      </c>
      <c r="K1275" s="200" t="s">
        <v>3930</v>
      </c>
      <c r="L1275" s="201">
        <v>0.4</v>
      </c>
      <c r="M1275" s="278" t="s">
        <v>4665</v>
      </c>
      <c r="N1275" s="205">
        <v>3333.36</v>
      </c>
      <c r="O1275" s="254">
        <v>3333.36</v>
      </c>
      <c r="P1275" s="254">
        <v>2666.69</v>
      </c>
      <c r="Q1275" s="254">
        <v>2666.69</v>
      </c>
      <c r="R1275" s="1262" t="s">
        <v>2633</v>
      </c>
      <c r="S1275" s="254">
        <v>1333.34</v>
      </c>
      <c r="T1275" s="204">
        <v>45105</v>
      </c>
      <c r="U1275" s="1262" t="s">
        <v>3777</v>
      </c>
      <c r="V1275" s="254">
        <v>666.67</v>
      </c>
      <c r="W1275" s="1262" t="s">
        <v>2994</v>
      </c>
      <c r="X1275" s="206">
        <v>666.67</v>
      </c>
      <c r="Y1275" s="192"/>
    </row>
    <row r="1276" ht="37.5" customHeight="1" spans="1:25">
      <c r="A1276" s="192">
        <f t="shared" si="30"/>
        <v>1268</v>
      </c>
      <c r="B1276" s="208">
        <v>2023</v>
      </c>
      <c r="C1276" s="193" t="s">
        <v>37</v>
      </c>
      <c r="D1276" s="277" t="s">
        <v>4793</v>
      </c>
      <c r="E1276" s="195" t="s">
        <v>4862</v>
      </c>
      <c r="F1276" s="196" t="s">
        <v>2073</v>
      </c>
      <c r="G1276" s="197" t="s">
        <v>3239</v>
      </c>
      <c r="H1276" s="198">
        <v>0.8</v>
      </c>
      <c r="I1276" s="199">
        <v>17190.27</v>
      </c>
      <c r="J1276" s="200" t="s">
        <v>2200</v>
      </c>
      <c r="K1276" s="200" t="s">
        <v>3702</v>
      </c>
      <c r="L1276" s="201">
        <v>0.4</v>
      </c>
      <c r="M1276" s="278" t="s">
        <v>4719</v>
      </c>
      <c r="N1276" s="205">
        <v>1333.36</v>
      </c>
      <c r="O1276" s="254">
        <v>1333.36</v>
      </c>
      <c r="P1276" s="254">
        <v>1066.69</v>
      </c>
      <c r="Q1276" s="254">
        <v>1066.69</v>
      </c>
      <c r="R1276" s="1262" t="s">
        <v>2633</v>
      </c>
      <c r="S1276" s="254">
        <v>533.34</v>
      </c>
      <c r="T1276" s="204">
        <v>45105</v>
      </c>
      <c r="U1276" s="1262" t="s">
        <v>3777</v>
      </c>
      <c r="V1276" s="254">
        <v>266.67</v>
      </c>
      <c r="W1276" s="1262" t="s">
        <v>2994</v>
      </c>
      <c r="X1276" s="206">
        <v>266.67</v>
      </c>
      <c r="Y1276" s="192"/>
    </row>
    <row r="1277" ht="37.5" customHeight="1" spans="1:25">
      <c r="A1277" s="192">
        <f t="shared" si="30"/>
        <v>1269</v>
      </c>
      <c r="B1277" s="208">
        <v>2023</v>
      </c>
      <c r="C1277" s="193" t="s">
        <v>37</v>
      </c>
      <c r="D1277" s="277" t="s">
        <v>4319</v>
      </c>
      <c r="E1277" s="195" t="s">
        <v>4863</v>
      </c>
      <c r="F1277" s="196" t="s">
        <v>2073</v>
      </c>
      <c r="G1277" s="197" t="s">
        <v>3239</v>
      </c>
      <c r="H1277" s="198">
        <v>0.8</v>
      </c>
      <c r="I1277" s="199">
        <v>13016.62</v>
      </c>
      <c r="J1277" s="200" t="s">
        <v>2200</v>
      </c>
      <c r="K1277" s="200" t="s">
        <v>3702</v>
      </c>
      <c r="L1277" s="201">
        <v>0.4</v>
      </c>
      <c r="M1277" s="278" t="s">
        <v>4235</v>
      </c>
      <c r="N1277" s="205">
        <v>666.68</v>
      </c>
      <c r="O1277" s="254">
        <v>666.68</v>
      </c>
      <c r="P1277" s="254">
        <v>533.34</v>
      </c>
      <c r="Q1277" s="254">
        <v>533.34</v>
      </c>
      <c r="R1277" s="1262" t="s">
        <v>2633</v>
      </c>
      <c r="S1277" s="254">
        <v>266.67</v>
      </c>
      <c r="T1277" s="204">
        <v>45105</v>
      </c>
      <c r="U1277" s="1262" t="s">
        <v>3777</v>
      </c>
      <c r="V1277" s="254">
        <v>133.34</v>
      </c>
      <c r="W1277" s="1262" t="s">
        <v>2994</v>
      </c>
      <c r="X1277" s="206">
        <v>133.34</v>
      </c>
      <c r="Y1277" s="192"/>
    </row>
    <row r="1278" ht="37.5" customHeight="1" spans="1:25">
      <c r="A1278" s="192">
        <f t="shared" si="30"/>
        <v>1270</v>
      </c>
      <c r="B1278" s="208">
        <v>2023</v>
      </c>
      <c r="C1278" s="193" t="s">
        <v>37</v>
      </c>
      <c r="D1278" s="277" t="s">
        <v>4864</v>
      </c>
      <c r="E1278" s="195" t="s">
        <v>4865</v>
      </c>
      <c r="F1278" s="196" t="s">
        <v>2073</v>
      </c>
      <c r="G1278" s="197" t="s">
        <v>3239</v>
      </c>
      <c r="H1278" s="198">
        <v>0.8</v>
      </c>
      <c r="I1278" s="199">
        <v>100000</v>
      </c>
      <c r="J1278" s="200" t="s">
        <v>2376</v>
      </c>
      <c r="K1278" s="200" t="s">
        <v>4866</v>
      </c>
      <c r="L1278" s="201">
        <v>0.4</v>
      </c>
      <c r="M1278" s="278" t="s">
        <v>4665</v>
      </c>
      <c r="N1278" s="205">
        <v>66000.01</v>
      </c>
      <c r="O1278" s="254">
        <v>66000.01</v>
      </c>
      <c r="P1278" s="254">
        <v>52800.01</v>
      </c>
      <c r="Q1278" s="254">
        <v>52800.01</v>
      </c>
      <c r="R1278" s="1262" t="s">
        <v>2633</v>
      </c>
      <c r="S1278" s="254">
        <v>26400</v>
      </c>
      <c r="T1278" s="204">
        <v>45105</v>
      </c>
      <c r="U1278" s="1262" t="s">
        <v>3777</v>
      </c>
      <c r="V1278" s="254">
        <v>13200</v>
      </c>
      <c r="W1278" s="1262" t="s">
        <v>2994</v>
      </c>
      <c r="X1278" s="206">
        <v>13200</v>
      </c>
      <c r="Y1278" s="192"/>
    </row>
    <row r="1279" ht="37.5" customHeight="1" spans="1:25">
      <c r="A1279" s="192">
        <f t="shared" si="30"/>
        <v>1271</v>
      </c>
      <c r="B1279" s="208">
        <v>2023</v>
      </c>
      <c r="C1279" s="193" t="s">
        <v>37</v>
      </c>
      <c r="D1279" s="277" t="s">
        <v>4643</v>
      </c>
      <c r="E1279" s="195" t="s">
        <v>4867</v>
      </c>
      <c r="F1279" s="196" t="s">
        <v>2073</v>
      </c>
      <c r="G1279" s="197" t="s">
        <v>3239</v>
      </c>
      <c r="H1279" s="198">
        <v>0.8</v>
      </c>
      <c r="I1279" s="199">
        <v>23000</v>
      </c>
      <c r="J1279" s="200" t="s">
        <v>2466</v>
      </c>
      <c r="K1279" s="200" t="s">
        <v>4067</v>
      </c>
      <c r="L1279" s="201">
        <v>0.4</v>
      </c>
      <c r="M1279" s="278" t="s">
        <v>4856</v>
      </c>
      <c r="N1279" s="205">
        <v>14158.01</v>
      </c>
      <c r="O1279" s="254">
        <v>14158.01</v>
      </c>
      <c r="P1279" s="254">
        <v>11326.41</v>
      </c>
      <c r="Q1279" s="254">
        <v>11326.41</v>
      </c>
      <c r="R1279" s="1262" t="s">
        <v>2633</v>
      </c>
      <c r="S1279" s="254">
        <v>5663.2</v>
      </c>
      <c r="T1279" s="204">
        <v>45105</v>
      </c>
      <c r="U1279" s="1262" t="s">
        <v>3777</v>
      </c>
      <c r="V1279" s="254">
        <v>2831.6</v>
      </c>
      <c r="W1279" s="1262" t="s">
        <v>2994</v>
      </c>
      <c r="X1279" s="206">
        <v>2831.6</v>
      </c>
      <c r="Y1279" s="192"/>
    </row>
    <row r="1280" ht="37.5" customHeight="1" spans="1:25">
      <c r="A1280" s="192">
        <f t="shared" si="30"/>
        <v>1272</v>
      </c>
      <c r="B1280" s="208">
        <v>2023</v>
      </c>
      <c r="C1280" s="193" t="s">
        <v>37</v>
      </c>
      <c r="D1280" s="277" t="s">
        <v>4868</v>
      </c>
      <c r="E1280" s="195" t="s">
        <v>4869</v>
      </c>
      <c r="F1280" s="196" t="s">
        <v>2073</v>
      </c>
      <c r="G1280" s="197" t="s">
        <v>3239</v>
      </c>
      <c r="H1280" s="198">
        <v>0.8</v>
      </c>
      <c r="I1280" s="199">
        <v>12683.28</v>
      </c>
      <c r="J1280" s="200" t="s">
        <v>2466</v>
      </c>
      <c r="K1280" s="200" t="s">
        <v>4067</v>
      </c>
      <c r="L1280" s="201">
        <v>0.4</v>
      </c>
      <c r="M1280" s="278" t="s">
        <v>4215</v>
      </c>
      <c r="N1280" s="205">
        <v>3333.36</v>
      </c>
      <c r="O1280" s="254">
        <v>3333.36</v>
      </c>
      <c r="P1280" s="254">
        <v>2666.69</v>
      </c>
      <c r="Q1280" s="254">
        <v>2666.69</v>
      </c>
      <c r="R1280" s="1262" t="s">
        <v>2633</v>
      </c>
      <c r="S1280" s="254">
        <v>1333.34</v>
      </c>
      <c r="T1280" s="204">
        <v>45105</v>
      </c>
      <c r="U1280" s="1262" t="s">
        <v>3777</v>
      </c>
      <c r="V1280" s="254">
        <v>666.67</v>
      </c>
      <c r="W1280" s="1262" t="s">
        <v>2994</v>
      </c>
      <c r="X1280" s="206">
        <v>666.67</v>
      </c>
      <c r="Y1280" s="192"/>
    </row>
    <row r="1281" ht="37.5" customHeight="1" spans="1:25">
      <c r="A1281" s="192">
        <f t="shared" si="30"/>
        <v>1273</v>
      </c>
      <c r="B1281" s="208">
        <v>2023</v>
      </c>
      <c r="C1281" s="193" t="s">
        <v>37</v>
      </c>
      <c r="D1281" s="277" t="s">
        <v>4870</v>
      </c>
      <c r="E1281" s="195" t="s">
        <v>4871</v>
      </c>
      <c r="F1281" s="196" t="s">
        <v>2073</v>
      </c>
      <c r="G1281" s="197" t="s">
        <v>3239</v>
      </c>
      <c r="H1281" s="198">
        <v>0.8</v>
      </c>
      <c r="I1281" s="199">
        <v>24000</v>
      </c>
      <c r="J1281" s="200" t="s">
        <v>2691</v>
      </c>
      <c r="K1281" s="200" t="s">
        <v>4465</v>
      </c>
      <c r="L1281" s="201">
        <v>0.4</v>
      </c>
      <c r="M1281" s="278" t="s">
        <v>4681</v>
      </c>
      <c r="N1281" s="205">
        <v>15583.36</v>
      </c>
      <c r="O1281" s="254">
        <v>15583.36</v>
      </c>
      <c r="P1281" s="254">
        <v>12466.69</v>
      </c>
      <c r="Q1281" s="254">
        <v>12466.69</v>
      </c>
      <c r="R1281" s="1262" t="s">
        <v>2633</v>
      </c>
      <c r="S1281" s="254">
        <v>6233.34</v>
      </c>
      <c r="T1281" s="204">
        <v>45105</v>
      </c>
      <c r="U1281" s="1262" t="s">
        <v>3777</v>
      </c>
      <c r="V1281" s="254">
        <v>3116.67</v>
      </c>
      <c r="W1281" s="1262" t="s">
        <v>2994</v>
      </c>
      <c r="X1281" s="206">
        <v>3116.67</v>
      </c>
      <c r="Y1281" s="192"/>
    </row>
    <row r="1282" ht="37.5" customHeight="1" spans="1:25">
      <c r="A1282" s="192">
        <f t="shared" si="30"/>
        <v>1274</v>
      </c>
      <c r="B1282" s="208">
        <v>2023</v>
      </c>
      <c r="C1282" s="193" t="s">
        <v>37</v>
      </c>
      <c r="D1282" s="277" t="s">
        <v>4829</v>
      </c>
      <c r="E1282" s="195" t="s">
        <v>4872</v>
      </c>
      <c r="F1282" s="196" t="s">
        <v>2073</v>
      </c>
      <c r="G1282" s="197" t="s">
        <v>3239</v>
      </c>
      <c r="H1282" s="198">
        <v>0.8</v>
      </c>
      <c r="I1282" s="199">
        <v>15000</v>
      </c>
      <c r="J1282" s="200" t="s">
        <v>2691</v>
      </c>
      <c r="K1282" s="200" t="s">
        <v>4465</v>
      </c>
      <c r="L1282" s="201">
        <v>0.4</v>
      </c>
      <c r="M1282" s="278" t="s">
        <v>4769</v>
      </c>
      <c r="N1282" s="205">
        <v>1500</v>
      </c>
      <c r="O1282" s="254">
        <v>1500</v>
      </c>
      <c r="P1282" s="254">
        <v>1200</v>
      </c>
      <c r="Q1282" s="254">
        <v>1200</v>
      </c>
      <c r="R1282" s="1262" t="s">
        <v>2633</v>
      </c>
      <c r="S1282" s="254">
        <v>600</v>
      </c>
      <c r="T1282" s="204">
        <v>45105</v>
      </c>
      <c r="U1282" s="1262" t="s">
        <v>3777</v>
      </c>
      <c r="V1282" s="254">
        <v>300</v>
      </c>
      <c r="W1282" s="1262" t="s">
        <v>2994</v>
      </c>
      <c r="X1282" s="206">
        <v>300</v>
      </c>
      <c r="Y1282" s="192"/>
    </row>
    <row r="1283" ht="37.5" customHeight="1" spans="1:25">
      <c r="A1283" s="192">
        <f t="shared" si="30"/>
        <v>1275</v>
      </c>
      <c r="B1283" s="208">
        <v>2023</v>
      </c>
      <c r="C1283" s="193" t="s">
        <v>37</v>
      </c>
      <c r="D1283" s="277" t="s">
        <v>4873</v>
      </c>
      <c r="E1283" s="195" t="s">
        <v>4874</v>
      </c>
      <c r="F1283" s="196" t="s">
        <v>2073</v>
      </c>
      <c r="G1283" s="197" t="s">
        <v>3239</v>
      </c>
      <c r="H1283" s="198">
        <v>0.8</v>
      </c>
      <c r="I1283" s="199">
        <v>13193.74</v>
      </c>
      <c r="J1283" s="200" t="s">
        <v>2780</v>
      </c>
      <c r="K1283" s="200" t="s">
        <v>4875</v>
      </c>
      <c r="L1283" s="201">
        <v>0.4</v>
      </c>
      <c r="M1283" s="278" t="s">
        <v>4534</v>
      </c>
      <c r="N1283" s="205">
        <v>3866.68</v>
      </c>
      <c r="O1283" s="254">
        <v>3866.68</v>
      </c>
      <c r="P1283" s="254">
        <v>3093.34</v>
      </c>
      <c r="Q1283" s="254">
        <v>3093.34</v>
      </c>
      <c r="R1283" s="1262" t="s">
        <v>2633</v>
      </c>
      <c r="S1283" s="254">
        <v>1546.67</v>
      </c>
      <c r="T1283" s="204">
        <v>45105</v>
      </c>
      <c r="U1283" s="1262" t="s">
        <v>3777</v>
      </c>
      <c r="V1283" s="254">
        <v>773.34</v>
      </c>
      <c r="W1283" s="1262" t="s">
        <v>2994</v>
      </c>
      <c r="X1283" s="206">
        <v>773.34</v>
      </c>
      <c r="Y1283" s="192"/>
    </row>
    <row r="1284" ht="37.5" customHeight="1" spans="1:25">
      <c r="A1284" s="192">
        <f t="shared" si="30"/>
        <v>1276</v>
      </c>
      <c r="B1284" s="208">
        <v>2023</v>
      </c>
      <c r="C1284" s="193" t="s">
        <v>37</v>
      </c>
      <c r="D1284" s="277" t="s">
        <v>2392</v>
      </c>
      <c r="E1284" s="195" t="s">
        <v>4876</v>
      </c>
      <c r="F1284" s="196" t="s">
        <v>2073</v>
      </c>
      <c r="G1284" s="197" t="s">
        <v>3239</v>
      </c>
      <c r="H1284" s="198">
        <v>0.8</v>
      </c>
      <c r="I1284" s="199">
        <v>18080.84</v>
      </c>
      <c r="J1284" s="200" t="s">
        <v>2737</v>
      </c>
      <c r="K1284" s="200" t="s">
        <v>4877</v>
      </c>
      <c r="L1284" s="201">
        <v>0.4</v>
      </c>
      <c r="M1284" s="278" t="s">
        <v>4681</v>
      </c>
      <c r="N1284" s="205">
        <v>1425.01</v>
      </c>
      <c r="O1284" s="254">
        <v>1425.01</v>
      </c>
      <c r="P1284" s="254">
        <v>1140.01</v>
      </c>
      <c r="Q1284" s="254">
        <v>1140.01</v>
      </c>
      <c r="R1284" s="1262" t="s">
        <v>2633</v>
      </c>
      <c r="S1284" s="254">
        <v>570</v>
      </c>
      <c r="T1284" s="204">
        <v>45105</v>
      </c>
      <c r="U1284" s="1262" t="s">
        <v>3777</v>
      </c>
      <c r="V1284" s="254">
        <v>285</v>
      </c>
      <c r="W1284" s="1262" t="s">
        <v>2994</v>
      </c>
      <c r="X1284" s="206">
        <v>285</v>
      </c>
      <c r="Y1284" s="192"/>
    </row>
    <row r="1285" ht="37.5" customHeight="1" spans="1:25">
      <c r="A1285" s="192">
        <f t="shared" si="30"/>
        <v>1277</v>
      </c>
      <c r="B1285" s="208">
        <v>2023</v>
      </c>
      <c r="C1285" s="193" t="s">
        <v>37</v>
      </c>
      <c r="D1285" s="277" t="s">
        <v>4878</v>
      </c>
      <c r="E1285" s="195" t="s">
        <v>4879</v>
      </c>
      <c r="F1285" s="196" t="s">
        <v>2073</v>
      </c>
      <c r="G1285" s="197" t="s">
        <v>3239</v>
      </c>
      <c r="H1285" s="198">
        <v>0.8</v>
      </c>
      <c r="I1285" s="199">
        <v>50000</v>
      </c>
      <c r="J1285" s="200" t="s">
        <v>2706</v>
      </c>
      <c r="K1285" s="200" t="s">
        <v>4880</v>
      </c>
      <c r="L1285" s="201">
        <v>0.4</v>
      </c>
      <c r="M1285" s="278" t="s">
        <v>4881</v>
      </c>
      <c r="N1285" s="205">
        <v>50000</v>
      </c>
      <c r="O1285" s="254">
        <v>50000</v>
      </c>
      <c r="P1285" s="254">
        <v>40000</v>
      </c>
      <c r="Q1285" s="254">
        <v>40000</v>
      </c>
      <c r="R1285" s="1262" t="s">
        <v>2633</v>
      </c>
      <c r="S1285" s="254">
        <v>20000</v>
      </c>
      <c r="T1285" s="204">
        <v>45105</v>
      </c>
      <c r="U1285" s="1262" t="s">
        <v>3777</v>
      </c>
      <c r="V1285" s="254">
        <v>10000</v>
      </c>
      <c r="W1285" s="1262" t="s">
        <v>2994</v>
      </c>
      <c r="X1285" s="206">
        <v>10000</v>
      </c>
      <c r="Y1285" s="192"/>
    </row>
    <row r="1286" ht="37.5" customHeight="1" spans="1:25">
      <c r="A1286" s="192">
        <f t="shared" si="30"/>
        <v>1278</v>
      </c>
      <c r="B1286" s="208">
        <v>2023</v>
      </c>
      <c r="C1286" s="193" t="s">
        <v>37</v>
      </c>
      <c r="D1286" s="277" t="s">
        <v>4381</v>
      </c>
      <c r="E1286" s="195" t="s">
        <v>4882</v>
      </c>
      <c r="F1286" s="196" t="s">
        <v>2073</v>
      </c>
      <c r="G1286" s="197" t="s">
        <v>3239</v>
      </c>
      <c r="H1286" s="198">
        <v>0.8</v>
      </c>
      <c r="I1286" s="199">
        <v>11000</v>
      </c>
      <c r="J1286" s="200" t="s">
        <v>2867</v>
      </c>
      <c r="K1286" s="200" t="s">
        <v>4090</v>
      </c>
      <c r="L1286" s="201">
        <v>0.4</v>
      </c>
      <c r="M1286" s="278" t="s">
        <v>2898</v>
      </c>
      <c r="N1286" s="205">
        <v>8250.02</v>
      </c>
      <c r="O1286" s="254">
        <v>8250.02</v>
      </c>
      <c r="P1286" s="254">
        <v>6600.02</v>
      </c>
      <c r="Q1286" s="254">
        <v>6600.02</v>
      </c>
      <c r="R1286" s="1262" t="s">
        <v>2633</v>
      </c>
      <c r="S1286" s="254">
        <v>3300.01</v>
      </c>
      <c r="T1286" s="204">
        <v>45105</v>
      </c>
      <c r="U1286" s="1262" t="s">
        <v>3777</v>
      </c>
      <c r="V1286" s="254">
        <v>1650</v>
      </c>
      <c r="W1286" s="1262" t="s">
        <v>2994</v>
      </c>
      <c r="X1286" s="206">
        <v>1650</v>
      </c>
      <c r="Y1286" s="192"/>
    </row>
    <row r="1287" ht="37.5" customHeight="1" spans="1:25">
      <c r="A1287" s="192">
        <f t="shared" si="30"/>
        <v>1279</v>
      </c>
      <c r="B1287" s="208">
        <v>2023</v>
      </c>
      <c r="C1287" s="193" t="s">
        <v>37</v>
      </c>
      <c r="D1287" s="277" t="s">
        <v>4850</v>
      </c>
      <c r="E1287" s="195" t="s">
        <v>4883</v>
      </c>
      <c r="F1287" s="196" t="s">
        <v>2073</v>
      </c>
      <c r="G1287" s="197" t="s">
        <v>3239</v>
      </c>
      <c r="H1287" s="198">
        <v>0.8</v>
      </c>
      <c r="I1287" s="199">
        <v>13178.05</v>
      </c>
      <c r="J1287" s="200" t="s">
        <v>2046</v>
      </c>
      <c r="K1287" s="200" t="s">
        <v>4473</v>
      </c>
      <c r="L1287" s="201">
        <v>0.4</v>
      </c>
      <c r="M1287" s="278" t="s">
        <v>4719</v>
      </c>
      <c r="N1287" s="205">
        <v>750.04</v>
      </c>
      <c r="O1287" s="254">
        <v>750.04</v>
      </c>
      <c r="P1287" s="254">
        <v>600.04</v>
      </c>
      <c r="Q1287" s="254">
        <v>600.04</v>
      </c>
      <c r="R1287" s="1262" t="s">
        <v>2633</v>
      </c>
      <c r="S1287" s="254">
        <v>300.02</v>
      </c>
      <c r="T1287" s="204">
        <v>45105</v>
      </c>
      <c r="U1287" s="1262" t="s">
        <v>3777</v>
      </c>
      <c r="V1287" s="254">
        <v>150.01</v>
      </c>
      <c r="W1287" s="1262" t="s">
        <v>2994</v>
      </c>
      <c r="X1287" s="206">
        <v>150.01</v>
      </c>
      <c r="Y1287" s="192"/>
    </row>
    <row r="1288" ht="37.5" customHeight="1" spans="1:25">
      <c r="A1288" s="192">
        <f t="shared" si="30"/>
        <v>1280</v>
      </c>
      <c r="B1288" s="208">
        <v>2023</v>
      </c>
      <c r="C1288" s="193" t="s">
        <v>37</v>
      </c>
      <c r="D1288" s="277" t="s">
        <v>4844</v>
      </c>
      <c r="E1288" s="195" t="s">
        <v>4884</v>
      </c>
      <c r="F1288" s="196" t="s">
        <v>2073</v>
      </c>
      <c r="G1288" s="197" t="s">
        <v>3239</v>
      </c>
      <c r="H1288" s="198">
        <v>0.8</v>
      </c>
      <c r="I1288" s="199">
        <v>41000</v>
      </c>
      <c r="J1288" s="200" t="s">
        <v>2713</v>
      </c>
      <c r="K1288" s="200" t="s">
        <v>4885</v>
      </c>
      <c r="L1288" s="201">
        <v>0.4</v>
      </c>
      <c r="M1288" s="278" t="s">
        <v>4846</v>
      </c>
      <c r="N1288" s="205">
        <v>13500.02</v>
      </c>
      <c r="O1288" s="254">
        <v>13500.02</v>
      </c>
      <c r="P1288" s="254">
        <v>10800.02</v>
      </c>
      <c r="Q1288" s="254">
        <v>10800.02</v>
      </c>
      <c r="R1288" s="1262" t="s">
        <v>2633</v>
      </c>
      <c r="S1288" s="254">
        <v>5400.01</v>
      </c>
      <c r="T1288" s="204">
        <v>45105</v>
      </c>
      <c r="U1288" s="1262" t="s">
        <v>3777</v>
      </c>
      <c r="V1288" s="254">
        <v>2700</v>
      </c>
      <c r="W1288" s="1262" t="s">
        <v>2994</v>
      </c>
      <c r="X1288" s="206">
        <v>2700</v>
      </c>
      <c r="Y1288" s="192"/>
    </row>
    <row r="1289" ht="37.5" customHeight="1" spans="1:25">
      <c r="A1289" s="192">
        <f t="shared" si="30"/>
        <v>1281</v>
      </c>
      <c r="B1289" s="208">
        <v>2023</v>
      </c>
      <c r="C1289" s="193" t="s">
        <v>37</v>
      </c>
      <c r="D1289" s="277" t="s">
        <v>4720</v>
      </c>
      <c r="E1289" s="195" t="s">
        <v>4886</v>
      </c>
      <c r="F1289" s="196" t="s">
        <v>2073</v>
      </c>
      <c r="G1289" s="197" t="s">
        <v>3239</v>
      </c>
      <c r="H1289" s="198">
        <v>0.8</v>
      </c>
      <c r="I1289" s="199">
        <v>15486.35</v>
      </c>
      <c r="J1289" s="200" t="s">
        <v>3495</v>
      </c>
      <c r="K1289" s="200" t="s">
        <v>4475</v>
      </c>
      <c r="L1289" s="201">
        <v>0.4</v>
      </c>
      <c r="M1289" s="278" t="s">
        <v>4277</v>
      </c>
      <c r="N1289" s="205">
        <v>2625.02</v>
      </c>
      <c r="O1289" s="254">
        <v>2625.02</v>
      </c>
      <c r="P1289" s="254">
        <v>2100.02</v>
      </c>
      <c r="Q1289" s="254">
        <v>2100.02</v>
      </c>
      <c r="R1289" s="1262" t="s">
        <v>2633</v>
      </c>
      <c r="S1289" s="254">
        <v>1050.01</v>
      </c>
      <c r="T1289" s="204">
        <v>45105</v>
      </c>
      <c r="U1289" s="1262" t="s">
        <v>3777</v>
      </c>
      <c r="V1289" s="254">
        <v>525</v>
      </c>
      <c r="W1289" s="1262" t="s">
        <v>2994</v>
      </c>
      <c r="X1289" s="206">
        <v>525</v>
      </c>
      <c r="Y1289" s="192"/>
    </row>
    <row r="1290" ht="37.5" customHeight="1" spans="1:25">
      <c r="A1290" s="192">
        <f t="shared" si="30"/>
        <v>1282</v>
      </c>
      <c r="B1290" s="208">
        <v>2023</v>
      </c>
      <c r="C1290" s="193" t="s">
        <v>37</v>
      </c>
      <c r="D1290" s="277" t="s">
        <v>4776</v>
      </c>
      <c r="E1290" s="195" t="s">
        <v>4887</v>
      </c>
      <c r="F1290" s="196" t="s">
        <v>2073</v>
      </c>
      <c r="G1290" s="197" t="s">
        <v>3239</v>
      </c>
      <c r="H1290" s="198">
        <v>0.8</v>
      </c>
      <c r="I1290" s="199">
        <v>10632.46</v>
      </c>
      <c r="J1290" s="200" t="s">
        <v>2803</v>
      </c>
      <c r="K1290" s="200" t="s">
        <v>4888</v>
      </c>
      <c r="L1290" s="201">
        <v>0.4</v>
      </c>
      <c r="M1290" s="278" t="s">
        <v>4726</v>
      </c>
      <c r="N1290" s="205">
        <v>6975</v>
      </c>
      <c r="O1290" s="254">
        <v>6975</v>
      </c>
      <c r="P1290" s="254">
        <v>5580</v>
      </c>
      <c r="Q1290" s="254">
        <v>5580</v>
      </c>
      <c r="R1290" s="1262" t="s">
        <v>2633</v>
      </c>
      <c r="S1290" s="254">
        <v>2790</v>
      </c>
      <c r="T1290" s="204">
        <v>45105</v>
      </c>
      <c r="U1290" s="1262" t="s">
        <v>3777</v>
      </c>
      <c r="V1290" s="254">
        <v>1395</v>
      </c>
      <c r="W1290" s="1262" t="s">
        <v>2994</v>
      </c>
      <c r="X1290" s="206">
        <v>1395</v>
      </c>
      <c r="Y1290" s="192"/>
    </row>
    <row r="1291" ht="37.5" customHeight="1" spans="1:25">
      <c r="A1291" s="192">
        <f t="shared" si="30"/>
        <v>1283</v>
      </c>
      <c r="B1291" s="208">
        <v>2023</v>
      </c>
      <c r="C1291" s="193" t="s">
        <v>37</v>
      </c>
      <c r="D1291" s="277" t="s">
        <v>4793</v>
      </c>
      <c r="E1291" s="195" t="s">
        <v>4889</v>
      </c>
      <c r="F1291" s="196" t="s">
        <v>2073</v>
      </c>
      <c r="G1291" s="197" t="s">
        <v>3239</v>
      </c>
      <c r="H1291" s="198">
        <v>0.8</v>
      </c>
      <c r="I1291" s="199">
        <v>17190.27</v>
      </c>
      <c r="J1291" s="200" t="s">
        <v>2681</v>
      </c>
      <c r="K1291" s="200" t="s">
        <v>4890</v>
      </c>
      <c r="L1291" s="201">
        <v>0.4</v>
      </c>
      <c r="M1291" s="278" t="s">
        <v>4719</v>
      </c>
      <c r="N1291" s="205">
        <v>5582.04</v>
      </c>
      <c r="O1291" s="254">
        <v>5582.04</v>
      </c>
      <c r="P1291" s="254">
        <v>4465.63</v>
      </c>
      <c r="Q1291" s="254">
        <v>4465.63</v>
      </c>
      <c r="R1291" s="1262" t="s">
        <v>2633</v>
      </c>
      <c r="S1291" s="254">
        <v>2232.82</v>
      </c>
      <c r="T1291" s="204">
        <v>45105</v>
      </c>
      <c r="U1291" s="1262" t="s">
        <v>3777</v>
      </c>
      <c r="V1291" s="254">
        <v>1116.41</v>
      </c>
      <c r="W1291" s="1262" t="s">
        <v>2994</v>
      </c>
      <c r="X1291" s="206">
        <v>1116.41</v>
      </c>
      <c r="Y1291" s="192"/>
    </row>
    <row r="1292" ht="37.5" customHeight="1" spans="1:25">
      <c r="A1292" s="192">
        <f t="shared" si="30"/>
        <v>1284</v>
      </c>
      <c r="B1292" s="208">
        <v>2023</v>
      </c>
      <c r="C1292" s="193" t="s">
        <v>37</v>
      </c>
      <c r="D1292" s="277" t="s">
        <v>4857</v>
      </c>
      <c r="E1292" s="195" t="s">
        <v>4891</v>
      </c>
      <c r="F1292" s="196" t="s">
        <v>2073</v>
      </c>
      <c r="G1292" s="197" t="s">
        <v>3239</v>
      </c>
      <c r="H1292" s="198">
        <v>0.8</v>
      </c>
      <c r="I1292" s="199">
        <v>13633.18</v>
      </c>
      <c r="J1292" s="200" t="s">
        <v>2773</v>
      </c>
      <c r="K1292" s="200" t="s">
        <v>4892</v>
      </c>
      <c r="L1292" s="201">
        <v>0.4</v>
      </c>
      <c r="M1292" s="278" t="s">
        <v>4534</v>
      </c>
      <c r="N1292" s="205">
        <v>600</v>
      </c>
      <c r="O1292" s="254">
        <v>600</v>
      </c>
      <c r="P1292" s="254">
        <v>480</v>
      </c>
      <c r="Q1292" s="254">
        <v>480</v>
      </c>
      <c r="R1292" s="1262" t="s">
        <v>2633</v>
      </c>
      <c r="S1292" s="254">
        <v>240</v>
      </c>
      <c r="T1292" s="204">
        <v>45105</v>
      </c>
      <c r="U1292" s="1262" t="s">
        <v>3777</v>
      </c>
      <c r="V1292" s="254">
        <v>120</v>
      </c>
      <c r="W1292" s="1262" t="s">
        <v>2994</v>
      </c>
      <c r="X1292" s="206">
        <v>120</v>
      </c>
      <c r="Y1292" s="192"/>
    </row>
    <row r="1293" ht="37.5" customHeight="1" spans="1:25">
      <c r="A1293" s="192">
        <f t="shared" si="30"/>
        <v>1285</v>
      </c>
      <c r="B1293" s="208">
        <v>2023</v>
      </c>
      <c r="C1293" s="193" t="s">
        <v>37</v>
      </c>
      <c r="D1293" s="277" t="s">
        <v>4857</v>
      </c>
      <c r="E1293" s="195" t="s">
        <v>4893</v>
      </c>
      <c r="F1293" s="196" t="s">
        <v>2073</v>
      </c>
      <c r="G1293" s="197" t="s">
        <v>3239</v>
      </c>
      <c r="H1293" s="198">
        <v>0.8</v>
      </c>
      <c r="I1293" s="199">
        <v>13633.18</v>
      </c>
      <c r="J1293" s="200" t="s">
        <v>3050</v>
      </c>
      <c r="K1293" s="200" t="s">
        <v>4093</v>
      </c>
      <c r="L1293" s="201">
        <v>0.4</v>
      </c>
      <c r="M1293" s="278" t="s">
        <v>4534</v>
      </c>
      <c r="N1293" s="205">
        <v>4550.01</v>
      </c>
      <c r="O1293" s="254">
        <v>4550.01</v>
      </c>
      <c r="P1293" s="254">
        <v>3640.01</v>
      </c>
      <c r="Q1293" s="254">
        <v>3640.01</v>
      </c>
      <c r="R1293" s="1262" t="s">
        <v>2633</v>
      </c>
      <c r="S1293" s="254">
        <v>1820</v>
      </c>
      <c r="T1293" s="204">
        <v>45105</v>
      </c>
      <c r="U1293" s="1262" t="s">
        <v>3777</v>
      </c>
      <c r="V1293" s="254">
        <v>910</v>
      </c>
      <c r="W1293" s="1262" t="s">
        <v>2994</v>
      </c>
      <c r="X1293" s="206">
        <v>910</v>
      </c>
      <c r="Y1293" s="192"/>
    </row>
    <row r="1294" ht="37.5" customHeight="1" spans="1:25">
      <c r="A1294" s="192">
        <f t="shared" si="30"/>
        <v>1286</v>
      </c>
      <c r="B1294" s="208">
        <v>2023</v>
      </c>
      <c r="C1294" s="193" t="s">
        <v>37</v>
      </c>
      <c r="D1294" s="277" t="s">
        <v>4850</v>
      </c>
      <c r="E1294" s="195" t="s">
        <v>4894</v>
      </c>
      <c r="F1294" s="196" t="s">
        <v>2073</v>
      </c>
      <c r="G1294" s="197" t="s">
        <v>3239</v>
      </c>
      <c r="H1294" s="198">
        <v>0.8</v>
      </c>
      <c r="I1294" s="199">
        <v>13178.05</v>
      </c>
      <c r="J1294" s="200" t="s">
        <v>3050</v>
      </c>
      <c r="K1294" s="200" t="s">
        <v>4093</v>
      </c>
      <c r="L1294" s="201">
        <v>0.4</v>
      </c>
      <c r="M1294" s="278" t="s">
        <v>4719</v>
      </c>
      <c r="N1294" s="205">
        <v>250</v>
      </c>
      <c r="O1294" s="254">
        <v>250</v>
      </c>
      <c r="P1294" s="254">
        <v>200</v>
      </c>
      <c r="Q1294" s="254">
        <v>200</v>
      </c>
      <c r="R1294" s="1262" t="s">
        <v>2633</v>
      </c>
      <c r="S1294" s="254">
        <v>100</v>
      </c>
      <c r="T1294" s="204">
        <v>45105</v>
      </c>
      <c r="U1294" s="1262" t="s">
        <v>3777</v>
      </c>
      <c r="V1294" s="254">
        <v>50</v>
      </c>
      <c r="W1294" s="1262" t="s">
        <v>2994</v>
      </c>
      <c r="X1294" s="206">
        <v>50</v>
      </c>
      <c r="Y1294" s="192"/>
    </row>
    <row r="1295" ht="37.5" customHeight="1" spans="1:25">
      <c r="A1295" s="192">
        <f t="shared" si="30"/>
        <v>1287</v>
      </c>
      <c r="B1295" s="208">
        <v>2023</v>
      </c>
      <c r="C1295" s="193" t="s">
        <v>37</v>
      </c>
      <c r="D1295" s="277" t="s">
        <v>4793</v>
      </c>
      <c r="E1295" s="195" t="s">
        <v>4895</v>
      </c>
      <c r="F1295" s="196" t="s">
        <v>2073</v>
      </c>
      <c r="G1295" s="197" t="s">
        <v>3239</v>
      </c>
      <c r="H1295" s="198">
        <v>0.8</v>
      </c>
      <c r="I1295" s="199">
        <v>17190.27</v>
      </c>
      <c r="J1295" s="200" t="s">
        <v>2903</v>
      </c>
      <c r="K1295" s="200" t="s">
        <v>4896</v>
      </c>
      <c r="L1295" s="201">
        <v>0.4</v>
      </c>
      <c r="M1295" s="278" t="s">
        <v>4719</v>
      </c>
      <c r="N1295" s="205">
        <v>5000</v>
      </c>
      <c r="O1295" s="254">
        <v>5000</v>
      </c>
      <c r="P1295" s="254">
        <v>4000</v>
      </c>
      <c r="Q1295" s="254">
        <v>4000</v>
      </c>
      <c r="R1295" s="1262" t="s">
        <v>2633</v>
      </c>
      <c r="S1295" s="254">
        <v>2000</v>
      </c>
      <c r="T1295" s="204">
        <v>45105</v>
      </c>
      <c r="U1295" s="1262" t="s">
        <v>3777</v>
      </c>
      <c r="V1295" s="254">
        <v>1000</v>
      </c>
      <c r="W1295" s="1262" t="s">
        <v>2994</v>
      </c>
      <c r="X1295" s="206">
        <v>1000</v>
      </c>
      <c r="Y1295" s="192"/>
    </row>
    <row r="1296" ht="37.5" customHeight="1" spans="1:25">
      <c r="A1296" s="192">
        <f t="shared" si="30"/>
        <v>1288</v>
      </c>
      <c r="B1296" s="208">
        <v>2023</v>
      </c>
      <c r="C1296" s="193" t="s">
        <v>37</v>
      </c>
      <c r="D1296" s="277" t="s">
        <v>4798</v>
      </c>
      <c r="E1296" s="195" t="s">
        <v>4897</v>
      </c>
      <c r="F1296" s="196" t="s">
        <v>2073</v>
      </c>
      <c r="G1296" s="197" t="s">
        <v>3239</v>
      </c>
      <c r="H1296" s="198">
        <v>0.8</v>
      </c>
      <c r="I1296" s="199">
        <v>13600</v>
      </c>
      <c r="J1296" s="200" t="s">
        <v>3044</v>
      </c>
      <c r="K1296" s="200" t="s">
        <v>4522</v>
      </c>
      <c r="L1296" s="201">
        <v>0.4</v>
      </c>
      <c r="M1296" s="278" t="s">
        <v>4800</v>
      </c>
      <c r="N1296" s="205">
        <v>10783.34</v>
      </c>
      <c r="O1296" s="254">
        <v>10783.34</v>
      </c>
      <c r="P1296" s="254">
        <v>8626.67</v>
      </c>
      <c r="Q1296" s="254">
        <v>8626.67</v>
      </c>
      <c r="R1296" s="1262" t="s">
        <v>2633</v>
      </c>
      <c r="S1296" s="254">
        <v>4313.34</v>
      </c>
      <c r="T1296" s="204">
        <v>45105</v>
      </c>
      <c r="U1296" s="1262" t="s">
        <v>3777</v>
      </c>
      <c r="V1296" s="254">
        <v>2156.67</v>
      </c>
      <c r="W1296" s="1262" t="s">
        <v>2994</v>
      </c>
      <c r="X1296" s="206">
        <v>2156.67</v>
      </c>
      <c r="Y1296" s="192"/>
    </row>
    <row r="1297" ht="37.5" customHeight="1" spans="1:25">
      <c r="A1297" s="192">
        <f t="shared" si="30"/>
        <v>1289</v>
      </c>
      <c r="B1297" s="208">
        <v>2023</v>
      </c>
      <c r="C1297" s="193" t="s">
        <v>37</v>
      </c>
      <c r="D1297" s="277" t="s">
        <v>4898</v>
      </c>
      <c r="E1297" s="195" t="s">
        <v>4899</v>
      </c>
      <c r="F1297" s="196" t="s">
        <v>2073</v>
      </c>
      <c r="G1297" s="197" t="s">
        <v>3239</v>
      </c>
      <c r="H1297" s="198">
        <v>0.8</v>
      </c>
      <c r="I1297" s="199">
        <v>14000</v>
      </c>
      <c r="J1297" s="200" t="s">
        <v>3044</v>
      </c>
      <c r="K1297" s="200" t="s">
        <v>4522</v>
      </c>
      <c r="L1297" s="201">
        <v>0.4</v>
      </c>
      <c r="M1297" s="278" t="s">
        <v>4489</v>
      </c>
      <c r="N1297" s="205">
        <v>7000.01</v>
      </c>
      <c r="O1297" s="254">
        <v>7000.01</v>
      </c>
      <c r="P1297" s="254">
        <v>5600.01</v>
      </c>
      <c r="Q1297" s="254">
        <v>5600.01</v>
      </c>
      <c r="R1297" s="1262" t="s">
        <v>2633</v>
      </c>
      <c r="S1297" s="254">
        <v>2800</v>
      </c>
      <c r="T1297" s="204">
        <v>45105</v>
      </c>
      <c r="U1297" s="1262" t="s">
        <v>3777</v>
      </c>
      <c r="V1297" s="254">
        <v>1400</v>
      </c>
      <c r="W1297" s="1262" t="s">
        <v>2994</v>
      </c>
      <c r="X1297" s="206">
        <v>1400</v>
      </c>
      <c r="Y1297" s="192"/>
    </row>
    <row r="1298" ht="37.5" customHeight="1" spans="1:25">
      <c r="A1298" s="192">
        <f t="shared" si="30"/>
        <v>1290</v>
      </c>
      <c r="B1298" s="208">
        <v>2023</v>
      </c>
      <c r="C1298" s="193" t="s">
        <v>37</v>
      </c>
      <c r="D1298" s="277" t="s">
        <v>4720</v>
      </c>
      <c r="E1298" s="195" t="s">
        <v>4900</v>
      </c>
      <c r="F1298" s="196" t="s">
        <v>2073</v>
      </c>
      <c r="G1298" s="197" t="s">
        <v>3239</v>
      </c>
      <c r="H1298" s="198">
        <v>0.8</v>
      </c>
      <c r="I1298" s="199">
        <v>15486.35</v>
      </c>
      <c r="J1298" s="200" t="s">
        <v>3012</v>
      </c>
      <c r="K1298" s="200" t="s">
        <v>4901</v>
      </c>
      <c r="L1298" s="201">
        <v>0.4</v>
      </c>
      <c r="M1298" s="278" t="s">
        <v>4277</v>
      </c>
      <c r="N1298" s="205">
        <v>1250</v>
      </c>
      <c r="O1298" s="254">
        <v>1250</v>
      </c>
      <c r="P1298" s="254">
        <v>1000</v>
      </c>
      <c r="Q1298" s="254">
        <v>1000</v>
      </c>
      <c r="R1298" s="1262" t="s">
        <v>2633</v>
      </c>
      <c r="S1298" s="254">
        <v>500</v>
      </c>
      <c r="T1298" s="204">
        <v>45105</v>
      </c>
      <c r="U1298" s="1262" t="s">
        <v>3777</v>
      </c>
      <c r="V1298" s="254">
        <v>250</v>
      </c>
      <c r="W1298" s="1262" t="s">
        <v>2994</v>
      </c>
      <c r="X1298" s="206">
        <v>250</v>
      </c>
      <c r="Y1298" s="192"/>
    </row>
    <row r="1299" ht="37.5" customHeight="1" spans="1:25">
      <c r="A1299" s="192">
        <f t="shared" si="30"/>
        <v>1291</v>
      </c>
      <c r="B1299" s="208">
        <v>2023</v>
      </c>
      <c r="C1299" s="193" t="s">
        <v>37</v>
      </c>
      <c r="D1299" s="277" t="s">
        <v>4902</v>
      </c>
      <c r="E1299" s="195" t="s">
        <v>4903</v>
      </c>
      <c r="F1299" s="196" t="s">
        <v>2073</v>
      </c>
      <c r="G1299" s="197" t="s">
        <v>3239</v>
      </c>
      <c r="H1299" s="198">
        <v>0.8</v>
      </c>
      <c r="I1299" s="199">
        <v>37469</v>
      </c>
      <c r="J1299" s="200" t="s">
        <v>2906</v>
      </c>
      <c r="K1299" s="200" t="s">
        <v>4904</v>
      </c>
      <c r="L1299" s="201">
        <v>0.4</v>
      </c>
      <c r="M1299" s="278" t="s">
        <v>4751</v>
      </c>
      <c r="N1299" s="205">
        <v>28890.85</v>
      </c>
      <c r="O1299" s="254">
        <v>28890.85</v>
      </c>
      <c r="P1299" s="254">
        <v>23112.68</v>
      </c>
      <c r="Q1299" s="254">
        <v>23112.68</v>
      </c>
      <c r="R1299" s="1262" t="s">
        <v>2633</v>
      </c>
      <c r="S1299" s="254">
        <v>11556.34</v>
      </c>
      <c r="T1299" s="204">
        <v>45105</v>
      </c>
      <c r="U1299" s="1262" t="s">
        <v>3777</v>
      </c>
      <c r="V1299" s="254">
        <v>5778.17</v>
      </c>
      <c r="W1299" s="1262" t="s">
        <v>2994</v>
      </c>
      <c r="X1299" s="206">
        <v>5778.17</v>
      </c>
      <c r="Y1299" s="192"/>
    </row>
    <row r="1300" ht="37.5" customHeight="1" spans="1:25">
      <c r="A1300" s="192">
        <f t="shared" si="30"/>
        <v>1292</v>
      </c>
      <c r="B1300" s="208">
        <v>2023</v>
      </c>
      <c r="C1300" s="193" t="s">
        <v>37</v>
      </c>
      <c r="D1300" s="277" t="s">
        <v>4868</v>
      </c>
      <c r="E1300" s="195" t="s">
        <v>4905</v>
      </c>
      <c r="F1300" s="196" t="s">
        <v>2073</v>
      </c>
      <c r="G1300" s="197" t="s">
        <v>3239</v>
      </c>
      <c r="H1300" s="198">
        <v>0.8</v>
      </c>
      <c r="I1300" s="199">
        <v>12683.28</v>
      </c>
      <c r="J1300" s="200" t="s">
        <v>3100</v>
      </c>
      <c r="K1300" s="200" t="s">
        <v>4906</v>
      </c>
      <c r="L1300" s="201">
        <v>0.4</v>
      </c>
      <c r="M1300" s="278" t="s">
        <v>4215</v>
      </c>
      <c r="N1300" s="205">
        <v>8333.34</v>
      </c>
      <c r="O1300" s="254">
        <v>8333.34</v>
      </c>
      <c r="P1300" s="254">
        <v>6666.67</v>
      </c>
      <c r="Q1300" s="254">
        <v>6666.67</v>
      </c>
      <c r="R1300" s="1262" t="s">
        <v>2633</v>
      </c>
      <c r="S1300" s="254">
        <v>3333.34</v>
      </c>
      <c r="T1300" s="204">
        <v>45105</v>
      </c>
      <c r="U1300" s="1262" t="s">
        <v>3777</v>
      </c>
      <c r="V1300" s="254">
        <v>1666.67</v>
      </c>
      <c r="W1300" s="1262" t="s">
        <v>2994</v>
      </c>
      <c r="X1300" s="206">
        <v>1666.67</v>
      </c>
      <c r="Y1300" s="192"/>
    </row>
    <row r="1301" ht="37.5" customHeight="1" spans="1:25">
      <c r="A1301" s="192">
        <f t="shared" si="30"/>
        <v>1293</v>
      </c>
      <c r="B1301" s="208">
        <v>2023</v>
      </c>
      <c r="C1301" s="193" t="s">
        <v>37</v>
      </c>
      <c r="D1301" s="277" t="s">
        <v>4754</v>
      </c>
      <c r="E1301" s="195" t="s">
        <v>4907</v>
      </c>
      <c r="F1301" s="196" t="s">
        <v>2073</v>
      </c>
      <c r="G1301" s="197" t="s">
        <v>3239</v>
      </c>
      <c r="H1301" s="198">
        <v>0.8</v>
      </c>
      <c r="I1301" s="199">
        <v>50000</v>
      </c>
      <c r="J1301" s="200" t="s">
        <v>4908</v>
      </c>
      <c r="K1301" s="200" t="s">
        <v>4909</v>
      </c>
      <c r="L1301" s="201">
        <v>0.4</v>
      </c>
      <c r="M1301" s="278" t="s">
        <v>2655</v>
      </c>
      <c r="N1301" s="205">
        <v>41666.68</v>
      </c>
      <c r="O1301" s="254">
        <v>41666.68</v>
      </c>
      <c r="P1301" s="254">
        <v>33333.34</v>
      </c>
      <c r="Q1301" s="254">
        <v>33333.34</v>
      </c>
      <c r="R1301" s="1262" t="s">
        <v>2633</v>
      </c>
      <c r="S1301" s="254">
        <v>16666.67</v>
      </c>
      <c r="T1301" s="204">
        <v>45105</v>
      </c>
      <c r="U1301" s="1262" t="s">
        <v>3777</v>
      </c>
      <c r="V1301" s="254">
        <v>8333.34</v>
      </c>
      <c r="W1301" s="1262" t="s">
        <v>2994</v>
      </c>
      <c r="X1301" s="206">
        <v>8333.34</v>
      </c>
      <c r="Y1301" s="192"/>
    </row>
    <row r="1302" ht="37.5" customHeight="1" spans="1:25">
      <c r="A1302" s="192">
        <f t="shared" si="30"/>
        <v>1294</v>
      </c>
      <c r="B1302" s="208">
        <v>2023</v>
      </c>
      <c r="C1302" s="193" t="s">
        <v>37</v>
      </c>
      <c r="D1302" s="277" t="s">
        <v>4381</v>
      </c>
      <c r="E1302" s="195" t="s">
        <v>4910</v>
      </c>
      <c r="F1302" s="196" t="s">
        <v>2073</v>
      </c>
      <c r="G1302" s="197" t="s">
        <v>3239</v>
      </c>
      <c r="H1302" s="198">
        <v>0.8</v>
      </c>
      <c r="I1302" s="199">
        <v>17816.65</v>
      </c>
      <c r="J1302" s="200" t="s">
        <v>2888</v>
      </c>
      <c r="K1302" s="200" t="s">
        <v>4911</v>
      </c>
      <c r="L1302" s="201">
        <v>0.4</v>
      </c>
      <c r="M1302" s="278" t="s">
        <v>2898</v>
      </c>
      <c r="N1302" s="205">
        <v>5833.34</v>
      </c>
      <c r="O1302" s="254">
        <v>5833.34</v>
      </c>
      <c r="P1302" s="254">
        <v>4666.67</v>
      </c>
      <c r="Q1302" s="254">
        <v>4666.67</v>
      </c>
      <c r="R1302" s="1262" t="s">
        <v>2633</v>
      </c>
      <c r="S1302" s="254">
        <v>2333.34</v>
      </c>
      <c r="T1302" s="204">
        <v>45105</v>
      </c>
      <c r="U1302" s="1262" t="s">
        <v>3777</v>
      </c>
      <c r="V1302" s="254">
        <v>1166.67</v>
      </c>
      <c r="W1302" s="1262" t="s">
        <v>2994</v>
      </c>
      <c r="X1302" s="206">
        <v>1166.67</v>
      </c>
      <c r="Y1302" s="192"/>
    </row>
    <row r="1303" ht="37.5" customHeight="1" spans="1:25">
      <c r="A1303" s="192">
        <f t="shared" si="30"/>
        <v>1295</v>
      </c>
      <c r="B1303" s="208">
        <v>2023</v>
      </c>
      <c r="C1303" s="193" t="s">
        <v>37</v>
      </c>
      <c r="D1303" s="277" t="s">
        <v>4829</v>
      </c>
      <c r="E1303" s="195" t="s">
        <v>4912</v>
      </c>
      <c r="F1303" s="196" t="s">
        <v>2073</v>
      </c>
      <c r="G1303" s="197" t="s">
        <v>3239</v>
      </c>
      <c r="H1303" s="198">
        <v>0.8</v>
      </c>
      <c r="I1303" s="199">
        <v>49860</v>
      </c>
      <c r="J1303" s="200" t="s">
        <v>2026</v>
      </c>
      <c r="K1303" s="200" t="s">
        <v>4539</v>
      </c>
      <c r="L1303" s="201">
        <v>0.4</v>
      </c>
      <c r="M1303" s="278" t="s">
        <v>4769</v>
      </c>
      <c r="N1303" s="205">
        <v>29166.68</v>
      </c>
      <c r="O1303" s="254">
        <v>29166.68</v>
      </c>
      <c r="P1303" s="254">
        <v>23333.34</v>
      </c>
      <c r="Q1303" s="254">
        <v>23333.34</v>
      </c>
      <c r="R1303" s="1262" t="s">
        <v>2633</v>
      </c>
      <c r="S1303" s="254">
        <v>11666.67</v>
      </c>
      <c r="T1303" s="204">
        <v>45105</v>
      </c>
      <c r="U1303" s="1262" t="s">
        <v>3777</v>
      </c>
      <c r="V1303" s="254">
        <v>5833.34</v>
      </c>
      <c r="W1303" s="1262" t="s">
        <v>2994</v>
      </c>
      <c r="X1303" s="206">
        <v>5833.34</v>
      </c>
      <c r="Y1303" s="192"/>
    </row>
    <row r="1304" ht="37.5" customHeight="1" spans="1:25">
      <c r="A1304" s="192">
        <f t="shared" si="30"/>
        <v>1296</v>
      </c>
      <c r="B1304" s="208">
        <v>2023</v>
      </c>
      <c r="C1304" s="193" t="s">
        <v>37</v>
      </c>
      <c r="D1304" s="277" t="s">
        <v>4754</v>
      </c>
      <c r="E1304" s="195" t="s">
        <v>4913</v>
      </c>
      <c r="F1304" s="196" t="s">
        <v>2073</v>
      </c>
      <c r="G1304" s="197" t="s">
        <v>3239</v>
      </c>
      <c r="H1304" s="198">
        <v>0.8</v>
      </c>
      <c r="I1304" s="199">
        <v>70000</v>
      </c>
      <c r="J1304" s="200" t="s">
        <v>2968</v>
      </c>
      <c r="K1304" s="200" t="s">
        <v>4914</v>
      </c>
      <c r="L1304" s="201">
        <v>0.4</v>
      </c>
      <c r="M1304" s="278" t="s">
        <v>2655</v>
      </c>
      <c r="N1304" s="205">
        <v>64166.67</v>
      </c>
      <c r="O1304" s="254">
        <v>64166.67</v>
      </c>
      <c r="P1304" s="254">
        <v>51333.34</v>
      </c>
      <c r="Q1304" s="254">
        <v>51333.34</v>
      </c>
      <c r="R1304" s="1262" t="s">
        <v>2633</v>
      </c>
      <c r="S1304" s="254">
        <v>25666.67</v>
      </c>
      <c r="T1304" s="204">
        <v>45105</v>
      </c>
      <c r="U1304" s="1262" t="s">
        <v>3777</v>
      </c>
      <c r="V1304" s="254">
        <v>12833.33</v>
      </c>
      <c r="W1304" s="1262" t="s">
        <v>2994</v>
      </c>
      <c r="X1304" s="206">
        <v>12833.33</v>
      </c>
      <c r="Y1304" s="192"/>
    </row>
    <row r="1305" ht="37.5" customHeight="1" spans="1:25">
      <c r="A1305" s="192">
        <f t="shared" si="30"/>
        <v>1297</v>
      </c>
      <c r="B1305" s="208">
        <v>2023</v>
      </c>
      <c r="C1305" s="193" t="s">
        <v>37</v>
      </c>
      <c r="D1305" s="277" t="s">
        <v>4381</v>
      </c>
      <c r="E1305" s="195" t="s">
        <v>4915</v>
      </c>
      <c r="F1305" s="196" t="s">
        <v>2073</v>
      </c>
      <c r="G1305" s="197" t="s">
        <v>3239</v>
      </c>
      <c r="H1305" s="198">
        <v>0.8</v>
      </c>
      <c r="I1305" s="199">
        <v>17816.65</v>
      </c>
      <c r="J1305" s="200" t="s">
        <v>3076</v>
      </c>
      <c r="K1305" s="200" t="s">
        <v>3194</v>
      </c>
      <c r="L1305" s="201">
        <v>0.4</v>
      </c>
      <c r="M1305" s="278" t="s">
        <v>2898</v>
      </c>
      <c r="N1305" s="205">
        <v>7700</v>
      </c>
      <c r="O1305" s="254">
        <v>7700</v>
      </c>
      <c r="P1305" s="254">
        <v>6160</v>
      </c>
      <c r="Q1305" s="254">
        <v>6160</v>
      </c>
      <c r="R1305" s="1262" t="s">
        <v>2633</v>
      </c>
      <c r="S1305" s="254">
        <v>3080</v>
      </c>
      <c r="T1305" s="204">
        <v>45105</v>
      </c>
      <c r="U1305" s="1262" t="s">
        <v>3777</v>
      </c>
      <c r="V1305" s="254">
        <v>1540</v>
      </c>
      <c r="W1305" s="1262" t="s">
        <v>2994</v>
      </c>
      <c r="X1305" s="206">
        <v>1540</v>
      </c>
      <c r="Y1305" s="192"/>
    </row>
    <row r="1306" ht="37.5" customHeight="1" spans="1:25">
      <c r="A1306" s="192">
        <f t="shared" si="30"/>
        <v>1298</v>
      </c>
      <c r="B1306" s="208">
        <v>2023</v>
      </c>
      <c r="C1306" s="193" t="s">
        <v>37</v>
      </c>
      <c r="D1306" s="277" t="s">
        <v>4319</v>
      </c>
      <c r="E1306" s="195" t="s">
        <v>4916</v>
      </c>
      <c r="F1306" s="196" t="s">
        <v>2073</v>
      </c>
      <c r="G1306" s="197" t="s">
        <v>3239</v>
      </c>
      <c r="H1306" s="198">
        <v>0.8</v>
      </c>
      <c r="I1306" s="199">
        <v>13016.62</v>
      </c>
      <c r="J1306" s="200" t="s">
        <v>2979</v>
      </c>
      <c r="K1306" s="200" t="s">
        <v>4917</v>
      </c>
      <c r="L1306" s="201">
        <v>0.4</v>
      </c>
      <c r="M1306" s="278" t="s">
        <v>4235</v>
      </c>
      <c r="N1306" s="205">
        <v>2475</v>
      </c>
      <c r="O1306" s="254">
        <v>2475</v>
      </c>
      <c r="P1306" s="254">
        <v>1980</v>
      </c>
      <c r="Q1306" s="254">
        <v>1980</v>
      </c>
      <c r="R1306" s="1262" t="s">
        <v>2633</v>
      </c>
      <c r="S1306" s="254">
        <v>990</v>
      </c>
      <c r="T1306" s="204">
        <v>45105</v>
      </c>
      <c r="U1306" s="1262" t="s">
        <v>3777</v>
      </c>
      <c r="V1306" s="254">
        <v>495</v>
      </c>
      <c r="W1306" s="1262" t="s">
        <v>2994</v>
      </c>
      <c r="X1306" s="206">
        <v>495</v>
      </c>
      <c r="Y1306" s="192"/>
    </row>
    <row r="1307" ht="37.5" customHeight="1" spans="1:25">
      <c r="A1307" s="192">
        <f t="shared" si="30"/>
        <v>1299</v>
      </c>
      <c r="B1307" s="208">
        <v>2023</v>
      </c>
      <c r="C1307" s="193" t="s">
        <v>37</v>
      </c>
      <c r="D1307" s="277" t="s">
        <v>4918</v>
      </c>
      <c r="E1307" s="195" t="s">
        <v>4919</v>
      </c>
      <c r="F1307" s="196" t="s">
        <v>2073</v>
      </c>
      <c r="G1307" s="197" t="s">
        <v>3239</v>
      </c>
      <c r="H1307" s="198">
        <v>0.8</v>
      </c>
      <c r="I1307" s="199">
        <v>25000</v>
      </c>
      <c r="J1307" s="200" t="s">
        <v>3513</v>
      </c>
      <c r="K1307" s="200" t="s">
        <v>4920</v>
      </c>
      <c r="L1307" s="201">
        <v>0.4</v>
      </c>
      <c r="M1307" s="278" t="s">
        <v>3465</v>
      </c>
      <c r="N1307" s="205">
        <v>25000</v>
      </c>
      <c r="O1307" s="254">
        <v>25000</v>
      </c>
      <c r="P1307" s="254">
        <v>20000</v>
      </c>
      <c r="Q1307" s="254">
        <v>20000</v>
      </c>
      <c r="R1307" s="1262" t="s">
        <v>2633</v>
      </c>
      <c r="S1307" s="254">
        <v>10000</v>
      </c>
      <c r="T1307" s="204">
        <v>45105</v>
      </c>
      <c r="U1307" s="1262" t="s">
        <v>3777</v>
      </c>
      <c r="V1307" s="254">
        <v>5000</v>
      </c>
      <c r="W1307" s="1262" t="s">
        <v>2994</v>
      </c>
      <c r="X1307" s="206">
        <v>5000</v>
      </c>
      <c r="Y1307" s="192"/>
    </row>
    <row r="1308" ht="37.5" customHeight="1" spans="1:25">
      <c r="A1308" s="192">
        <f t="shared" si="30"/>
        <v>1300</v>
      </c>
      <c r="B1308" s="208">
        <v>2023</v>
      </c>
      <c r="C1308" s="193" t="s">
        <v>37</v>
      </c>
      <c r="D1308" s="277" t="s">
        <v>4921</v>
      </c>
      <c r="E1308" s="195" t="s">
        <v>4922</v>
      </c>
      <c r="F1308" s="196" t="s">
        <v>2073</v>
      </c>
      <c r="G1308" s="197" t="s">
        <v>3239</v>
      </c>
      <c r="H1308" s="198">
        <v>0.8</v>
      </c>
      <c r="I1308" s="199">
        <v>15403.7</v>
      </c>
      <c r="J1308" s="200" t="s">
        <v>3241</v>
      </c>
      <c r="K1308" s="200" t="s">
        <v>4923</v>
      </c>
      <c r="L1308" s="201">
        <v>0.4</v>
      </c>
      <c r="M1308" s="278" t="s">
        <v>4292</v>
      </c>
      <c r="N1308" s="205">
        <v>10000</v>
      </c>
      <c r="O1308" s="254">
        <v>10000</v>
      </c>
      <c r="P1308" s="254">
        <v>8000</v>
      </c>
      <c r="Q1308" s="254">
        <v>8000</v>
      </c>
      <c r="R1308" s="1262" t="s">
        <v>2633</v>
      </c>
      <c r="S1308" s="254">
        <v>4000</v>
      </c>
      <c r="T1308" s="204">
        <v>45105</v>
      </c>
      <c r="U1308" s="1262" t="s">
        <v>3777</v>
      </c>
      <c r="V1308" s="254">
        <v>2000</v>
      </c>
      <c r="W1308" s="1262" t="s">
        <v>2994</v>
      </c>
      <c r="X1308" s="206">
        <v>2000</v>
      </c>
      <c r="Y1308" s="192"/>
    </row>
    <row r="1309" ht="37.5" customHeight="1" spans="1:25">
      <c r="A1309" s="192">
        <f t="shared" si="30"/>
        <v>1301</v>
      </c>
      <c r="B1309" s="208">
        <v>2023</v>
      </c>
      <c r="C1309" s="193" t="s">
        <v>37</v>
      </c>
      <c r="D1309" s="277" t="s">
        <v>4708</v>
      </c>
      <c r="E1309" s="195" t="s">
        <v>4924</v>
      </c>
      <c r="F1309" s="196" t="s">
        <v>2073</v>
      </c>
      <c r="G1309" s="197" t="s">
        <v>3239</v>
      </c>
      <c r="H1309" s="198">
        <v>0.8</v>
      </c>
      <c r="I1309" s="199">
        <v>15000</v>
      </c>
      <c r="J1309" s="200" t="s">
        <v>3487</v>
      </c>
      <c r="K1309" s="200" t="s">
        <v>4925</v>
      </c>
      <c r="L1309" s="201">
        <v>0.4</v>
      </c>
      <c r="M1309" s="278" t="s">
        <v>2898</v>
      </c>
      <c r="N1309" s="205">
        <v>15000</v>
      </c>
      <c r="O1309" s="254">
        <v>15000</v>
      </c>
      <c r="P1309" s="254">
        <v>12000</v>
      </c>
      <c r="Q1309" s="254">
        <v>12000</v>
      </c>
      <c r="R1309" s="1262" t="s">
        <v>2633</v>
      </c>
      <c r="S1309" s="254">
        <v>6000</v>
      </c>
      <c r="T1309" s="204">
        <v>45105</v>
      </c>
      <c r="U1309" s="1262" t="s">
        <v>3777</v>
      </c>
      <c r="V1309" s="254">
        <v>3000</v>
      </c>
      <c r="W1309" s="1262" t="s">
        <v>2994</v>
      </c>
      <c r="X1309" s="206">
        <v>3000</v>
      </c>
      <c r="Y1309" s="192"/>
    </row>
    <row r="1310" ht="37.5" customHeight="1" spans="1:25">
      <c r="A1310" s="192">
        <f t="shared" ref="A1310:A1373" si="31">ROW()-8</f>
        <v>1302</v>
      </c>
      <c r="B1310" s="208">
        <v>2023</v>
      </c>
      <c r="C1310" s="193" t="s">
        <v>37</v>
      </c>
      <c r="D1310" s="277" t="s">
        <v>4926</v>
      </c>
      <c r="E1310" s="195" t="s">
        <v>4927</v>
      </c>
      <c r="F1310" s="196" t="s">
        <v>2073</v>
      </c>
      <c r="G1310" s="197" t="s">
        <v>3239</v>
      </c>
      <c r="H1310" s="198">
        <v>0.8</v>
      </c>
      <c r="I1310" s="199">
        <v>159000</v>
      </c>
      <c r="J1310" s="200" t="s">
        <v>1922</v>
      </c>
      <c r="K1310" s="200" t="s">
        <v>4928</v>
      </c>
      <c r="L1310" s="201">
        <v>0.4</v>
      </c>
      <c r="M1310" s="278" t="s">
        <v>4929</v>
      </c>
      <c r="N1310" s="205">
        <v>6677.52</v>
      </c>
      <c r="O1310" s="254">
        <v>6677.52</v>
      </c>
      <c r="P1310" s="254">
        <v>5342.02</v>
      </c>
      <c r="Q1310" s="254">
        <v>5342.02</v>
      </c>
      <c r="R1310" s="1262" t="s">
        <v>2633</v>
      </c>
      <c r="S1310" s="254">
        <v>2671.01</v>
      </c>
      <c r="T1310" s="204">
        <v>45105</v>
      </c>
      <c r="U1310" s="1262" t="s">
        <v>3777</v>
      </c>
      <c r="V1310" s="254">
        <v>1335.5</v>
      </c>
      <c r="W1310" s="1262" t="s">
        <v>2994</v>
      </c>
      <c r="X1310" s="206">
        <v>1335.5</v>
      </c>
      <c r="Y1310" s="192"/>
    </row>
    <row r="1311" ht="37.5" customHeight="1" spans="1:25">
      <c r="A1311" s="192">
        <f t="shared" si="31"/>
        <v>1303</v>
      </c>
      <c r="B1311" s="208">
        <v>2023</v>
      </c>
      <c r="C1311" s="193" t="s">
        <v>37</v>
      </c>
      <c r="D1311" s="277" t="s">
        <v>4694</v>
      </c>
      <c r="E1311" s="195" t="s">
        <v>4930</v>
      </c>
      <c r="F1311" s="196" t="s">
        <v>2073</v>
      </c>
      <c r="G1311" s="197" t="s">
        <v>3239</v>
      </c>
      <c r="H1311" s="198">
        <v>0.8</v>
      </c>
      <c r="I1311" s="199">
        <v>364800</v>
      </c>
      <c r="J1311" s="200" t="s">
        <v>3945</v>
      </c>
      <c r="K1311" s="200" t="s">
        <v>3946</v>
      </c>
      <c r="L1311" s="201">
        <v>0.4</v>
      </c>
      <c r="M1311" s="278" t="s">
        <v>3200</v>
      </c>
      <c r="N1311" s="205">
        <v>10534.45</v>
      </c>
      <c r="O1311" s="254">
        <v>10534.45</v>
      </c>
      <c r="P1311" s="254">
        <v>8427.56</v>
      </c>
      <c r="Q1311" s="254">
        <v>8427.56</v>
      </c>
      <c r="R1311" s="1262" t="s">
        <v>2633</v>
      </c>
      <c r="S1311" s="254">
        <v>4213.78</v>
      </c>
      <c r="T1311" s="204">
        <v>45105</v>
      </c>
      <c r="U1311" s="1262" t="s">
        <v>3777</v>
      </c>
      <c r="V1311" s="254">
        <v>2106.89</v>
      </c>
      <c r="W1311" s="203" t="s">
        <v>4457</v>
      </c>
      <c r="X1311" s="206">
        <v>2106.89</v>
      </c>
      <c r="Y1311" s="192"/>
    </row>
    <row r="1312" ht="37.5" customHeight="1" spans="1:25">
      <c r="A1312" s="192">
        <f t="shared" si="31"/>
        <v>1304</v>
      </c>
      <c r="B1312" s="208">
        <v>2023</v>
      </c>
      <c r="C1312" s="193" t="s">
        <v>37</v>
      </c>
      <c r="D1312" s="277" t="s">
        <v>4931</v>
      </c>
      <c r="E1312" s="195" t="s">
        <v>4932</v>
      </c>
      <c r="F1312" s="196" t="s">
        <v>2073</v>
      </c>
      <c r="G1312" s="197" t="s">
        <v>3239</v>
      </c>
      <c r="H1312" s="198">
        <v>0.8</v>
      </c>
      <c r="I1312" s="199">
        <v>200160</v>
      </c>
      <c r="J1312" s="200" t="s">
        <v>2111</v>
      </c>
      <c r="K1312" s="200" t="s">
        <v>2112</v>
      </c>
      <c r="L1312" s="201">
        <v>0.4</v>
      </c>
      <c r="M1312" s="278" t="s">
        <v>4751</v>
      </c>
      <c r="N1312" s="205">
        <v>1055.5</v>
      </c>
      <c r="O1312" s="254">
        <v>1055.5</v>
      </c>
      <c r="P1312" s="254">
        <v>844.4</v>
      </c>
      <c r="Q1312" s="254">
        <v>844.4</v>
      </c>
      <c r="R1312" s="1262" t="s">
        <v>2633</v>
      </c>
      <c r="S1312" s="254">
        <v>422.2</v>
      </c>
      <c r="T1312" s="204">
        <v>45105</v>
      </c>
      <c r="U1312" s="1262" t="s">
        <v>3777</v>
      </c>
      <c r="V1312" s="254">
        <v>211.1</v>
      </c>
      <c r="W1312" s="1262" t="s">
        <v>4457</v>
      </c>
      <c r="X1312" s="206">
        <v>211.1</v>
      </c>
      <c r="Y1312" s="192"/>
    </row>
    <row r="1313" ht="37.5" customHeight="1" spans="1:25">
      <c r="A1313" s="192">
        <f t="shared" si="31"/>
        <v>1305</v>
      </c>
      <c r="B1313" s="208">
        <v>2023</v>
      </c>
      <c r="C1313" s="193" t="s">
        <v>37</v>
      </c>
      <c r="D1313" s="277" t="s">
        <v>4692</v>
      </c>
      <c r="E1313" s="195" t="s">
        <v>4933</v>
      </c>
      <c r="F1313" s="196" t="s">
        <v>2073</v>
      </c>
      <c r="G1313" s="197" t="s">
        <v>3239</v>
      </c>
      <c r="H1313" s="198">
        <v>0.8</v>
      </c>
      <c r="I1313" s="199">
        <v>320000</v>
      </c>
      <c r="J1313" s="200" t="s">
        <v>2176</v>
      </c>
      <c r="K1313" s="200" t="s">
        <v>2177</v>
      </c>
      <c r="L1313" s="201">
        <v>0.4</v>
      </c>
      <c r="M1313" s="278" t="s">
        <v>4277</v>
      </c>
      <c r="N1313" s="205">
        <v>1699.12</v>
      </c>
      <c r="O1313" s="254">
        <v>1699.12</v>
      </c>
      <c r="P1313" s="254">
        <v>1359.3</v>
      </c>
      <c r="Q1313" s="254">
        <v>1359.3</v>
      </c>
      <c r="R1313" s="1262" t="s">
        <v>2633</v>
      </c>
      <c r="S1313" s="254">
        <v>679.65</v>
      </c>
      <c r="T1313" s="204">
        <v>45105</v>
      </c>
      <c r="U1313" s="1262" t="s">
        <v>3777</v>
      </c>
      <c r="V1313" s="254">
        <v>339.82</v>
      </c>
      <c r="W1313" s="1262" t="s">
        <v>4457</v>
      </c>
      <c r="X1313" s="206">
        <v>339.82</v>
      </c>
      <c r="Y1313" s="192"/>
    </row>
    <row r="1314" ht="37.5" customHeight="1" spans="1:25">
      <c r="A1314" s="192">
        <f t="shared" si="31"/>
        <v>1306</v>
      </c>
      <c r="B1314" s="208">
        <v>2023</v>
      </c>
      <c r="C1314" s="193" t="s">
        <v>37</v>
      </c>
      <c r="D1314" s="277" t="s">
        <v>4934</v>
      </c>
      <c r="E1314" s="195" t="s">
        <v>4935</v>
      </c>
      <c r="F1314" s="196" t="s">
        <v>2073</v>
      </c>
      <c r="G1314" s="197" t="s">
        <v>3239</v>
      </c>
      <c r="H1314" s="198">
        <v>0.8</v>
      </c>
      <c r="I1314" s="199">
        <v>85090</v>
      </c>
      <c r="J1314" s="200" t="s">
        <v>1928</v>
      </c>
      <c r="K1314" s="200" t="s">
        <v>2136</v>
      </c>
      <c r="L1314" s="201">
        <v>0.4</v>
      </c>
      <c r="M1314" s="278" t="s">
        <v>3465</v>
      </c>
      <c r="N1314" s="205">
        <v>4569.18</v>
      </c>
      <c r="O1314" s="254">
        <v>4569.18</v>
      </c>
      <c r="P1314" s="254">
        <v>3655.35</v>
      </c>
      <c r="Q1314" s="254">
        <v>3655.35</v>
      </c>
      <c r="R1314" s="1262" t="s">
        <v>2633</v>
      </c>
      <c r="S1314" s="254">
        <v>1827.67</v>
      </c>
      <c r="T1314" s="204">
        <v>45105</v>
      </c>
      <c r="U1314" s="1262" t="s">
        <v>3777</v>
      </c>
      <c r="V1314" s="254">
        <v>913.84</v>
      </c>
      <c r="W1314" s="1262" t="s">
        <v>4457</v>
      </c>
      <c r="X1314" s="206">
        <v>913.84</v>
      </c>
      <c r="Y1314" s="192"/>
    </row>
    <row r="1315" ht="37.5" customHeight="1" spans="1:25">
      <c r="A1315" s="192">
        <f t="shared" si="31"/>
        <v>1307</v>
      </c>
      <c r="B1315" s="208">
        <v>2023</v>
      </c>
      <c r="C1315" s="193" t="s">
        <v>37</v>
      </c>
      <c r="D1315" s="277" t="s">
        <v>4703</v>
      </c>
      <c r="E1315" s="195" t="s">
        <v>4936</v>
      </c>
      <c r="F1315" s="196" t="s">
        <v>2073</v>
      </c>
      <c r="G1315" s="197" t="s">
        <v>3239</v>
      </c>
      <c r="H1315" s="198">
        <v>0.8</v>
      </c>
      <c r="I1315" s="199">
        <v>309070</v>
      </c>
      <c r="J1315" s="200" t="s">
        <v>2176</v>
      </c>
      <c r="K1315" s="200" t="s">
        <v>2177</v>
      </c>
      <c r="L1315" s="201">
        <v>0.4</v>
      </c>
      <c r="M1315" s="278" t="s">
        <v>4442</v>
      </c>
      <c r="N1315" s="205">
        <v>18330.72</v>
      </c>
      <c r="O1315" s="254">
        <v>18330.72</v>
      </c>
      <c r="P1315" s="254">
        <v>14664.6</v>
      </c>
      <c r="Q1315" s="254">
        <v>14664.6</v>
      </c>
      <c r="R1315" s="1262" t="s">
        <v>2633</v>
      </c>
      <c r="S1315" s="254">
        <v>7332.29</v>
      </c>
      <c r="T1315" s="204">
        <v>45105</v>
      </c>
      <c r="U1315" s="1262" t="s">
        <v>3777</v>
      </c>
      <c r="V1315" s="254">
        <v>3666.14</v>
      </c>
      <c r="W1315" s="203" t="s">
        <v>4457</v>
      </c>
      <c r="X1315" s="206">
        <v>3666.14</v>
      </c>
      <c r="Y1315" s="192"/>
    </row>
    <row r="1316" ht="37.5" customHeight="1" spans="1:25">
      <c r="A1316" s="192">
        <f t="shared" si="31"/>
        <v>1308</v>
      </c>
      <c r="B1316" s="208">
        <v>2023</v>
      </c>
      <c r="C1316" s="193" t="s">
        <v>37</v>
      </c>
      <c r="D1316" s="277" t="s">
        <v>4763</v>
      </c>
      <c r="E1316" s="195" t="s">
        <v>4937</v>
      </c>
      <c r="F1316" s="196" t="s">
        <v>2073</v>
      </c>
      <c r="G1316" s="197" t="s">
        <v>3239</v>
      </c>
      <c r="H1316" s="198">
        <v>0.8</v>
      </c>
      <c r="I1316" s="199">
        <v>400370</v>
      </c>
      <c r="J1316" s="200" t="s">
        <v>1824</v>
      </c>
      <c r="K1316" s="200" t="s">
        <v>2102</v>
      </c>
      <c r="L1316" s="201">
        <v>0.4</v>
      </c>
      <c r="M1316" s="278" t="s">
        <v>4719</v>
      </c>
      <c r="N1316" s="205">
        <v>29673.46</v>
      </c>
      <c r="O1316" s="254">
        <v>29673.46</v>
      </c>
      <c r="P1316" s="254">
        <v>23738.77</v>
      </c>
      <c r="Q1316" s="254">
        <v>23738.77</v>
      </c>
      <c r="R1316" s="1262" t="s">
        <v>2633</v>
      </c>
      <c r="S1316" s="254">
        <v>11869.38</v>
      </c>
      <c r="T1316" s="204">
        <v>45105</v>
      </c>
      <c r="U1316" s="1262" t="s">
        <v>3777</v>
      </c>
      <c r="V1316" s="254">
        <v>5934.69</v>
      </c>
      <c r="W1316" s="203" t="s">
        <v>4457</v>
      </c>
      <c r="X1316" s="206">
        <v>5934.69</v>
      </c>
      <c r="Y1316" s="192"/>
    </row>
    <row r="1317" ht="37.5" customHeight="1" spans="1:25">
      <c r="A1317" s="192">
        <f t="shared" si="31"/>
        <v>1309</v>
      </c>
      <c r="B1317" s="208">
        <v>2023</v>
      </c>
      <c r="C1317" s="193" t="s">
        <v>37</v>
      </c>
      <c r="D1317" s="277" t="s">
        <v>4724</v>
      </c>
      <c r="E1317" s="195" t="s">
        <v>4938</v>
      </c>
      <c r="F1317" s="196" t="s">
        <v>2073</v>
      </c>
      <c r="G1317" s="197" t="s">
        <v>3239</v>
      </c>
      <c r="H1317" s="198">
        <v>0.8</v>
      </c>
      <c r="I1317" s="199">
        <v>76000</v>
      </c>
      <c r="J1317" s="200" t="s">
        <v>2172</v>
      </c>
      <c r="K1317" s="200" t="s">
        <v>2173</v>
      </c>
      <c r="L1317" s="201">
        <v>0.4</v>
      </c>
      <c r="M1317" s="278" t="s">
        <v>4726</v>
      </c>
      <c r="N1317" s="205">
        <v>2732.1</v>
      </c>
      <c r="O1317" s="254">
        <v>2732.1</v>
      </c>
      <c r="P1317" s="254">
        <v>2185.68</v>
      </c>
      <c r="Q1317" s="254">
        <v>2185.68</v>
      </c>
      <c r="R1317" s="1262" t="s">
        <v>2633</v>
      </c>
      <c r="S1317" s="254">
        <v>1092.84</v>
      </c>
      <c r="T1317" s="204">
        <v>45105</v>
      </c>
      <c r="U1317" s="1262" t="s">
        <v>3777</v>
      </c>
      <c r="V1317" s="254">
        <v>546.42</v>
      </c>
      <c r="W1317" s="203" t="s">
        <v>4457</v>
      </c>
      <c r="X1317" s="206">
        <v>546.42</v>
      </c>
      <c r="Y1317" s="192"/>
    </row>
    <row r="1318" ht="37.5" customHeight="1" spans="1:25">
      <c r="A1318" s="192">
        <f t="shared" si="31"/>
        <v>1310</v>
      </c>
      <c r="B1318" s="208">
        <v>2023</v>
      </c>
      <c r="C1318" s="193" t="s">
        <v>37</v>
      </c>
      <c r="D1318" s="277" t="s">
        <v>4939</v>
      </c>
      <c r="E1318" s="195" t="s">
        <v>4940</v>
      </c>
      <c r="F1318" s="196" t="s">
        <v>2073</v>
      </c>
      <c r="G1318" s="197" t="s">
        <v>3239</v>
      </c>
      <c r="H1318" s="198">
        <v>0.8</v>
      </c>
      <c r="I1318" s="199">
        <v>240000</v>
      </c>
      <c r="J1318" s="200" t="s">
        <v>2132</v>
      </c>
      <c r="K1318" s="200" t="s">
        <v>2133</v>
      </c>
      <c r="L1318" s="201">
        <v>0.4</v>
      </c>
      <c r="M1318" s="278" t="s">
        <v>3465</v>
      </c>
      <c r="N1318" s="205">
        <v>8445.78</v>
      </c>
      <c r="O1318" s="254">
        <v>8445.78</v>
      </c>
      <c r="P1318" s="254">
        <v>6756.62</v>
      </c>
      <c r="Q1318" s="254">
        <v>6756.62</v>
      </c>
      <c r="R1318" s="1262" t="s">
        <v>2633</v>
      </c>
      <c r="S1318" s="254">
        <v>3378.31</v>
      </c>
      <c r="T1318" s="204">
        <v>45105</v>
      </c>
      <c r="U1318" s="1262" t="s">
        <v>3777</v>
      </c>
      <c r="V1318" s="254">
        <v>1689.16</v>
      </c>
      <c r="W1318" s="1262" t="s">
        <v>4457</v>
      </c>
      <c r="X1318" s="206">
        <v>1689.16</v>
      </c>
      <c r="Y1318" s="192"/>
    </row>
    <row r="1319" ht="37.5" customHeight="1" spans="1:25">
      <c r="A1319" s="192">
        <f t="shared" si="31"/>
        <v>1311</v>
      </c>
      <c r="B1319" s="208">
        <v>2023</v>
      </c>
      <c r="C1319" s="193" t="s">
        <v>37</v>
      </c>
      <c r="D1319" s="277" t="s">
        <v>4487</v>
      </c>
      <c r="E1319" s="195" t="s">
        <v>4941</v>
      </c>
      <c r="F1319" s="196" t="s">
        <v>2073</v>
      </c>
      <c r="G1319" s="197" t="s">
        <v>3239</v>
      </c>
      <c r="H1319" s="198">
        <v>0.8</v>
      </c>
      <c r="I1319" s="199">
        <v>14505.55</v>
      </c>
      <c r="J1319" s="200" t="s">
        <v>4942</v>
      </c>
      <c r="K1319" s="200" t="s">
        <v>4943</v>
      </c>
      <c r="L1319" s="201">
        <v>0.4</v>
      </c>
      <c r="M1319" s="278" t="s">
        <v>4489</v>
      </c>
      <c r="N1319" s="205">
        <v>5833.35</v>
      </c>
      <c r="O1319" s="254">
        <v>5833.35</v>
      </c>
      <c r="P1319" s="254">
        <v>4666.68</v>
      </c>
      <c r="Q1319" s="254">
        <v>4666.68</v>
      </c>
      <c r="R1319" s="1262" t="s">
        <v>2633</v>
      </c>
      <c r="S1319" s="254">
        <v>2333.34</v>
      </c>
      <c r="T1319" s="204">
        <v>45105</v>
      </c>
      <c r="U1319" s="203"/>
      <c r="V1319" s="254"/>
      <c r="W1319" s="203"/>
      <c r="X1319" s="206"/>
      <c r="Y1319" s="203" t="s">
        <v>1077</v>
      </c>
    </row>
    <row r="1320" ht="37.5" customHeight="1" spans="1:25">
      <c r="A1320" s="192">
        <f t="shared" si="31"/>
        <v>1312</v>
      </c>
      <c r="B1320" s="208">
        <v>2023</v>
      </c>
      <c r="C1320" s="193" t="s">
        <v>37</v>
      </c>
      <c r="D1320" s="277" t="s">
        <v>4870</v>
      </c>
      <c r="E1320" s="195" t="s">
        <v>4944</v>
      </c>
      <c r="F1320" s="196" t="s">
        <v>2073</v>
      </c>
      <c r="G1320" s="197" t="s">
        <v>3239</v>
      </c>
      <c r="H1320" s="198">
        <v>0.8</v>
      </c>
      <c r="I1320" s="199">
        <v>64500</v>
      </c>
      <c r="J1320" s="200" t="s">
        <v>4164</v>
      </c>
      <c r="K1320" s="200" t="s">
        <v>4165</v>
      </c>
      <c r="L1320" s="201">
        <v>0.4</v>
      </c>
      <c r="M1320" s="278" t="s">
        <v>4681</v>
      </c>
      <c r="N1320" s="205">
        <v>23666.7</v>
      </c>
      <c r="O1320" s="254">
        <v>23666.7</v>
      </c>
      <c r="P1320" s="254">
        <v>18933.36</v>
      </c>
      <c r="Q1320" s="254">
        <v>18933.36</v>
      </c>
      <c r="R1320" s="1262" t="s">
        <v>2633</v>
      </c>
      <c r="S1320" s="254">
        <v>9466.68</v>
      </c>
      <c r="T1320" s="204">
        <v>45105</v>
      </c>
      <c r="U1320" s="203"/>
      <c r="V1320" s="254"/>
      <c r="W1320" s="203"/>
      <c r="X1320" s="206"/>
      <c r="Y1320" s="203" t="s">
        <v>1077</v>
      </c>
    </row>
    <row r="1321" ht="37.5" customHeight="1" spans="1:25">
      <c r="A1321" s="192">
        <f t="shared" si="31"/>
        <v>1313</v>
      </c>
      <c r="B1321" s="208">
        <v>2023</v>
      </c>
      <c r="C1321" s="193" t="s">
        <v>37</v>
      </c>
      <c r="D1321" s="277" t="s">
        <v>4712</v>
      </c>
      <c r="E1321" s="195" t="s">
        <v>4945</v>
      </c>
      <c r="F1321" s="196" t="s">
        <v>2073</v>
      </c>
      <c r="G1321" s="197" t="s">
        <v>3239</v>
      </c>
      <c r="H1321" s="198">
        <v>0.8</v>
      </c>
      <c r="I1321" s="199">
        <v>15000</v>
      </c>
      <c r="J1321" s="200" t="s">
        <v>4164</v>
      </c>
      <c r="K1321" s="200" t="s">
        <v>4165</v>
      </c>
      <c r="L1321" s="201">
        <v>0.4</v>
      </c>
      <c r="M1321" s="278" t="s">
        <v>4358</v>
      </c>
      <c r="N1321" s="205">
        <v>8750</v>
      </c>
      <c r="O1321" s="254">
        <v>8750</v>
      </c>
      <c r="P1321" s="254">
        <v>7000</v>
      </c>
      <c r="Q1321" s="254">
        <v>7000</v>
      </c>
      <c r="R1321" s="1262" t="s">
        <v>2633</v>
      </c>
      <c r="S1321" s="254">
        <v>3500</v>
      </c>
      <c r="T1321" s="204">
        <v>45105</v>
      </c>
      <c r="U1321" s="203"/>
      <c r="V1321" s="254"/>
      <c r="W1321" s="203"/>
      <c r="X1321" s="206"/>
      <c r="Y1321" s="203" t="s">
        <v>1077</v>
      </c>
    </row>
    <row r="1322" ht="37.5" customHeight="1" spans="1:25">
      <c r="A1322" s="192">
        <f t="shared" si="31"/>
        <v>1314</v>
      </c>
      <c r="B1322" s="208">
        <v>2023</v>
      </c>
      <c r="C1322" s="193" t="s">
        <v>37</v>
      </c>
      <c r="D1322" s="277" t="s">
        <v>4902</v>
      </c>
      <c r="E1322" s="195" t="s">
        <v>4946</v>
      </c>
      <c r="F1322" s="196" t="s">
        <v>2073</v>
      </c>
      <c r="G1322" s="197" t="s">
        <v>3239</v>
      </c>
      <c r="H1322" s="198">
        <v>0.8</v>
      </c>
      <c r="I1322" s="199">
        <v>80000</v>
      </c>
      <c r="J1322" s="200" t="s">
        <v>2598</v>
      </c>
      <c r="K1322" s="200" t="s">
        <v>4947</v>
      </c>
      <c r="L1322" s="201">
        <v>0.4</v>
      </c>
      <c r="M1322" s="278" t="s">
        <v>4751</v>
      </c>
      <c r="N1322" s="205">
        <v>37500</v>
      </c>
      <c r="O1322" s="254">
        <v>37500</v>
      </c>
      <c r="P1322" s="254">
        <v>30000</v>
      </c>
      <c r="Q1322" s="254">
        <v>30000</v>
      </c>
      <c r="R1322" s="1262" t="s">
        <v>2633</v>
      </c>
      <c r="S1322" s="254">
        <v>15000</v>
      </c>
      <c r="T1322" s="204">
        <v>45105</v>
      </c>
      <c r="U1322" s="203"/>
      <c r="V1322" s="254"/>
      <c r="W1322" s="203"/>
      <c r="X1322" s="206"/>
      <c r="Y1322" s="203" t="s">
        <v>1077</v>
      </c>
    </row>
    <row r="1323" ht="37.5" customHeight="1" spans="1:25">
      <c r="A1323" s="192">
        <f t="shared" si="31"/>
        <v>1315</v>
      </c>
      <c r="B1323" s="208">
        <v>2023</v>
      </c>
      <c r="C1323" s="193" t="s">
        <v>37</v>
      </c>
      <c r="D1323" s="277" t="s">
        <v>4776</v>
      </c>
      <c r="E1323" s="195" t="s">
        <v>4948</v>
      </c>
      <c r="F1323" s="196" t="s">
        <v>2073</v>
      </c>
      <c r="G1323" s="197" t="s">
        <v>3239</v>
      </c>
      <c r="H1323" s="198">
        <v>0.8</v>
      </c>
      <c r="I1323" s="199">
        <v>22800</v>
      </c>
      <c r="J1323" s="200" t="s">
        <v>2164</v>
      </c>
      <c r="K1323" s="200" t="s">
        <v>4494</v>
      </c>
      <c r="L1323" s="201">
        <v>0.4</v>
      </c>
      <c r="M1323" s="278" t="s">
        <v>4726</v>
      </c>
      <c r="N1323" s="205">
        <v>12001.88</v>
      </c>
      <c r="O1323" s="254">
        <v>12001.88</v>
      </c>
      <c r="P1323" s="254">
        <v>9601.5</v>
      </c>
      <c r="Q1323" s="254">
        <v>9601.5</v>
      </c>
      <c r="R1323" s="1262" t="s">
        <v>2633</v>
      </c>
      <c r="S1323" s="254">
        <v>4800.75</v>
      </c>
      <c r="T1323" s="204">
        <v>45105</v>
      </c>
      <c r="U1323" s="203"/>
      <c r="V1323" s="254"/>
      <c r="W1323" s="203"/>
      <c r="X1323" s="206"/>
      <c r="Y1323" s="203" t="s">
        <v>1077</v>
      </c>
    </row>
    <row r="1324" ht="37.5" customHeight="1" spans="1:25">
      <c r="A1324" s="192">
        <f t="shared" si="31"/>
        <v>1316</v>
      </c>
      <c r="B1324" s="208">
        <v>2023</v>
      </c>
      <c r="C1324" s="193" t="s">
        <v>37</v>
      </c>
      <c r="D1324" s="277" t="s">
        <v>4802</v>
      </c>
      <c r="E1324" s="195" t="s">
        <v>4949</v>
      </c>
      <c r="F1324" s="196" t="s">
        <v>2073</v>
      </c>
      <c r="G1324" s="197" t="s">
        <v>3239</v>
      </c>
      <c r="H1324" s="198">
        <v>0.8</v>
      </c>
      <c r="I1324" s="199">
        <v>50000</v>
      </c>
      <c r="J1324" s="200" t="s">
        <v>2164</v>
      </c>
      <c r="K1324" s="200" t="s">
        <v>4494</v>
      </c>
      <c r="L1324" s="201">
        <v>0.4</v>
      </c>
      <c r="M1324" s="278" t="s">
        <v>4341</v>
      </c>
      <c r="N1324" s="205">
        <v>50000</v>
      </c>
      <c r="O1324" s="254">
        <v>50000</v>
      </c>
      <c r="P1324" s="254">
        <v>40000</v>
      </c>
      <c r="Q1324" s="254">
        <v>40000</v>
      </c>
      <c r="R1324" s="1262" t="s">
        <v>2633</v>
      </c>
      <c r="S1324" s="254">
        <v>20000</v>
      </c>
      <c r="T1324" s="204">
        <v>45105</v>
      </c>
      <c r="U1324" s="203"/>
      <c r="V1324" s="254"/>
      <c r="W1324" s="203"/>
      <c r="X1324" s="206"/>
      <c r="Y1324" s="203" t="s">
        <v>1077</v>
      </c>
    </row>
    <row r="1325" ht="37.5" customHeight="1" spans="1:25">
      <c r="A1325" s="192">
        <f t="shared" si="31"/>
        <v>1317</v>
      </c>
      <c r="B1325" s="208">
        <v>2023</v>
      </c>
      <c r="C1325" s="193" t="s">
        <v>37</v>
      </c>
      <c r="D1325" s="277" t="s">
        <v>4815</v>
      </c>
      <c r="E1325" s="195" t="s">
        <v>4950</v>
      </c>
      <c r="F1325" s="196" t="s">
        <v>2073</v>
      </c>
      <c r="G1325" s="197" t="s">
        <v>3239</v>
      </c>
      <c r="H1325" s="198">
        <v>0.8</v>
      </c>
      <c r="I1325" s="199">
        <v>11760.68</v>
      </c>
      <c r="J1325" s="200" t="s">
        <v>2379</v>
      </c>
      <c r="K1325" s="200" t="s">
        <v>4951</v>
      </c>
      <c r="L1325" s="201">
        <v>0.4</v>
      </c>
      <c r="M1325" s="278" t="s">
        <v>2655</v>
      </c>
      <c r="N1325" s="205">
        <v>2333.35</v>
      </c>
      <c r="O1325" s="254">
        <v>2333.35</v>
      </c>
      <c r="P1325" s="254">
        <v>1866.68</v>
      </c>
      <c r="Q1325" s="254">
        <v>1866.68</v>
      </c>
      <c r="R1325" s="1262" t="s">
        <v>2633</v>
      </c>
      <c r="S1325" s="254">
        <v>933.34</v>
      </c>
      <c r="T1325" s="204">
        <v>45105</v>
      </c>
      <c r="U1325" s="203"/>
      <c r="V1325" s="254"/>
      <c r="W1325" s="203"/>
      <c r="X1325" s="206"/>
      <c r="Y1325" s="203" t="s">
        <v>1077</v>
      </c>
    </row>
    <row r="1326" ht="37.5" customHeight="1" spans="1:25">
      <c r="A1326" s="192">
        <f t="shared" si="31"/>
        <v>1318</v>
      </c>
      <c r="B1326" s="208">
        <v>2023</v>
      </c>
      <c r="C1326" s="193" t="s">
        <v>37</v>
      </c>
      <c r="D1326" s="277" t="s">
        <v>4798</v>
      </c>
      <c r="E1326" s="195" t="s">
        <v>4952</v>
      </c>
      <c r="F1326" s="196" t="s">
        <v>2073</v>
      </c>
      <c r="G1326" s="197" t="s">
        <v>3239</v>
      </c>
      <c r="H1326" s="198">
        <v>0.8</v>
      </c>
      <c r="I1326" s="199">
        <v>30000</v>
      </c>
      <c r="J1326" s="200" t="s">
        <v>2399</v>
      </c>
      <c r="K1326" s="200" t="s">
        <v>3973</v>
      </c>
      <c r="L1326" s="201">
        <v>0.4</v>
      </c>
      <c r="M1326" s="278" t="s">
        <v>4726</v>
      </c>
      <c r="N1326" s="205">
        <v>17500</v>
      </c>
      <c r="O1326" s="254">
        <v>17500</v>
      </c>
      <c r="P1326" s="254">
        <v>14000</v>
      </c>
      <c r="Q1326" s="254">
        <v>14000</v>
      </c>
      <c r="R1326" s="1262" t="s">
        <v>2633</v>
      </c>
      <c r="S1326" s="254">
        <v>7000</v>
      </c>
      <c r="T1326" s="204">
        <v>45105</v>
      </c>
      <c r="U1326" s="203"/>
      <c r="V1326" s="254"/>
      <c r="W1326" s="203"/>
      <c r="X1326" s="206"/>
      <c r="Y1326" s="203" t="s">
        <v>1077</v>
      </c>
    </row>
    <row r="1327" ht="37.5" customHeight="1" spans="1:25">
      <c r="A1327" s="192">
        <f t="shared" si="31"/>
        <v>1319</v>
      </c>
      <c r="B1327" s="208">
        <v>2023</v>
      </c>
      <c r="C1327" s="193" t="s">
        <v>37</v>
      </c>
      <c r="D1327" s="277" t="s">
        <v>4381</v>
      </c>
      <c r="E1327" s="195" t="s">
        <v>4953</v>
      </c>
      <c r="F1327" s="196" t="s">
        <v>2073</v>
      </c>
      <c r="G1327" s="197" t="s">
        <v>3239</v>
      </c>
      <c r="H1327" s="198">
        <v>0.8</v>
      </c>
      <c r="I1327" s="199">
        <v>17816.65</v>
      </c>
      <c r="J1327" s="200" t="s">
        <v>4954</v>
      </c>
      <c r="K1327" s="200" t="s">
        <v>4955</v>
      </c>
      <c r="L1327" s="201">
        <v>0.4</v>
      </c>
      <c r="M1327" s="278" t="s">
        <v>2898</v>
      </c>
      <c r="N1327" s="205">
        <v>2333.35</v>
      </c>
      <c r="O1327" s="254">
        <v>2333.35</v>
      </c>
      <c r="P1327" s="254">
        <v>1866.68</v>
      </c>
      <c r="Q1327" s="254">
        <v>1866.68</v>
      </c>
      <c r="R1327" s="1262" t="s">
        <v>2633</v>
      </c>
      <c r="S1327" s="254">
        <v>933.34</v>
      </c>
      <c r="T1327" s="204">
        <v>45105</v>
      </c>
      <c r="U1327" s="203"/>
      <c r="V1327" s="254"/>
      <c r="W1327" s="203"/>
      <c r="X1327" s="206"/>
      <c r="Y1327" s="203" t="s">
        <v>1077</v>
      </c>
    </row>
    <row r="1328" ht="37.5" customHeight="1" spans="1:25">
      <c r="A1328" s="192">
        <f t="shared" si="31"/>
        <v>1320</v>
      </c>
      <c r="B1328" s="208">
        <v>2023</v>
      </c>
      <c r="C1328" s="193" t="s">
        <v>37</v>
      </c>
      <c r="D1328" s="277" t="s">
        <v>4758</v>
      </c>
      <c r="E1328" s="195" t="s">
        <v>4956</v>
      </c>
      <c r="F1328" s="196" t="s">
        <v>2073</v>
      </c>
      <c r="G1328" s="197" t="s">
        <v>3239</v>
      </c>
      <c r="H1328" s="198">
        <v>0.8</v>
      </c>
      <c r="I1328" s="199">
        <v>70000</v>
      </c>
      <c r="J1328" s="200" t="s">
        <v>2297</v>
      </c>
      <c r="K1328" s="200" t="s">
        <v>4172</v>
      </c>
      <c r="L1328" s="201">
        <v>0.4</v>
      </c>
      <c r="M1328" s="278" t="s">
        <v>4737</v>
      </c>
      <c r="N1328" s="205">
        <v>5333.35</v>
      </c>
      <c r="O1328" s="254">
        <v>5333.35</v>
      </c>
      <c r="P1328" s="254">
        <v>4266.68</v>
      </c>
      <c r="Q1328" s="254">
        <v>4266.68</v>
      </c>
      <c r="R1328" s="1262" t="s">
        <v>2633</v>
      </c>
      <c r="S1328" s="254">
        <v>2133.34</v>
      </c>
      <c r="T1328" s="204">
        <v>45105</v>
      </c>
      <c r="U1328" s="203"/>
      <c r="V1328" s="254"/>
      <c r="W1328" s="203"/>
      <c r="X1328" s="206"/>
      <c r="Y1328" s="203" t="s">
        <v>1077</v>
      </c>
    </row>
    <row r="1329" ht="37.5" customHeight="1" spans="1:25">
      <c r="A1329" s="192">
        <f t="shared" si="31"/>
        <v>1321</v>
      </c>
      <c r="B1329" s="208">
        <v>2023</v>
      </c>
      <c r="C1329" s="193" t="s">
        <v>37</v>
      </c>
      <c r="D1329" s="277" t="s">
        <v>4957</v>
      </c>
      <c r="E1329" s="195" t="s">
        <v>4958</v>
      </c>
      <c r="F1329" s="196" t="s">
        <v>2073</v>
      </c>
      <c r="G1329" s="197" t="s">
        <v>3239</v>
      </c>
      <c r="H1329" s="198">
        <v>0.8</v>
      </c>
      <c r="I1329" s="199">
        <v>40826</v>
      </c>
      <c r="J1329" s="200" t="s">
        <v>2331</v>
      </c>
      <c r="K1329" s="200" t="s">
        <v>4959</v>
      </c>
      <c r="L1329" s="201">
        <v>0.4</v>
      </c>
      <c r="M1329" s="278" t="s">
        <v>4358</v>
      </c>
      <c r="N1329" s="205">
        <v>23566.82</v>
      </c>
      <c r="O1329" s="254">
        <v>23566.82</v>
      </c>
      <c r="P1329" s="254">
        <v>18853.46</v>
      </c>
      <c r="Q1329" s="254">
        <v>18853.46</v>
      </c>
      <c r="R1329" s="1262" t="s">
        <v>2633</v>
      </c>
      <c r="S1329" s="254">
        <v>9426.73</v>
      </c>
      <c r="T1329" s="204">
        <v>45105</v>
      </c>
      <c r="U1329" s="203"/>
      <c r="V1329" s="254"/>
      <c r="W1329" s="203"/>
      <c r="X1329" s="206"/>
      <c r="Y1329" s="203" t="s">
        <v>1077</v>
      </c>
    </row>
    <row r="1330" ht="37.5" customHeight="1" spans="1:25">
      <c r="A1330" s="192">
        <f t="shared" si="31"/>
        <v>1322</v>
      </c>
      <c r="B1330" s="208">
        <v>2023</v>
      </c>
      <c r="C1330" s="193" t="s">
        <v>37</v>
      </c>
      <c r="D1330" s="277" t="s">
        <v>4809</v>
      </c>
      <c r="E1330" s="195" t="s">
        <v>4960</v>
      </c>
      <c r="F1330" s="196" t="s">
        <v>2073</v>
      </c>
      <c r="G1330" s="197" t="s">
        <v>3239</v>
      </c>
      <c r="H1330" s="198">
        <v>0.8</v>
      </c>
      <c r="I1330" s="199">
        <v>50000</v>
      </c>
      <c r="J1330" s="200" t="s">
        <v>2254</v>
      </c>
      <c r="K1330" s="200" t="s">
        <v>4961</v>
      </c>
      <c r="L1330" s="201">
        <v>0.4</v>
      </c>
      <c r="M1330" s="278" t="s">
        <v>4277</v>
      </c>
      <c r="N1330" s="205">
        <v>28977.88</v>
      </c>
      <c r="O1330" s="254">
        <v>28977.88</v>
      </c>
      <c r="P1330" s="254">
        <v>23182.3</v>
      </c>
      <c r="Q1330" s="254">
        <v>23182.3</v>
      </c>
      <c r="R1330" s="1262" t="s">
        <v>2633</v>
      </c>
      <c r="S1330" s="254">
        <v>11591.15</v>
      </c>
      <c r="T1330" s="204">
        <v>45105</v>
      </c>
      <c r="U1330" s="203"/>
      <c r="V1330" s="254"/>
      <c r="W1330" s="203"/>
      <c r="X1330" s="206"/>
      <c r="Y1330" s="203" t="s">
        <v>1077</v>
      </c>
    </row>
    <row r="1331" ht="37.5" customHeight="1" spans="1:25">
      <c r="A1331" s="192">
        <f t="shared" si="31"/>
        <v>1323</v>
      </c>
      <c r="B1331" s="208">
        <v>2023</v>
      </c>
      <c r="C1331" s="193" t="s">
        <v>37</v>
      </c>
      <c r="D1331" s="277" t="s">
        <v>4962</v>
      </c>
      <c r="E1331" s="195" t="s">
        <v>4963</v>
      </c>
      <c r="F1331" s="196" t="s">
        <v>2073</v>
      </c>
      <c r="G1331" s="197" t="s">
        <v>3239</v>
      </c>
      <c r="H1331" s="198">
        <v>0.8</v>
      </c>
      <c r="I1331" s="199">
        <v>23000</v>
      </c>
      <c r="J1331" s="200" t="s">
        <v>2217</v>
      </c>
      <c r="K1331" s="200" t="s">
        <v>4507</v>
      </c>
      <c r="L1331" s="201">
        <v>0.4</v>
      </c>
      <c r="M1331" s="278" t="s">
        <v>4358</v>
      </c>
      <c r="N1331" s="205">
        <v>13337.81</v>
      </c>
      <c r="O1331" s="254">
        <v>13337.81</v>
      </c>
      <c r="P1331" s="254">
        <v>10670.25</v>
      </c>
      <c r="Q1331" s="254">
        <v>10670.25</v>
      </c>
      <c r="R1331" s="1262" t="s">
        <v>2633</v>
      </c>
      <c r="S1331" s="254">
        <v>5335.12</v>
      </c>
      <c r="T1331" s="204">
        <v>45105</v>
      </c>
      <c r="U1331" s="203"/>
      <c r="V1331" s="254"/>
      <c r="W1331" s="203"/>
      <c r="X1331" s="206"/>
      <c r="Y1331" s="203" t="s">
        <v>1077</v>
      </c>
    </row>
    <row r="1332" ht="37.5" customHeight="1" spans="1:25">
      <c r="A1332" s="192">
        <f t="shared" si="31"/>
        <v>1324</v>
      </c>
      <c r="B1332" s="208">
        <v>2023</v>
      </c>
      <c r="C1332" s="193" t="s">
        <v>37</v>
      </c>
      <c r="D1332" s="277" t="s">
        <v>4754</v>
      </c>
      <c r="E1332" s="195" t="s">
        <v>4964</v>
      </c>
      <c r="F1332" s="196" t="s">
        <v>2073</v>
      </c>
      <c r="G1332" s="197" t="s">
        <v>3239</v>
      </c>
      <c r="H1332" s="198">
        <v>0.8</v>
      </c>
      <c r="I1332" s="199">
        <v>140000</v>
      </c>
      <c r="J1332" s="200" t="s">
        <v>2326</v>
      </c>
      <c r="K1332" s="200" t="s">
        <v>4965</v>
      </c>
      <c r="L1332" s="201">
        <v>0.4</v>
      </c>
      <c r="M1332" s="278" t="s">
        <v>2655</v>
      </c>
      <c r="N1332" s="205">
        <v>110833.35</v>
      </c>
      <c r="O1332" s="254">
        <v>110833.35</v>
      </c>
      <c r="P1332" s="254">
        <v>88666.68</v>
      </c>
      <c r="Q1332" s="254">
        <v>88666.68</v>
      </c>
      <c r="R1332" s="1262" t="s">
        <v>2633</v>
      </c>
      <c r="S1332" s="254">
        <v>44333.34</v>
      </c>
      <c r="T1332" s="204">
        <v>45105</v>
      </c>
      <c r="U1332" s="203"/>
      <c r="V1332" s="254"/>
      <c r="W1332" s="203"/>
      <c r="X1332" s="206"/>
      <c r="Y1332" s="203" t="s">
        <v>1077</v>
      </c>
    </row>
    <row r="1333" ht="37.5" customHeight="1" spans="1:25">
      <c r="A1333" s="192">
        <f t="shared" si="31"/>
        <v>1325</v>
      </c>
      <c r="B1333" s="208">
        <v>2023</v>
      </c>
      <c r="C1333" s="193" t="s">
        <v>37</v>
      </c>
      <c r="D1333" s="277" t="s">
        <v>4256</v>
      </c>
      <c r="E1333" s="195" t="s">
        <v>4966</v>
      </c>
      <c r="F1333" s="196" t="s">
        <v>2073</v>
      </c>
      <c r="G1333" s="197" t="s">
        <v>3239</v>
      </c>
      <c r="H1333" s="198">
        <v>0.8</v>
      </c>
      <c r="I1333" s="199">
        <v>38846</v>
      </c>
      <c r="J1333" s="200" t="s">
        <v>2181</v>
      </c>
      <c r="K1333" s="200" t="s">
        <v>4967</v>
      </c>
      <c r="L1333" s="201">
        <v>0.4</v>
      </c>
      <c r="M1333" s="278" t="s">
        <v>4534</v>
      </c>
      <c r="N1333" s="205">
        <v>22660.2</v>
      </c>
      <c r="O1333" s="254">
        <v>22660.2</v>
      </c>
      <c r="P1333" s="254">
        <v>18128.16</v>
      </c>
      <c r="Q1333" s="254">
        <v>18128.16</v>
      </c>
      <c r="R1333" s="1262" t="s">
        <v>2633</v>
      </c>
      <c r="S1333" s="254">
        <v>9064.08</v>
      </c>
      <c r="T1333" s="204">
        <v>45105</v>
      </c>
      <c r="U1333" s="203"/>
      <c r="V1333" s="254"/>
      <c r="W1333" s="203"/>
      <c r="X1333" s="206"/>
      <c r="Y1333" s="203" t="s">
        <v>1077</v>
      </c>
    </row>
    <row r="1334" ht="37.5" customHeight="1" spans="1:25">
      <c r="A1334" s="192">
        <f t="shared" si="31"/>
        <v>1326</v>
      </c>
      <c r="B1334" s="208">
        <v>2023</v>
      </c>
      <c r="C1334" s="193" t="s">
        <v>37</v>
      </c>
      <c r="D1334" s="277" t="s">
        <v>4968</v>
      </c>
      <c r="E1334" s="195" t="s">
        <v>4969</v>
      </c>
      <c r="F1334" s="196" t="s">
        <v>2073</v>
      </c>
      <c r="G1334" s="197" t="s">
        <v>3239</v>
      </c>
      <c r="H1334" s="198">
        <v>0.8</v>
      </c>
      <c r="I1334" s="199">
        <v>13178.05</v>
      </c>
      <c r="J1334" s="200" t="s">
        <v>2070</v>
      </c>
      <c r="K1334" s="200" t="s">
        <v>4970</v>
      </c>
      <c r="L1334" s="201">
        <v>0.4</v>
      </c>
      <c r="M1334" s="278" t="s">
        <v>4751</v>
      </c>
      <c r="N1334" s="205">
        <v>3091.7</v>
      </c>
      <c r="O1334" s="254">
        <v>3091.7</v>
      </c>
      <c r="P1334" s="254">
        <v>2473.36</v>
      </c>
      <c r="Q1334" s="254">
        <v>2473.36</v>
      </c>
      <c r="R1334" s="1262" t="s">
        <v>2633</v>
      </c>
      <c r="S1334" s="254">
        <v>1236.68</v>
      </c>
      <c r="T1334" s="204">
        <v>45105</v>
      </c>
      <c r="U1334" s="203"/>
      <c r="V1334" s="254"/>
      <c r="W1334" s="203"/>
      <c r="X1334" s="206"/>
      <c r="Y1334" s="203" t="s">
        <v>1077</v>
      </c>
    </row>
    <row r="1335" s="80" customFormat="1" ht="37.5" customHeight="1" spans="1:25">
      <c r="A1335" s="138">
        <f t="shared" si="31"/>
        <v>1327</v>
      </c>
      <c r="B1335" s="139">
        <v>2023</v>
      </c>
      <c r="C1335" s="189" t="s">
        <v>25</v>
      </c>
      <c r="D1335" s="279" t="s">
        <v>4971</v>
      </c>
      <c r="E1335" s="190" t="s">
        <v>4972</v>
      </c>
      <c r="F1335" s="142" t="s">
        <v>4973</v>
      </c>
      <c r="G1335" s="143" t="s">
        <v>1103</v>
      </c>
      <c r="H1335" s="144">
        <v>0.8</v>
      </c>
      <c r="I1335" s="145">
        <v>250000</v>
      </c>
      <c r="J1335" s="1258" t="s">
        <v>4974</v>
      </c>
      <c r="K1335" s="185" t="s">
        <v>4975</v>
      </c>
      <c r="L1335" s="147">
        <v>0.4</v>
      </c>
      <c r="M1335" s="1276" t="s">
        <v>4976</v>
      </c>
      <c r="N1335" s="186">
        <v>255805.14</v>
      </c>
      <c r="O1335" s="276">
        <v>250000</v>
      </c>
      <c r="P1335" s="276">
        <v>200000</v>
      </c>
      <c r="Q1335" s="276">
        <v>204644.11</v>
      </c>
      <c r="R1335" s="1260" t="s">
        <v>3697</v>
      </c>
      <c r="S1335" s="276">
        <v>102322.06</v>
      </c>
      <c r="T1335" s="150">
        <v>45118</v>
      </c>
      <c r="U1335" s="1260" t="s">
        <v>2705</v>
      </c>
      <c r="V1335" s="276">
        <v>50000</v>
      </c>
      <c r="W1335" s="314" t="s">
        <v>4977</v>
      </c>
      <c r="X1335" s="276">
        <v>50000</v>
      </c>
      <c r="Y1335" s="138"/>
    </row>
    <row r="1336" s="80" customFormat="1" ht="37.5" customHeight="1" spans="1:25">
      <c r="A1336" s="138">
        <f t="shared" si="31"/>
        <v>1328</v>
      </c>
      <c r="B1336" s="139">
        <v>2023</v>
      </c>
      <c r="C1336" s="189" t="s">
        <v>25</v>
      </c>
      <c r="D1336" s="279" t="s">
        <v>4978</v>
      </c>
      <c r="E1336" s="190" t="s">
        <v>4979</v>
      </c>
      <c r="F1336" s="142" t="s">
        <v>4980</v>
      </c>
      <c r="G1336" s="143" t="s">
        <v>1103</v>
      </c>
      <c r="H1336" s="144">
        <v>0.8</v>
      </c>
      <c r="I1336" s="145">
        <v>177000</v>
      </c>
      <c r="J1336" s="185" t="s">
        <v>1817</v>
      </c>
      <c r="K1336" s="1258" t="s">
        <v>4981</v>
      </c>
      <c r="L1336" s="147">
        <v>0.4</v>
      </c>
      <c r="M1336" s="1276" t="s">
        <v>4976</v>
      </c>
      <c r="N1336" s="186">
        <v>177451.05</v>
      </c>
      <c r="O1336" s="276">
        <v>177000</v>
      </c>
      <c r="P1336" s="276">
        <v>141600</v>
      </c>
      <c r="Q1336" s="276">
        <v>141960.84</v>
      </c>
      <c r="R1336" s="1260" t="s">
        <v>3697</v>
      </c>
      <c r="S1336" s="276">
        <v>70980.42</v>
      </c>
      <c r="T1336" s="150">
        <v>45118</v>
      </c>
      <c r="U1336" s="1260" t="s">
        <v>2705</v>
      </c>
      <c r="V1336" s="276">
        <v>35400</v>
      </c>
      <c r="W1336" s="314" t="s">
        <v>4977</v>
      </c>
      <c r="X1336" s="276">
        <v>35400</v>
      </c>
      <c r="Y1336" s="138"/>
    </row>
    <row r="1337" s="80" customFormat="1" ht="37.5" customHeight="1" spans="1:25">
      <c r="A1337" s="138">
        <f t="shared" si="31"/>
        <v>1329</v>
      </c>
      <c r="B1337" s="139">
        <v>2023</v>
      </c>
      <c r="C1337" s="189" t="s">
        <v>25</v>
      </c>
      <c r="D1337" s="279" t="s">
        <v>4982</v>
      </c>
      <c r="E1337" s="190" t="s">
        <v>4972</v>
      </c>
      <c r="F1337" s="142" t="s">
        <v>4983</v>
      </c>
      <c r="G1337" s="143" t="s">
        <v>1103</v>
      </c>
      <c r="H1337" s="144">
        <v>0.8</v>
      </c>
      <c r="I1337" s="145">
        <v>100000</v>
      </c>
      <c r="J1337" s="1258" t="s">
        <v>2284</v>
      </c>
      <c r="K1337" s="1258" t="s">
        <v>4984</v>
      </c>
      <c r="L1337" s="147">
        <v>0.4</v>
      </c>
      <c r="M1337" s="1276" t="s">
        <v>4976</v>
      </c>
      <c r="N1337" s="186">
        <v>101391.67</v>
      </c>
      <c r="O1337" s="276">
        <v>100000</v>
      </c>
      <c r="P1337" s="276">
        <v>80000</v>
      </c>
      <c r="Q1337" s="276">
        <v>81113.34</v>
      </c>
      <c r="R1337" s="1260" t="s">
        <v>3697</v>
      </c>
      <c r="S1337" s="276">
        <v>40556.67</v>
      </c>
      <c r="T1337" s="150">
        <v>45118</v>
      </c>
      <c r="U1337" s="1260" t="s">
        <v>2705</v>
      </c>
      <c r="V1337" s="276">
        <v>20000</v>
      </c>
      <c r="W1337" s="314" t="s">
        <v>4977</v>
      </c>
      <c r="X1337" s="276">
        <v>20000</v>
      </c>
      <c r="Y1337" s="138"/>
    </row>
    <row r="1338" s="80" customFormat="1" ht="37.5" customHeight="1" spans="1:25">
      <c r="A1338" s="138">
        <f t="shared" si="31"/>
        <v>1330</v>
      </c>
      <c r="B1338" s="139">
        <v>2023</v>
      </c>
      <c r="C1338" s="189" t="s">
        <v>31</v>
      </c>
      <c r="D1338" s="279" t="s">
        <v>4985</v>
      </c>
      <c r="E1338" s="190" t="s">
        <v>4986</v>
      </c>
      <c r="F1338" s="142" t="s">
        <v>4191</v>
      </c>
      <c r="G1338" s="143" t="s">
        <v>1137</v>
      </c>
      <c r="H1338" s="144">
        <v>0.8</v>
      </c>
      <c r="I1338" s="145">
        <v>5000000</v>
      </c>
      <c r="J1338" s="1258" t="s">
        <v>4679</v>
      </c>
      <c r="K1338" s="1258" t="s">
        <v>4039</v>
      </c>
      <c r="L1338" s="147">
        <v>0.4</v>
      </c>
      <c r="M1338" s="1276" t="s">
        <v>3200</v>
      </c>
      <c r="N1338" s="186">
        <v>5069511.77</v>
      </c>
      <c r="O1338" s="276">
        <v>5000000</v>
      </c>
      <c r="P1338" s="276">
        <v>4000000</v>
      </c>
      <c r="Q1338" s="276">
        <v>4055609.42</v>
      </c>
      <c r="R1338" s="1260" t="s">
        <v>4987</v>
      </c>
      <c r="S1338" s="276">
        <v>2027804.71</v>
      </c>
      <c r="T1338" s="150">
        <v>45128</v>
      </c>
      <c r="U1338" s="1260" t="s">
        <v>2810</v>
      </c>
      <c r="V1338" s="276">
        <v>1000000</v>
      </c>
      <c r="W1338" s="184" t="s">
        <v>4457</v>
      </c>
      <c r="X1338" s="153">
        <v>1000000</v>
      </c>
      <c r="Y1338" s="138"/>
    </row>
    <row r="1339" ht="37.5" customHeight="1" spans="1:25">
      <c r="A1339" s="192">
        <f t="shared" si="31"/>
        <v>1331</v>
      </c>
      <c r="B1339" s="208">
        <v>2023</v>
      </c>
      <c r="C1339" s="193" t="s">
        <v>37</v>
      </c>
      <c r="D1339" s="277" t="s">
        <v>4988</v>
      </c>
      <c r="E1339" s="195" t="s">
        <v>4989</v>
      </c>
      <c r="F1339" s="196" t="s">
        <v>2073</v>
      </c>
      <c r="G1339" s="197" t="s">
        <v>3239</v>
      </c>
      <c r="H1339" s="198">
        <v>0.8</v>
      </c>
      <c r="I1339" s="199">
        <v>650000</v>
      </c>
      <c r="J1339" s="200" t="s">
        <v>2083</v>
      </c>
      <c r="K1339" s="200" t="s">
        <v>2084</v>
      </c>
      <c r="L1339" s="201">
        <v>0.4</v>
      </c>
      <c r="M1339" s="278" t="s">
        <v>4990</v>
      </c>
      <c r="N1339" s="205">
        <v>14000.34</v>
      </c>
      <c r="O1339" s="254">
        <v>14000.34</v>
      </c>
      <c r="P1339" s="254">
        <v>11200.27</v>
      </c>
      <c r="Q1339" s="254">
        <v>11200.27</v>
      </c>
      <c r="R1339" s="1262" t="s">
        <v>3000</v>
      </c>
      <c r="S1339" s="254">
        <v>5600.14</v>
      </c>
      <c r="T1339" s="204">
        <v>45128</v>
      </c>
      <c r="U1339" s="1262" t="s">
        <v>2810</v>
      </c>
      <c r="V1339" s="254">
        <v>2800.07</v>
      </c>
      <c r="W1339" s="1262" t="s">
        <v>2994</v>
      </c>
      <c r="X1339" s="206">
        <v>2800.07</v>
      </c>
      <c r="Y1339" s="192"/>
    </row>
    <row r="1340" ht="37.5" customHeight="1" spans="1:25">
      <c r="A1340" s="192">
        <f t="shared" si="31"/>
        <v>1332</v>
      </c>
      <c r="B1340" s="208">
        <v>2023</v>
      </c>
      <c r="C1340" s="193" t="s">
        <v>37</v>
      </c>
      <c r="D1340" s="277" t="s">
        <v>4991</v>
      </c>
      <c r="E1340" s="195" t="s">
        <v>4992</v>
      </c>
      <c r="F1340" s="196" t="s">
        <v>2073</v>
      </c>
      <c r="G1340" s="197" t="s">
        <v>1103</v>
      </c>
      <c r="H1340" s="198">
        <v>0.8</v>
      </c>
      <c r="I1340" s="199">
        <v>15000</v>
      </c>
      <c r="J1340" s="200" t="s">
        <v>2317</v>
      </c>
      <c r="K1340" s="200" t="s">
        <v>2318</v>
      </c>
      <c r="L1340" s="201">
        <v>0.4</v>
      </c>
      <c r="M1340" s="278" t="s">
        <v>3228</v>
      </c>
      <c r="N1340" s="205">
        <v>116.74</v>
      </c>
      <c r="O1340" s="254">
        <v>116.74</v>
      </c>
      <c r="P1340" s="254">
        <v>93.39</v>
      </c>
      <c r="Q1340" s="254">
        <v>93.39</v>
      </c>
      <c r="R1340" s="1262" t="s">
        <v>3000</v>
      </c>
      <c r="S1340" s="254">
        <v>46.7</v>
      </c>
      <c r="T1340" s="204">
        <v>45128</v>
      </c>
      <c r="U1340" s="1262" t="s">
        <v>2810</v>
      </c>
      <c r="V1340" s="254">
        <v>23.35</v>
      </c>
      <c r="W1340" s="203" t="s">
        <v>4457</v>
      </c>
      <c r="X1340" s="206">
        <v>23.35</v>
      </c>
      <c r="Y1340" s="192"/>
    </row>
    <row r="1341" ht="37.5" customHeight="1" spans="1:25">
      <c r="A1341" s="192">
        <f t="shared" si="31"/>
        <v>1333</v>
      </c>
      <c r="B1341" s="208">
        <v>2023</v>
      </c>
      <c r="C1341" s="193" t="s">
        <v>37</v>
      </c>
      <c r="D1341" s="277" t="s">
        <v>4993</v>
      </c>
      <c r="E1341" s="195" t="s">
        <v>4994</v>
      </c>
      <c r="F1341" s="196" t="s">
        <v>2073</v>
      </c>
      <c r="G1341" s="197" t="s">
        <v>3239</v>
      </c>
      <c r="H1341" s="198">
        <v>0.8</v>
      </c>
      <c r="I1341" s="199">
        <v>30320</v>
      </c>
      <c r="J1341" s="200" t="s">
        <v>2195</v>
      </c>
      <c r="K1341" s="200" t="s">
        <v>2196</v>
      </c>
      <c r="L1341" s="201">
        <v>0.4</v>
      </c>
      <c r="M1341" s="278" t="s">
        <v>4995</v>
      </c>
      <c r="N1341" s="205">
        <v>833.4</v>
      </c>
      <c r="O1341" s="254">
        <v>833.4</v>
      </c>
      <c r="P1341" s="254">
        <v>666.72</v>
      </c>
      <c r="Q1341" s="254">
        <v>666.72</v>
      </c>
      <c r="R1341" s="1262" t="s">
        <v>3000</v>
      </c>
      <c r="S1341" s="254">
        <v>333.36</v>
      </c>
      <c r="T1341" s="204">
        <v>45128</v>
      </c>
      <c r="U1341" s="1262" t="s">
        <v>2810</v>
      </c>
      <c r="V1341" s="254">
        <v>166.68</v>
      </c>
      <c r="W1341" s="203" t="s">
        <v>4457</v>
      </c>
      <c r="X1341" s="206">
        <v>166.68</v>
      </c>
      <c r="Y1341" s="192"/>
    </row>
    <row r="1342" ht="37.5" customHeight="1" spans="1:25">
      <c r="A1342" s="192">
        <f t="shared" si="31"/>
        <v>1334</v>
      </c>
      <c r="B1342" s="208">
        <v>2023</v>
      </c>
      <c r="C1342" s="193" t="s">
        <v>37</v>
      </c>
      <c r="D1342" s="277" t="s">
        <v>4996</v>
      </c>
      <c r="E1342" s="195" t="s">
        <v>4997</v>
      </c>
      <c r="F1342" s="196" t="s">
        <v>2073</v>
      </c>
      <c r="G1342" s="197" t="s">
        <v>3239</v>
      </c>
      <c r="H1342" s="198">
        <v>0.8</v>
      </c>
      <c r="I1342" s="199">
        <v>42000</v>
      </c>
      <c r="J1342" s="200" t="s">
        <v>1951</v>
      </c>
      <c r="K1342" s="200" t="s">
        <v>2238</v>
      </c>
      <c r="L1342" s="201">
        <v>0.4</v>
      </c>
      <c r="M1342" s="278" t="s">
        <v>4593</v>
      </c>
      <c r="N1342" s="205">
        <v>23000</v>
      </c>
      <c r="O1342" s="254">
        <v>23000</v>
      </c>
      <c r="P1342" s="254">
        <v>18400</v>
      </c>
      <c r="Q1342" s="254">
        <v>18400</v>
      </c>
      <c r="R1342" s="1262" t="s">
        <v>3000</v>
      </c>
      <c r="S1342" s="254">
        <v>9200</v>
      </c>
      <c r="T1342" s="204">
        <v>45128</v>
      </c>
      <c r="U1342" s="1262" t="s">
        <v>2810</v>
      </c>
      <c r="V1342" s="254">
        <v>4600</v>
      </c>
      <c r="W1342" s="203" t="s">
        <v>4457</v>
      </c>
      <c r="X1342" s="206">
        <v>4600</v>
      </c>
      <c r="Y1342" s="192"/>
    </row>
    <row r="1343" ht="37.5" customHeight="1" spans="1:25">
      <c r="A1343" s="192">
        <f t="shared" si="31"/>
        <v>1335</v>
      </c>
      <c r="B1343" s="208">
        <v>2023</v>
      </c>
      <c r="C1343" s="193" t="s">
        <v>37</v>
      </c>
      <c r="D1343" s="277" t="s">
        <v>4998</v>
      </c>
      <c r="E1343" s="195" t="s">
        <v>4999</v>
      </c>
      <c r="F1343" s="196" t="s">
        <v>2073</v>
      </c>
      <c r="G1343" s="197" t="s">
        <v>1103</v>
      </c>
      <c r="H1343" s="198">
        <v>0.8</v>
      </c>
      <c r="I1343" s="199">
        <v>92000</v>
      </c>
      <c r="J1343" s="200" t="s">
        <v>1939</v>
      </c>
      <c r="K1343" s="200" t="s">
        <v>2241</v>
      </c>
      <c r="L1343" s="201">
        <v>0.4</v>
      </c>
      <c r="M1343" s="278" t="s">
        <v>5000</v>
      </c>
      <c r="N1343" s="205">
        <v>3800</v>
      </c>
      <c r="O1343" s="254">
        <v>3800</v>
      </c>
      <c r="P1343" s="254">
        <v>3040</v>
      </c>
      <c r="Q1343" s="254">
        <v>3040</v>
      </c>
      <c r="R1343" s="1262" t="s">
        <v>3000</v>
      </c>
      <c r="S1343" s="254">
        <v>1520</v>
      </c>
      <c r="T1343" s="204">
        <v>45128</v>
      </c>
      <c r="U1343" s="1262" t="s">
        <v>2810</v>
      </c>
      <c r="V1343" s="254">
        <v>760</v>
      </c>
      <c r="W1343" s="203" t="s">
        <v>4457</v>
      </c>
      <c r="X1343" s="206">
        <v>760</v>
      </c>
      <c r="Y1343" s="192"/>
    </row>
    <row r="1344" ht="37.5" customHeight="1" spans="1:25">
      <c r="A1344" s="192">
        <f t="shared" si="31"/>
        <v>1336</v>
      </c>
      <c r="B1344" s="208">
        <v>2023</v>
      </c>
      <c r="C1344" s="193" t="s">
        <v>37</v>
      </c>
      <c r="D1344" s="277" t="s">
        <v>5001</v>
      </c>
      <c r="E1344" s="195" t="s">
        <v>5002</v>
      </c>
      <c r="F1344" s="196" t="s">
        <v>2073</v>
      </c>
      <c r="G1344" s="197" t="s">
        <v>3239</v>
      </c>
      <c r="H1344" s="198">
        <v>0.8</v>
      </c>
      <c r="I1344" s="199">
        <v>50010</v>
      </c>
      <c r="J1344" s="200" t="s">
        <v>1970</v>
      </c>
      <c r="K1344" s="200" t="s">
        <v>2245</v>
      </c>
      <c r="L1344" s="201">
        <v>0.4</v>
      </c>
      <c r="M1344" s="278" t="s">
        <v>5003</v>
      </c>
      <c r="N1344" s="205">
        <v>12459</v>
      </c>
      <c r="O1344" s="254">
        <v>12459</v>
      </c>
      <c r="P1344" s="254">
        <v>9967.2</v>
      </c>
      <c r="Q1344" s="254">
        <v>9967.2</v>
      </c>
      <c r="R1344" s="1262" t="s">
        <v>3000</v>
      </c>
      <c r="S1344" s="254">
        <v>4983.6</v>
      </c>
      <c r="T1344" s="204">
        <v>45128</v>
      </c>
      <c r="U1344" s="1262" t="s">
        <v>2810</v>
      </c>
      <c r="V1344" s="254">
        <v>2491.8</v>
      </c>
      <c r="W1344" s="203" t="s">
        <v>4457</v>
      </c>
      <c r="X1344" s="206">
        <v>2491.8</v>
      </c>
      <c r="Y1344" s="192"/>
    </row>
    <row r="1345" ht="37.5" customHeight="1" spans="1:25">
      <c r="A1345" s="192">
        <f t="shared" si="31"/>
        <v>1337</v>
      </c>
      <c r="B1345" s="208">
        <v>2023</v>
      </c>
      <c r="C1345" s="193" t="s">
        <v>37</v>
      </c>
      <c r="D1345" s="277" t="s">
        <v>5004</v>
      </c>
      <c r="E1345" s="195" t="s">
        <v>5005</v>
      </c>
      <c r="F1345" s="196" t="s">
        <v>2073</v>
      </c>
      <c r="G1345" s="197" t="s">
        <v>3239</v>
      </c>
      <c r="H1345" s="198">
        <v>0.8</v>
      </c>
      <c r="I1345" s="199">
        <v>20430</v>
      </c>
      <c r="J1345" s="200" t="s">
        <v>1846</v>
      </c>
      <c r="K1345" s="200" t="s">
        <v>2622</v>
      </c>
      <c r="L1345" s="201">
        <v>0.4</v>
      </c>
      <c r="M1345" s="278" t="s">
        <v>5006</v>
      </c>
      <c r="N1345" s="205">
        <v>1000</v>
      </c>
      <c r="O1345" s="254">
        <v>1000</v>
      </c>
      <c r="P1345" s="254">
        <v>800</v>
      </c>
      <c r="Q1345" s="254">
        <v>800</v>
      </c>
      <c r="R1345" s="1262" t="s">
        <v>3000</v>
      </c>
      <c r="S1345" s="254">
        <v>400</v>
      </c>
      <c r="T1345" s="204">
        <v>45128</v>
      </c>
      <c r="U1345" s="1262" t="s">
        <v>2810</v>
      </c>
      <c r="V1345" s="254">
        <v>200</v>
      </c>
      <c r="W1345" s="203" t="s">
        <v>4457</v>
      </c>
      <c r="X1345" s="206">
        <v>200</v>
      </c>
      <c r="Y1345" s="192"/>
    </row>
    <row r="1346" ht="37.5" customHeight="1" spans="1:25">
      <c r="A1346" s="192">
        <f t="shared" si="31"/>
        <v>1338</v>
      </c>
      <c r="B1346" s="208">
        <v>2023</v>
      </c>
      <c r="C1346" s="193" t="s">
        <v>37</v>
      </c>
      <c r="D1346" s="277" t="s">
        <v>5007</v>
      </c>
      <c r="E1346" s="195" t="s">
        <v>5008</v>
      </c>
      <c r="F1346" s="196" t="s">
        <v>2073</v>
      </c>
      <c r="G1346" s="197" t="s">
        <v>1103</v>
      </c>
      <c r="H1346" s="198">
        <v>0.8</v>
      </c>
      <c r="I1346" s="199">
        <v>39650</v>
      </c>
      <c r="J1346" s="200" t="s">
        <v>3315</v>
      </c>
      <c r="K1346" s="200" t="s">
        <v>2639</v>
      </c>
      <c r="L1346" s="201">
        <v>0.4</v>
      </c>
      <c r="M1346" s="278" t="s">
        <v>4995</v>
      </c>
      <c r="N1346" s="205">
        <v>3219.26</v>
      </c>
      <c r="O1346" s="254">
        <v>3219.26</v>
      </c>
      <c r="P1346" s="254">
        <v>2575.41</v>
      </c>
      <c r="Q1346" s="254">
        <v>2575.41</v>
      </c>
      <c r="R1346" s="1262" t="s">
        <v>3000</v>
      </c>
      <c r="S1346" s="254">
        <v>1287.7</v>
      </c>
      <c r="T1346" s="204">
        <v>45128</v>
      </c>
      <c r="U1346" s="1262" t="s">
        <v>2810</v>
      </c>
      <c r="V1346" s="254">
        <v>643.85</v>
      </c>
      <c r="W1346" s="203" t="s">
        <v>4457</v>
      </c>
      <c r="X1346" s="206">
        <v>643.85</v>
      </c>
      <c r="Y1346" s="192"/>
    </row>
    <row r="1347" ht="37.5" customHeight="1" spans="1:25">
      <c r="A1347" s="192">
        <f t="shared" si="31"/>
        <v>1339</v>
      </c>
      <c r="B1347" s="208">
        <v>2023</v>
      </c>
      <c r="C1347" s="193" t="s">
        <v>37</v>
      </c>
      <c r="D1347" s="277" t="s">
        <v>5009</v>
      </c>
      <c r="E1347" s="195" t="s">
        <v>5010</v>
      </c>
      <c r="F1347" s="196" t="s">
        <v>2073</v>
      </c>
      <c r="G1347" s="197" t="s">
        <v>3239</v>
      </c>
      <c r="H1347" s="198">
        <v>0.8</v>
      </c>
      <c r="I1347" s="199">
        <v>10010</v>
      </c>
      <c r="J1347" s="200" t="s">
        <v>3776</v>
      </c>
      <c r="K1347" s="200" t="s">
        <v>3777</v>
      </c>
      <c r="L1347" s="201">
        <v>0.4</v>
      </c>
      <c r="M1347" s="278" t="s">
        <v>5011</v>
      </c>
      <c r="N1347" s="205">
        <v>321.52</v>
      </c>
      <c r="O1347" s="254">
        <v>321.52</v>
      </c>
      <c r="P1347" s="254">
        <v>257.22</v>
      </c>
      <c r="Q1347" s="254">
        <v>257.22</v>
      </c>
      <c r="R1347" s="1262" t="s">
        <v>3000</v>
      </c>
      <c r="S1347" s="254">
        <v>128.61</v>
      </c>
      <c r="T1347" s="204">
        <v>45128</v>
      </c>
      <c r="U1347" s="1262" t="s">
        <v>2810</v>
      </c>
      <c r="V1347" s="254">
        <v>64.3</v>
      </c>
      <c r="W1347" s="203" t="s">
        <v>4457</v>
      </c>
      <c r="X1347" s="206">
        <v>64.3</v>
      </c>
      <c r="Y1347" s="192"/>
    </row>
    <row r="1348" ht="37.5" customHeight="1" spans="1:25">
      <c r="A1348" s="192">
        <f t="shared" si="31"/>
        <v>1340</v>
      </c>
      <c r="B1348" s="208">
        <v>2023</v>
      </c>
      <c r="C1348" s="193" t="s">
        <v>37</v>
      </c>
      <c r="D1348" s="277" t="s">
        <v>5012</v>
      </c>
      <c r="E1348" s="195" t="s">
        <v>5013</v>
      </c>
      <c r="F1348" s="196" t="s">
        <v>2073</v>
      </c>
      <c r="G1348" s="197" t="s">
        <v>3239</v>
      </c>
      <c r="H1348" s="198">
        <v>0.8</v>
      </c>
      <c r="I1348" s="199">
        <v>100180</v>
      </c>
      <c r="J1348" s="200" t="s">
        <v>2861</v>
      </c>
      <c r="K1348" s="200" t="s">
        <v>2862</v>
      </c>
      <c r="L1348" s="201">
        <v>0.4</v>
      </c>
      <c r="M1348" s="278" t="s">
        <v>4995</v>
      </c>
      <c r="N1348" s="205">
        <v>8333.4</v>
      </c>
      <c r="O1348" s="254">
        <v>8333.4</v>
      </c>
      <c r="P1348" s="254">
        <v>6666.72</v>
      </c>
      <c r="Q1348" s="254">
        <v>6666.72</v>
      </c>
      <c r="R1348" s="1262" t="s">
        <v>3000</v>
      </c>
      <c r="S1348" s="254">
        <v>3333.36</v>
      </c>
      <c r="T1348" s="204">
        <v>45128</v>
      </c>
      <c r="U1348" s="1262" t="s">
        <v>2810</v>
      </c>
      <c r="V1348" s="254">
        <v>1666.68</v>
      </c>
      <c r="W1348" s="203" t="s">
        <v>4457</v>
      </c>
      <c r="X1348" s="206">
        <v>1666.68</v>
      </c>
      <c r="Y1348" s="192"/>
    </row>
    <row r="1349" ht="37.5" customHeight="1" spans="1:25">
      <c r="A1349" s="192">
        <f t="shared" si="31"/>
        <v>1341</v>
      </c>
      <c r="B1349" s="208">
        <v>2023</v>
      </c>
      <c r="C1349" s="193" t="s">
        <v>37</v>
      </c>
      <c r="D1349" s="277" t="s">
        <v>5014</v>
      </c>
      <c r="E1349" s="195" t="s">
        <v>5015</v>
      </c>
      <c r="F1349" s="196" t="s">
        <v>2073</v>
      </c>
      <c r="G1349" s="197" t="s">
        <v>1103</v>
      </c>
      <c r="H1349" s="198">
        <v>0.8</v>
      </c>
      <c r="I1349" s="199">
        <v>109410</v>
      </c>
      <c r="J1349" s="200" t="s">
        <v>2776</v>
      </c>
      <c r="K1349" s="200" t="s">
        <v>2777</v>
      </c>
      <c r="L1349" s="201">
        <v>0.4</v>
      </c>
      <c r="M1349" s="278" t="s">
        <v>4697</v>
      </c>
      <c r="N1349" s="205">
        <v>5559.26</v>
      </c>
      <c r="O1349" s="254">
        <v>5559.26</v>
      </c>
      <c r="P1349" s="254">
        <v>4447.41</v>
      </c>
      <c r="Q1349" s="254">
        <v>4447.41</v>
      </c>
      <c r="R1349" s="1262" t="s">
        <v>3000</v>
      </c>
      <c r="S1349" s="254">
        <v>2223.7</v>
      </c>
      <c r="T1349" s="204">
        <v>45128</v>
      </c>
      <c r="U1349" s="1262" t="s">
        <v>2810</v>
      </c>
      <c r="V1349" s="254">
        <v>1111.85</v>
      </c>
      <c r="W1349" s="203" t="s">
        <v>4457</v>
      </c>
      <c r="X1349" s="206">
        <v>1111.85</v>
      </c>
      <c r="Y1349" s="192"/>
    </row>
    <row r="1350" ht="37.5" customHeight="1" spans="1:25">
      <c r="A1350" s="192">
        <f t="shared" si="31"/>
        <v>1342</v>
      </c>
      <c r="B1350" s="208">
        <v>2023</v>
      </c>
      <c r="C1350" s="193" t="s">
        <v>37</v>
      </c>
      <c r="D1350" s="277" t="s">
        <v>5016</v>
      </c>
      <c r="E1350" s="195" t="s">
        <v>5017</v>
      </c>
      <c r="F1350" s="196" t="s">
        <v>2073</v>
      </c>
      <c r="G1350" s="197" t="s">
        <v>3239</v>
      </c>
      <c r="H1350" s="198">
        <v>0.8</v>
      </c>
      <c r="I1350" s="199">
        <v>71220</v>
      </c>
      <c r="J1350" s="200" t="s">
        <v>2140</v>
      </c>
      <c r="K1350" s="200" t="s">
        <v>3240</v>
      </c>
      <c r="L1350" s="201">
        <v>0.4</v>
      </c>
      <c r="M1350" s="278" t="s">
        <v>5003</v>
      </c>
      <c r="N1350" s="205">
        <v>2000</v>
      </c>
      <c r="O1350" s="254">
        <v>2000</v>
      </c>
      <c r="P1350" s="254">
        <v>1600</v>
      </c>
      <c r="Q1350" s="254">
        <v>1600</v>
      </c>
      <c r="R1350" s="1262" t="s">
        <v>3000</v>
      </c>
      <c r="S1350" s="254">
        <v>800</v>
      </c>
      <c r="T1350" s="204">
        <v>45128</v>
      </c>
      <c r="U1350" s="1262" t="s">
        <v>2810</v>
      </c>
      <c r="V1350" s="254">
        <v>400</v>
      </c>
      <c r="W1350" s="203" t="s">
        <v>4457</v>
      </c>
      <c r="X1350" s="206">
        <v>400</v>
      </c>
      <c r="Y1350" s="192"/>
    </row>
    <row r="1351" ht="37.5" customHeight="1" spans="1:25">
      <c r="A1351" s="192">
        <f t="shared" si="31"/>
        <v>1343</v>
      </c>
      <c r="B1351" s="208">
        <v>2023</v>
      </c>
      <c r="C1351" s="193" t="s">
        <v>37</v>
      </c>
      <c r="D1351" s="277" t="s">
        <v>5018</v>
      </c>
      <c r="E1351" s="195" t="s">
        <v>5019</v>
      </c>
      <c r="F1351" s="196" t="s">
        <v>2073</v>
      </c>
      <c r="G1351" s="197" t="s">
        <v>3239</v>
      </c>
      <c r="H1351" s="198">
        <v>0.8</v>
      </c>
      <c r="I1351" s="199">
        <v>150000</v>
      </c>
      <c r="J1351" s="200" t="s">
        <v>5020</v>
      </c>
      <c r="K1351" s="200" t="s">
        <v>4987</v>
      </c>
      <c r="L1351" s="201">
        <v>0.4</v>
      </c>
      <c r="M1351" s="278" t="s">
        <v>4800</v>
      </c>
      <c r="N1351" s="205">
        <v>6333.4</v>
      </c>
      <c r="O1351" s="254">
        <v>6333.4</v>
      </c>
      <c r="P1351" s="254">
        <v>5066.72</v>
      </c>
      <c r="Q1351" s="254">
        <v>5066.72</v>
      </c>
      <c r="R1351" s="1262" t="s">
        <v>3000</v>
      </c>
      <c r="S1351" s="254">
        <v>2533.36</v>
      </c>
      <c r="T1351" s="204">
        <v>45128</v>
      </c>
      <c r="U1351" s="1262" t="s">
        <v>2810</v>
      </c>
      <c r="V1351" s="254">
        <v>1266.68</v>
      </c>
      <c r="W1351" s="203" t="s">
        <v>4457</v>
      </c>
      <c r="X1351" s="206">
        <v>1266.68</v>
      </c>
      <c r="Y1351" s="192"/>
    </row>
    <row r="1352" ht="37.5" customHeight="1" spans="1:25">
      <c r="A1352" s="192">
        <f t="shared" si="31"/>
        <v>1344</v>
      </c>
      <c r="B1352" s="208">
        <v>2023</v>
      </c>
      <c r="C1352" s="193" t="s">
        <v>37</v>
      </c>
      <c r="D1352" s="277" t="s">
        <v>5021</v>
      </c>
      <c r="E1352" s="195" t="s">
        <v>5022</v>
      </c>
      <c r="F1352" s="196" t="s">
        <v>2073</v>
      </c>
      <c r="G1352" s="197" t="s">
        <v>1103</v>
      </c>
      <c r="H1352" s="198">
        <v>0.8</v>
      </c>
      <c r="I1352" s="199">
        <v>397000</v>
      </c>
      <c r="J1352" s="200" t="s">
        <v>4679</v>
      </c>
      <c r="K1352" s="200" t="s">
        <v>4680</v>
      </c>
      <c r="L1352" s="201">
        <v>0.4</v>
      </c>
      <c r="M1352" s="278" t="s">
        <v>4800</v>
      </c>
      <c r="N1352" s="205">
        <v>8333.4</v>
      </c>
      <c r="O1352" s="254">
        <v>8333.4</v>
      </c>
      <c r="P1352" s="254">
        <v>6666.72</v>
      </c>
      <c r="Q1352" s="254">
        <v>6666.72</v>
      </c>
      <c r="R1352" s="1262" t="s">
        <v>3000</v>
      </c>
      <c r="S1352" s="254">
        <v>3333.36</v>
      </c>
      <c r="T1352" s="204">
        <v>45128</v>
      </c>
      <c r="U1352" s="1262" t="s">
        <v>2810</v>
      </c>
      <c r="V1352" s="254">
        <v>1666.68</v>
      </c>
      <c r="W1352" s="203" t="s">
        <v>4457</v>
      </c>
      <c r="X1352" s="206">
        <v>1666.68</v>
      </c>
      <c r="Y1352" s="192"/>
    </row>
    <row r="1353" ht="37.5" customHeight="1" spans="1:25">
      <c r="A1353" s="192">
        <f t="shared" si="31"/>
        <v>1345</v>
      </c>
      <c r="B1353" s="208">
        <v>2023</v>
      </c>
      <c r="C1353" s="193" t="s">
        <v>37</v>
      </c>
      <c r="D1353" s="277" t="s">
        <v>5023</v>
      </c>
      <c r="E1353" s="195" t="s">
        <v>5024</v>
      </c>
      <c r="F1353" s="196" t="s">
        <v>2073</v>
      </c>
      <c r="G1353" s="197" t="s">
        <v>3239</v>
      </c>
      <c r="H1353" s="198">
        <v>0.8</v>
      </c>
      <c r="I1353" s="199">
        <v>13000</v>
      </c>
      <c r="J1353" s="200" t="s">
        <v>3119</v>
      </c>
      <c r="K1353" s="200" t="s">
        <v>3120</v>
      </c>
      <c r="L1353" s="201">
        <v>0.4</v>
      </c>
      <c r="M1353" s="278" t="s">
        <v>5025</v>
      </c>
      <c r="N1353" s="205">
        <v>2166.8</v>
      </c>
      <c r="O1353" s="254">
        <v>2166.8</v>
      </c>
      <c r="P1353" s="254">
        <v>1733.44</v>
      </c>
      <c r="Q1353" s="254">
        <v>1733.44</v>
      </c>
      <c r="R1353" s="1262" t="s">
        <v>3000</v>
      </c>
      <c r="S1353" s="254">
        <v>866.72</v>
      </c>
      <c r="T1353" s="204">
        <v>45128</v>
      </c>
      <c r="U1353" s="1262" t="s">
        <v>2810</v>
      </c>
      <c r="V1353" s="254">
        <v>433.36</v>
      </c>
      <c r="W1353" s="203" t="s">
        <v>4457</v>
      </c>
      <c r="X1353" s="206">
        <v>433.36</v>
      </c>
      <c r="Y1353" s="192"/>
    </row>
    <row r="1354" ht="37.5" customHeight="1" spans="1:25">
      <c r="A1354" s="192">
        <f t="shared" si="31"/>
        <v>1346</v>
      </c>
      <c r="B1354" s="208">
        <v>2023</v>
      </c>
      <c r="C1354" s="193" t="s">
        <v>37</v>
      </c>
      <c r="D1354" s="277" t="s">
        <v>4706</v>
      </c>
      <c r="E1354" s="195" t="s">
        <v>5026</v>
      </c>
      <c r="F1354" s="196" t="s">
        <v>2073</v>
      </c>
      <c r="G1354" s="197" t="s">
        <v>3239</v>
      </c>
      <c r="H1354" s="198">
        <v>0.8</v>
      </c>
      <c r="I1354" s="199">
        <v>75000</v>
      </c>
      <c r="J1354" s="200" t="s">
        <v>2429</v>
      </c>
      <c r="K1354" s="200" t="s">
        <v>2820</v>
      </c>
      <c r="L1354" s="201">
        <v>0.4</v>
      </c>
      <c r="M1354" s="278" t="s">
        <v>5027</v>
      </c>
      <c r="N1354" s="205">
        <v>11250</v>
      </c>
      <c r="O1354" s="254">
        <v>11250</v>
      </c>
      <c r="P1354" s="254">
        <v>9000</v>
      </c>
      <c r="Q1354" s="254">
        <v>9000</v>
      </c>
      <c r="R1354" s="1262" t="s">
        <v>3000</v>
      </c>
      <c r="S1354" s="254">
        <v>4500</v>
      </c>
      <c r="T1354" s="204">
        <v>45128</v>
      </c>
      <c r="U1354" s="1262" t="s">
        <v>2810</v>
      </c>
      <c r="V1354" s="254">
        <v>2250</v>
      </c>
      <c r="W1354" s="203" t="s">
        <v>4457</v>
      </c>
      <c r="X1354" s="206">
        <v>2250</v>
      </c>
      <c r="Y1354" s="192"/>
    </row>
    <row r="1355" ht="37.5" customHeight="1" spans="1:25">
      <c r="A1355" s="192">
        <f t="shared" si="31"/>
        <v>1347</v>
      </c>
      <c r="B1355" s="208">
        <v>2023</v>
      </c>
      <c r="C1355" s="193" t="s">
        <v>37</v>
      </c>
      <c r="D1355" s="277" t="s">
        <v>5007</v>
      </c>
      <c r="E1355" s="195" t="s">
        <v>5028</v>
      </c>
      <c r="F1355" s="196" t="s">
        <v>2073</v>
      </c>
      <c r="G1355" s="197" t="s">
        <v>1103</v>
      </c>
      <c r="H1355" s="198">
        <v>0.8</v>
      </c>
      <c r="I1355" s="199">
        <v>16188.7</v>
      </c>
      <c r="J1355" s="200" t="s">
        <v>2405</v>
      </c>
      <c r="K1355" s="200" t="s">
        <v>2731</v>
      </c>
      <c r="L1355" s="201">
        <v>0.4</v>
      </c>
      <c r="M1355" s="278" t="s">
        <v>4995</v>
      </c>
      <c r="N1355" s="205">
        <v>1750.03</v>
      </c>
      <c r="O1355" s="254">
        <v>1750.03</v>
      </c>
      <c r="P1355" s="254">
        <v>1400.02</v>
      </c>
      <c r="Q1355" s="254">
        <v>1400.02</v>
      </c>
      <c r="R1355" s="1262" t="s">
        <v>3000</v>
      </c>
      <c r="S1355" s="254">
        <v>700.01</v>
      </c>
      <c r="T1355" s="204">
        <v>45128</v>
      </c>
      <c r="U1355" s="1262" t="s">
        <v>2810</v>
      </c>
      <c r="V1355" s="254">
        <v>350.01</v>
      </c>
      <c r="W1355" s="203" t="s">
        <v>4457</v>
      </c>
      <c r="X1355" s="206">
        <v>350.01</v>
      </c>
      <c r="Y1355" s="192"/>
    </row>
    <row r="1356" ht="37.5" customHeight="1" spans="1:25">
      <c r="A1356" s="192">
        <f t="shared" si="31"/>
        <v>1348</v>
      </c>
      <c r="B1356" s="208">
        <v>2023</v>
      </c>
      <c r="C1356" s="193" t="s">
        <v>37</v>
      </c>
      <c r="D1356" s="277" t="s">
        <v>4991</v>
      </c>
      <c r="E1356" s="195" t="s">
        <v>5029</v>
      </c>
      <c r="F1356" s="196" t="s">
        <v>2073</v>
      </c>
      <c r="G1356" s="197" t="s">
        <v>3239</v>
      </c>
      <c r="H1356" s="198">
        <v>0.8</v>
      </c>
      <c r="I1356" s="199">
        <v>12144.76</v>
      </c>
      <c r="J1356" s="200" t="s">
        <v>2405</v>
      </c>
      <c r="K1356" s="200" t="s">
        <v>2731</v>
      </c>
      <c r="L1356" s="201">
        <v>0.4</v>
      </c>
      <c r="M1356" s="278" t="s">
        <v>3228</v>
      </c>
      <c r="N1356" s="205">
        <v>400.03</v>
      </c>
      <c r="O1356" s="254">
        <v>400.03</v>
      </c>
      <c r="P1356" s="254">
        <v>320.02</v>
      </c>
      <c r="Q1356" s="254">
        <v>320.02</v>
      </c>
      <c r="R1356" s="1262" t="s">
        <v>3000</v>
      </c>
      <c r="S1356" s="254">
        <v>160.01</v>
      </c>
      <c r="T1356" s="204">
        <v>45128</v>
      </c>
      <c r="U1356" s="1262" t="s">
        <v>2810</v>
      </c>
      <c r="V1356" s="254">
        <v>80.01</v>
      </c>
      <c r="W1356" s="203" t="s">
        <v>4457</v>
      </c>
      <c r="X1356" s="206">
        <v>80.01</v>
      </c>
      <c r="Y1356" s="192"/>
    </row>
    <row r="1357" ht="37.5" customHeight="1" spans="1:25">
      <c r="A1357" s="192">
        <f t="shared" si="31"/>
        <v>1349</v>
      </c>
      <c r="B1357" s="208">
        <v>2023</v>
      </c>
      <c r="C1357" s="193" t="s">
        <v>37</v>
      </c>
      <c r="D1357" s="277" t="s">
        <v>5018</v>
      </c>
      <c r="E1357" s="195" t="s">
        <v>5030</v>
      </c>
      <c r="F1357" s="196" t="s">
        <v>2073</v>
      </c>
      <c r="G1357" s="197" t="s">
        <v>3239</v>
      </c>
      <c r="H1357" s="198">
        <v>0.8</v>
      </c>
      <c r="I1357" s="199">
        <v>17489.99</v>
      </c>
      <c r="J1357" s="200" t="s">
        <v>2016</v>
      </c>
      <c r="K1357" s="200" t="s">
        <v>3330</v>
      </c>
      <c r="L1357" s="201">
        <v>0.4</v>
      </c>
      <c r="M1357" s="278" t="s">
        <v>4800</v>
      </c>
      <c r="N1357" s="205">
        <v>333.4</v>
      </c>
      <c r="O1357" s="254">
        <v>333.4</v>
      </c>
      <c r="P1357" s="254">
        <v>266.72</v>
      </c>
      <c r="Q1357" s="254">
        <v>266.72</v>
      </c>
      <c r="R1357" s="1262" t="s">
        <v>3000</v>
      </c>
      <c r="S1357" s="254">
        <v>133.36</v>
      </c>
      <c r="T1357" s="204">
        <v>45128</v>
      </c>
      <c r="U1357" s="1262" t="s">
        <v>2810</v>
      </c>
      <c r="V1357" s="254">
        <v>66.68</v>
      </c>
      <c r="W1357" s="203" t="s">
        <v>4457</v>
      </c>
      <c r="X1357" s="206">
        <v>66.68</v>
      </c>
      <c r="Y1357" s="192"/>
    </row>
    <row r="1358" ht="37.5" customHeight="1" spans="1:25">
      <c r="A1358" s="192">
        <f t="shared" si="31"/>
        <v>1350</v>
      </c>
      <c r="B1358" s="208">
        <v>2023</v>
      </c>
      <c r="C1358" s="193" t="s">
        <v>37</v>
      </c>
      <c r="D1358" s="277" t="s">
        <v>5031</v>
      </c>
      <c r="E1358" s="195" t="s">
        <v>5032</v>
      </c>
      <c r="F1358" s="196" t="s">
        <v>2073</v>
      </c>
      <c r="G1358" s="197" t="s">
        <v>1103</v>
      </c>
      <c r="H1358" s="198">
        <v>0.8</v>
      </c>
      <c r="I1358" s="199">
        <v>98000</v>
      </c>
      <c r="J1358" s="200" t="s">
        <v>2836</v>
      </c>
      <c r="K1358" s="200" t="s">
        <v>2837</v>
      </c>
      <c r="L1358" s="201">
        <v>0.4</v>
      </c>
      <c r="M1358" s="278" t="s">
        <v>5011</v>
      </c>
      <c r="N1358" s="205">
        <v>25000.01</v>
      </c>
      <c r="O1358" s="254">
        <v>25000.01</v>
      </c>
      <c r="P1358" s="254">
        <v>20000.01</v>
      </c>
      <c r="Q1358" s="254">
        <v>20000.01</v>
      </c>
      <c r="R1358" s="1262" t="s">
        <v>3000</v>
      </c>
      <c r="S1358" s="254">
        <v>10000</v>
      </c>
      <c r="T1358" s="204">
        <v>45128</v>
      </c>
      <c r="U1358" s="1262" t="s">
        <v>2810</v>
      </c>
      <c r="V1358" s="254">
        <v>5000</v>
      </c>
      <c r="W1358" s="203" t="s">
        <v>4457</v>
      </c>
      <c r="X1358" s="206">
        <v>5000</v>
      </c>
      <c r="Y1358" s="192"/>
    </row>
    <row r="1359" ht="37.5" customHeight="1" spans="1:25">
      <c r="A1359" s="192">
        <f t="shared" si="31"/>
        <v>1351</v>
      </c>
      <c r="B1359" s="208">
        <v>2023</v>
      </c>
      <c r="C1359" s="193" t="s">
        <v>37</v>
      </c>
      <c r="D1359" s="277" t="s">
        <v>5033</v>
      </c>
      <c r="E1359" s="195" t="s">
        <v>5034</v>
      </c>
      <c r="F1359" s="196" t="s">
        <v>2073</v>
      </c>
      <c r="G1359" s="197" t="s">
        <v>3239</v>
      </c>
      <c r="H1359" s="198">
        <v>0.8</v>
      </c>
      <c r="I1359" s="199">
        <v>14324.35</v>
      </c>
      <c r="J1359" s="200" t="s">
        <v>3578</v>
      </c>
      <c r="K1359" s="200" t="s">
        <v>3579</v>
      </c>
      <c r="L1359" s="201">
        <v>0.4</v>
      </c>
      <c r="M1359" s="278" t="s">
        <v>4593</v>
      </c>
      <c r="N1359" s="205">
        <v>500.06</v>
      </c>
      <c r="O1359" s="254">
        <v>500.06</v>
      </c>
      <c r="P1359" s="254">
        <v>400.05</v>
      </c>
      <c r="Q1359" s="254">
        <v>400.05</v>
      </c>
      <c r="R1359" s="1262" t="s">
        <v>3000</v>
      </c>
      <c r="S1359" s="254">
        <v>200.02</v>
      </c>
      <c r="T1359" s="204">
        <v>45128</v>
      </c>
      <c r="U1359" s="1262" t="s">
        <v>2810</v>
      </c>
      <c r="V1359" s="254">
        <v>100.01</v>
      </c>
      <c r="W1359" s="203" t="s">
        <v>4457</v>
      </c>
      <c r="X1359" s="206">
        <v>100.01</v>
      </c>
      <c r="Y1359" s="192"/>
    </row>
    <row r="1360" ht="37.5" customHeight="1" spans="1:25">
      <c r="A1360" s="192">
        <f t="shared" si="31"/>
        <v>1352</v>
      </c>
      <c r="B1360" s="208">
        <v>2023</v>
      </c>
      <c r="C1360" s="193" t="s">
        <v>37</v>
      </c>
      <c r="D1360" s="277" t="s">
        <v>5035</v>
      </c>
      <c r="E1360" s="195" t="s">
        <v>5036</v>
      </c>
      <c r="F1360" s="196" t="s">
        <v>2073</v>
      </c>
      <c r="G1360" s="197" t="s">
        <v>3239</v>
      </c>
      <c r="H1360" s="198">
        <v>0.8</v>
      </c>
      <c r="I1360" s="199">
        <v>20000</v>
      </c>
      <c r="J1360" s="200" t="s">
        <v>3085</v>
      </c>
      <c r="K1360" s="200" t="s">
        <v>3086</v>
      </c>
      <c r="L1360" s="201">
        <v>0.4</v>
      </c>
      <c r="M1360" s="278" t="s">
        <v>4814</v>
      </c>
      <c r="N1360" s="205">
        <v>5000.06</v>
      </c>
      <c r="O1360" s="254">
        <v>5000.06</v>
      </c>
      <c r="P1360" s="254">
        <v>4000.04</v>
      </c>
      <c r="Q1360" s="254">
        <v>4000.04</v>
      </c>
      <c r="R1360" s="1262" t="s">
        <v>3000</v>
      </c>
      <c r="S1360" s="254">
        <v>2000.02</v>
      </c>
      <c r="T1360" s="204">
        <v>45128</v>
      </c>
      <c r="U1360" s="1262" t="s">
        <v>2810</v>
      </c>
      <c r="V1360" s="254">
        <v>1000.01</v>
      </c>
      <c r="W1360" s="203" t="s">
        <v>4457</v>
      </c>
      <c r="X1360" s="206">
        <v>1000.01</v>
      </c>
      <c r="Y1360" s="192"/>
    </row>
    <row r="1361" ht="37.5" customHeight="1" spans="1:25">
      <c r="A1361" s="192">
        <f t="shared" si="31"/>
        <v>1353</v>
      </c>
      <c r="B1361" s="208">
        <v>2023</v>
      </c>
      <c r="C1361" s="193" t="s">
        <v>37</v>
      </c>
      <c r="D1361" s="277" t="s">
        <v>5037</v>
      </c>
      <c r="E1361" s="195" t="s">
        <v>5038</v>
      </c>
      <c r="F1361" s="196" t="s">
        <v>2073</v>
      </c>
      <c r="G1361" s="197" t="s">
        <v>1103</v>
      </c>
      <c r="H1361" s="198">
        <v>0.8</v>
      </c>
      <c r="I1361" s="199">
        <v>15576.74</v>
      </c>
      <c r="J1361" s="200" t="s">
        <v>3085</v>
      </c>
      <c r="K1361" s="200" t="s">
        <v>3086</v>
      </c>
      <c r="L1361" s="201">
        <v>0.4</v>
      </c>
      <c r="M1361" s="278" t="s">
        <v>5039</v>
      </c>
      <c r="N1361" s="205">
        <v>10000</v>
      </c>
      <c r="O1361" s="254">
        <v>10000</v>
      </c>
      <c r="P1361" s="254">
        <v>8000</v>
      </c>
      <c r="Q1361" s="254">
        <v>8000</v>
      </c>
      <c r="R1361" s="1262" t="s">
        <v>3000</v>
      </c>
      <c r="S1361" s="254">
        <v>4000</v>
      </c>
      <c r="T1361" s="204">
        <v>45128</v>
      </c>
      <c r="U1361" s="1262" t="s">
        <v>2810</v>
      </c>
      <c r="V1361" s="254">
        <v>2000</v>
      </c>
      <c r="W1361" s="203" t="s">
        <v>4457</v>
      </c>
      <c r="X1361" s="206">
        <v>2000</v>
      </c>
      <c r="Y1361" s="192"/>
    </row>
    <row r="1362" ht="37.5" customHeight="1" spans="1:25">
      <c r="A1362" s="192">
        <f t="shared" si="31"/>
        <v>1354</v>
      </c>
      <c r="B1362" s="208">
        <v>2023</v>
      </c>
      <c r="C1362" s="193" t="s">
        <v>37</v>
      </c>
      <c r="D1362" s="277" t="s">
        <v>5040</v>
      </c>
      <c r="E1362" s="195" t="s">
        <v>5041</v>
      </c>
      <c r="F1362" s="196" t="s">
        <v>2073</v>
      </c>
      <c r="G1362" s="197" t="s">
        <v>3239</v>
      </c>
      <c r="H1362" s="198">
        <v>0.8</v>
      </c>
      <c r="I1362" s="199">
        <v>34736</v>
      </c>
      <c r="J1362" s="200" t="s">
        <v>3516</v>
      </c>
      <c r="K1362" s="200" t="s">
        <v>3517</v>
      </c>
      <c r="L1362" s="201">
        <v>0.4</v>
      </c>
      <c r="M1362" s="278" t="s">
        <v>4995</v>
      </c>
      <c r="N1362" s="205">
        <v>7638.21</v>
      </c>
      <c r="O1362" s="254">
        <v>7638.21</v>
      </c>
      <c r="P1362" s="254">
        <v>6110.57</v>
      </c>
      <c r="Q1362" s="254">
        <v>6110.57</v>
      </c>
      <c r="R1362" s="1262" t="s">
        <v>3000</v>
      </c>
      <c r="S1362" s="254">
        <v>3055.28</v>
      </c>
      <c r="T1362" s="204">
        <v>45128</v>
      </c>
      <c r="U1362" s="1262" t="s">
        <v>2810</v>
      </c>
      <c r="V1362" s="254">
        <v>1527.64</v>
      </c>
      <c r="W1362" s="203" t="s">
        <v>4457</v>
      </c>
      <c r="X1362" s="206">
        <v>1527.64</v>
      </c>
      <c r="Y1362" s="192"/>
    </row>
    <row r="1363" ht="37.5" customHeight="1" spans="1:25">
      <c r="A1363" s="192">
        <f t="shared" si="31"/>
        <v>1355</v>
      </c>
      <c r="B1363" s="208">
        <v>2023</v>
      </c>
      <c r="C1363" s="193" t="s">
        <v>37</v>
      </c>
      <c r="D1363" s="277" t="s">
        <v>5042</v>
      </c>
      <c r="E1363" s="195" t="s">
        <v>5043</v>
      </c>
      <c r="F1363" s="196" t="s">
        <v>2073</v>
      </c>
      <c r="G1363" s="197" t="s">
        <v>3239</v>
      </c>
      <c r="H1363" s="198">
        <v>0.8</v>
      </c>
      <c r="I1363" s="199">
        <v>25000</v>
      </c>
      <c r="J1363" s="200" t="s">
        <v>2949</v>
      </c>
      <c r="K1363" s="200" t="s">
        <v>2950</v>
      </c>
      <c r="L1363" s="201">
        <v>0.4</v>
      </c>
      <c r="M1363" s="278" t="s">
        <v>5006</v>
      </c>
      <c r="N1363" s="205">
        <v>6250.12</v>
      </c>
      <c r="O1363" s="254">
        <v>6250.12</v>
      </c>
      <c r="P1363" s="254">
        <v>5000.09</v>
      </c>
      <c r="Q1363" s="254">
        <v>5000.09</v>
      </c>
      <c r="R1363" s="1262" t="s">
        <v>3000</v>
      </c>
      <c r="S1363" s="254">
        <v>2500.05</v>
      </c>
      <c r="T1363" s="204">
        <v>45128</v>
      </c>
      <c r="U1363" s="1262" t="s">
        <v>2810</v>
      </c>
      <c r="V1363" s="254">
        <v>1250.02</v>
      </c>
      <c r="W1363" s="203" t="s">
        <v>4457</v>
      </c>
      <c r="X1363" s="206">
        <v>1250.02</v>
      </c>
      <c r="Y1363" s="192"/>
    </row>
    <row r="1364" ht="37.5" customHeight="1" spans="1:25">
      <c r="A1364" s="192">
        <f t="shared" si="31"/>
        <v>1356</v>
      </c>
      <c r="B1364" s="208">
        <v>2023</v>
      </c>
      <c r="C1364" s="193" t="s">
        <v>37</v>
      </c>
      <c r="D1364" s="277" t="s">
        <v>5044</v>
      </c>
      <c r="E1364" s="195" t="s">
        <v>5045</v>
      </c>
      <c r="F1364" s="196" t="s">
        <v>2073</v>
      </c>
      <c r="G1364" s="197" t="s">
        <v>1103</v>
      </c>
      <c r="H1364" s="198">
        <v>0.8</v>
      </c>
      <c r="I1364" s="199">
        <v>14370.35</v>
      </c>
      <c r="J1364" s="200" t="s">
        <v>2076</v>
      </c>
      <c r="K1364" s="200" t="s">
        <v>2996</v>
      </c>
      <c r="L1364" s="201">
        <v>0.4</v>
      </c>
      <c r="M1364" s="278" t="s">
        <v>5011</v>
      </c>
      <c r="N1364" s="205">
        <v>6050</v>
      </c>
      <c r="O1364" s="254">
        <v>6050</v>
      </c>
      <c r="P1364" s="254">
        <v>4840</v>
      </c>
      <c r="Q1364" s="254">
        <v>4840</v>
      </c>
      <c r="R1364" s="1262" t="s">
        <v>3000</v>
      </c>
      <c r="S1364" s="254">
        <v>2420</v>
      </c>
      <c r="T1364" s="204">
        <v>45128</v>
      </c>
      <c r="U1364" s="1262" t="s">
        <v>2810</v>
      </c>
      <c r="V1364" s="254">
        <v>1210</v>
      </c>
      <c r="W1364" s="203" t="s">
        <v>4457</v>
      </c>
      <c r="X1364" s="206">
        <v>1210</v>
      </c>
      <c r="Y1364" s="192"/>
    </row>
    <row r="1365" ht="37.5" customHeight="1" spans="1:25">
      <c r="A1365" s="192">
        <f t="shared" si="31"/>
        <v>1357</v>
      </c>
      <c r="B1365" s="208">
        <v>2023</v>
      </c>
      <c r="C1365" s="193" t="s">
        <v>37</v>
      </c>
      <c r="D1365" s="277" t="s">
        <v>5046</v>
      </c>
      <c r="E1365" s="195" t="s">
        <v>5047</v>
      </c>
      <c r="F1365" s="196" t="s">
        <v>2073</v>
      </c>
      <c r="G1365" s="197" t="s">
        <v>3239</v>
      </c>
      <c r="H1365" s="198">
        <v>0.8</v>
      </c>
      <c r="I1365" s="199">
        <v>42000</v>
      </c>
      <c r="J1365" s="200" t="s">
        <v>2812</v>
      </c>
      <c r="K1365" s="200" t="s">
        <v>2813</v>
      </c>
      <c r="L1365" s="201">
        <v>0.4</v>
      </c>
      <c r="M1365" s="278" t="s">
        <v>4760</v>
      </c>
      <c r="N1365" s="205">
        <v>12166.75</v>
      </c>
      <c r="O1365" s="254">
        <v>12166.75</v>
      </c>
      <c r="P1365" s="254">
        <v>9733.4</v>
      </c>
      <c r="Q1365" s="254">
        <v>9733.4</v>
      </c>
      <c r="R1365" s="1262" t="s">
        <v>3000</v>
      </c>
      <c r="S1365" s="254">
        <v>4866.7</v>
      </c>
      <c r="T1365" s="204">
        <v>45128</v>
      </c>
      <c r="U1365" s="1262" t="s">
        <v>2810</v>
      </c>
      <c r="V1365" s="254">
        <v>2433.35</v>
      </c>
      <c r="W1365" s="203" t="s">
        <v>4457</v>
      </c>
      <c r="X1365" s="206">
        <v>2433.35</v>
      </c>
      <c r="Y1365" s="192"/>
    </row>
    <row r="1366" ht="37.5" customHeight="1" spans="1:25">
      <c r="A1366" s="192">
        <f t="shared" si="31"/>
        <v>1358</v>
      </c>
      <c r="B1366" s="208">
        <v>2023</v>
      </c>
      <c r="C1366" s="193" t="s">
        <v>37</v>
      </c>
      <c r="D1366" s="277" t="s">
        <v>5048</v>
      </c>
      <c r="E1366" s="195" t="s">
        <v>5049</v>
      </c>
      <c r="F1366" s="196" t="s">
        <v>2073</v>
      </c>
      <c r="G1366" s="197" t="s">
        <v>3239</v>
      </c>
      <c r="H1366" s="198">
        <v>0.8</v>
      </c>
      <c r="I1366" s="199">
        <v>18068.46</v>
      </c>
      <c r="J1366" s="200" t="s">
        <v>2812</v>
      </c>
      <c r="K1366" s="200" t="s">
        <v>2813</v>
      </c>
      <c r="L1366" s="201">
        <v>0.4</v>
      </c>
      <c r="M1366" s="278" t="s">
        <v>5050</v>
      </c>
      <c r="N1366" s="205">
        <v>2500.03</v>
      </c>
      <c r="O1366" s="254">
        <v>2500.03</v>
      </c>
      <c r="P1366" s="254">
        <v>2000.02</v>
      </c>
      <c r="Q1366" s="254">
        <v>2000.02</v>
      </c>
      <c r="R1366" s="1262" t="s">
        <v>3000</v>
      </c>
      <c r="S1366" s="254">
        <v>1000.01</v>
      </c>
      <c r="T1366" s="204">
        <v>45128</v>
      </c>
      <c r="U1366" s="1262" t="s">
        <v>2810</v>
      </c>
      <c r="V1366" s="254">
        <v>500.01</v>
      </c>
      <c r="W1366" s="203" t="s">
        <v>4457</v>
      </c>
      <c r="X1366" s="206">
        <v>500.01</v>
      </c>
      <c r="Y1366" s="192"/>
    </row>
    <row r="1367" ht="37.5" customHeight="1" spans="1:25">
      <c r="A1367" s="192">
        <f t="shared" si="31"/>
        <v>1359</v>
      </c>
      <c r="B1367" s="208">
        <v>2023</v>
      </c>
      <c r="C1367" s="193" t="s">
        <v>37</v>
      </c>
      <c r="D1367" s="277" t="s">
        <v>5051</v>
      </c>
      <c r="E1367" s="195" t="s">
        <v>5052</v>
      </c>
      <c r="F1367" s="196" t="s">
        <v>2073</v>
      </c>
      <c r="G1367" s="197" t="s">
        <v>1103</v>
      </c>
      <c r="H1367" s="198">
        <v>0.8</v>
      </c>
      <c r="I1367" s="199">
        <v>14254.41</v>
      </c>
      <c r="J1367" s="200" t="s">
        <v>2125</v>
      </c>
      <c r="K1367" s="200" t="s">
        <v>2887</v>
      </c>
      <c r="L1367" s="201">
        <v>0.4</v>
      </c>
      <c r="M1367" s="278" t="s">
        <v>5053</v>
      </c>
      <c r="N1367" s="205">
        <v>1783.71</v>
      </c>
      <c r="O1367" s="254">
        <v>1783.71</v>
      </c>
      <c r="P1367" s="254">
        <v>1426.97</v>
      </c>
      <c r="Q1367" s="254">
        <v>1426.97</v>
      </c>
      <c r="R1367" s="1262" t="s">
        <v>3000</v>
      </c>
      <c r="S1367" s="254">
        <v>713.48</v>
      </c>
      <c r="T1367" s="204">
        <v>45128</v>
      </c>
      <c r="U1367" s="1262" t="s">
        <v>2810</v>
      </c>
      <c r="V1367" s="254">
        <v>356.74</v>
      </c>
      <c r="W1367" s="203" t="s">
        <v>4457</v>
      </c>
      <c r="X1367" s="206">
        <v>356.74</v>
      </c>
      <c r="Y1367" s="192"/>
    </row>
    <row r="1368" ht="37.5" customHeight="1" spans="1:25">
      <c r="A1368" s="192">
        <f t="shared" si="31"/>
        <v>1360</v>
      </c>
      <c r="B1368" s="208">
        <v>2023</v>
      </c>
      <c r="C1368" s="193" t="s">
        <v>37</v>
      </c>
      <c r="D1368" s="277" t="s">
        <v>5054</v>
      </c>
      <c r="E1368" s="195" t="s">
        <v>5055</v>
      </c>
      <c r="F1368" s="196" t="s">
        <v>2073</v>
      </c>
      <c r="G1368" s="197" t="s">
        <v>3239</v>
      </c>
      <c r="H1368" s="198">
        <v>0.8</v>
      </c>
      <c r="I1368" s="199">
        <v>420000</v>
      </c>
      <c r="J1368" s="200" t="s">
        <v>3028</v>
      </c>
      <c r="K1368" s="200" t="s">
        <v>3029</v>
      </c>
      <c r="L1368" s="201">
        <v>0.4</v>
      </c>
      <c r="M1368" s="278" t="s">
        <v>5056</v>
      </c>
      <c r="N1368" s="205">
        <v>209938.5</v>
      </c>
      <c r="O1368" s="254">
        <v>209938.5</v>
      </c>
      <c r="P1368" s="254">
        <v>167950.8</v>
      </c>
      <c r="Q1368" s="254">
        <v>167950.8</v>
      </c>
      <c r="R1368" s="1262" t="s">
        <v>3000</v>
      </c>
      <c r="S1368" s="254">
        <v>83975.4</v>
      </c>
      <c r="T1368" s="204">
        <v>45128</v>
      </c>
      <c r="U1368" s="1262" t="s">
        <v>2810</v>
      </c>
      <c r="V1368" s="254">
        <v>41987.7</v>
      </c>
      <c r="W1368" s="203" t="s">
        <v>4457</v>
      </c>
      <c r="X1368" s="206">
        <v>41987.7</v>
      </c>
      <c r="Y1368" s="192"/>
    </row>
    <row r="1369" ht="37.5" customHeight="1" spans="1:25">
      <c r="A1369" s="192">
        <f t="shared" si="31"/>
        <v>1361</v>
      </c>
      <c r="B1369" s="208">
        <v>2023</v>
      </c>
      <c r="C1369" s="193" t="s">
        <v>37</v>
      </c>
      <c r="D1369" s="277" t="s">
        <v>5057</v>
      </c>
      <c r="E1369" s="195" t="s">
        <v>5058</v>
      </c>
      <c r="F1369" s="196" t="s">
        <v>2073</v>
      </c>
      <c r="G1369" s="197" t="s">
        <v>3239</v>
      </c>
      <c r="H1369" s="198">
        <v>0.8</v>
      </c>
      <c r="I1369" s="199">
        <v>17355.27</v>
      </c>
      <c r="J1369" s="200" t="s">
        <v>1952</v>
      </c>
      <c r="K1369" s="200" t="s">
        <v>3097</v>
      </c>
      <c r="L1369" s="201">
        <v>0.4</v>
      </c>
      <c r="M1369" s="278" t="s">
        <v>5006</v>
      </c>
      <c r="N1369" s="205">
        <v>2000.06</v>
      </c>
      <c r="O1369" s="254">
        <v>2000.06</v>
      </c>
      <c r="P1369" s="254">
        <v>1600.05</v>
      </c>
      <c r="Q1369" s="254">
        <v>1600.05</v>
      </c>
      <c r="R1369" s="1262" t="s">
        <v>3000</v>
      </c>
      <c r="S1369" s="254">
        <v>800.02</v>
      </c>
      <c r="T1369" s="204">
        <v>45128</v>
      </c>
      <c r="U1369" s="1262" t="s">
        <v>2810</v>
      </c>
      <c r="V1369" s="254">
        <v>400.01</v>
      </c>
      <c r="W1369" s="203" t="s">
        <v>4457</v>
      </c>
      <c r="X1369" s="206">
        <v>400.01</v>
      </c>
      <c r="Y1369" s="192"/>
    </row>
    <row r="1370" ht="37.5" customHeight="1" spans="1:25">
      <c r="A1370" s="192">
        <f t="shared" si="31"/>
        <v>1362</v>
      </c>
      <c r="B1370" s="208">
        <v>2023</v>
      </c>
      <c r="C1370" s="193" t="s">
        <v>37</v>
      </c>
      <c r="D1370" s="277" t="s">
        <v>5046</v>
      </c>
      <c r="E1370" s="195" t="s">
        <v>5059</v>
      </c>
      <c r="F1370" s="196" t="s">
        <v>2073</v>
      </c>
      <c r="G1370" s="197" t="s">
        <v>3239</v>
      </c>
      <c r="H1370" s="198">
        <v>0.8</v>
      </c>
      <c r="I1370" s="199">
        <v>43000</v>
      </c>
      <c r="J1370" s="200" t="s">
        <v>1946</v>
      </c>
      <c r="K1370" s="200" t="s">
        <v>3068</v>
      </c>
      <c r="L1370" s="201">
        <v>0.4</v>
      </c>
      <c r="M1370" s="278" t="s">
        <v>4760</v>
      </c>
      <c r="N1370" s="205">
        <v>10000</v>
      </c>
      <c r="O1370" s="254">
        <v>10000</v>
      </c>
      <c r="P1370" s="254">
        <v>8000</v>
      </c>
      <c r="Q1370" s="254">
        <v>8000</v>
      </c>
      <c r="R1370" s="1262" t="s">
        <v>3000</v>
      </c>
      <c r="S1370" s="254">
        <v>4000</v>
      </c>
      <c r="T1370" s="204">
        <v>45128</v>
      </c>
      <c r="U1370" s="1262" t="s">
        <v>2810</v>
      </c>
      <c r="V1370" s="254">
        <v>2000</v>
      </c>
      <c r="W1370" s="203" t="s">
        <v>4457</v>
      </c>
      <c r="X1370" s="206">
        <v>2000</v>
      </c>
      <c r="Y1370" s="192"/>
    </row>
    <row r="1371" ht="37.5" customHeight="1" spans="1:25">
      <c r="A1371" s="192">
        <f t="shared" si="31"/>
        <v>1363</v>
      </c>
      <c r="B1371" s="208">
        <v>2023</v>
      </c>
      <c r="C1371" s="193" t="s">
        <v>37</v>
      </c>
      <c r="D1371" s="277" t="s">
        <v>5060</v>
      </c>
      <c r="E1371" s="195" t="s">
        <v>5061</v>
      </c>
      <c r="F1371" s="196" t="s">
        <v>2073</v>
      </c>
      <c r="G1371" s="197" t="s">
        <v>1103</v>
      </c>
      <c r="H1371" s="198">
        <v>0.8</v>
      </c>
      <c r="I1371" s="199">
        <v>58500</v>
      </c>
      <c r="J1371" s="200" t="s">
        <v>2761</v>
      </c>
      <c r="K1371" s="200" t="s">
        <v>2762</v>
      </c>
      <c r="L1371" s="201">
        <v>0.4</v>
      </c>
      <c r="M1371" s="278" t="s">
        <v>4593</v>
      </c>
      <c r="N1371" s="205">
        <v>19000</v>
      </c>
      <c r="O1371" s="254">
        <v>19000</v>
      </c>
      <c r="P1371" s="254">
        <v>15200</v>
      </c>
      <c r="Q1371" s="254">
        <v>15200</v>
      </c>
      <c r="R1371" s="1262" t="s">
        <v>3000</v>
      </c>
      <c r="S1371" s="254">
        <v>7600</v>
      </c>
      <c r="T1371" s="204">
        <v>45128</v>
      </c>
      <c r="U1371" s="1262" t="s">
        <v>2810</v>
      </c>
      <c r="V1371" s="254">
        <v>3800</v>
      </c>
      <c r="W1371" s="203" t="s">
        <v>4457</v>
      </c>
      <c r="X1371" s="206">
        <v>3800</v>
      </c>
      <c r="Y1371" s="192"/>
    </row>
    <row r="1372" ht="37.5" customHeight="1" spans="1:25">
      <c r="A1372" s="192">
        <f t="shared" si="31"/>
        <v>1364</v>
      </c>
      <c r="B1372" s="208">
        <v>2023</v>
      </c>
      <c r="C1372" s="193" t="s">
        <v>37</v>
      </c>
      <c r="D1372" s="277" t="s">
        <v>338</v>
      </c>
      <c r="E1372" s="195" t="s">
        <v>5062</v>
      </c>
      <c r="F1372" s="196" t="s">
        <v>2073</v>
      </c>
      <c r="G1372" s="197" t="s">
        <v>3239</v>
      </c>
      <c r="H1372" s="198">
        <v>0.8</v>
      </c>
      <c r="I1372" s="199">
        <v>16008.33</v>
      </c>
      <c r="J1372" s="200" t="s">
        <v>2984</v>
      </c>
      <c r="K1372" s="200" t="s">
        <v>2985</v>
      </c>
      <c r="L1372" s="201">
        <v>0.4</v>
      </c>
      <c r="M1372" s="278" t="s">
        <v>3470</v>
      </c>
      <c r="N1372" s="205">
        <v>3104.84</v>
      </c>
      <c r="O1372" s="254">
        <v>3104.84</v>
      </c>
      <c r="P1372" s="254">
        <v>2483.87</v>
      </c>
      <c r="Q1372" s="254">
        <v>2483.87</v>
      </c>
      <c r="R1372" s="1262" t="s">
        <v>3000</v>
      </c>
      <c r="S1372" s="254">
        <v>1241.94</v>
      </c>
      <c r="T1372" s="204">
        <v>45128</v>
      </c>
      <c r="U1372" s="1262" t="s">
        <v>2810</v>
      </c>
      <c r="V1372" s="254">
        <v>620.97</v>
      </c>
      <c r="W1372" s="203" t="s">
        <v>4457</v>
      </c>
      <c r="X1372" s="206">
        <v>620.97</v>
      </c>
      <c r="Y1372" s="192"/>
    </row>
    <row r="1373" ht="37.5" customHeight="1" spans="1:25">
      <c r="A1373" s="192">
        <f t="shared" si="31"/>
        <v>1365</v>
      </c>
      <c r="B1373" s="208">
        <v>2023</v>
      </c>
      <c r="C1373" s="193" t="s">
        <v>37</v>
      </c>
      <c r="D1373" s="277" t="s">
        <v>5063</v>
      </c>
      <c r="E1373" s="195" t="s">
        <v>5064</v>
      </c>
      <c r="F1373" s="196" t="s">
        <v>2073</v>
      </c>
      <c r="G1373" s="197" t="s">
        <v>3239</v>
      </c>
      <c r="H1373" s="198">
        <v>0.8</v>
      </c>
      <c r="I1373" s="199">
        <v>17148.43</v>
      </c>
      <c r="J1373" s="200" t="s">
        <v>2984</v>
      </c>
      <c r="K1373" s="200" t="s">
        <v>2985</v>
      </c>
      <c r="L1373" s="201">
        <v>0.4</v>
      </c>
      <c r="M1373" s="278" t="s">
        <v>5003</v>
      </c>
      <c r="N1373" s="205">
        <v>1933.36</v>
      </c>
      <c r="O1373" s="254">
        <v>1933.36</v>
      </c>
      <c r="P1373" s="254">
        <v>1546.69</v>
      </c>
      <c r="Q1373" s="254">
        <v>1546.69</v>
      </c>
      <c r="R1373" s="1262" t="s">
        <v>3000</v>
      </c>
      <c r="S1373" s="254">
        <v>773.34</v>
      </c>
      <c r="T1373" s="204">
        <v>45128</v>
      </c>
      <c r="U1373" s="1262" t="s">
        <v>2810</v>
      </c>
      <c r="V1373" s="254">
        <v>386.67</v>
      </c>
      <c r="W1373" s="203" t="s">
        <v>4457</v>
      </c>
      <c r="X1373" s="206">
        <v>386.67</v>
      </c>
      <c r="Y1373" s="192"/>
    </row>
    <row r="1374" ht="37.5" customHeight="1" spans="1:25">
      <c r="A1374" s="192">
        <f t="shared" ref="A1374:A1437" si="32">ROW()-8</f>
        <v>1366</v>
      </c>
      <c r="B1374" s="208">
        <v>2023</v>
      </c>
      <c r="C1374" s="193" t="s">
        <v>37</v>
      </c>
      <c r="D1374" s="277" t="s">
        <v>950</v>
      </c>
      <c r="E1374" s="195" t="s">
        <v>5065</v>
      </c>
      <c r="F1374" s="196" t="s">
        <v>2073</v>
      </c>
      <c r="G1374" s="197" t="s">
        <v>3239</v>
      </c>
      <c r="H1374" s="198">
        <v>0.8</v>
      </c>
      <c r="I1374" s="199">
        <v>52000</v>
      </c>
      <c r="J1374" s="200" t="s">
        <v>2092</v>
      </c>
      <c r="K1374" s="200" t="s">
        <v>2926</v>
      </c>
      <c r="L1374" s="201">
        <v>0.4</v>
      </c>
      <c r="M1374" s="278" t="s">
        <v>4760</v>
      </c>
      <c r="N1374" s="205">
        <v>17333.36</v>
      </c>
      <c r="O1374" s="254">
        <v>17333.36</v>
      </c>
      <c r="P1374" s="254">
        <v>13866.69</v>
      </c>
      <c r="Q1374" s="254">
        <v>13866.69</v>
      </c>
      <c r="R1374" s="1262" t="s">
        <v>3000</v>
      </c>
      <c r="S1374" s="254">
        <v>6933.34</v>
      </c>
      <c r="T1374" s="204">
        <v>45128</v>
      </c>
      <c r="U1374" s="1262" t="s">
        <v>2810</v>
      </c>
      <c r="V1374" s="254">
        <v>3466.67</v>
      </c>
      <c r="W1374" s="203" t="s">
        <v>4457</v>
      </c>
      <c r="X1374" s="206">
        <v>3466.67</v>
      </c>
      <c r="Y1374" s="192"/>
    </row>
    <row r="1375" ht="37.5" customHeight="1" spans="1:25">
      <c r="A1375" s="192">
        <f t="shared" si="32"/>
        <v>1367</v>
      </c>
      <c r="B1375" s="208">
        <v>2023</v>
      </c>
      <c r="C1375" s="193" t="s">
        <v>37</v>
      </c>
      <c r="D1375" s="277" t="s">
        <v>5066</v>
      </c>
      <c r="E1375" s="195" t="s">
        <v>5067</v>
      </c>
      <c r="F1375" s="196" t="s">
        <v>2073</v>
      </c>
      <c r="G1375" s="197" t="s">
        <v>1103</v>
      </c>
      <c r="H1375" s="198">
        <v>0.8</v>
      </c>
      <c r="I1375" s="199">
        <v>12588.44</v>
      </c>
      <c r="J1375" s="200" t="s">
        <v>2092</v>
      </c>
      <c r="K1375" s="200" t="s">
        <v>2926</v>
      </c>
      <c r="L1375" s="201">
        <v>0.4</v>
      </c>
      <c r="M1375" s="278" t="s">
        <v>5003</v>
      </c>
      <c r="N1375" s="205">
        <v>10000</v>
      </c>
      <c r="O1375" s="254">
        <v>10000</v>
      </c>
      <c r="P1375" s="254">
        <v>8000</v>
      </c>
      <c r="Q1375" s="254">
        <v>8000</v>
      </c>
      <c r="R1375" s="1262" t="s">
        <v>3000</v>
      </c>
      <c r="S1375" s="254">
        <v>4000</v>
      </c>
      <c r="T1375" s="204">
        <v>45128</v>
      </c>
      <c r="U1375" s="1262" t="s">
        <v>2810</v>
      </c>
      <c r="V1375" s="254">
        <v>2000</v>
      </c>
      <c r="W1375" s="203" t="s">
        <v>4457</v>
      </c>
      <c r="X1375" s="206">
        <v>2000</v>
      </c>
      <c r="Y1375" s="192"/>
    </row>
    <row r="1376" ht="37.5" customHeight="1" spans="1:25">
      <c r="A1376" s="192">
        <f t="shared" si="32"/>
        <v>1368</v>
      </c>
      <c r="B1376" s="208">
        <v>2023</v>
      </c>
      <c r="C1376" s="193" t="s">
        <v>37</v>
      </c>
      <c r="D1376" s="277" t="s">
        <v>5068</v>
      </c>
      <c r="E1376" s="195" t="s">
        <v>5069</v>
      </c>
      <c r="F1376" s="196" t="s">
        <v>2073</v>
      </c>
      <c r="G1376" s="197" t="s">
        <v>3239</v>
      </c>
      <c r="H1376" s="198">
        <v>0.8</v>
      </c>
      <c r="I1376" s="199">
        <v>50000</v>
      </c>
      <c r="J1376" s="200" t="s">
        <v>2961</v>
      </c>
      <c r="K1376" s="200" t="s">
        <v>2962</v>
      </c>
      <c r="L1376" s="201">
        <v>0.4</v>
      </c>
      <c r="M1376" s="278" t="s">
        <v>5006</v>
      </c>
      <c r="N1376" s="205">
        <v>50000</v>
      </c>
      <c r="O1376" s="254">
        <v>50000</v>
      </c>
      <c r="P1376" s="254">
        <v>40000</v>
      </c>
      <c r="Q1376" s="254">
        <v>40000</v>
      </c>
      <c r="R1376" s="1262" t="s">
        <v>3000</v>
      </c>
      <c r="S1376" s="254">
        <v>20000</v>
      </c>
      <c r="T1376" s="204">
        <v>45128</v>
      </c>
      <c r="U1376" s="1262" t="s">
        <v>2810</v>
      </c>
      <c r="V1376" s="254">
        <v>10000</v>
      </c>
      <c r="W1376" s="203" t="s">
        <v>4457</v>
      </c>
      <c r="X1376" s="206">
        <v>10000</v>
      </c>
      <c r="Y1376" s="192"/>
    </row>
    <row r="1377" ht="37.5" customHeight="1" spans="1:25">
      <c r="A1377" s="192">
        <f t="shared" si="32"/>
        <v>1369</v>
      </c>
      <c r="B1377" s="208">
        <v>2023</v>
      </c>
      <c r="C1377" s="193" t="s">
        <v>37</v>
      </c>
      <c r="D1377" s="277" t="s">
        <v>5033</v>
      </c>
      <c r="E1377" s="195" t="s">
        <v>5070</v>
      </c>
      <c r="F1377" s="196" t="s">
        <v>2073</v>
      </c>
      <c r="G1377" s="197" t="s">
        <v>3239</v>
      </c>
      <c r="H1377" s="198">
        <v>0.8</v>
      </c>
      <c r="I1377" s="199">
        <v>14324.35</v>
      </c>
      <c r="J1377" s="200" t="s">
        <v>1932</v>
      </c>
      <c r="K1377" s="200" t="s">
        <v>3863</v>
      </c>
      <c r="L1377" s="201">
        <v>0.4</v>
      </c>
      <c r="M1377" s="278" t="s">
        <v>4593</v>
      </c>
      <c r="N1377" s="205">
        <v>166.72</v>
      </c>
      <c r="O1377" s="254">
        <v>166.72</v>
      </c>
      <c r="P1377" s="254">
        <v>133.38</v>
      </c>
      <c r="Q1377" s="254">
        <v>133.38</v>
      </c>
      <c r="R1377" s="1262" t="s">
        <v>3000</v>
      </c>
      <c r="S1377" s="254">
        <v>66.69</v>
      </c>
      <c r="T1377" s="204">
        <v>45128</v>
      </c>
      <c r="U1377" s="1262" t="s">
        <v>2810</v>
      </c>
      <c r="V1377" s="254">
        <v>33.34</v>
      </c>
      <c r="W1377" s="203" t="s">
        <v>4457</v>
      </c>
      <c r="X1377" s="206">
        <v>33.34</v>
      </c>
      <c r="Y1377" s="192"/>
    </row>
    <row r="1378" ht="37.5" customHeight="1" spans="1:25">
      <c r="A1378" s="192">
        <f t="shared" si="32"/>
        <v>1370</v>
      </c>
      <c r="B1378" s="208">
        <v>2023</v>
      </c>
      <c r="C1378" s="193" t="s">
        <v>37</v>
      </c>
      <c r="D1378" s="277" t="s">
        <v>5071</v>
      </c>
      <c r="E1378" s="195" t="s">
        <v>5072</v>
      </c>
      <c r="F1378" s="196" t="s">
        <v>2073</v>
      </c>
      <c r="G1378" s="197" t="s">
        <v>3239</v>
      </c>
      <c r="H1378" s="198">
        <v>0.8</v>
      </c>
      <c r="I1378" s="199">
        <v>30000</v>
      </c>
      <c r="J1378" s="200" t="s">
        <v>2977</v>
      </c>
      <c r="K1378" s="200" t="s">
        <v>2978</v>
      </c>
      <c r="L1378" s="201">
        <v>0.4</v>
      </c>
      <c r="M1378" s="278" t="s">
        <v>5073</v>
      </c>
      <c r="N1378" s="205">
        <v>1811.18</v>
      </c>
      <c r="O1378" s="254">
        <v>1811.18</v>
      </c>
      <c r="P1378" s="254">
        <v>1448.94</v>
      </c>
      <c r="Q1378" s="254">
        <v>1448.94</v>
      </c>
      <c r="R1378" s="1262" t="s">
        <v>3000</v>
      </c>
      <c r="S1378" s="254">
        <v>724.47</v>
      </c>
      <c r="T1378" s="204">
        <v>45128</v>
      </c>
      <c r="U1378" s="1262" t="s">
        <v>2810</v>
      </c>
      <c r="V1378" s="254">
        <v>362.24</v>
      </c>
      <c r="W1378" s="203" t="s">
        <v>4457</v>
      </c>
      <c r="X1378" s="206">
        <v>362.24</v>
      </c>
      <c r="Y1378" s="192"/>
    </row>
    <row r="1379" ht="37.5" customHeight="1" spans="1:25">
      <c r="A1379" s="192">
        <f t="shared" si="32"/>
        <v>1371</v>
      </c>
      <c r="B1379" s="208">
        <v>2023</v>
      </c>
      <c r="C1379" s="193" t="s">
        <v>37</v>
      </c>
      <c r="D1379" s="277" t="s">
        <v>5035</v>
      </c>
      <c r="E1379" s="195" t="s">
        <v>5074</v>
      </c>
      <c r="F1379" s="196" t="s">
        <v>2073</v>
      </c>
      <c r="G1379" s="197" t="s">
        <v>1103</v>
      </c>
      <c r="H1379" s="198">
        <v>0.8</v>
      </c>
      <c r="I1379" s="199">
        <v>15000</v>
      </c>
      <c r="J1379" s="200" t="s">
        <v>2117</v>
      </c>
      <c r="K1379" s="200" t="s">
        <v>2990</v>
      </c>
      <c r="L1379" s="201">
        <v>0.4</v>
      </c>
      <c r="M1379" s="278" t="s">
        <v>4814</v>
      </c>
      <c r="N1379" s="205">
        <v>4999.97</v>
      </c>
      <c r="O1379" s="254">
        <v>4999.97</v>
      </c>
      <c r="P1379" s="254">
        <v>3999.98</v>
      </c>
      <c r="Q1379" s="254">
        <v>3999.98</v>
      </c>
      <c r="R1379" s="1262" t="s">
        <v>3000</v>
      </c>
      <c r="S1379" s="254">
        <v>1999.99</v>
      </c>
      <c r="T1379" s="204">
        <v>45128</v>
      </c>
      <c r="U1379" s="1262" t="s">
        <v>2810</v>
      </c>
      <c r="V1379" s="254">
        <v>999.99</v>
      </c>
      <c r="W1379" s="203" t="s">
        <v>4457</v>
      </c>
      <c r="X1379" s="206">
        <v>999.99</v>
      </c>
      <c r="Y1379" s="192"/>
    </row>
    <row r="1380" ht="37.5" customHeight="1" spans="1:25">
      <c r="A1380" s="192">
        <f t="shared" si="32"/>
        <v>1372</v>
      </c>
      <c r="B1380" s="208">
        <v>2023</v>
      </c>
      <c r="C1380" s="193" t="s">
        <v>37</v>
      </c>
      <c r="D1380" s="277" t="s">
        <v>4414</v>
      </c>
      <c r="E1380" s="195" t="s">
        <v>5075</v>
      </c>
      <c r="F1380" s="196" t="s">
        <v>2073</v>
      </c>
      <c r="G1380" s="197" t="s">
        <v>3239</v>
      </c>
      <c r="H1380" s="198">
        <v>0.8</v>
      </c>
      <c r="I1380" s="199">
        <v>23000</v>
      </c>
      <c r="J1380" s="200" t="s">
        <v>2117</v>
      </c>
      <c r="K1380" s="200" t="s">
        <v>2990</v>
      </c>
      <c r="L1380" s="201">
        <v>0.4</v>
      </c>
      <c r="M1380" s="278" t="s">
        <v>4814</v>
      </c>
      <c r="N1380" s="205">
        <v>7666.72</v>
      </c>
      <c r="O1380" s="254">
        <v>7666.72</v>
      </c>
      <c r="P1380" s="254">
        <v>6133.38</v>
      </c>
      <c r="Q1380" s="254">
        <v>6133.38</v>
      </c>
      <c r="R1380" s="1262" t="s">
        <v>3000</v>
      </c>
      <c r="S1380" s="254">
        <v>3066.69</v>
      </c>
      <c r="T1380" s="204">
        <v>45128</v>
      </c>
      <c r="U1380" s="1262" t="s">
        <v>2810</v>
      </c>
      <c r="V1380" s="254">
        <v>1533.34</v>
      </c>
      <c r="W1380" s="203" t="s">
        <v>4457</v>
      </c>
      <c r="X1380" s="206">
        <v>1533.34</v>
      </c>
      <c r="Y1380" s="192"/>
    </row>
    <row r="1381" ht="37.5" customHeight="1" spans="1:25">
      <c r="A1381" s="192">
        <f t="shared" si="32"/>
        <v>1373</v>
      </c>
      <c r="B1381" s="208">
        <v>2023</v>
      </c>
      <c r="C1381" s="193" t="s">
        <v>37</v>
      </c>
      <c r="D1381" s="277" t="s">
        <v>5076</v>
      </c>
      <c r="E1381" s="195" t="s">
        <v>5077</v>
      </c>
      <c r="F1381" s="196" t="s">
        <v>2073</v>
      </c>
      <c r="G1381" s="197" t="s">
        <v>3239</v>
      </c>
      <c r="H1381" s="198">
        <v>0.8</v>
      </c>
      <c r="I1381" s="199">
        <v>74310</v>
      </c>
      <c r="J1381" s="200" t="s">
        <v>2261</v>
      </c>
      <c r="K1381" s="200" t="s">
        <v>3389</v>
      </c>
      <c r="L1381" s="201">
        <v>0.4</v>
      </c>
      <c r="M1381" s="278" t="s">
        <v>5078</v>
      </c>
      <c r="N1381" s="205">
        <v>74310</v>
      </c>
      <c r="O1381" s="254">
        <v>74310</v>
      </c>
      <c r="P1381" s="254">
        <v>59448</v>
      </c>
      <c r="Q1381" s="254">
        <v>59448</v>
      </c>
      <c r="R1381" s="1262" t="s">
        <v>3000</v>
      </c>
      <c r="S1381" s="254">
        <v>29724</v>
      </c>
      <c r="T1381" s="204">
        <v>45128</v>
      </c>
      <c r="U1381" s="1262" t="s">
        <v>2810</v>
      </c>
      <c r="V1381" s="254">
        <v>14862</v>
      </c>
      <c r="W1381" s="203" t="s">
        <v>4457</v>
      </c>
      <c r="X1381" s="206">
        <v>14862</v>
      </c>
      <c r="Y1381" s="192"/>
    </row>
    <row r="1382" ht="37.5" customHeight="1" spans="1:25">
      <c r="A1382" s="192">
        <f t="shared" si="32"/>
        <v>1374</v>
      </c>
      <c r="B1382" s="208">
        <v>2023</v>
      </c>
      <c r="C1382" s="193" t="s">
        <v>37</v>
      </c>
      <c r="D1382" s="277" t="s">
        <v>4798</v>
      </c>
      <c r="E1382" s="195" t="s">
        <v>5079</v>
      </c>
      <c r="F1382" s="196" t="s">
        <v>2073</v>
      </c>
      <c r="G1382" s="197" t="s">
        <v>3239</v>
      </c>
      <c r="H1382" s="198">
        <v>0.8</v>
      </c>
      <c r="I1382" s="199">
        <v>60000</v>
      </c>
      <c r="J1382" s="200" t="s">
        <v>2261</v>
      </c>
      <c r="K1382" s="200" t="s">
        <v>3389</v>
      </c>
      <c r="L1382" s="201">
        <v>0.4</v>
      </c>
      <c r="M1382" s="278" t="s">
        <v>4800</v>
      </c>
      <c r="N1382" s="205">
        <v>20000</v>
      </c>
      <c r="O1382" s="254">
        <v>20000</v>
      </c>
      <c r="P1382" s="254">
        <v>16000</v>
      </c>
      <c r="Q1382" s="254">
        <v>16000</v>
      </c>
      <c r="R1382" s="1262" t="s">
        <v>3000</v>
      </c>
      <c r="S1382" s="254">
        <v>8000</v>
      </c>
      <c r="T1382" s="204">
        <v>45128</v>
      </c>
      <c r="U1382" s="1262" t="s">
        <v>2810</v>
      </c>
      <c r="V1382" s="254">
        <v>4000</v>
      </c>
      <c r="W1382" s="203" t="s">
        <v>4457</v>
      </c>
      <c r="X1382" s="206">
        <v>4000</v>
      </c>
      <c r="Y1382" s="192"/>
    </row>
    <row r="1383" ht="37.5" customHeight="1" spans="1:25">
      <c r="A1383" s="192">
        <f t="shared" si="32"/>
        <v>1375</v>
      </c>
      <c r="B1383" s="208">
        <v>2023</v>
      </c>
      <c r="C1383" s="193" t="s">
        <v>37</v>
      </c>
      <c r="D1383" s="277" t="s">
        <v>4706</v>
      </c>
      <c r="E1383" s="195" t="s">
        <v>5080</v>
      </c>
      <c r="F1383" s="196" t="s">
        <v>2073</v>
      </c>
      <c r="G1383" s="197" t="s">
        <v>1103</v>
      </c>
      <c r="H1383" s="198">
        <v>0.8</v>
      </c>
      <c r="I1383" s="199">
        <v>55000</v>
      </c>
      <c r="J1383" s="200" t="s">
        <v>2186</v>
      </c>
      <c r="K1383" s="200" t="s">
        <v>3866</v>
      </c>
      <c r="L1383" s="201">
        <v>0.4</v>
      </c>
      <c r="M1383" s="278" t="s">
        <v>5027</v>
      </c>
      <c r="N1383" s="205">
        <v>13333.36</v>
      </c>
      <c r="O1383" s="254">
        <v>13333.36</v>
      </c>
      <c r="P1383" s="254">
        <v>10666.69</v>
      </c>
      <c r="Q1383" s="254">
        <v>10666.69</v>
      </c>
      <c r="R1383" s="1262" t="s">
        <v>3000</v>
      </c>
      <c r="S1383" s="254">
        <v>5333.34</v>
      </c>
      <c r="T1383" s="204">
        <v>45128</v>
      </c>
      <c r="U1383" s="1262" t="s">
        <v>2810</v>
      </c>
      <c r="V1383" s="254">
        <v>2666.67</v>
      </c>
      <c r="W1383" s="203" t="s">
        <v>4457</v>
      </c>
      <c r="X1383" s="206">
        <v>2666.67</v>
      </c>
      <c r="Y1383" s="192"/>
    </row>
    <row r="1384" ht="37.5" customHeight="1" spans="1:25">
      <c r="A1384" s="192">
        <f t="shared" si="32"/>
        <v>1376</v>
      </c>
      <c r="B1384" s="208">
        <v>2023</v>
      </c>
      <c r="C1384" s="193" t="s">
        <v>37</v>
      </c>
      <c r="D1384" s="277" t="s">
        <v>5081</v>
      </c>
      <c r="E1384" s="195" t="s">
        <v>5082</v>
      </c>
      <c r="F1384" s="196" t="s">
        <v>2073</v>
      </c>
      <c r="G1384" s="197" t="s">
        <v>3239</v>
      </c>
      <c r="H1384" s="198">
        <v>0.8</v>
      </c>
      <c r="I1384" s="199">
        <v>12509.98</v>
      </c>
      <c r="J1384" s="200" t="s">
        <v>2186</v>
      </c>
      <c r="K1384" s="200" t="s">
        <v>3866</v>
      </c>
      <c r="L1384" s="201">
        <v>0.4</v>
      </c>
      <c r="M1384" s="278" t="s">
        <v>3470</v>
      </c>
      <c r="N1384" s="205">
        <v>2333.36</v>
      </c>
      <c r="O1384" s="254">
        <v>2333.36</v>
      </c>
      <c r="P1384" s="254">
        <v>1866.69</v>
      </c>
      <c r="Q1384" s="254">
        <v>1866.69</v>
      </c>
      <c r="R1384" s="1262" t="s">
        <v>3000</v>
      </c>
      <c r="S1384" s="254">
        <v>933.34</v>
      </c>
      <c r="T1384" s="204">
        <v>45128</v>
      </c>
      <c r="U1384" s="1262" t="s">
        <v>2810</v>
      </c>
      <c r="V1384" s="254">
        <v>466.67</v>
      </c>
      <c r="W1384" s="203" t="s">
        <v>4457</v>
      </c>
      <c r="X1384" s="206">
        <v>466.67</v>
      </c>
      <c r="Y1384" s="192"/>
    </row>
    <row r="1385" ht="37.5" customHeight="1" spans="1:25">
      <c r="A1385" s="192">
        <f t="shared" si="32"/>
        <v>1377</v>
      </c>
      <c r="B1385" s="208">
        <v>2023</v>
      </c>
      <c r="C1385" s="193" t="s">
        <v>37</v>
      </c>
      <c r="D1385" s="277" t="s">
        <v>5083</v>
      </c>
      <c r="E1385" s="195" t="s">
        <v>5084</v>
      </c>
      <c r="F1385" s="196" t="s">
        <v>2073</v>
      </c>
      <c r="G1385" s="197" t="s">
        <v>3239</v>
      </c>
      <c r="H1385" s="198">
        <v>0.8</v>
      </c>
      <c r="I1385" s="199">
        <v>12000</v>
      </c>
      <c r="J1385" s="200" t="s">
        <v>1933</v>
      </c>
      <c r="K1385" s="200" t="s">
        <v>3158</v>
      </c>
      <c r="L1385" s="201">
        <v>0.4</v>
      </c>
      <c r="M1385" s="278" t="s">
        <v>5053</v>
      </c>
      <c r="N1385" s="205">
        <v>4000</v>
      </c>
      <c r="O1385" s="254">
        <v>4000</v>
      </c>
      <c r="P1385" s="254">
        <v>3200</v>
      </c>
      <c r="Q1385" s="254">
        <v>3200</v>
      </c>
      <c r="R1385" s="1262" t="s">
        <v>3000</v>
      </c>
      <c r="S1385" s="254">
        <v>1600</v>
      </c>
      <c r="T1385" s="204">
        <v>45128</v>
      </c>
      <c r="U1385" s="1262" t="s">
        <v>2810</v>
      </c>
      <c r="V1385" s="254">
        <v>800</v>
      </c>
      <c r="W1385" s="203" t="s">
        <v>4457</v>
      </c>
      <c r="X1385" s="206">
        <v>800</v>
      </c>
      <c r="Y1385" s="192"/>
    </row>
    <row r="1386" ht="37.5" customHeight="1" spans="1:25">
      <c r="A1386" s="192">
        <f t="shared" si="32"/>
        <v>1378</v>
      </c>
      <c r="B1386" s="208">
        <v>2023</v>
      </c>
      <c r="C1386" s="193" t="s">
        <v>37</v>
      </c>
      <c r="D1386" s="277" t="s">
        <v>5040</v>
      </c>
      <c r="E1386" s="195" t="s">
        <v>5085</v>
      </c>
      <c r="F1386" s="196" t="s">
        <v>2073</v>
      </c>
      <c r="G1386" s="197" t="s">
        <v>3239</v>
      </c>
      <c r="H1386" s="198">
        <v>0.8</v>
      </c>
      <c r="I1386" s="199">
        <v>13924.28</v>
      </c>
      <c r="J1386" s="200" t="s">
        <v>1960</v>
      </c>
      <c r="K1386" s="200" t="s">
        <v>3394</v>
      </c>
      <c r="L1386" s="201">
        <v>0.4</v>
      </c>
      <c r="M1386" s="278" t="s">
        <v>4995</v>
      </c>
      <c r="N1386" s="205">
        <v>5606.67</v>
      </c>
      <c r="O1386" s="254">
        <v>5606.67</v>
      </c>
      <c r="P1386" s="254">
        <v>4485.34</v>
      </c>
      <c r="Q1386" s="254">
        <v>4485.34</v>
      </c>
      <c r="R1386" s="1262" t="s">
        <v>3000</v>
      </c>
      <c r="S1386" s="254">
        <v>2242.67</v>
      </c>
      <c r="T1386" s="204">
        <v>45128</v>
      </c>
      <c r="U1386" s="1262" t="s">
        <v>2810</v>
      </c>
      <c r="V1386" s="254">
        <v>1121.33</v>
      </c>
      <c r="W1386" s="203" t="s">
        <v>4457</v>
      </c>
      <c r="X1386" s="206">
        <v>1121.33</v>
      </c>
      <c r="Y1386" s="192"/>
    </row>
    <row r="1387" ht="37.5" customHeight="1" spans="1:25">
      <c r="A1387" s="192">
        <f t="shared" si="32"/>
        <v>1379</v>
      </c>
      <c r="B1387" s="208">
        <v>2023</v>
      </c>
      <c r="C1387" s="193" t="s">
        <v>37</v>
      </c>
      <c r="D1387" s="277" t="s">
        <v>5086</v>
      </c>
      <c r="E1387" s="195" t="s">
        <v>5087</v>
      </c>
      <c r="F1387" s="196" t="s">
        <v>2073</v>
      </c>
      <c r="G1387" s="197" t="s">
        <v>1103</v>
      </c>
      <c r="H1387" s="198">
        <v>0.8</v>
      </c>
      <c r="I1387" s="199">
        <v>13082.21</v>
      </c>
      <c r="J1387" s="200" t="s">
        <v>2993</v>
      </c>
      <c r="K1387" s="200" t="s">
        <v>2994</v>
      </c>
      <c r="L1387" s="201">
        <v>0.4</v>
      </c>
      <c r="M1387" s="278" t="s">
        <v>5003</v>
      </c>
      <c r="N1387" s="205">
        <v>3500</v>
      </c>
      <c r="O1387" s="254">
        <v>3500</v>
      </c>
      <c r="P1387" s="254">
        <v>2800</v>
      </c>
      <c r="Q1387" s="254">
        <v>2800</v>
      </c>
      <c r="R1387" s="1262" t="s">
        <v>3000</v>
      </c>
      <c r="S1387" s="254">
        <v>1400</v>
      </c>
      <c r="T1387" s="204">
        <v>45128</v>
      </c>
      <c r="U1387" s="1262" t="s">
        <v>2810</v>
      </c>
      <c r="V1387" s="254">
        <v>700</v>
      </c>
      <c r="W1387" s="203" t="s">
        <v>4457</v>
      </c>
      <c r="X1387" s="206">
        <v>700</v>
      </c>
      <c r="Y1387" s="192"/>
    </row>
    <row r="1388" ht="37.5" customHeight="1" spans="1:25">
      <c r="A1388" s="192">
        <f t="shared" si="32"/>
        <v>1380</v>
      </c>
      <c r="B1388" s="208">
        <v>2023</v>
      </c>
      <c r="C1388" s="193" t="s">
        <v>37</v>
      </c>
      <c r="D1388" s="277" t="s">
        <v>5060</v>
      </c>
      <c r="E1388" s="195" t="s">
        <v>5088</v>
      </c>
      <c r="F1388" s="196" t="s">
        <v>2073</v>
      </c>
      <c r="G1388" s="197" t="s">
        <v>3239</v>
      </c>
      <c r="H1388" s="198">
        <v>0.8</v>
      </c>
      <c r="I1388" s="199">
        <v>54000</v>
      </c>
      <c r="J1388" s="200" t="s">
        <v>1987</v>
      </c>
      <c r="K1388" s="200" t="s">
        <v>2982</v>
      </c>
      <c r="L1388" s="201">
        <v>0.4</v>
      </c>
      <c r="M1388" s="278" t="s">
        <v>4593</v>
      </c>
      <c r="N1388" s="205">
        <v>31250.07</v>
      </c>
      <c r="O1388" s="254">
        <v>31250.07</v>
      </c>
      <c r="P1388" s="254">
        <v>25000.05</v>
      </c>
      <c r="Q1388" s="254">
        <v>25000.05</v>
      </c>
      <c r="R1388" s="1262" t="s">
        <v>3000</v>
      </c>
      <c r="S1388" s="254">
        <v>12500.03</v>
      </c>
      <c r="T1388" s="204">
        <v>45128</v>
      </c>
      <c r="U1388" s="1262" t="s">
        <v>2810</v>
      </c>
      <c r="V1388" s="254">
        <v>6250.01</v>
      </c>
      <c r="W1388" s="203" t="s">
        <v>4457</v>
      </c>
      <c r="X1388" s="206">
        <v>6250.01</v>
      </c>
      <c r="Y1388" s="192"/>
    </row>
    <row r="1389" ht="37.5" customHeight="1" spans="1:25">
      <c r="A1389" s="192">
        <f t="shared" si="32"/>
        <v>1381</v>
      </c>
      <c r="B1389" s="208">
        <v>2023</v>
      </c>
      <c r="C1389" s="193" t="s">
        <v>37</v>
      </c>
      <c r="D1389" s="277" t="s">
        <v>5071</v>
      </c>
      <c r="E1389" s="195" t="s">
        <v>5089</v>
      </c>
      <c r="F1389" s="196" t="s">
        <v>2073</v>
      </c>
      <c r="G1389" s="197" t="s">
        <v>3239</v>
      </c>
      <c r="H1389" s="198">
        <v>0.8</v>
      </c>
      <c r="I1389" s="199">
        <v>42000</v>
      </c>
      <c r="J1389" s="200" t="s">
        <v>2970</v>
      </c>
      <c r="K1389" s="200" t="s">
        <v>2971</v>
      </c>
      <c r="L1389" s="201">
        <v>0.4</v>
      </c>
      <c r="M1389" s="278" t="s">
        <v>5073</v>
      </c>
      <c r="N1389" s="205">
        <v>4166.74</v>
      </c>
      <c r="O1389" s="254">
        <v>4166.74</v>
      </c>
      <c r="P1389" s="254">
        <v>3333.39</v>
      </c>
      <c r="Q1389" s="254">
        <v>3333.39</v>
      </c>
      <c r="R1389" s="1262" t="s">
        <v>3000</v>
      </c>
      <c r="S1389" s="254">
        <v>1666.7</v>
      </c>
      <c r="T1389" s="204">
        <v>45128</v>
      </c>
      <c r="U1389" s="1262" t="s">
        <v>2810</v>
      </c>
      <c r="V1389" s="254">
        <v>833.35</v>
      </c>
      <c r="W1389" s="203" t="s">
        <v>4457</v>
      </c>
      <c r="X1389" s="206">
        <v>833.35</v>
      </c>
      <c r="Y1389" s="192"/>
    </row>
    <row r="1390" ht="37.5" customHeight="1" spans="1:25">
      <c r="A1390" s="192">
        <f t="shared" si="32"/>
        <v>1382</v>
      </c>
      <c r="B1390" s="208">
        <v>2023</v>
      </c>
      <c r="C1390" s="193" t="s">
        <v>37</v>
      </c>
      <c r="D1390" s="277" t="s">
        <v>5090</v>
      </c>
      <c r="E1390" s="195" t="s">
        <v>5091</v>
      </c>
      <c r="F1390" s="196" t="s">
        <v>2073</v>
      </c>
      <c r="G1390" s="197" t="s">
        <v>3239</v>
      </c>
      <c r="H1390" s="198">
        <v>0.8</v>
      </c>
      <c r="I1390" s="199">
        <v>14370.35</v>
      </c>
      <c r="J1390" s="200" t="s">
        <v>2209</v>
      </c>
      <c r="K1390" s="200" t="s">
        <v>2902</v>
      </c>
      <c r="L1390" s="201">
        <v>0.4</v>
      </c>
      <c r="M1390" s="278" t="s">
        <v>5039</v>
      </c>
      <c r="N1390" s="205">
        <v>4166.69</v>
      </c>
      <c r="O1390" s="254">
        <v>4166.69</v>
      </c>
      <c r="P1390" s="254">
        <v>3333.35</v>
      </c>
      <c r="Q1390" s="254">
        <v>3333.35</v>
      </c>
      <c r="R1390" s="1262" t="s">
        <v>3000</v>
      </c>
      <c r="S1390" s="254">
        <v>1666.68</v>
      </c>
      <c r="T1390" s="204">
        <v>45128</v>
      </c>
      <c r="U1390" s="1262" t="s">
        <v>2810</v>
      </c>
      <c r="V1390" s="254">
        <v>833.34</v>
      </c>
      <c r="W1390" s="203" t="s">
        <v>4457</v>
      </c>
      <c r="X1390" s="206">
        <v>833.34</v>
      </c>
      <c r="Y1390" s="192"/>
    </row>
    <row r="1391" ht="37.5" customHeight="1" spans="1:25">
      <c r="A1391" s="192">
        <f t="shared" si="32"/>
        <v>1383</v>
      </c>
      <c r="B1391" s="208">
        <v>2023</v>
      </c>
      <c r="C1391" s="193" t="s">
        <v>37</v>
      </c>
      <c r="D1391" s="277" t="s">
        <v>5092</v>
      </c>
      <c r="E1391" s="195" t="s">
        <v>5093</v>
      </c>
      <c r="F1391" s="196" t="s">
        <v>2073</v>
      </c>
      <c r="G1391" s="197" t="s">
        <v>1103</v>
      </c>
      <c r="H1391" s="198">
        <v>0.8</v>
      </c>
      <c r="I1391" s="199">
        <v>10800</v>
      </c>
      <c r="J1391" s="200" t="s">
        <v>2152</v>
      </c>
      <c r="K1391" s="200" t="s">
        <v>4400</v>
      </c>
      <c r="L1391" s="201">
        <v>0.4</v>
      </c>
      <c r="M1391" s="278" t="s">
        <v>4442</v>
      </c>
      <c r="N1391" s="205">
        <v>3583.38</v>
      </c>
      <c r="O1391" s="254">
        <v>3583.38</v>
      </c>
      <c r="P1391" s="254">
        <v>2866.7</v>
      </c>
      <c r="Q1391" s="254">
        <v>2866.7</v>
      </c>
      <c r="R1391" s="1262" t="s">
        <v>3000</v>
      </c>
      <c r="S1391" s="254">
        <v>1433.35</v>
      </c>
      <c r="T1391" s="204">
        <v>45128</v>
      </c>
      <c r="U1391" s="1262" t="s">
        <v>2810</v>
      </c>
      <c r="V1391" s="254">
        <v>716.68</v>
      </c>
      <c r="W1391" s="203" t="s">
        <v>4457</v>
      </c>
      <c r="X1391" s="206">
        <v>716.68</v>
      </c>
      <c r="Y1391" s="192"/>
    </row>
    <row r="1392" ht="37.5" customHeight="1" spans="1:25">
      <c r="A1392" s="192">
        <f t="shared" si="32"/>
        <v>1384</v>
      </c>
      <c r="B1392" s="208">
        <v>2023</v>
      </c>
      <c r="C1392" s="193" t="s">
        <v>37</v>
      </c>
      <c r="D1392" s="277" t="s">
        <v>5033</v>
      </c>
      <c r="E1392" s="195" t="s">
        <v>5094</v>
      </c>
      <c r="F1392" s="196" t="s">
        <v>2073</v>
      </c>
      <c r="G1392" s="197" t="s">
        <v>3239</v>
      </c>
      <c r="H1392" s="198">
        <v>0.8</v>
      </c>
      <c r="I1392" s="199">
        <v>14324.35</v>
      </c>
      <c r="J1392" s="200" t="s">
        <v>3891</v>
      </c>
      <c r="K1392" s="200" t="s">
        <v>3892</v>
      </c>
      <c r="L1392" s="201">
        <v>0.4</v>
      </c>
      <c r="M1392" s="278" t="s">
        <v>4593</v>
      </c>
      <c r="N1392" s="205">
        <v>1250.07</v>
      </c>
      <c r="O1392" s="254">
        <v>1250.07</v>
      </c>
      <c r="P1392" s="254">
        <v>1000.05</v>
      </c>
      <c r="Q1392" s="254">
        <v>1000.05</v>
      </c>
      <c r="R1392" s="1262" t="s">
        <v>3000</v>
      </c>
      <c r="S1392" s="254">
        <v>500.03</v>
      </c>
      <c r="T1392" s="204">
        <v>45128</v>
      </c>
      <c r="U1392" s="1262" t="s">
        <v>2810</v>
      </c>
      <c r="V1392" s="254">
        <v>250.01</v>
      </c>
      <c r="W1392" s="203" t="s">
        <v>4457</v>
      </c>
      <c r="X1392" s="206">
        <v>250.01</v>
      </c>
      <c r="Y1392" s="192"/>
    </row>
    <row r="1393" ht="37.5" customHeight="1" spans="1:25">
      <c r="A1393" s="192">
        <f t="shared" si="32"/>
        <v>1385</v>
      </c>
      <c r="B1393" s="208">
        <v>2023</v>
      </c>
      <c r="C1393" s="193" t="s">
        <v>37</v>
      </c>
      <c r="D1393" s="277" t="s">
        <v>5095</v>
      </c>
      <c r="E1393" s="195" t="s">
        <v>5096</v>
      </c>
      <c r="F1393" s="196" t="s">
        <v>2073</v>
      </c>
      <c r="G1393" s="197" t="s">
        <v>3239</v>
      </c>
      <c r="H1393" s="198">
        <v>0.8</v>
      </c>
      <c r="I1393" s="199">
        <v>16107.37</v>
      </c>
      <c r="J1393" s="200" t="s">
        <v>2958</v>
      </c>
      <c r="K1393" s="200" t="s">
        <v>2959</v>
      </c>
      <c r="L1393" s="201">
        <v>0.4</v>
      </c>
      <c r="M1393" s="278" t="s">
        <v>5073</v>
      </c>
      <c r="N1393" s="205">
        <v>3000</v>
      </c>
      <c r="O1393" s="254">
        <v>3000</v>
      </c>
      <c r="P1393" s="254">
        <v>2400</v>
      </c>
      <c r="Q1393" s="254">
        <v>2400</v>
      </c>
      <c r="R1393" s="1262" t="s">
        <v>3000</v>
      </c>
      <c r="S1393" s="254">
        <v>1200</v>
      </c>
      <c r="T1393" s="204">
        <v>45128</v>
      </c>
      <c r="U1393" s="1262" t="s">
        <v>2810</v>
      </c>
      <c r="V1393" s="254">
        <v>600</v>
      </c>
      <c r="W1393" s="203" t="s">
        <v>4457</v>
      </c>
      <c r="X1393" s="206">
        <v>600</v>
      </c>
      <c r="Y1393" s="192"/>
    </row>
    <row r="1394" ht="37.5" customHeight="1" spans="1:25">
      <c r="A1394" s="192">
        <f t="shared" si="32"/>
        <v>1386</v>
      </c>
      <c r="B1394" s="208">
        <v>2023</v>
      </c>
      <c r="C1394" s="193" t="s">
        <v>37</v>
      </c>
      <c r="D1394" s="277" t="s">
        <v>5097</v>
      </c>
      <c r="E1394" s="195" t="s">
        <v>5098</v>
      </c>
      <c r="F1394" s="196" t="s">
        <v>2073</v>
      </c>
      <c r="G1394" s="197" t="s">
        <v>3239</v>
      </c>
      <c r="H1394" s="198">
        <v>0.8</v>
      </c>
      <c r="I1394" s="199">
        <v>31500</v>
      </c>
      <c r="J1394" s="200" t="s">
        <v>5099</v>
      </c>
      <c r="K1394" s="200" t="s">
        <v>5100</v>
      </c>
      <c r="L1394" s="201">
        <v>0.4</v>
      </c>
      <c r="M1394" s="278" t="s">
        <v>5056</v>
      </c>
      <c r="N1394" s="205">
        <v>21250.03</v>
      </c>
      <c r="O1394" s="254">
        <v>21250.03</v>
      </c>
      <c r="P1394" s="254">
        <v>17000.03</v>
      </c>
      <c r="Q1394" s="254">
        <v>17000.03</v>
      </c>
      <c r="R1394" s="1262" t="s">
        <v>3000</v>
      </c>
      <c r="S1394" s="254">
        <v>8500.01</v>
      </c>
      <c r="T1394" s="204">
        <v>45128</v>
      </c>
      <c r="U1394" s="1262" t="s">
        <v>2810</v>
      </c>
      <c r="V1394" s="254">
        <v>4250.01</v>
      </c>
      <c r="W1394" s="203" t="s">
        <v>4457</v>
      </c>
      <c r="X1394" s="206">
        <v>4250.01</v>
      </c>
      <c r="Y1394" s="192"/>
    </row>
    <row r="1395" ht="37.5" customHeight="1" spans="1:25">
      <c r="A1395" s="192">
        <f t="shared" si="32"/>
        <v>1387</v>
      </c>
      <c r="B1395" s="208">
        <v>2023</v>
      </c>
      <c r="C1395" s="193" t="s">
        <v>37</v>
      </c>
      <c r="D1395" s="277" t="s">
        <v>4224</v>
      </c>
      <c r="E1395" s="195" t="s">
        <v>5101</v>
      </c>
      <c r="F1395" s="196" t="s">
        <v>2073</v>
      </c>
      <c r="G1395" s="197" t="s">
        <v>1103</v>
      </c>
      <c r="H1395" s="198">
        <v>0.8</v>
      </c>
      <c r="I1395" s="199">
        <v>15468.09</v>
      </c>
      <c r="J1395" s="200" t="s">
        <v>2908</v>
      </c>
      <c r="K1395" s="200" t="s">
        <v>2909</v>
      </c>
      <c r="L1395" s="201">
        <v>0.4</v>
      </c>
      <c r="M1395" s="278" t="s">
        <v>4800</v>
      </c>
      <c r="N1395" s="205">
        <v>1500</v>
      </c>
      <c r="O1395" s="254">
        <v>1500</v>
      </c>
      <c r="P1395" s="254">
        <v>1200</v>
      </c>
      <c r="Q1395" s="254">
        <v>1200</v>
      </c>
      <c r="R1395" s="1262" t="s">
        <v>3000</v>
      </c>
      <c r="S1395" s="254">
        <v>600</v>
      </c>
      <c r="T1395" s="204">
        <v>45128</v>
      </c>
      <c r="U1395" s="1262" t="s">
        <v>2810</v>
      </c>
      <c r="V1395" s="254">
        <v>300</v>
      </c>
      <c r="W1395" s="203" t="s">
        <v>4457</v>
      </c>
      <c r="X1395" s="206">
        <v>300</v>
      </c>
      <c r="Y1395" s="192"/>
    </row>
    <row r="1396" ht="37.5" customHeight="1" spans="1:25">
      <c r="A1396" s="192">
        <f t="shared" si="32"/>
        <v>1388</v>
      </c>
      <c r="B1396" s="208">
        <v>2023</v>
      </c>
      <c r="C1396" s="193" t="s">
        <v>37</v>
      </c>
      <c r="D1396" s="277" t="s">
        <v>5102</v>
      </c>
      <c r="E1396" s="195" t="s">
        <v>5103</v>
      </c>
      <c r="F1396" s="196" t="s">
        <v>2073</v>
      </c>
      <c r="G1396" s="197" t="s">
        <v>3239</v>
      </c>
      <c r="H1396" s="198">
        <v>0.8</v>
      </c>
      <c r="I1396" s="199">
        <v>14949.75</v>
      </c>
      <c r="J1396" s="200" t="s">
        <v>2908</v>
      </c>
      <c r="K1396" s="200" t="s">
        <v>2909</v>
      </c>
      <c r="L1396" s="201">
        <v>0.4</v>
      </c>
      <c r="M1396" s="278" t="s">
        <v>4856</v>
      </c>
      <c r="N1396" s="205">
        <v>2916.69</v>
      </c>
      <c r="O1396" s="254">
        <v>2916.69</v>
      </c>
      <c r="P1396" s="254">
        <v>2333.35</v>
      </c>
      <c r="Q1396" s="254">
        <v>2333.35</v>
      </c>
      <c r="R1396" s="1262" t="s">
        <v>3000</v>
      </c>
      <c r="S1396" s="254">
        <v>1166.68</v>
      </c>
      <c r="T1396" s="204">
        <v>45128</v>
      </c>
      <c r="U1396" s="1262" t="s">
        <v>2810</v>
      </c>
      <c r="V1396" s="254">
        <v>583.34</v>
      </c>
      <c r="W1396" s="203" t="s">
        <v>4457</v>
      </c>
      <c r="X1396" s="206">
        <v>583.34</v>
      </c>
      <c r="Y1396" s="192"/>
    </row>
    <row r="1397" ht="37.5" customHeight="1" spans="1:25">
      <c r="A1397" s="192">
        <f t="shared" si="32"/>
        <v>1389</v>
      </c>
      <c r="B1397" s="208">
        <v>2023</v>
      </c>
      <c r="C1397" s="193" t="s">
        <v>37</v>
      </c>
      <c r="D1397" s="277" t="s">
        <v>5066</v>
      </c>
      <c r="E1397" s="195" t="s">
        <v>5104</v>
      </c>
      <c r="F1397" s="196" t="s">
        <v>2073</v>
      </c>
      <c r="G1397" s="197" t="s">
        <v>3239</v>
      </c>
      <c r="H1397" s="198">
        <v>0.8</v>
      </c>
      <c r="I1397" s="199">
        <v>23000</v>
      </c>
      <c r="J1397" s="200" t="s">
        <v>3014</v>
      </c>
      <c r="K1397" s="200" t="s">
        <v>3015</v>
      </c>
      <c r="L1397" s="201">
        <v>0.4</v>
      </c>
      <c r="M1397" s="278" t="s">
        <v>5003</v>
      </c>
      <c r="N1397" s="205">
        <v>9583.38</v>
      </c>
      <c r="O1397" s="254">
        <v>9583.38</v>
      </c>
      <c r="P1397" s="254">
        <v>7666.7</v>
      </c>
      <c r="Q1397" s="254">
        <v>7666.7</v>
      </c>
      <c r="R1397" s="1262" t="s">
        <v>3000</v>
      </c>
      <c r="S1397" s="254">
        <v>3833.35</v>
      </c>
      <c r="T1397" s="204">
        <v>45128</v>
      </c>
      <c r="U1397" s="1262" t="s">
        <v>2810</v>
      </c>
      <c r="V1397" s="254">
        <v>1916.68</v>
      </c>
      <c r="W1397" s="203" t="s">
        <v>4457</v>
      </c>
      <c r="X1397" s="206">
        <v>1916.68</v>
      </c>
      <c r="Y1397" s="192"/>
    </row>
    <row r="1398" ht="37.5" customHeight="1" spans="1:25">
      <c r="A1398" s="192">
        <f t="shared" si="32"/>
        <v>1390</v>
      </c>
      <c r="B1398" s="208">
        <v>2023</v>
      </c>
      <c r="C1398" s="193" t="s">
        <v>37</v>
      </c>
      <c r="D1398" s="277" t="s">
        <v>5105</v>
      </c>
      <c r="E1398" s="195" t="s">
        <v>5106</v>
      </c>
      <c r="F1398" s="196" t="s">
        <v>2073</v>
      </c>
      <c r="G1398" s="197" t="s">
        <v>3239</v>
      </c>
      <c r="H1398" s="198">
        <v>0.8</v>
      </c>
      <c r="I1398" s="199">
        <v>39000</v>
      </c>
      <c r="J1398" s="200" t="s">
        <v>4822</v>
      </c>
      <c r="K1398" s="200" t="s">
        <v>4823</v>
      </c>
      <c r="L1398" s="201">
        <v>0.4</v>
      </c>
      <c r="M1398" s="278" t="s">
        <v>5050</v>
      </c>
      <c r="N1398" s="205">
        <v>39000</v>
      </c>
      <c r="O1398" s="254">
        <v>39000</v>
      </c>
      <c r="P1398" s="254">
        <v>31200</v>
      </c>
      <c r="Q1398" s="254">
        <v>31200</v>
      </c>
      <c r="R1398" s="1262" t="s">
        <v>3000</v>
      </c>
      <c r="S1398" s="254">
        <v>15600</v>
      </c>
      <c r="T1398" s="204">
        <v>45128</v>
      </c>
      <c r="U1398" s="1262" t="s">
        <v>2810</v>
      </c>
      <c r="V1398" s="254">
        <v>7800</v>
      </c>
      <c r="W1398" s="203" t="s">
        <v>4457</v>
      </c>
      <c r="X1398" s="206">
        <v>7800</v>
      </c>
      <c r="Y1398" s="192"/>
    </row>
    <row r="1399" ht="37.5" customHeight="1" spans="1:25">
      <c r="A1399" s="192">
        <f t="shared" si="32"/>
        <v>1391</v>
      </c>
      <c r="B1399" s="208">
        <v>2023</v>
      </c>
      <c r="C1399" s="193" t="s">
        <v>37</v>
      </c>
      <c r="D1399" s="277" t="s">
        <v>4706</v>
      </c>
      <c r="E1399" s="195" t="s">
        <v>5107</v>
      </c>
      <c r="F1399" s="196" t="s">
        <v>2073</v>
      </c>
      <c r="G1399" s="197" t="s">
        <v>1103</v>
      </c>
      <c r="H1399" s="198">
        <v>0.8</v>
      </c>
      <c r="I1399" s="199">
        <v>67000</v>
      </c>
      <c r="J1399" s="200" t="s">
        <v>2197</v>
      </c>
      <c r="K1399" s="200" t="s">
        <v>3909</v>
      </c>
      <c r="L1399" s="201">
        <v>0.4</v>
      </c>
      <c r="M1399" s="278" t="s">
        <v>5027</v>
      </c>
      <c r="N1399" s="205">
        <v>25000</v>
      </c>
      <c r="O1399" s="254">
        <v>25000</v>
      </c>
      <c r="P1399" s="254">
        <v>20000</v>
      </c>
      <c r="Q1399" s="254">
        <v>20000</v>
      </c>
      <c r="R1399" s="1262" t="s">
        <v>3000</v>
      </c>
      <c r="S1399" s="254">
        <v>10000</v>
      </c>
      <c r="T1399" s="204">
        <v>45128</v>
      </c>
      <c r="U1399" s="1262" t="s">
        <v>2810</v>
      </c>
      <c r="V1399" s="254">
        <v>5000</v>
      </c>
      <c r="W1399" s="1262" t="s">
        <v>2994</v>
      </c>
      <c r="X1399" s="206">
        <v>5000</v>
      </c>
      <c r="Y1399" s="192"/>
    </row>
    <row r="1400" ht="37.5" customHeight="1" spans="1:25">
      <c r="A1400" s="192">
        <f t="shared" si="32"/>
        <v>1392</v>
      </c>
      <c r="B1400" s="208">
        <v>2023</v>
      </c>
      <c r="C1400" s="193" t="s">
        <v>37</v>
      </c>
      <c r="D1400" s="277" t="s">
        <v>4962</v>
      </c>
      <c r="E1400" s="195" t="s">
        <v>5108</v>
      </c>
      <c r="F1400" s="196" t="s">
        <v>2073</v>
      </c>
      <c r="G1400" s="197" t="s">
        <v>3239</v>
      </c>
      <c r="H1400" s="198">
        <v>0.8</v>
      </c>
      <c r="I1400" s="199">
        <v>10547.72</v>
      </c>
      <c r="J1400" s="200" t="s">
        <v>2178</v>
      </c>
      <c r="K1400" s="200" t="s">
        <v>4059</v>
      </c>
      <c r="L1400" s="201">
        <v>0.4</v>
      </c>
      <c r="M1400" s="278" t="s">
        <v>4929</v>
      </c>
      <c r="N1400" s="205">
        <v>4166.69</v>
      </c>
      <c r="O1400" s="254">
        <v>4166.69</v>
      </c>
      <c r="P1400" s="254">
        <v>3333.35</v>
      </c>
      <c r="Q1400" s="254">
        <v>3333.35</v>
      </c>
      <c r="R1400" s="1262" t="s">
        <v>3000</v>
      </c>
      <c r="S1400" s="254">
        <v>1666.68</v>
      </c>
      <c r="T1400" s="204">
        <v>45128</v>
      </c>
      <c r="U1400" s="1262" t="s">
        <v>2810</v>
      </c>
      <c r="V1400" s="254">
        <v>833.34</v>
      </c>
      <c r="W1400" s="1262" t="s">
        <v>2994</v>
      </c>
      <c r="X1400" s="206">
        <v>833.34</v>
      </c>
      <c r="Y1400" s="192"/>
    </row>
    <row r="1401" ht="37.5" customHeight="1" spans="1:25">
      <c r="A1401" s="192">
        <f t="shared" si="32"/>
        <v>1393</v>
      </c>
      <c r="B1401" s="208">
        <v>2023</v>
      </c>
      <c r="C1401" s="193" t="s">
        <v>37</v>
      </c>
      <c r="D1401" s="277" t="s">
        <v>5109</v>
      </c>
      <c r="E1401" s="195" t="s">
        <v>5110</v>
      </c>
      <c r="F1401" s="196" t="s">
        <v>2073</v>
      </c>
      <c r="G1401" s="197" t="s">
        <v>3239</v>
      </c>
      <c r="H1401" s="198">
        <v>0.8</v>
      </c>
      <c r="I1401" s="199">
        <v>25000</v>
      </c>
      <c r="J1401" s="200" t="s">
        <v>2469</v>
      </c>
      <c r="K1401" s="200" t="s">
        <v>3916</v>
      </c>
      <c r="L1401" s="201">
        <v>0.4</v>
      </c>
      <c r="M1401" s="278" t="s">
        <v>4593</v>
      </c>
      <c r="N1401" s="205">
        <v>14583.35</v>
      </c>
      <c r="O1401" s="254">
        <v>14583.35</v>
      </c>
      <c r="P1401" s="254">
        <v>11666.68</v>
      </c>
      <c r="Q1401" s="254">
        <v>11666.68</v>
      </c>
      <c r="R1401" s="1262" t="s">
        <v>3000</v>
      </c>
      <c r="S1401" s="254">
        <v>5833.34</v>
      </c>
      <c r="T1401" s="204">
        <v>45128</v>
      </c>
      <c r="U1401" s="1262" t="s">
        <v>2810</v>
      </c>
      <c r="V1401" s="254">
        <v>2916.67</v>
      </c>
      <c r="W1401" s="1262" t="s">
        <v>2994</v>
      </c>
      <c r="X1401" s="206">
        <v>2916.67</v>
      </c>
      <c r="Y1401" s="192"/>
    </row>
    <row r="1402" ht="37.5" customHeight="1" spans="1:25">
      <c r="A1402" s="192">
        <f t="shared" si="32"/>
        <v>1394</v>
      </c>
      <c r="B1402" s="208">
        <v>2023</v>
      </c>
      <c r="C1402" s="193" t="s">
        <v>37</v>
      </c>
      <c r="D1402" s="277" t="s">
        <v>5111</v>
      </c>
      <c r="E1402" s="195" t="s">
        <v>5112</v>
      </c>
      <c r="F1402" s="196" t="s">
        <v>2073</v>
      </c>
      <c r="G1402" s="197" t="s">
        <v>1103</v>
      </c>
      <c r="H1402" s="198">
        <v>0.8</v>
      </c>
      <c r="I1402" s="199">
        <v>23000</v>
      </c>
      <c r="J1402" s="200" t="s">
        <v>2530</v>
      </c>
      <c r="K1402" s="200" t="s">
        <v>5113</v>
      </c>
      <c r="L1402" s="201">
        <v>0.4</v>
      </c>
      <c r="M1402" s="278" t="s">
        <v>4929</v>
      </c>
      <c r="N1402" s="205">
        <v>18342.41</v>
      </c>
      <c r="O1402" s="254">
        <v>18342.41</v>
      </c>
      <c r="P1402" s="254">
        <v>14673.93</v>
      </c>
      <c r="Q1402" s="254">
        <v>14673.93</v>
      </c>
      <c r="R1402" s="1262" t="s">
        <v>3000</v>
      </c>
      <c r="S1402" s="254">
        <v>7336.96</v>
      </c>
      <c r="T1402" s="204">
        <v>45128</v>
      </c>
      <c r="U1402" s="1262" t="s">
        <v>2810</v>
      </c>
      <c r="V1402" s="254">
        <v>3668.48</v>
      </c>
      <c r="W1402" s="1262" t="s">
        <v>2994</v>
      </c>
      <c r="X1402" s="206">
        <v>3668.48</v>
      </c>
      <c r="Y1402" s="192"/>
    </row>
    <row r="1403" ht="37.5" customHeight="1" spans="1:25">
      <c r="A1403" s="192">
        <f t="shared" si="32"/>
        <v>1395</v>
      </c>
      <c r="B1403" s="208">
        <v>2023</v>
      </c>
      <c r="C1403" s="193" t="s">
        <v>37</v>
      </c>
      <c r="D1403" s="277" t="s">
        <v>5086</v>
      </c>
      <c r="E1403" s="195" t="s">
        <v>5114</v>
      </c>
      <c r="F1403" s="196" t="s">
        <v>2073</v>
      </c>
      <c r="G1403" s="197" t="s">
        <v>3239</v>
      </c>
      <c r="H1403" s="198">
        <v>0.8</v>
      </c>
      <c r="I1403" s="199">
        <v>13082.21</v>
      </c>
      <c r="J1403" s="200" t="s">
        <v>2010</v>
      </c>
      <c r="K1403" s="200" t="s">
        <v>3593</v>
      </c>
      <c r="L1403" s="201">
        <v>0.4</v>
      </c>
      <c r="M1403" s="278" t="s">
        <v>5003</v>
      </c>
      <c r="N1403" s="205">
        <v>758.35</v>
      </c>
      <c r="O1403" s="254">
        <v>758.35</v>
      </c>
      <c r="P1403" s="254">
        <v>606.68</v>
      </c>
      <c r="Q1403" s="254">
        <v>606.68</v>
      </c>
      <c r="R1403" s="1262" t="s">
        <v>3000</v>
      </c>
      <c r="S1403" s="254">
        <v>303.34</v>
      </c>
      <c r="T1403" s="204">
        <v>45128</v>
      </c>
      <c r="U1403" s="1262" t="s">
        <v>2810</v>
      </c>
      <c r="V1403" s="254">
        <v>151.67</v>
      </c>
      <c r="W1403" s="1262" t="s">
        <v>2994</v>
      </c>
      <c r="X1403" s="206">
        <v>151.67</v>
      </c>
      <c r="Y1403" s="192"/>
    </row>
    <row r="1404" ht="37.5" customHeight="1" spans="1:25">
      <c r="A1404" s="192">
        <f t="shared" si="32"/>
        <v>1396</v>
      </c>
      <c r="B1404" s="208">
        <v>2023</v>
      </c>
      <c r="C1404" s="193" t="s">
        <v>37</v>
      </c>
      <c r="D1404" s="277" t="s">
        <v>5115</v>
      </c>
      <c r="E1404" s="195" t="s">
        <v>5116</v>
      </c>
      <c r="F1404" s="196" t="s">
        <v>2073</v>
      </c>
      <c r="G1404" s="197" t="s">
        <v>3239</v>
      </c>
      <c r="H1404" s="198">
        <v>0.8</v>
      </c>
      <c r="I1404" s="199">
        <v>19439.28</v>
      </c>
      <c r="J1404" s="200" t="s">
        <v>2542</v>
      </c>
      <c r="K1404" s="200" t="s">
        <v>4444</v>
      </c>
      <c r="L1404" s="201">
        <v>0.4</v>
      </c>
      <c r="M1404" s="278" t="s">
        <v>4995</v>
      </c>
      <c r="N1404" s="205">
        <v>5833.35</v>
      </c>
      <c r="O1404" s="254">
        <v>5833.35</v>
      </c>
      <c r="P1404" s="254">
        <v>4666.68</v>
      </c>
      <c r="Q1404" s="254">
        <v>4666.68</v>
      </c>
      <c r="R1404" s="1262" t="s">
        <v>3000</v>
      </c>
      <c r="S1404" s="254">
        <v>2333.34</v>
      </c>
      <c r="T1404" s="204">
        <v>45128</v>
      </c>
      <c r="U1404" s="1262" t="s">
        <v>2810</v>
      </c>
      <c r="V1404" s="254">
        <v>1166.67</v>
      </c>
      <c r="W1404" s="1262" t="s">
        <v>2994</v>
      </c>
      <c r="X1404" s="206">
        <v>1166.67</v>
      </c>
      <c r="Y1404" s="192"/>
    </row>
    <row r="1405" ht="37.5" customHeight="1" spans="1:25">
      <c r="A1405" s="192">
        <f t="shared" si="32"/>
        <v>1397</v>
      </c>
      <c r="B1405" s="208">
        <v>2023</v>
      </c>
      <c r="C1405" s="193" t="s">
        <v>37</v>
      </c>
      <c r="D1405" s="277" t="s">
        <v>5046</v>
      </c>
      <c r="E1405" s="195" t="s">
        <v>5117</v>
      </c>
      <c r="F1405" s="196" t="s">
        <v>2073</v>
      </c>
      <c r="G1405" s="197" t="s">
        <v>1103</v>
      </c>
      <c r="H1405" s="198">
        <v>0.8</v>
      </c>
      <c r="I1405" s="199">
        <v>13300</v>
      </c>
      <c r="J1405" s="200" t="s">
        <v>2542</v>
      </c>
      <c r="K1405" s="200" t="s">
        <v>4444</v>
      </c>
      <c r="L1405" s="201">
        <v>0.4</v>
      </c>
      <c r="M1405" s="278" t="s">
        <v>4760</v>
      </c>
      <c r="N1405" s="205">
        <v>7758.35</v>
      </c>
      <c r="O1405" s="254">
        <v>7758.35</v>
      </c>
      <c r="P1405" s="254">
        <v>6206.68</v>
      </c>
      <c r="Q1405" s="254">
        <v>6206.68</v>
      </c>
      <c r="R1405" s="1262" t="s">
        <v>3000</v>
      </c>
      <c r="S1405" s="254">
        <v>3103.34</v>
      </c>
      <c r="T1405" s="204">
        <v>45128</v>
      </c>
      <c r="U1405" s="1262" t="s">
        <v>2810</v>
      </c>
      <c r="V1405" s="254">
        <v>1551.67</v>
      </c>
      <c r="W1405" s="1262" t="s">
        <v>2994</v>
      </c>
      <c r="X1405" s="206">
        <v>1551.67</v>
      </c>
      <c r="Y1405" s="192"/>
    </row>
    <row r="1406" ht="37.5" customHeight="1" spans="1:25">
      <c r="A1406" s="192">
        <f t="shared" si="32"/>
        <v>1398</v>
      </c>
      <c r="B1406" s="208">
        <v>2023</v>
      </c>
      <c r="C1406" s="193" t="s">
        <v>37</v>
      </c>
      <c r="D1406" s="277" t="s">
        <v>5118</v>
      </c>
      <c r="E1406" s="195" t="s">
        <v>5119</v>
      </c>
      <c r="F1406" s="196" t="s">
        <v>2073</v>
      </c>
      <c r="G1406" s="197" t="s">
        <v>3239</v>
      </c>
      <c r="H1406" s="198">
        <v>0.8</v>
      </c>
      <c r="I1406" s="199">
        <v>18384.51</v>
      </c>
      <c r="J1406" s="200" t="s">
        <v>2542</v>
      </c>
      <c r="K1406" s="200" t="s">
        <v>4444</v>
      </c>
      <c r="L1406" s="201">
        <v>0.4</v>
      </c>
      <c r="M1406" s="278" t="s">
        <v>4442</v>
      </c>
      <c r="N1406" s="205">
        <v>5479.72</v>
      </c>
      <c r="O1406" s="254">
        <v>5479.72</v>
      </c>
      <c r="P1406" s="254">
        <v>4383.78</v>
      </c>
      <c r="Q1406" s="254">
        <v>4383.78</v>
      </c>
      <c r="R1406" s="1262" t="s">
        <v>3000</v>
      </c>
      <c r="S1406" s="254">
        <v>2191.89</v>
      </c>
      <c r="T1406" s="204">
        <v>45128</v>
      </c>
      <c r="U1406" s="1262" t="s">
        <v>2810</v>
      </c>
      <c r="V1406" s="254">
        <v>1095.94</v>
      </c>
      <c r="W1406" s="1262" t="s">
        <v>2994</v>
      </c>
      <c r="X1406" s="206">
        <v>1095.94</v>
      </c>
      <c r="Y1406" s="192"/>
    </row>
    <row r="1407" ht="37.5" customHeight="1" spans="1:25">
      <c r="A1407" s="192">
        <f t="shared" si="32"/>
        <v>1399</v>
      </c>
      <c r="B1407" s="208">
        <v>2023</v>
      </c>
      <c r="C1407" s="193" t="s">
        <v>37</v>
      </c>
      <c r="D1407" s="277" t="s">
        <v>5120</v>
      </c>
      <c r="E1407" s="195" t="s">
        <v>5121</v>
      </c>
      <c r="F1407" s="196" t="s">
        <v>2073</v>
      </c>
      <c r="G1407" s="197" t="s">
        <v>3239</v>
      </c>
      <c r="H1407" s="198">
        <v>0.8</v>
      </c>
      <c r="I1407" s="199">
        <v>173000</v>
      </c>
      <c r="J1407" s="200" t="s">
        <v>2454</v>
      </c>
      <c r="K1407" s="200" t="s">
        <v>3918</v>
      </c>
      <c r="L1407" s="201">
        <v>0.4</v>
      </c>
      <c r="M1407" s="278" t="s">
        <v>5003</v>
      </c>
      <c r="N1407" s="205">
        <v>28833.4</v>
      </c>
      <c r="O1407" s="254">
        <v>28833.4</v>
      </c>
      <c r="P1407" s="254">
        <v>23066.72</v>
      </c>
      <c r="Q1407" s="254">
        <v>23066.72</v>
      </c>
      <c r="R1407" s="1262" t="s">
        <v>3000</v>
      </c>
      <c r="S1407" s="254">
        <v>11533.36</v>
      </c>
      <c r="T1407" s="204">
        <v>45128</v>
      </c>
      <c r="U1407" s="1262" t="s">
        <v>2810</v>
      </c>
      <c r="V1407" s="254">
        <v>5766.68</v>
      </c>
      <c r="W1407" s="1262" t="s">
        <v>2994</v>
      </c>
      <c r="X1407" s="206">
        <v>5766.68</v>
      </c>
      <c r="Y1407" s="192"/>
    </row>
    <row r="1408" ht="37.5" customHeight="1" spans="1:25">
      <c r="A1408" s="192">
        <f t="shared" si="32"/>
        <v>1400</v>
      </c>
      <c r="B1408" s="208">
        <v>2023</v>
      </c>
      <c r="C1408" s="193" t="s">
        <v>37</v>
      </c>
      <c r="D1408" s="277" t="s">
        <v>5122</v>
      </c>
      <c r="E1408" s="195" t="s">
        <v>5123</v>
      </c>
      <c r="F1408" s="196" t="s">
        <v>2073</v>
      </c>
      <c r="G1408" s="197" t="s">
        <v>1103</v>
      </c>
      <c r="H1408" s="198">
        <v>0.8</v>
      </c>
      <c r="I1408" s="199">
        <v>49000</v>
      </c>
      <c r="J1408" s="200" t="s">
        <v>2454</v>
      </c>
      <c r="K1408" s="200" t="s">
        <v>3918</v>
      </c>
      <c r="L1408" s="201">
        <v>0.4</v>
      </c>
      <c r="M1408" s="278" t="s">
        <v>5006</v>
      </c>
      <c r="N1408" s="205">
        <v>23000</v>
      </c>
      <c r="O1408" s="254">
        <v>23000</v>
      </c>
      <c r="P1408" s="254">
        <v>18400</v>
      </c>
      <c r="Q1408" s="254">
        <v>18400</v>
      </c>
      <c r="R1408" s="1262" t="s">
        <v>3000</v>
      </c>
      <c r="S1408" s="254">
        <v>9200</v>
      </c>
      <c r="T1408" s="204">
        <v>45128</v>
      </c>
      <c r="U1408" s="1262" t="s">
        <v>2810</v>
      </c>
      <c r="V1408" s="254">
        <v>4600</v>
      </c>
      <c r="W1408" s="1262" t="s">
        <v>2994</v>
      </c>
      <c r="X1408" s="206">
        <v>4600</v>
      </c>
      <c r="Y1408" s="192"/>
    </row>
    <row r="1409" ht="37.5" customHeight="1" spans="1:25">
      <c r="A1409" s="192">
        <f t="shared" si="32"/>
        <v>1401</v>
      </c>
      <c r="B1409" s="208">
        <v>2023</v>
      </c>
      <c r="C1409" s="193" t="s">
        <v>37</v>
      </c>
      <c r="D1409" s="277" t="s">
        <v>5124</v>
      </c>
      <c r="E1409" s="195" t="s">
        <v>5125</v>
      </c>
      <c r="F1409" s="196" t="s">
        <v>2073</v>
      </c>
      <c r="G1409" s="197" t="s">
        <v>3239</v>
      </c>
      <c r="H1409" s="198">
        <v>0.8</v>
      </c>
      <c r="I1409" s="199">
        <v>50000</v>
      </c>
      <c r="J1409" s="200" t="s">
        <v>2634</v>
      </c>
      <c r="K1409" s="200" t="s">
        <v>3573</v>
      </c>
      <c r="L1409" s="201">
        <v>0.4</v>
      </c>
      <c r="M1409" s="278" t="s">
        <v>4856</v>
      </c>
      <c r="N1409" s="205">
        <v>29166.7</v>
      </c>
      <c r="O1409" s="254">
        <v>29166.7</v>
      </c>
      <c r="P1409" s="254">
        <v>23333.36</v>
      </c>
      <c r="Q1409" s="254">
        <v>23333.36</v>
      </c>
      <c r="R1409" s="1262" t="s">
        <v>3000</v>
      </c>
      <c r="S1409" s="254">
        <v>11666.68</v>
      </c>
      <c r="T1409" s="204">
        <v>45128</v>
      </c>
      <c r="U1409" s="1262" t="s">
        <v>2810</v>
      </c>
      <c r="V1409" s="254">
        <v>5833.34</v>
      </c>
      <c r="W1409" s="1262" t="s">
        <v>2994</v>
      </c>
      <c r="X1409" s="206">
        <v>5833.34</v>
      </c>
      <c r="Y1409" s="192"/>
    </row>
    <row r="1410" ht="37.5" customHeight="1" spans="1:25">
      <c r="A1410" s="192">
        <f t="shared" si="32"/>
        <v>1402</v>
      </c>
      <c r="B1410" s="208">
        <v>2023</v>
      </c>
      <c r="C1410" s="193" t="s">
        <v>37</v>
      </c>
      <c r="D1410" s="277" t="s">
        <v>4962</v>
      </c>
      <c r="E1410" s="195" t="s">
        <v>5126</v>
      </c>
      <c r="F1410" s="196" t="s">
        <v>2073</v>
      </c>
      <c r="G1410" s="197" t="s">
        <v>3239</v>
      </c>
      <c r="H1410" s="198">
        <v>0.8</v>
      </c>
      <c r="I1410" s="199">
        <v>10547.72</v>
      </c>
      <c r="J1410" s="200" t="s">
        <v>2466</v>
      </c>
      <c r="K1410" s="200" t="s">
        <v>4067</v>
      </c>
      <c r="L1410" s="201">
        <v>0.4</v>
      </c>
      <c r="M1410" s="278" t="s">
        <v>4929</v>
      </c>
      <c r="N1410" s="205">
        <v>4666.7</v>
      </c>
      <c r="O1410" s="254">
        <v>4666.7</v>
      </c>
      <c r="P1410" s="254">
        <v>3733.36</v>
      </c>
      <c r="Q1410" s="254">
        <v>3733.36</v>
      </c>
      <c r="R1410" s="1262" t="s">
        <v>3000</v>
      </c>
      <c r="S1410" s="254">
        <v>1866.68</v>
      </c>
      <c r="T1410" s="204">
        <v>45128</v>
      </c>
      <c r="U1410" s="1262" t="s">
        <v>2810</v>
      </c>
      <c r="V1410" s="254">
        <v>933.34</v>
      </c>
      <c r="W1410" s="1262" t="s">
        <v>2994</v>
      </c>
      <c r="X1410" s="206">
        <v>933.34</v>
      </c>
      <c r="Y1410" s="192"/>
    </row>
    <row r="1411" ht="37.5" customHeight="1" spans="1:25">
      <c r="A1411" s="192">
        <f t="shared" si="32"/>
        <v>1403</v>
      </c>
      <c r="B1411" s="208">
        <v>2023</v>
      </c>
      <c r="C1411" s="193" t="s">
        <v>37</v>
      </c>
      <c r="D1411" s="277" t="s">
        <v>4706</v>
      </c>
      <c r="E1411" s="195" t="s">
        <v>5127</v>
      </c>
      <c r="F1411" s="196" t="s">
        <v>2073</v>
      </c>
      <c r="G1411" s="197" t="s">
        <v>1103</v>
      </c>
      <c r="H1411" s="198">
        <v>0.8</v>
      </c>
      <c r="I1411" s="199">
        <v>75000</v>
      </c>
      <c r="J1411" s="200" t="s">
        <v>2481</v>
      </c>
      <c r="K1411" s="200" t="s">
        <v>3924</v>
      </c>
      <c r="L1411" s="201">
        <v>0.4</v>
      </c>
      <c r="M1411" s="278" t="s">
        <v>5027</v>
      </c>
      <c r="N1411" s="205">
        <v>25000.05</v>
      </c>
      <c r="O1411" s="254">
        <v>25000.05</v>
      </c>
      <c r="P1411" s="254">
        <v>20000.04</v>
      </c>
      <c r="Q1411" s="254">
        <v>20000.04</v>
      </c>
      <c r="R1411" s="1262" t="s">
        <v>3000</v>
      </c>
      <c r="S1411" s="254">
        <v>10000.02</v>
      </c>
      <c r="T1411" s="204">
        <v>45128</v>
      </c>
      <c r="U1411" s="1262" t="s">
        <v>2810</v>
      </c>
      <c r="V1411" s="254">
        <v>5000.01</v>
      </c>
      <c r="W1411" s="1262" t="s">
        <v>2994</v>
      </c>
      <c r="X1411" s="206">
        <v>5000.01</v>
      </c>
      <c r="Y1411" s="192"/>
    </row>
    <row r="1412" ht="37.5" customHeight="1" spans="1:25">
      <c r="A1412" s="192">
        <f t="shared" si="32"/>
        <v>1404</v>
      </c>
      <c r="B1412" s="208">
        <v>2023</v>
      </c>
      <c r="C1412" s="193" t="s">
        <v>37</v>
      </c>
      <c r="D1412" s="277" t="s">
        <v>5031</v>
      </c>
      <c r="E1412" s="195" t="s">
        <v>5128</v>
      </c>
      <c r="F1412" s="196" t="s">
        <v>2073</v>
      </c>
      <c r="G1412" s="197" t="s">
        <v>3239</v>
      </c>
      <c r="H1412" s="198">
        <v>0.8</v>
      </c>
      <c r="I1412" s="199">
        <v>72000</v>
      </c>
      <c r="J1412" s="200" t="s">
        <v>2481</v>
      </c>
      <c r="K1412" s="200" t="s">
        <v>3924</v>
      </c>
      <c r="L1412" s="201">
        <v>0.4</v>
      </c>
      <c r="M1412" s="278" t="s">
        <v>5011</v>
      </c>
      <c r="N1412" s="205">
        <v>42000.05</v>
      </c>
      <c r="O1412" s="254">
        <v>42000.05</v>
      </c>
      <c r="P1412" s="254">
        <v>33600.04</v>
      </c>
      <c r="Q1412" s="254">
        <v>33600.04</v>
      </c>
      <c r="R1412" s="1262" t="s">
        <v>3000</v>
      </c>
      <c r="S1412" s="254">
        <v>16800.02</v>
      </c>
      <c r="T1412" s="204">
        <v>45128</v>
      </c>
      <c r="U1412" s="1262" t="s">
        <v>2810</v>
      </c>
      <c r="V1412" s="254">
        <v>8400.01</v>
      </c>
      <c r="W1412" s="1262" t="s">
        <v>2994</v>
      </c>
      <c r="X1412" s="206">
        <v>8400.01</v>
      </c>
      <c r="Y1412" s="192"/>
    </row>
    <row r="1413" ht="37.5" customHeight="1" spans="1:25">
      <c r="A1413" s="192">
        <f t="shared" si="32"/>
        <v>1405</v>
      </c>
      <c r="B1413" s="208">
        <v>2023</v>
      </c>
      <c r="C1413" s="193" t="s">
        <v>37</v>
      </c>
      <c r="D1413" s="277" t="s">
        <v>5129</v>
      </c>
      <c r="E1413" s="195" t="s">
        <v>5130</v>
      </c>
      <c r="F1413" s="196" t="s">
        <v>2073</v>
      </c>
      <c r="G1413" s="197" t="s">
        <v>3239</v>
      </c>
      <c r="H1413" s="198">
        <v>0.8</v>
      </c>
      <c r="I1413" s="199">
        <v>17286.97</v>
      </c>
      <c r="J1413" s="200" t="s">
        <v>2589</v>
      </c>
      <c r="K1413" s="200" t="s">
        <v>3926</v>
      </c>
      <c r="L1413" s="201">
        <v>0.4</v>
      </c>
      <c r="M1413" s="278" t="s">
        <v>4814</v>
      </c>
      <c r="N1413" s="205">
        <v>1826.12</v>
      </c>
      <c r="O1413" s="254">
        <v>1826.12</v>
      </c>
      <c r="P1413" s="254">
        <v>1460.9</v>
      </c>
      <c r="Q1413" s="254">
        <v>1460.9</v>
      </c>
      <c r="R1413" s="1262" t="s">
        <v>3000</v>
      </c>
      <c r="S1413" s="254">
        <v>730.45</v>
      </c>
      <c r="T1413" s="204">
        <v>45128</v>
      </c>
      <c r="U1413" s="1262" t="s">
        <v>2810</v>
      </c>
      <c r="V1413" s="254">
        <v>365.22</v>
      </c>
      <c r="W1413" s="1262" t="s">
        <v>2994</v>
      </c>
      <c r="X1413" s="206">
        <v>365.22</v>
      </c>
      <c r="Y1413" s="192"/>
    </row>
    <row r="1414" ht="37.5" customHeight="1" spans="1:25">
      <c r="A1414" s="192">
        <f t="shared" si="32"/>
        <v>1406</v>
      </c>
      <c r="B1414" s="208">
        <v>2023</v>
      </c>
      <c r="C1414" s="193" t="s">
        <v>37</v>
      </c>
      <c r="D1414" s="277" t="s">
        <v>5131</v>
      </c>
      <c r="E1414" s="195" t="s">
        <v>5132</v>
      </c>
      <c r="F1414" s="196" t="s">
        <v>2073</v>
      </c>
      <c r="G1414" s="197" t="s">
        <v>1103</v>
      </c>
      <c r="H1414" s="198">
        <v>0.8</v>
      </c>
      <c r="I1414" s="199">
        <v>34000</v>
      </c>
      <c r="J1414" s="200" t="s">
        <v>2011</v>
      </c>
      <c r="K1414" s="200" t="s">
        <v>4438</v>
      </c>
      <c r="L1414" s="201">
        <v>0.4</v>
      </c>
      <c r="M1414" s="278" t="s">
        <v>4800</v>
      </c>
      <c r="N1414" s="205">
        <v>19692.04</v>
      </c>
      <c r="O1414" s="254">
        <v>19692.04</v>
      </c>
      <c r="P1414" s="254">
        <v>15753.63</v>
      </c>
      <c r="Q1414" s="254">
        <v>15753.63</v>
      </c>
      <c r="R1414" s="1262" t="s">
        <v>3000</v>
      </c>
      <c r="S1414" s="254">
        <v>7876.82</v>
      </c>
      <c r="T1414" s="204">
        <v>45128</v>
      </c>
      <c r="U1414" s="1262" t="s">
        <v>2810</v>
      </c>
      <c r="V1414" s="254">
        <v>3938.41</v>
      </c>
      <c r="W1414" s="1262" t="s">
        <v>2994</v>
      </c>
      <c r="X1414" s="206">
        <v>3938.41</v>
      </c>
      <c r="Y1414" s="192"/>
    </row>
    <row r="1415" ht="37.5" customHeight="1" spans="1:25">
      <c r="A1415" s="192">
        <f t="shared" si="32"/>
        <v>1407</v>
      </c>
      <c r="B1415" s="208">
        <v>2023</v>
      </c>
      <c r="C1415" s="193" t="s">
        <v>37</v>
      </c>
      <c r="D1415" s="277" t="s">
        <v>5133</v>
      </c>
      <c r="E1415" s="195" t="s">
        <v>5134</v>
      </c>
      <c r="F1415" s="196" t="s">
        <v>2073</v>
      </c>
      <c r="G1415" s="197" t="s">
        <v>3239</v>
      </c>
      <c r="H1415" s="198">
        <v>0.8</v>
      </c>
      <c r="I1415" s="199">
        <v>19772.41</v>
      </c>
      <c r="J1415" s="200" t="s">
        <v>2011</v>
      </c>
      <c r="K1415" s="200" t="s">
        <v>4438</v>
      </c>
      <c r="L1415" s="201">
        <v>0.4</v>
      </c>
      <c r="M1415" s="278" t="s">
        <v>4846</v>
      </c>
      <c r="N1415" s="205">
        <v>4433.35</v>
      </c>
      <c r="O1415" s="254">
        <v>4433.35</v>
      </c>
      <c r="P1415" s="254">
        <v>3546.68</v>
      </c>
      <c r="Q1415" s="254">
        <v>3546.68</v>
      </c>
      <c r="R1415" s="1262" t="s">
        <v>3000</v>
      </c>
      <c r="S1415" s="254">
        <v>1773.34</v>
      </c>
      <c r="T1415" s="204">
        <v>45128</v>
      </c>
      <c r="U1415" s="1262" t="s">
        <v>2810</v>
      </c>
      <c r="V1415" s="254">
        <v>886.67</v>
      </c>
      <c r="W1415" s="1262" t="s">
        <v>2994</v>
      </c>
      <c r="X1415" s="206">
        <v>886.67</v>
      </c>
      <c r="Y1415" s="192"/>
    </row>
    <row r="1416" ht="37.5" customHeight="1" spans="1:25">
      <c r="A1416" s="192">
        <f t="shared" si="32"/>
        <v>1408</v>
      </c>
      <c r="B1416" s="208">
        <v>2023</v>
      </c>
      <c r="C1416" s="193" t="s">
        <v>37</v>
      </c>
      <c r="D1416" s="277" t="s">
        <v>5135</v>
      </c>
      <c r="E1416" s="195" t="s">
        <v>5136</v>
      </c>
      <c r="F1416" s="196" t="s">
        <v>2073</v>
      </c>
      <c r="G1416" s="197" t="s">
        <v>3239</v>
      </c>
      <c r="H1416" s="198">
        <v>0.8</v>
      </c>
      <c r="I1416" s="199">
        <v>13331.67</v>
      </c>
      <c r="J1416" s="200" t="s">
        <v>2512</v>
      </c>
      <c r="K1416" s="200" t="s">
        <v>4457</v>
      </c>
      <c r="L1416" s="201">
        <v>0.4</v>
      </c>
      <c r="M1416" s="278" t="s">
        <v>5137</v>
      </c>
      <c r="N1416" s="205">
        <v>4666.7</v>
      </c>
      <c r="O1416" s="254">
        <v>4666.7</v>
      </c>
      <c r="P1416" s="254">
        <v>3733.36</v>
      </c>
      <c r="Q1416" s="254">
        <v>3733.36</v>
      </c>
      <c r="R1416" s="1262" t="s">
        <v>3000</v>
      </c>
      <c r="S1416" s="254">
        <v>1866.68</v>
      </c>
      <c r="T1416" s="204">
        <v>45128</v>
      </c>
      <c r="U1416" s="1262" t="s">
        <v>2810</v>
      </c>
      <c r="V1416" s="254">
        <v>933.34</v>
      </c>
      <c r="W1416" s="1262" t="s">
        <v>2994</v>
      </c>
      <c r="X1416" s="206">
        <v>933.34</v>
      </c>
      <c r="Y1416" s="192"/>
    </row>
    <row r="1417" ht="37.5" customHeight="1" spans="1:25">
      <c r="A1417" s="192">
        <f t="shared" si="32"/>
        <v>1409</v>
      </c>
      <c r="B1417" s="208">
        <v>2023</v>
      </c>
      <c r="C1417" s="193" t="s">
        <v>37</v>
      </c>
      <c r="D1417" s="277" t="s">
        <v>5054</v>
      </c>
      <c r="E1417" s="195" t="s">
        <v>5138</v>
      </c>
      <c r="F1417" s="196" t="s">
        <v>2073</v>
      </c>
      <c r="G1417" s="197" t="s">
        <v>1103</v>
      </c>
      <c r="H1417" s="198">
        <v>0.8</v>
      </c>
      <c r="I1417" s="199">
        <v>20000</v>
      </c>
      <c r="J1417" s="200" t="s">
        <v>2376</v>
      </c>
      <c r="K1417" s="200" t="s">
        <v>4866</v>
      </c>
      <c r="L1417" s="201">
        <v>0.4</v>
      </c>
      <c r="M1417" s="278" t="s">
        <v>5056</v>
      </c>
      <c r="N1417" s="205">
        <v>11666.7</v>
      </c>
      <c r="O1417" s="254">
        <v>11666.7</v>
      </c>
      <c r="P1417" s="254">
        <v>9333.36</v>
      </c>
      <c r="Q1417" s="254">
        <v>9333.36</v>
      </c>
      <c r="R1417" s="1262" t="s">
        <v>3000</v>
      </c>
      <c r="S1417" s="254">
        <v>4666.68</v>
      </c>
      <c r="T1417" s="204">
        <v>45128</v>
      </c>
      <c r="U1417" s="1262" t="s">
        <v>2810</v>
      </c>
      <c r="V1417" s="254">
        <v>2333.34</v>
      </c>
      <c r="W1417" s="1262" t="s">
        <v>2994</v>
      </c>
      <c r="X1417" s="206">
        <v>2333.34</v>
      </c>
      <c r="Y1417" s="192"/>
    </row>
    <row r="1418" ht="37.5" customHeight="1" spans="1:25">
      <c r="A1418" s="192">
        <f t="shared" si="32"/>
        <v>1410</v>
      </c>
      <c r="B1418" s="208">
        <v>2023</v>
      </c>
      <c r="C1418" s="193" t="s">
        <v>37</v>
      </c>
      <c r="D1418" s="277" t="s">
        <v>4706</v>
      </c>
      <c r="E1418" s="195" t="s">
        <v>5139</v>
      </c>
      <c r="F1418" s="196" t="s">
        <v>2073</v>
      </c>
      <c r="G1418" s="197" t="s">
        <v>3239</v>
      </c>
      <c r="H1418" s="198">
        <v>0.8</v>
      </c>
      <c r="I1418" s="199">
        <v>13755</v>
      </c>
      <c r="J1418" s="200" t="s">
        <v>2021</v>
      </c>
      <c r="K1418" s="200" t="s">
        <v>3932</v>
      </c>
      <c r="L1418" s="201">
        <v>0.4</v>
      </c>
      <c r="M1418" s="278" t="s">
        <v>5027</v>
      </c>
      <c r="N1418" s="205">
        <v>833.35</v>
      </c>
      <c r="O1418" s="254">
        <v>833.35</v>
      </c>
      <c r="P1418" s="254">
        <v>666.68</v>
      </c>
      <c r="Q1418" s="254">
        <v>666.68</v>
      </c>
      <c r="R1418" s="1262" t="s">
        <v>3000</v>
      </c>
      <c r="S1418" s="254">
        <v>333.34</v>
      </c>
      <c r="T1418" s="204">
        <v>45128</v>
      </c>
      <c r="U1418" s="1262" t="s">
        <v>2810</v>
      </c>
      <c r="V1418" s="254">
        <v>166.67</v>
      </c>
      <c r="W1418" s="1262" t="s">
        <v>2994</v>
      </c>
      <c r="X1418" s="206">
        <v>166.67</v>
      </c>
      <c r="Y1418" s="192"/>
    </row>
    <row r="1419" ht="37.5" customHeight="1" spans="1:25">
      <c r="A1419" s="192">
        <f t="shared" si="32"/>
        <v>1411</v>
      </c>
      <c r="B1419" s="208">
        <v>2023</v>
      </c>
      <c r="C1419" s="193" t="s">
        <v>37</v>
      </c>
      <c r="D1419" s="277" t="s">
        <v>5120</v>
      </c>
      <c r="E1419" s="195" t="s">
        <v>5140</v>
      </c>
      <c r="F1419" s="196" t="s">
        <v>2073</v>
      </c>
      <c r="G1419" s="197" t="s">
        <v>3239</v>
      </c>
      <c r="H1419" s="198">
        <v>0.8</v>
      </c>
      <c r="I1419" s="199">
        <v>416000</v>
      </c>
      <c r="J1419" s="200" t="s">
        <v>2021</v>
      </c>
      <c r="K1419" s="200" t="s">
        <v>3932</v>
      </c>
      <c r="L1419" s="201">
        <v>0.4</v>
      </c>
      <c r="M1419" s="278" t="s">
        <v>5003</v>
      </c>
      <c r="N1419" s="205">
        <v>277333.36</v>
      </c>
      <c r="O1419" s="254">
        <v>277333.36</v>
      </c>
      <c r="P1419" s="254">
        <v>221866.68</v>
      </c>
      <c r="Q1419" s="254">
        <v>221866.68</v>
      </c>
      <c r="R1419" s="1262" t="s">
        <v>3000</v>
      </c>
      <c r="S1419" s="254">
        <v>110933.34</v>
      </c>
      <c r="T1419" s="204">
        <v>45128</v>
      </c>
      <c r="U1419" s="1262" t="s">
        <v>2810</v>
      </c>
      <c r="V1419" s="254">
        <v>55466.67</v>
      </c>
      <c r="W1419" s="1262" t="s">
        <v>2994</v>
      </c>
      <c r="X1419" s="206">
        <v>55466.67</v>
      </c>
      <c r="Y1419" s="192"/>
    </row>
    <row r="1420" ht="37.5" customHeight="1" spans="1:25">
      <c r="A1420" s="192">
        <f t="shared" si="32"/>
        <v>1412</v>
      </c>
      <c r="B1420" s="208">
        <v>2023</v>
      </c>
      <c r="C1420" s="193" t="s">
        <v>37</v>
      </c>
      <c r="D1420" s="277" t="s">
        <v>5141</v>
      </c>
      <c r="E1420" s="195" t="s">
        <v>5142</v>
      </c>
      <c r="F1420" s="196" t="s">
        <v>2073</v>
      </c>
      <c r="G1420" s="197" t="s">
        <v>1103</v>
      </c>
      <c r="H1420" s="198">
        <v>0.8</v>
      </c>
      <c r="I1420" s="199">
        <v>17007.14</v>
      </c>
      <c r="J1420" s="200" t="s">
        <v>2021</v>
      </c>
      <c r="K1420" s="200" t="s">
        <v>3932</v>
      </c>
      <c r="L1420" s="201">
        <v>0.4</v>
      </c>
      <c r="M1420" s="278" t="s">
        <v>5056</v>
      </c>
      <c r="N1420" s="205">
        <v>2916.7</v>
      </c>
      <c r="O1420" s="254">
        <v>2916.7</v>
      </c>
      <c r="P1420" s="254">
        <v>2333.36</v>
      </c>
      <c r="Q1420" s="254">
        <v>2333.36</v>
      </c>
      <c r="R1420" s="1262" t="s">
        <v>3000</v>
      </c>
      <c r="S1420" s="254">
        <v>1166.68</v>
      </c>
      <c r="T1420" s="204">
        <v>45128</v>
      </c>
      <c r="U1420" s="1262" t="s">
        <v>2810</v>
      </c>
      <c r="V1420" s="254">
        <v>583.34</v>
      </c>
      <c r="W1420" s="1262" t="s">
        <v>2994</v>
      </c>
      <c r="X1420" s="206">
        <v>583.34</v>
      </c>
      <c r="Y1420" s="192"/>
    </row>
    <row r="1421" ht="37.5" customHeight="1" spans="1:25">
      <c r="A1421" s="192">
        <f t="shared" si="32"/>
        <v>1413</v>
      </c>
      <c r="B1421" s="208">
        <v>2023</v>
      </c>
      <c r="C1421" s="193" t="s">
        <v>37</v>
      </c>
      <c r="D1421" s="277" t="s">
        <v>5122</v>
      </c>
      <c r="E1421" s="195" t="s">
        <v>5143</v>
      </c>
      <c r="F1421" s="196" t="s">
        <v>2073</v>
      </c>
      <c r="G1421" s="197" t="s">
        <v>3239</v>
      </c>
      <c r="H1421" s="198">
        <v>0.8</v>
      </c>
      <c r="I1421" s="199">
        <v>34583</v>
      </c>
      <c r="J1421" s="200" t="s">
        <v>2021</v>
      </c>
      <c r="K1421" s="200" t="s">
        <v>3932</v>
      </c>
      <c r="L1421" s="201">
        <v>0.4</v>
      </c>
      <c r="M1421" s="278" t="s">
        <v>5006</v>
      </c>
      <c r="N1421" s="205">
        <v>7416.71</v>
      </c>
      <c r="O1421" s="254">
        <v>7416.71</v>
      </c>
      <c r="P1421" s="254">
        <v>5933.37</v>
      </c>
      <c r="Q1421" s="254">
        <v>5933.37</v>
      </c>
      <c r="R1421" s="1262" t="s">
        <v>3000</v>
      </c>
      <c r="S1421" s="254">
        <v>2966.68</v>
      </c>
      <c r="T1421" s="204">
        <v>45128</v>
      </c>
      <c r="U1421" s="1262" t="s">
        <v>2810</v>
      </c>
      <c r="V1421" s="254">
        <v>1483.34</v>
      </c>
      <c r="W1421" s="1262" t="s">
        <v>2994</v>
      </c>
      <c r="X1421" s="206">
        <v>1483.34</v>
      </c>
      <c r="Y1421" s="192"/>
    </row>
    <row r="1422" ht="37.5" customHeight="1" spans="1:25">
      <c r="A1422" s="192">
        <f t="shared" si="32"/>
        <v>1414</v>
      </c>
      <c r="B1422" s="208">
        <v>2023</v>
      </c>
      <c r="C1422" s="193" t="s">
        <v>37</v>
      </c>
      <c r="D1422" s="277" t="s">
        <v>5095</v>
      </c>
      <c r="E1422" s="195" t="s">
        <v>5144</v>
      </c>
      <c r="F1422" s="196" t="s">
        <v>2073</v>
      </c>
      <c r="G1422" s="197" t="s">
        <v>3239</v>
      </c>
      <c r="H1422" s="198">
        <v>0.8</v>
      </c>
      <c r="I1422" s="199">
        <v>16107.37</v>
      </c>
      <c r="J1422" s="200" t="s">
        <v>2477</v>
      </c>
      <c r="K1422" s="200" t="s">
        <v>5145</v>
      </c>
      <c r="L1422" s="201">
        <v>0.4</v>
      </c>
      <c r="M1422" s="278" t="s">
        <v>5073</v>
      </c>
      <c r="N1422" s="205">
        <v>2333.35</v>
      </c>
      <c r="O1422" s="254">
        <v>2333.35</v>
      </c>
      <c r="P1422" s="254">
        <v>1866.68</v>
      </c>
      <c r="Q1422" s="254">
        <v>1866.68</v>
      </c>
      <c r="R1422" s="1262" t="s">
        <v>3000</v>
      </c>
      <c r="S1422" s="254">
        <v>933.34</v>
      </c>
      <c r="T1422" s="204">
        <v>45128</v>
      </c>
      <c r="U1422" s="1262" t="s">
        <v>2810</v>
      </c>
      <c r="V1422" s="254">
        <v>466.67</v>
      </c>
      <c r="W1422" s="1262" t="s">
        <v>2994</v>
      </c>
      <c r="X1422" s="206">
        <v>466.67</v>
      </c>
      <c r="Y1422" s="192"/>
    </row>
    <row r="1423" ht="37.5" customHeight="1" spans="1:25">
      <c r="A1423" s="192">
        <f t="shared" si="32"/>
        <v>1415</v>
      </c>
      <c r="B1423" s="208">
        <v>2023</v>
      </c>
      <c r="C1423" s="193" t="s">
        <v>37</v>
      </c>
      <c r="D1423" s="277" t="s">
        <v>5146</v>
      </c>
      <c r="E1423" s="195" t="s">
        <v>5147</v>
      </c>
      <c r="F1423" s="196" t="s">
        <v>2073</v>
      </c>
      <c r="G1423" s="197" t="s">
        <v>1103</v>
      </c>
      <c r="H1423" s="198">
        <v>0.8</v>
      </c>
      <c r="I1423" s="199">
        <v>38000</v>
      </c>
      <c r="J1423" s="200" t="s">
        <v>2559</v>
      </c>
      <c r="K1423" s="200" t="s">
        <v>4076</v>
      </c>
      <c r="L1423" s="201">
        <v>0.4</v>
      </c>
      <c r="M1423" s="278" t="s">
        <v>4442</v>
      </c>
      <c r="N1423" s="205">
        <v>12666.68</v>
      </c>
      <c r="O1423" s="254">
        <v>12666.68</v>
      </c>
      <c r="P1423" s="254">
        <v>10133.34</v>
      </c>
      <c r="Q1423" s="254">
        <v>10133.34</v>
      </c>
      <c r="R1423" s="1262" t="s">
        <v>3000</v>
      </c>
      <c r="S1423" s="254">
        <v>5066.67</v>
      </c>
      <c r="T1423" s="204">
        <v>45128</v>
      </c>
      <c r="U1423" s="1262" t="s">
        <v>2810</v>
      </c>
      <c r="V1423" s="254">
        <v>2533.34</v>
      </c>
      <c r="W1423" s="1262" t="s">
        <v>2994</v>
      </c>
      <c r="X1423" s="206">
        <v>2533.34</v>
      </c>
      <c r="Y1423" s="192"/>
    </row>
    <row r="1424" ht="37.5" customHeight="1" spans="1:25">
      <c r="A1424" s="192">
        <f t="shared" si="32"/>
        <v>1416</v>
      </c>
      <c r="B1424" s="208">
        <v>2023</v>
      </c>
      <c r="C1424" s="193" t="s">
        <v>37</v>
      </c>
      <c r="D1424" s="277" t="s">
        <v>5031</v>
      </c>
      <c r="E1424" s="1280" t="s">
        <v>5148</v>
      </c>
      <c r="F1424" s="196" t="s">
        <v>2073</v>
      </c>
      <c r="G1424" s="197" t="s">
        <v>3239</v>
      </c>
      <c r="H1424" s="198">
        <v>0.8</v>
      </c>
      <c r="I1424" s="199">
        <v>124000</v>
      </c>
      <c r="J1424" s="200" t="s">
        <v>2780</v>
      </c>
      <c r="K1424" s="200" t="s">
        <v>4875</v>
      </c>
      <c r="L1424" s="201">
        <v>0.4</v>
      </c>
      <c r="M1424" s="278" t="s">
        <v>5011</v>
      </c>
      <c r="N1424" s="205">
        <v>78512.07</v>
      </c>
      <c r="O1424" s="254">
        <v>78512.07</v>
      </c>
      <c r="P1424" s="254">
        <v>62809.65</v>
      </c>
      <c r="Q1424" s="254">
        <v>62809.65</v>
      </c>
      <c r="R1424" s="1262" t="s">
        <v>3000</v>
      </c>
      <c r="S1424" s="254">
        <v>31404.83</v>
      </c>
      <c r="T1424" s="204">
        <v>45128</v>
      </c>
      <c r="U1424" s="1262" t="s">
        <v>2810</v>
      </c>
      <c r="V1424" s="254">
        <v>15702.41</v>
      </c>
      <c r="W1424" s="1262" t="s">
        <v>2994</v>
      </c>
      <c r="X1424" s="206">
        <v>15702.41</v>
      </c>
      <c r="Y1424" s="192"/>
    </row>
    <row r="1425" ht="37.5" customHeight="1" spans="1:25">
      <c r="A1425" s="192">
        <f t="shared" si="32"/>
        <v>1417</v>
      </c>
      <c r="B1425" s="208">
        <v>2023</v>
      </c>
      <c r="C1425" s="193" t="s">
        <v>37</v>
      </c>
      <c r="D1425" s="277" t="s">
        <v>5149</v>
      </c>
      <c r="E1425" s="195" t="s">
        <v>5150</v>
      </c>
      <c r="F1425" s="196" t="s">
        <v>2073</v>
      </c>
      <c r="G1425" s="197" t="s">
        <v>3239</v>
      </c>
      <c r="H1425" s="198">
        <v>0.8</v>
      </c>
      <c r="I1425" s="199">
        <v>13300</v>
      </c>
      <c r="J1425" s="200" t="s">
        <v>2794</v>
      </c>
      <c r="K1425" s="200" t="s">
        <v>4085</v>
      </c>
      <c r="L1425" s="201">
        <v>0.4</v>
      </c>
      <c r="M1425" s="278" t="s">
        <v>5000</v>
      </c>
      <c r="N1425" s="205">
        <v>8866.72</v>
      </c>
      <c r="O1425" s="254">
        <v>8866.72</v>
      </c>
      <c r="P1425" s="254">
        <v>7093.38</v>
      </c>
      <c r="Q1425" s="254">
        <v>7093.38</v>
      </c>
      <c r="R1425" s="1262" t="s">
        <v>3000</v>
      </c>
      <c r="S1425" s="254">
        <v>3546.69</v>
      </c>
      <c r="T1425" s="204">
        <v>45128</v>
      </c>
      <c r="U1425" s="1262" t="s">
        <v>2810</v>
      </c>
      <c r="V1425" s="254">
        <v>1773.34</v>
      </c>
      <c r="W1425" s="1262" t="s">
        <v>2994</v>
      </c>
      <c r="X1425" s="206">
        <v>1773.34</v>
      </c>
      <c r="Y1425" s="192"/>
    </row>
    <row r="1426" ht="37.5" customHeight="1" spans="1:25">
      <c r="A1426" s="192">
        <f t="shared" si="32"/>
        <v>1418</v>
      </c>
      <c r="B1426" s="208">
        <v>2023</v>
      </c>
      <c r="C1426" s="193" t="s">
        <v>37</v>
      </c>
      <c r="D1426" s="277" t="s">
        <v>5109</v>
      </c>
      <c r="E1426" s="195" t="s">
        <v>5151</v>
      </c>
      <c r="F1426" s="196" t="s">
        <v>2073</v>
      </c>
      <c r="G1426" s="197" t="s">
        <v>1103</v>
      </c>
      <c r="H1426" s="198">
        <v>0.8</v>
      </c>
      <c r="I1426" s="199">
        <v>21000</v>
      </c>
      <c r="J1426" s="200" t="s">
        <v>2794</v>
      </c>
      <c r="K1426" s="200" t="s">
        <v>4085</v>
      </c>
      <c r="L1426" s="201">
        <v>0.4</v>
      </c>
      <c r="M1426" s="278" t="s">
        <v>4593</v>
      </c>
      <c r="N1426" s="205">
        <v>14000</v>
      </c>
      <c r="O1426" s="254">
        <v>14000</v>
      </c>
      <c r="P1426" s="254">
        <v>11200</v>
      </c>
      <c r="Q1426" s="254">
        <v>11200</v>
      </c>
      <c r="R1426" s="1262" t="s">
        <v>3000</v>
      </c>
      <c r="S1426" s="254">
        <v>5600</v>
      </c>
      <c r="T1426" s="204">
        <v>45128</v>
      </c>
      <c r="U1426" s="1262" t="s">
        <v>2810</v>
      </c>
      <c r="V1426" s="254">
        <v>2800</v>
      </c>
      <c r="W1426" s="1262" t="s">
        <v>2994</v>
      </c>
      <c r="X1426" s="206">
        <v>2800</v>
      </c>
      <c r="Y1426" s="192"/>
    </row>
    <row r="1427" ht="37.5" customHeight="1" spans="1:25">
      <c r="A1427" s="192">
        <f t="shared" si="32"/>
        <v>1419</v>
      </c>
      <c r="B1427" s="208">
        <v>2023</v>
      </c>
      <c r="C1427" s="193" t="s">
        <v>37</v>
      </c>
      <c r="D1427" s="277" t="s">
        <v>5111</v>
      </c>
      <c r="E1427" s="195" t="s">
        <v>5152</v>
      </c>
      <c r="F1427" s="196" t="s">
        <v>2073</v>
      </c>
      <c r="G1427" s="197" t="s">
        <v>3239</v>
      </c>
      <c r="H1427" s="198">
        <v>0.8</v>
      </c>
      <c r="I1427" s="199">
        <v>77000</v>
      </c>
      <c r="J1427" s="200" t="s">
        <v>2867</v>
      </c>
      <c r="K1427" s="200" t="s">
        <v>4090</v>
      </c>
      <c r="L1427" s="201">
        <v>0.4</v>
      </c>
      <c r="M1427" s="278" t="s">
        <v>5153</v>
      </c>
      <c r="N1427" s="205">
        <v>77000</v>
      </c>
      <c r="O1427" s="254">
        <v>77000</v>
      </c>
      <c r="P1427" s="254">
        <v>61600</v>
      </c>
      <c r="Q1427" s="254">
        <v>61600</v>
      </c>
      <c r="R1427" s="1262" t="s">
        <v>3000</v>
      </c>
      <c r="S1427" s="254">
        <v>30800</v>
      </c>
      <c r="T1427" s="204">
        <v>45128</v>
      </c>
      <c r="U1427" s="1262" t="s">
        <v>2810</v>
      </c>
      <c r="V1427" s="254">
        <v>15400</v>
      </c>
      <c r="W1427" s="1262" t="s">
        <v>2994</v>
      </c>
      <c r="X1427" s="206">
        <v>15400</v>
      </c>
      <c r="Y1427" s="192"/>
    </row>
    <row r="1428" ht="37.5" customHeight="1" spans="1:25">
      <c r="A1428" s="192">
        <f t="shared" si="32"/>
        <v>1420</v>
      </c>
      <c r="B1428" s="208">
        <v>2023</v>
      </c>
      <c r="C1428" s="193" t="s">
        <v>37</v>
      </c>
      <c r="D1428" s="277" t="s">
        <v>5115</v>
      </c>
      <c r="E1428" s="195" t="s">
        <v>5154</v>
      </c>
      <c r="F1428" s="196" t="s">
        <v>2073</v>
      </c>
      <c r="G1428" s="197" t="s">
        <v>3239</v>
      </c>
      <c r="H1428" s="198">
        <v>0.8</v>
      </c>
      <c r="I1428" s="199">
        <v>19439.28</v>
      </c>
      <c r="J1428" s="200" t="s">
        <v>2867</v>
      </c>
      <c r="K1428" s="200" t="s">
        <v>4090</v>
      </c>
      <c r="L1428" s="201">
        <v>0.4</v>
      </c>
      <c r="M1428" s="278" t="s">
        <v>4995</v>
      </c>
      <c r="N1428" s="205">
        <v>6400</v>
      </c>
      <c r="O1428" s="254">
        <v>6400</v>
      </c>
      <c r="P1428" s="254">
        <v>5120</v>
      </c>
      <c r="Q1428" s="254">
        <v>5120</v>
      </c>
      <c r="R1428" s="1262" t="s">
        <v>3000</v>
      </c>
      <c r="S1428" s="254">
        <v>2560</v>
      </c>
      <c r="T1428" s="204">
        <v>45128</v>
      </c>
      <c r="U1428" s="1262" t="s">
        <v>2810</v>
      </c>
      <c r="V1428" s="254">
        <v>1280</v>
      </c>
      <c r="W1428" s="203" t="s">
        <v>4457</v>
      </c>
      <c r="X1428" s="206">
        <v>1280</v>
      </c>
      <c r="Y1428" s="192"/>
    </row>
    <row r="1429" ht="37.5" customHeight="1" spans="1:25">
      <c r="A1429" s="192">
        <f t="shared" si="32"/>
        <v>1421</v>
      </c>
      <c r="B1429" s="208">
        <v>2023</v>
      </c>
      <c r="C1429" s="193" t="s">
        <v>37</v>
      </c>
      <c r="D1429" s="277" t="s">
        <v>5129</v>
      </c>
      <c r="E1429" s="195" t="s">
        <v>5155</v>
      </c>
      <c r="F1429" s="196" t="s">
        <v>2073</v>
      </c>
      <c r="G1429" s="197" t="s">
        <v>1103</v>
      </c>
      <c r="H1429" s="198">
        <v>0.8</v>
      </c>
      <c r="I1429" s="199">
        <v>10300</v>
      </c>
      <c r="J1429" s="200" t="s">
        <v>2046</v>
      </c>
      <c r="K1429" s="200" t="s">
        <v>4473</v>
      </c>
      <c r="L1429" s="201">
        <v>0.4</v>
      </c>
      <c r="M1429" s="278" t="s">
        <v>4814</v>
      </c>
      <c r="N1429" s="205">
        <v>6866.68</v>
      </c>
      <c r="O1429" s="254">
        <v>6866.68</v>
      </c>
      <c r="P1429" s="254">
        <v>5493.34</v>
      </c>
      <c r="Q1429" s="254">
        <v>5493.34</v>
      </c>
      <c r="R1429" s="1262" t="s">
        <v>3000</v>
      </c>
      <c r="S1429" s="254">
        <v>2746.67</v>
      </c>
      <c r="T1429" s="204">
        <v>45128</v>
      </c>
      <c r="U1429" s="1262" t="s">
        <v>2810</v>
      </c>
      <c r="V1429" s="254">
        <v>1373.34</v>
      </c>
      <c r="W1429" s="203" t="s">
        <v>4457</v>
      </c>
      <c r="X1429" s="206">
        <v>1373.34</v>
      </c>
      <c r="Y1429" s="192"/>
    </row>
    <row r="1430" ht="37.5" customHeight="1" spans="1:25">
      <c r="A1430" s="192">
        <f t="shared" si="32"/>
        <v>1422</v>
      </c>
      <c r="B1430" s="208">
        <v>2023</v>
      </c>
      <c r="C1430" s="193" t="s">
        <v>37</v>
      </c>
      <c r="D1430" s="277" t="s">
        <v>4962</v>
      </c>
      <c r="E1430" s="195" t="s">
        <v>5156</v>
      </c>
      <c r="F1430" s="196" t="s">
        <v>2073</v>
      </c>
      <c r="G1430" s="197" t="s">
        <v>1103</v>
      </c>
      <c r="H1430" s="198">
        <v>0.8</v>
      </c>
      <c r="I1430" s="199">
        <v>10547.72</v>
      </c>
      <c r="J1430" s="200" t="s">
        <v>2681</v>
      </c>
      <c r="K1430" s="200" t="s">
        <v>4890</v>
      </c>
      <c r="L1430" s="201">
        <v>0.4</v>
      </c>
      <c r="M1430" s="278" t="s">
        <v>4929</v>
      </c>
      <c r="N1430" s="205">
        <v>3333.36</v>
      </c>
      <c r="O1430" s="254">
        <v>3333.36</v>
      </c>
      <c r="P1430" s="254">
        <v>2666.69</v>
      </c>
      <c r="Q1430" s="254">
        <v>2666.69</v>
      </c>
      <c r="R1430" s="1262" t="s">
        <v>3000</v>
      </c>
      <c r="S1430" s="254">
        <v>1333.34</v>
      </c>
      <c r="T1430" s="204">
        <v>45128</v>
      </c>
      <c r="U1430" s="1262" t="s">
        <v>2810</v>
      </c>
      <c r="V1430" s="254">
        <v>666.67</v>
      </c>
      <c r="W1430" s="203" t="s">
        <v>4457</v>
      </c>
      <c r="X1430" s="206">
        <v>666.67</v>
      </c>
      <c r="Y1430" s="192"/>
    </row>
    <row r="1431" ht="37.5" customHeight="1" spans="1:25">
      <c r="A1431" s="192">
        <f t="shared" si="32"/>
        <v>1423</v>
      </c>
      <c r="B1431" s="208">
        <v>2023</v>
      </c>
      <c r="C1431" s="193" t="s">
        <v>37</v>
      </c>
      <c r="D1431" s="277" t="s">
        <v>5122</v>
      </c>
      <c r="E1431" s="195" t="s">
        <v>5157</v>
      </c>
      <c r="F1431" s="196" t="s">
        <v>2073</v>
      </c>
      <c r="G1431" s="197" t="s">
        <v>3239</v>
      </c>
      <c r="H1431" s="198">
        <v>0.8</v>
      </c>
      <c r="I1431" s="199">
        <v>12500</v>
      </c>
      <c r="J1431" s="200" t="s">
        <v>2941</v>
      </c>
      <c r="K1431" s="200" t="s">
        <v>4514</v>
      </c>
      <c r="L1431" s="201">
        <v>0.4</v>
      </c>
      <c r="M1431" s="278" t="s">
        <v>5006</v>
      </c>
      <c r="N1431" s="205">
        <v>2250.03</v>
      </c>
      <c r="O1431" s="254">
        <v>2250.03</v>
      </c>
      <c r="P1431" s="254">
        <v>1800.03</v>
      </c>
      <c r="Q1431" s="254">
        <v>1800.03</v>
      </c>
      <c r="R1431" s="1262" t="s">
        <v>3000</v>
      </c>
      <c r="S1431" s="254">
        <v>900.01</v>
      </c>
      <c r="T1431" s="204">
        <v>45128</v>
      </c>
      <c r="U1431" s="1262" t="s">
        <v>2810</v>
      </c>
      <c r="V1431" s="254">
        <v>450.01</v>
      </c>
      <c r="W1431" s="203" t="s">
        <v>4457</v>
      </c>
      <c r="X1431" s="206">
        <v>450.01</v>
      </c>
      <c r="Y1431" s="192"/>
    </row>
    <row r="1432" ht="37.5" customHeight="1" spans="1:25">
      <c r="A1432" s="192">
        <f t="shared" si="32"/>
        <v>1424</v>
      </c>
      <c r="B1432" s="208">
        <v>2023</v>
      </c>
      <c r="C1432" s="193" t="s">
        <v>37</v>
      </c>
      <c r="D1432" s="277" t="s">
        <v>5120</v>
      </c>
      <c r="E1432" s="195" t="s">
        <v>5158</v>
      </c>
      <c r="F1432" s="196" t="s">
        <v>2073</v>
      </c>
      <c r="G1432" s="197" t="s">
        <v>3239</v>
      </c>
      <c r="H1432" s="198">
        <v>0.8</v>
      </c>
      <c r="I1432" s="199">
        <v>29000</v>
      </c>
      <c r="J1432" s="200" t="s">
        <v>2903</v>
      </c>
      <c r="K1432" s="200" t="s">
        <v>4896</v>
      </c>
      <c r="L1432" s="201">
        <v>0.4</v>
      </c>
      <c r="M1432" s="278" t="s">
        <v>5003</v>
      </c>
      <c r="N1432" s="205">
        <v>20916.69</v>
      </c>
      <c r="O1432" s="254">
        <v>20916.69</v>
      </c>
      <c r="P1432" s="254">
        <v>16733.35</v>
      </c>
      <c r="Q1432" s="254">
        <v>16733.35</v>
      </c>
      <c r="R1432" s="1262" t="s">
        <v>3000</v>
      </c>
      <c r="S1432" s="254">
        <v>8366.68</v>
      </c>
      <c r="T1432" s="204">
        <v>45128</v>
      </c>
      <c r="U1432" s="1262" t="s">
        <v>2810</v>
      </c>
      <c r="V1432" s="254">
        <v>4183.34</v>
      </c>
      <c r="W1432" s="203" t="s">
        <v>4457</v>
      </c>
      <c r="X1432" s="206">
        <v>4183.34</v>
      </c>
      <c r="Y1432" s="192"/>
    </row>
    <row r="1433" ht="37.5" customHeight="1" spans="1:25">
      <c r="A1433" s="192">
        <f t="shared" si="32"/>
        <v>1425</v>
      </c>
      <c r="B1433" s="208">
        <v>2023</v>
      </c>
      <c r="C1433" s="193" t="s">
        <v>37</v>
      </c>
      <c r="D1433" s="277" t="s">
        <v>5086</v>
      </c>
      <c r="E1433" s="195" t="s">
        <v>5159</v>
      </c>
      <c r="F1433" s="196" t="s">
        <v>2073</v>
      </c>
      <c r="G1433" s="197" t="s">
        <v>1103</v>
      </c>
      <c r="H1433" s="198">
        <v>0.8</v>
      </c>
      <c r="I1433" s="199">
        <v>13082.21</v>
      </c>
      <c r="J1433" s="200" t="s">
        <v>2903</v>
      </c>
      <c r="K1433" s="200" t="s">
        <v>4896</v>
      </c>
      <c r="L1433" s="201">
        <v>0.4</v>
      </c>
      <c r="M1433" s="278" t="s">
        <v>5160</v>
      </c>
      <c r="N1433" s="205">
        <v>2225</v>
      </c>
      <c r="O1433" s="254">
        <v>2225</v>
      </c>
      <c r="P1433" s="254">
        <v>1780</v>
      </c>
      <c r="Q1433" s="254">
        <v>1780</v>
      </c>
      <c r="R1433" s="1262" t="s">
        <v>3000</v>
      </c>
      <c r="S1433" s="254">
        <v>890</v>
      </c>
      <c r="T1433" s="204">
        <v>45128</v>
      </c>
      <c r="U1433" s="1262" t="s">
        <v>2810</v>
      </c>
      <c r="V1433" s="254">
        <v>445</v>
      </c>
      <c r="W1433" s="203" t="s">
        <v>4457</v>
      </c>
      <c r="X1433" s="206">
        <v>445</v>
      </c>
      <c r="Y1433" s="192"/>
    </row>
    <row r="1434" ht="37.5" customHeight="1" spans="1:25">
      <c r="A1434" s="192">
        <f t="shared" si="32"/>
        <v>1426</v>
      </c>
      <c r="B1434" s="208">
        <v>2023</v>
      </c>
      <c r="C1434" s="193" t="s">
        <v>37</v>
      </c>
      <c r="D1434" s="277" t="s">
        <v>5109</v>
      </c>
      <c r="E1434" s="195" t="s">
        <v>5161</v>
      </c>
      <c r="F1434" s="196" t="s">
        <v>2073</v>
      </c>
      <c r="G1434" s="197" t="s">
        <v>1103</v>
      </c>
      <c r="H1434" s="198">
        <v>0.8</v>
      </c>
      <c r="I1434" s="199">
        <v>18282.51</v>
      </c>
      <c r="J1434" s="200" t="s">
        <v>3044</v>
      </c>
      <c r="K1434" s="200" t="s">
        <v>4522</v>
      </c>
      <c r="L1434" s="201">
        <v>0.4</v>
      </c>
      <c r="M1434" s="278" t="s">
        <v>4593</v>
      </c>
      <c r="N1434" s="205">
        <v>8000</v>
      </c>
      <c r="O1434" s="254">
        <v>8000</v>
      </c>
      <c r="P1434" s="254">
        <v>6400</v>
      </c>
      <c r="Q1434" s="254">
        <v>6400</v>
      </c>
      <c r="R1434" s="1262" t="s">
        <v>3000</v>
      </c>
      <c r="S1434" s="254">
        <v>3200</v>
      </c>
      <c r="T1434" s="204">
        <v>45128</v>
      </c>
      <c r="U1434" s="1262" t="s">
        <v>2810</v>
      </c>
      <c r="V1434" s="254">
        <v>1600</v>
      </c>
      <c r="W1434" s="203" t="s">
        <v>2029</v>
      </c>
      <c r="X1434" s="206">
        <v>1600</v>
      </c>
      <c r="Y1434" s="192"/>
    </row>
    <row r="1435" ht="37.5" customHeight="1" spans="1:25">
      <c r="A1435" s="192">
        <f t="shared" si="32"/>
        <v>1427</v>
      </c>
      <c r="B1435" s="208">
        <v>2023</v>
      </c>
      <c r="C1435" s="193" t="s">
        <v>37</v>
      </c>
      <c r="D1435" s="277" t="s">
        <v>5162</v>
      </c>
      <c r="E1435" s="195" t="s">
        <v>5163</v>
      </c>
      <c r="F1435" s="196" t="s">
        <v>2073</v>
      </c>
      <c r="G1435" s="197" t="s">
        <v>3239</v>
      </c>
      <c r="H1435" s="198">
        <v>0.8</v>
      </c>
      <c r="I1435" s="199">
        <v>12024.85</v>
      </c>
      <c r="J1435" s="200" t="s">
        <v>2750</v>
      </c>
      <c r="K1435" s="200" t="s">
        <v>4096</v>
      </c>
      <c r="L1435" s="201">
        <v>0.4</v>
      </c>
      <c r="M1435" s="278" t="s">
        <v>5078</v>
      </c>
      <c r="N1435" s="205">
        <v>5277.66</v>
      </c>
      <c r="O1435" s="254">
        <v>5277.66</v>
      </c>
      <c r="P1435" s="254">
        <v>4222.13</v>
      </c>
      <c r="Q1435" s="254">
        <v>4222.13</v>
      </c>
      <c r="R1435" s="1262" t="s">
        <v>3000</v>
      </c>
      <c r="S1435" s="254">
        <v>2111.06</v>
      </c>
      <c r="T1435" s="204">
        <v>45128</v>
      </c>
      <c r="U1435" s="1262" t="s">
        <v>2810</v>
      </c>
      <c r="V1435" s="254">
        <v>1055.53</v>
      </c>
      <c r="W1435" s="203" t="s">
        <v>4460</v>
      </c>
      <c r="X1435" s="206">
        <v>1055.53</v>
      </c>
      <c r="Y1435" s="192"/>
    </row>
    <row r="1436" ht="37.5" customHeight="1" spans="1:25">
      <c r="A1436" s="192">
        <f t="shared" si="32"/>
        <v>1428</v>
      </c>
      <c r="B1436" s="208">
        <v>2023</v>
      </c>
      <c r="C1436" s="193" t="s">
        <v>37</v>
      </c>
      <c r="D1436" s="277" t="s">
        <v>4962</v>
      </c>
      <c r="E1436" s="195" t="s">
        <v>5164</v>
      </c>
      <c r="F1436" s="196" t="s">
        <v>2073</v>
      </c>
      <c r="G1436" s="197" t="s">
        <v>3239</v>
      </c>
      <c r="H1436" s="198">
        <v>0.8</v>
      </c>
      <c r="I1436" s="199">
        <v>10547.72</v>
      </c>
      <c r="J1436" s="200" t="s">
        <v>2061</v>
      </c>
      <c r="K1436" s="200" t="s">
        <v>5165</v>
      </c>
      <c r="L1436" s="201">
        <v>0.4</v>
      </c>
      <c r="M1436" s="278" t="s">
        <v>4929</v>
      </c>
      <c r="N1436" s="205">
        <v>3750.02</v>
      </c>
      <c r="O1436" s="254">
        <v>3750.02</v>
      </c>
      <c r="P1436" s="254">
        <v>3000.02</v>
      </c>
      <c r="Q1436" s="254">
        <v>3000.02</v>
      </c>
      <c r="R1436" s="1262" t="s">
        <v>3000</v>
      </c>
      <c r="S1436" s="254">
        <v>1500.01</v>
      </c>
      <c r="T1436" s="204">
        <v>45128</v>
      </c>
      <c r="U1436" s="1262" t="s">
        <v>2810</v>
      </c>
      <c r="V1436" s="254">
        <v>750</v>
      </c>
      <c r="W1436" s="203" t="s">
        <v>4866</v>
      </c>
      <c r="X1436" s="206">
        <v>750</v>
      </c>
      <c r="Y1436" s="192"/>
    </row>
    <row r="1437" ht="37.5" customHeight="1" spans="1:25">
      <c r="A1437" s="192">
        <f t="shared" si="32"/>
        <v>1429</v>
      </c>
      <c r="B1437" s="208">
        <v>2023</v>
      </c>
      <c r="C1437" s="193" t="s">
        <v>37</v>
      </c>
      <c r="D1437" s="277" t="s">
        <v>5166</v>
      </c>
      <c r="E1437" s="195" t="s">
        <v>5167</v>
      </c>
      <c r="F1437" s="196" t="s">
        <v>2073</v>
      </c>
      <c r="G1437" s="197" t="s">
        <v>1103</v>
      </c>
      <c r="H1437" s="198">
        <v>0.8</v>
      </c>
      <c r="I1437" s="199">
        <v>60000</v>
      </c>
      <c r="J1437" s="200" t="s">
        <v>2026</v>
      </c>
      <c r="K1437" s="200" t="s">
        <v>4539</v>
      </c>
      <c r="L1437" s="201">
        <v>0.4</v>
      </c>
      <c r="M1437" s="278" t="s">
        <v>4995</v>
      </c>
      <c r="N1437" s="205">
        <v>30000</v>
      </c>
      <c r="O1437" s="254">
        <v>30000</v>
      </c>
      <c r="P1437" s="254">
        <v>24000</v>
      </c>
      <c r="Q1437" s="254">
        <v>24000</v>
      </c>
      <c r="R1437" s="1262" t="s">
        <v>3000</v>
      </c>
      <c r="S1437" s="254">
        <v>12000</v>
      </c>
      <c r="T1437" s="204">
        <v>45128</v>
      </c>
      <c r="U1437" s="1262" t="s">
        <v>2810</v>
      </c>
      <c r="V1437" s="254">
        <v>6000</v>
      </c>
      <c r="W1437" s="203" t="s">
        <v>5168</v>
      </c>
      <c r="X1437" s="206">
        <v>6000</v>
      </c>
      <c r="Y1437" s="192"/>
    </row>
    <row r="1438" ht="37.5" customHeight="1" spans="1:25">
      <c r="A1438" s="192">
        <f t="shared" ref="A1438:A1501" si="33">ROW()-8</f>
        <v>1430</v>
      </c>
      <c r="B1438" s="208">
        <v>2023</v>
      </c>
      <c r="C1438" s="193" t="s">
        <v>37</v>
      </c>
      <c r="D1438" s="277" t="s">
        <v>5031</v>
      </c>
      <c r="E1438" s="195" t="s">
        <v>5169</v>
      </c>
      <c r="F1438" s="196" t="s">
        <v>2073</v>
      </c>
      <c r="G1438" s="197" t="s">
        <v>1103</v>
      </c>
      <c r="H1438" s="198">
        <v>0.8</v>
      </c>
      <c r="I1438" s="199">
        <v>18372.57</v>
      </c>
      <c r="J1438" s="200" t="s">
        <v>2027</v>
      </c>
      <c r="K1438" s="200" t="s">
        <v>4543</v>
      </c>
      <c r="L1438" s="201">
        <v>0.4</v>
      </c>
      <c r="M1438" s="278" t="s">
        <v>5011</v>
      </c>
      <c r="N1438" s="205">
        <v>1875.01</v>
      </c>
      <c r="O1438" s="254">
        <v>1875.01</v>
      </c>
      <c r="P1438" s="254">
        <v>1500.01</v>
      </c>
      <c r="Q1438" s="254">
        <v>1500.01</v>
      </c>
      <c r="R1438" s="1262" t="s">
        <v>3000</v>
      </c>
      <c r="S1438" s="254">
        <v>750</v>
      </c>
      <c r="T1438" s="204">
        <v>45128</v>
      </c>
      <c r="U1438" s="1262" t="s">
        <v>2810</v>
      </c>
      <c r="V1438" s="254">
        <v>375</v>
      </c>
      <c r="W1438" s="203" t="s">
        <v>5170</v>
      </c>
      <c r="X1438" s="206">
        <v>375</v>
      </c>
      <c r="Y1438" s="192"/>
    </row>
    <row r="1439" ht="37.5" customHeight="1" spans="1:25">
      <c r="A1439" s="192">
        <f t="shared" si="33"/>
        <v>1431</v>
      </c>
      <c r="B1439" s="208">
        <v>2023</v>
      </c>
      <c r="C1439" s="193" t="s">
        <v>37</v>
      </c>
      <c r="D1439" s="277" t="s">
        <v>5146</v>
      </c>
      <c r="E1439" s="195" t="s">
        <v>5171</v>
      </c>
      <c r="F1439" s="196" t="s">
        <v>2073</v>
      </c>
      <c r="G1439" s="197" t="s">
        <v>3239</v>
      </c>
      <c r="H1439" s="198">
        <v>0.8</v>
      </c>
      <c r="I1439" s="199">
        <v>27376</v>
      </c>
      <c r="J1439" s="200" t="s">
        <v>3136</v>
      </c>
      <c r="K1439" s="200" t="s">
        <v>5172</v>
      </c>
      <c r="L1439" s="201">
        <v>0.4</v>
      </c>
      <c r="M1439" s="278" t="s">
        <v>4442</v>
      </c>
      <c r="N1439" s="205">
        <v>18250.68</v>
      </c>
      <c r="O1439" s="254">
        <v>18250.68</v>
      </c>
      <c r="P1439" s="254">
        <v>14600.54</v>
      </c>
      <c r="Q1439" s="254">
        <v>14600.54</v>
      </c>
      <c r="R1439" s="1262" t="s">
        <v>3000</v>
      </c>
      <c r="S1439" s="254">
        <v>7300.27</v>
      </c>
      <c r="T1439" s="204">
        <v>45128</v>
      </c>
      <c r="U1439" s="1262" t="s">
        <v>2810</v>
      </c>
      <c r="V1439" s="254">
        <v>3650.14</v>
      </c>
      <c r="W1439" s="203" t="s">
        <v>5173</v>
      </c>
      <c r="X1439" s="206">
        <v>3650.14</v>
      </c>
      <c r="Y1439" s="192"/>
    </row>
    <row r="1440" ht="37.5" customHeight="1" spans="1:25">
      <c r="A1440" s="192">
        <f t="shared" si="33"/>
        <v>1432</v>
      </c>
      <c r="B1440" s="208">
        <v>2023</v>
      </c>
      <c r="C1440" s="193" t="s">
        <v>37</v>
      </c>
      <c r="D1440" s="277" t="s">
        <v>5129</v>
      </c>
      <c r="E1440" s="195" t="s">
        <v>5174</v>
      </c>
      <c r="F1440" s="196" t="s">
        <v>2073</v>
      </c>
      <c r="G1440" s="197" t="s">
        <v>3239</v>
      </c>
      <c r="H1440" s="198">
        <v>0.8</v>
      </c>
      <c r="I1440" s="199">
        <v>17286.97</v>
      </c>
      <c r="J1440" s="200" t="s">
        <v>3076</v>
      </c>
      <c r="K1440" s="200" t="s">
        <v>3194</v>
      </c>
      <c r="L1440" s="201">
        <v>0.4</v>
      </c>
      <c r="M1440" s="278" t="s">
        <v>4814</v>
      </c>
      <c r="N1440" s="205">
        <v>3333.34</v>
      </c>
      <c r="O1440" s="254">
        <v>3333.34</v>
      </c>
      <c r="P1440" s="254">
        <v>2666.67</v>
      </c>
      <c r="Q1440" s="254">
        <v>2666.67</v>
      </c>
      <c r="R1440" s="1262" t="s">
        <v>3000</v>
      </c>
      <c r="S1440" s="254">
        <v>1333.34</v>
      </c>
      <c r="T1440" s="204">
        <v>45128</v>
      </c>
      <c r="U1440" s="1262" t="s">
        <v>2810</v>
      </c>
      <c r="V1440" s="254">
        <v>666.67</v>
      </c>
      <c r="W1440" s="203" t="s">
        <v>5175</v>
      </c>
      <c r="X1440" s="206">
        <v>666.67</v>
      </c>
      <c r="Y1440" s="192"/>
    </row>
    <row r="1441" ht="37.5" customHeight="1" spans="1:25">
      <c r="A1441" s="192">
        <f t="shared" si="33"/>
        <v>1433</v>
      </c>
      <c r="B1441" s="208">
        <v>2023</v>
      </c>
      <c r="C1441" s="193" t="s">
        <v>37</v>
      </c>
      <c r="D1441" s="277" t="s">
        <v>5176</v>
      </c>
      <c r="E1441" s="195" t="s">
        <v>5177</v>
      </c>
      <c r="F1441" s="196" t="s">
        <v>2073</v>
      </c>
      <c r="G1441" s="197" t="s">
        <v>1103</v>
      </c>
      <c r="H1441" s="198">
        <v>0.8</v>
      </c>
      <c r="I1441" s="199">
        <v>13600</v>
      </c>
      <c r="J1441" s="200" t="s">
        <v>3159</v>
      </c>
      <c r="K1441" s="200" t="s">
        <v>5178</v>
      </c>
      <c r="L1441" s="201">
        <v>0.4</v>
      </c>
      <c r="M1441" s="278" t="s">
        <v>4800</v>
      </c>
      <c r="N1441" s="205">
        <v>11333.34</v>
      </c>
      <c r="O1441" s="254">
        <v>11333.34</v>
      </c>
      <c r="P1441" s="254">
        <v>9066.67</v>
      </c>
      <c r="Q1441" s="254">
        <v>9066.67</v>
      </c>
      <c r="R1441" s="1262" t="s">
        <v>3000</v>
      </c>
      <c r="S1441" s="254">
        <v>4533.34</v>
      </c>
      <c r="T1441" s="204">
        <v>45128</v>
      </c>
      <c r="U1441" s="1262" t="s">
        <v>2810</v>
      </c>
      <c r="V1441" s="254">
        <v>2266.67</v>
      </c>
      <c r="W1441" s="203" t="s">
        <v>5179</v>
      </c>
      <c r="X1441" s="206">
        <v>2266.67</v>
      </c>
      <c r="Y1441" s="192"/>
    </row>
    <row r="1442" ht="37.5" customHeight="1" spans="1:25">
      <c r="A1442" s="192">
        <f t="shared" si="33"/>
        <v>1434</v>
      </c>
      <c r="B1442" s="208">
        <v>2023</v>
      </c>
      <c r="C1442" s="193" t="s">
        <v>37</v>
      </c>
      <c r="D1442" s="277" t="s">
        <v>5180</v>
      </c>
      <c r="E1442" s="195" t="s">
        <v>5181</v>
      </c>
      <c r="F1442" s="196" t="s">
        <v>2073</v>
      </c>
      <c r="G1442" s="197" t="s">
        <v>1103</v>
      </c>
      <c r="H1442" s="198">
        <v>0.8</v>
      </c>
      <c r="I1442" s="199">
        <v>18068.46</v>
      </c>
      <c r="J1442" s="200" t="s">
        <v>3047</v>
      </c>
      <c r="K1442" s="200" t="s">
        <v>5182</v>
      </c>
      <c r="L1442" s="201">
        <v>0.4</v>
      </c>
      <c r="M1442" s="278" t="s">
        <v>5003</v>
      </c>
      <c r="N1442" s="205">
        <v>7416.68</v>
      </c>
      <c r="O1442" s="254">
        <v>7416.68</v>
      </c>
      <c r="P1442" s="254">
        <v>5933.34</v>
      </c>
      <c r="Q1442" s="254">
        <v>5933.34</v>
      </c>
      <c r="R1442" s="1262" t="s">
        <v>3000</v>
      </c>
      <c r="S1442" s="254">
        <v>2966.67</v>
      </c>
      <c r="T1442" s="204">
        <v>45128</v>
      </c>
      <c r="U1442" s="1262" t="s">
        <v>2810</v>
      </c>
      <c r="V1442" s="254">
        <v>1483.34</v>
      </c>
      <c r="W1442" s="203" t="s">
        <v>5183</v>
      </c>
      <c r="X1442" s="206">
        <v>1483.34</v>
      </c>
      <c r="Y1442" s="192"/>
    </row>
    <row r="1443" ht="37.5" customHeight="1" spans="1:25">
      <c r="A1443" s="192">
        <f t="shared" si="33"/>
        <v>1435</v>
      </c>
      <c r="B1443" s="208">
        <v>2023</v>
      </c>
      <c r="C1443" s="193" t="s">
        <v>37</v>
      </c>
      <c r="D1443" s="277" t="s">
        <v>5092</v>
      </c>
      <c r="E1443" s="195" t="s">
        <v>5184</v>
      </c>
      <c r="F1443" s="196" t="s">
        <v>2073</v>
      </c>
      <c r="G1443" s="197" t="s">
        <v>3239</v>
      </c>
      <c r="H1443" s="198">
        <v>0.8</v>
      </c>
      <c r="I1443" s="199">
        <v>16800</v>
      </c>
      <c r="J1443" s="200" t="s">
        <v>2956</v>
      </c>
      <c r="K1443" s="200" t="s">
        <v>5185</v>
      </c>
      <c r="L1443" s="201">
        <v>0.4</v>
      </c>
      <c r="M1443" s="278" t="s">
        <v>4442</v>
      </c>
      <c r="N1443" s="205">
        <v>13930.02</v>
      </c>
      <c r="O1443" s="254">
        <v>13930.02</v>
      </c>
      <c r="P1443" s="254">
        <v>11144.01</v>
      </c>
      <c r="Q1443" s="254">
        <v>11144.01</v>
      </c>
      <c r="R1443" s="1262" t="s">
        <v>3000</v>
      </c>
      <c r="S1443" s="254">
        <v>5572.01</v>
      </c>
      <c r="T1443" s="204">
        <v>45128</v>
      </c>
      <c r="U1443" s="1262" t="s">
        <v>2810</v>
      </c>
      <c r="V1443" s="254">
        <v>2786</v>
      </c>
      <c r="W1443" s="203" t="s">
        <v>5186</v>
      </c>
      <c r="X1443" s="206">
        <v>2786</v>
      </c>
      <c r="Y1443" s="192"/>
    </row>
    <row r="1444" ht="37.5" customHeight="1" spans="1:25">
      <c r="A1444" s="192">
        <f t="shared" si="33"/>
        <v>1436</v>
      </c>
      <c r="B1444" s="208">
        <v>2023</v>
      </c>
      <c r="C1444" s="193" t="s">
        <v>37</v>
      </c>
      <c r="D1444" s="277" t="s">
        <v>5146</v>
      </c>
      <c r="E1444" s="195" t="s">
        <v>5187</v>
      </c>
      <c r="F1444" s="196" t="s">
        <v>2073</v>
      </c>
      <c r="G1444" s="197" t="s">
        <v>3239</v>
      </c>
      <c r="H1444" s="198">
        <v>0.8</v>
      </c>
      <c r="I1444" s="199">
        <v>130000</v>
      </c>
      <c r="J1444" s="200" t="s">
        <v>3420</v>
      </c>
      <c r="K1444" s="200" t="s">
        <v>5188</v>
      </c>
      <c r="L1444" s="201">
        <v>0.4</v>
      </c>
      <c r="M1444" s="278" t="s">
        <v>5189</v>
      </c>
      <c r="N1444" s="205">
        <v>93333.36</v>
      </c>
      <c r="O1444" s="254">
        <v>93333.36</v>
      </c>
      <c r="P1444" s="254">
        <v>74666.68</v>
      </c>
      <c r="Q1444" s="254">
        <v>74666.68</v>
      </c>
      <c r="R1444" s="1262" t="s">
        <v>3000</v>
      </c>
      <c r="S1444" s="254">
        <v>37333.34</v>
      </c>
      <c r="T1444" s="204">
        <v>45128</v>
      </c>
      <c r="U1444" s="1262" t="s">
        <v>2810</v>
      </c>
      <c r="V1444" s="254">
        <v>18666.67</v>
      </c>
      <c r="W1444" s="203" t="s">
        <v>5190</v>
      </c>
      <c r="X1444" s="206">
        <v>18666.67</v>
      </c>
      <c r="Y1444" s="192"/>
    </row>
    <row r="1445" ht="37.5" customHeight="1" spans="1:25">
      <c r="A1445" s="192">
        <f t="shared" si="33"/>
        <v>1437</v>
      </c>
      <c r="B1445" s="208">
        <v>2023</v>
      </c>
      <c r="C1445" s="193" t="s">
        <v>37</v>
      </c>
      <c r="D1445" s="277" t="s">
        <v>5191</v>
      </c>
      <c r="E1445" s="195" t="s">
        <v>5192</v>
      </c>
      <c r="F1445" s="196" t="s">
        <v>2073</v>
      </c>
      <c r="G1445" s="197" t="s">
        <v>1103</v>
      </c>
      <c r="H1445" s="198">
        <v>0.8</v>
      </c>
      <c r="I1445" s="199">
        <v>16000</v>
      </c>
      <c r="J1445" s="200" t="s">
        <v>3272</v>
      </c>
      <c r="K1445" s="200" t="s">
        <v>5193</v>
      </c>
      <c r="L1445" s="201">
        <v>0.4</v>
      </c>
      <c r="M1445" s="278" t="s">
        <v>5027</v>
      </c>
      <c r="N1445" s="205">
        <v>14666.67</v>
      </c>
      <c r="O1445" s="254">
        <v>14666.67</v>
      </c>
      <c r="P1445" s="254">
        <v>11733.34</v>
      </c>
      <c r="Q1445" s="254">
        <v>11733.34</v>
      </c>
      <c r="R1445" s="1262" t="s">
        <v>3000</v>
      </c>
      <c r="S1445" s="254">
        <v>5866.67</v>
      </c>
      <c r="T1445" s="204">
        <v>45128</v>
      </c>
      <c r="U1445" s="1262" t="s">
        <v>2810</v>
      </c>
      <c r="V1445" s="254">
        <v>2933.33</v>
      </c>
      <c r="W1445" s="203" t="s">
        <v>5194</v>
      </c>
      <c r="X1445" s="206">
        <v>2933.33</v>
      </c>
      <c r="Y1445" s="192"/>
    </row>
    <row r="1446" ht="37.5" customHeight="1" spans="1:25">
      <c r="A1446" s="192">
        <f t="shared" si="33"/>
        <v>1438</v>
      </c>
      <c r="B1446" s="208">
        <v>2023</v>
      </c>
      <c r="C1446" s="193" t="s">
        <v>37</v>
      </c>
      <c r="D1446" s="277" t="s">
        <v>5195</v>
      </c>
      <c r="E1446" s="195" t="s">
        <v>5196</v>
      </c>
      <c r="F1446" s="196" t="s">
        <v>2073</v>
      </c>
      <c r="G1446" s="197" t="s">
        <v>1103</v>
      </c>
      <c r="H1446" s="198">
        <v>0.8</v>
      </c>
      <c r="I1446" s="199">
        <v>50000</v>
      </c>
      <c r="J1446" s="200" t="s">
        <v>3272</v>
      </c>
      <c r="K1446" s="200" t="s">
        <v>5193</v>
      </c>
      <c r="L1446" s="201">
        <v>0.4</v>
      </c>
      <c r="M1446" s="278" t="s">
        <v>4814</v>
      </c>
      <c r="N1446" s="205">
        <v>45833.34</v>
      </c>
      <c r="O1446" s="254">
        <v>45833.34</v>
      </c>
      <c r="P1446" s="254">
        <v>36666.67</v>
      </c>
      <c r="Q1446" s="254">
        <v>36666.67</v>
      </c>
      <c r="R1446" s="1262" t="s">
        <v>3000</v>
      </c>
      <c r="S1446" s="254">
        <v>18333.34</v>
      </c>
      <c r="T1446" s="204">
        <v>45128</v>
      </c>
      <c r="U1446" s="1262" t="s">
        <v>2810</v>
      </c>
      <c r="V1446" s="254">
        <v>9166.67</v>
      </c>
      <c r="W1446" s="203" t="s">
        <v>5197</v>
      </c>
      <c r="X1446" s="206">
        <v>9166.67</v>
      </c>
      <c r="Y1446" s="192"/>
    </row>
    <row r="1447" ht="37.5" customHeight="1" spans="1:25">
      <c r="A1447" s="192">
        <f t="shared" si="33"/>
        <v>1439</v>
      </c>
      <c r="B1447" s="208">
        <v>2023</v>
      </c>
      <c r="C1447" s="193" t="s">
        <v>37</v>
      </c>
      <c r="D1447" s="277" t="s">
        <v>5014</v>
      </c>
      <c r="E1447" s="195" t="s">
        <v>5198</v>
      </c>
      <c r="F1447" s="196" t="s">
        <v>2073</v>
      </c>
      <c r="G1447" s="197" t="s">
        <v>3239</v>
      </c>
      <c r="H1447" s="198">
        <v>0.8</v>
      </c>
      <c r="I1447" s="199">
        <v>16000</v>
      </c>
      <c r="J1447" s="200" t="s">
        <v>3451</v>
      </c>
      <c r="K1447" s="200" t="s">
        <v>5199</v>
      </c>
      <c r="L1447" s="201">
        <v>0.4</v>
      </c>
      <c r="M1447" s="278" t="s">
        <v>4697</v>
      </c>
      <c r="N1447" s="205">
        <v>13333.34</v>
      </c>
      <c r="O1447" s="254">
        <v>13333.34</v>
      </c>
      <c r="P1447" s="254">
        <v>10666.67</v>
      </c>
      <c r="Q1447" s="254">
        <v>10666.67</v>
      </c>
      <c r="R1447" s="1262" t="s">
        <v>3000</v>
      </c>
      <c r="S1447" s="254">
        <v>5333.34</v>
      </c>
      <c r="T1447" s="204">
        <v>45128</v>
      </c>
      <c r="U1447" s="1262" t="s">
        <v>2810</v>
      </c>
      <c r="V1447" s="254">
        <v>2666.67</v>
      </c>
      <c r="W1447" s="203" t="s">
        <v>5200</v>
      </c>
      <c r="X1447" s="206">
        <v>2666.67</v>
      </c>
      <c r="Y1447" s="192"/>
    </row>
    <row r="1448" ht="37.5" customHeight="1" spans="1:25">
      <c r="A1448" s="192">
        <f t="shared" si="33"/>
        <v>1440</v>
      </c>
      <c r="B1448" s="208">
        <v>2023</v>
      </c>
      <c r="C1448" s="193" t="s">
        <v>37</v>
      </c>
      <c r="D1448" s="277" t="s">
        <v>5146</v>
      </c>
      <c r="E1448" s="195" t="s">
        <v>5201</v>
      </c>
      <c r="F1448" s="196" t="s">
        <v>2073</v>
      </c>
      <c r="G1448" s="197" t="s">
        <v>3239</v>
      </c>
      <c r="H1448" s="198">
        <v>0.8</v>
      </c>
      <c r="I1448" s="199">
        <v>39000</v>
      </c>
      <c r="J1448" s="200" t="s">
        <v>3748</v>
      </c>
      <c r="K1448" s="200" t="s">
        <v>5202</v>
      </c>
      <c r="L1448" s="201">
        <v>0.4</v>
      </c>
      <c r="M1448" s="278" t="s">
        <v>5189</v>
      </c>
      <c r="N1448" s="205">
        <v>33220.57</v>
      </c>
      <c r="O1448" s="254">
        <v>33220.57</v>
      </c>
      <c r="P1448" s="254">
        <v>26576.46</v>
      </c>
      <c r="Q1448" s="254">
        <v>26576.46</v>
      </c>
      <c r="R1448" s="1262" t="s">
        <v>3000</v>
      </c>
      <c r="S1448" s="254">
        <v>13288.23</v>
      </c>
      <c r="T1448" s="204">
        <v>45128</v>
      </c>
      <c r="U1448" s="1262" t="s">
        <v>2810</v>
      </c>
      <c r="V1448" s="254">
        <v>6644.11</v>
      </c>
      <c r="W1448" s="203" t="s">
        <v>5203</v>
      </c>
      <c r="X1448" s="206">
        <v>6644.11</v>
      </c>
      <c r="Y1448" s="192"/>
    </row>
    <row r="1449" ht="37.5" customHeight="1" spans="1:25">
      <c r="A1449" s="192">
        <f t="shared" si="33"/>
        <v>1441</v>
      </c>
      <c r="B1449" s="208">
        <v>2023</v>
      </c>
      <c r="C1449" s="193" t="s">
        <v>37</v>
      </c>
      <c r="D1449" s="277" t="s">
        <v>5191</v>
      </c>
      <c r="E1449" s="195" t="s">
        <v>5204</v>
      </c>
      <c r="F1449" s="196" t="s">
        <v>2073</v>
      </c>
      <c r="G1449" s="197" t="s">
        <v>1103</v>
      </c>
      <c r="H1449" s="198">
        <v>0.8</v>
      </c>
      <c r="I1449" s="199">
        <v>15118.59</v>
      </c>
      <c r="J1449" s="200" t="s">
        <v>2448</v>
      </c>
      <c r="K1449" s="200" t="s">
        <v>5205</v>
      </c>
      <c r="L1449" s="201">
        <v>0.4</v>
      </c>
      <c r="M1449" s="278" t="s">
        <v>5027</v>
      </c>
      <c r="N1449" s="205">
        <v>10000</v>
      </c>
      <c r="O1449" s="254">
        <v>10000</v>
      </c>
      <c r="P1449" s="254">
        <v>8000</v>
      </c>
      <c r="Q1449" s="254">
        <v>8000</v>
      </c>
      <c r="R1449" s="1262" t="s">
        <v>3000</v>
      </c>
      <c r="S1449" s="254">
        <v>4000</v>
      </c>
      <c r="T1449" s="204">
        <v>45128</v>
      </c>
      <c r="U1449" s="1262" t="s">
        <v>2810</v>
      </c>
      <c r="V1449" s="254">
        <v>2000</v>
      </c>
      <c r="W1449" s="203" t="s">
        <v>5206</v>
      </c>
      <c r="X1449" s="206">
        <v>2000</v>
      </c>
      <c r="Y1449" s="192"/>
    </row>
    <row r="1450" ht="37.5" customHeight="1" spans="1:25">
      <c r="A1450" s="192">
        <f t="shared" si="33"/>
        <v>1442</v>
      </c>
      <c r="B1450" s="208">
        <v>2023</v>
      </c>
      <c r="C1450" s="193" t="s">
        <v>37</v>
      </c>
      <c r="D1450" s="277" t="s">
        <v>5207</v>
      </c>
      <c r="E1450" s="195" t="s">
        <v>5208</v>
      </c>
      <c r="F1450" s="196" t="s">
        <v>2073</v>
      </c>
      <c r="G1450" s="197" t="s">
        <v>1103</v>
      </c>
      <c r="H1450" s="198">
        <v>0.8</v>
      </c>
      <c r="I1450" s="199">
        <v>76000</v>
      </c>
      <c r="J1450" s="200" t="s">
        <v>5209</v>
      </c>
      <c r="K1450" s="200" t="s">
        <v>5210</v>
      </c>
      <c r="L1450" s="201">
        <v>0.4</v>
      </c>
      <c r="M1450" s="278" t="s">
        <v>5211</v>
      </c>
      <c r="N1450" s="205">
        <v>74959.3</v>
      </c>
      <c r="O1450" s="254">
        <v>74959.3</v>
      </c>
      <c r="P1450" s="254">
        <v>59967.44</v>
      </c>
      <c r="Q1450" s="254">
        <v>59967.44</v>
      </c>
      <c r="R1450" s="1262" t="s">
        <v>3000</v>
      </c>
      <c r="S1450" s="254">
        <v>29983.72</v>
      </c>
      <c r="T1450" s="204">
        <v>45128</v>
      </c>
      <c r="U1450" s="1262" t="s">
        <v>2810</v>
      </c>
      <c r="V1450" s="254">
        <v>14991.86</v>
      </c>
      <c r="W1450" s="203" t="s">
        <v>5212</v>
      </c>
      <c r="X1450" s="206">
        <v>14991.86</v>
      </c>
      <c r="Y1450" s="192"/>
    </row>
    <row r="1451" ht="37.5" customHeight="1" spans="1:25">
      <c r="A1451" s="192">
        <f t="shared" si="33"/>
        <v>1443</v>
      </c>
      <c r="B1451" s="208">
        <v>2023</v>
      </c>
      <c r="C1451" s="193" t="s">
        <v>37</v>
      </c>
      <c r="D1451" s="277" t="s">
        <v>4706</v>
      </c>
      <c r="E1451" s="195" t="s">
        <v>5213</v>
      </c>
      <c r="F1451" s="196" t="s">
        <v>2073</v>
      </c>
      <c r="G1451" s="197" t="s">
        <v>3239</v>
      </c>
      <c r="H1451" s="198">
        <v>0.8</v>
      </c>
      <c r="I1451" s="199">
        <v>500000</v>
      </c>
      <c r="J1451" s="200" t="s">
        <v>2111</v>
      </c>
      <c r="K1451" s="200" t="s">
        <v>2112</v>
      </c>
      <c r="L1451" s="201">
        <v>0.4</v>
      </c>
      <c r="M1451" s="278" t="s">
        <v>5027</v>
      </c>
      <c r="N1451" s="205">
        <v>12833.37</v>
      </c>
      <c r="O1451" s="254">
        <v>12833.37</v>
      </c>
      <c r="P1451" s="254">
        <v>10266.7</v>
      </c>
      <c r="Q1451" s="254">
        <v>10266.7</v>
      </c>
      <c r="R1451" s="1262" t="s">
        <v>3000</v>
      </c>
      <c r="S1451" s="254">
        <v>5133.35</v>
      </c>
      <c r="T1451" s="204">
        <v>45128</v>
      </c>
      <c r="U1451" s="1262" t="s">
        <v>2810</v>
      </c>
      <c r="V1451" s="254">
        <v>2566.67</v>
      </c>
      <c r="W1451" s="203" t="s">
        <v>5214</v>
      </c>
      <c r="X1451" s="206">
        <v>2566.67</v>
      </c>
      <c r="Y1451" s="192"/>
    </row>
    <row r="1452" ht="37.5" customHeight="1" spans="1:25">
      <c r="A1452" s="192">
        <f t="shared" si="33"/>
        <v>1444</v>
      </c>
      <c r="B1452" s="208">
        <v>2023</v>
      </c>
      <c r="C1452" s="193" t="s">
        <v>37</v>
      </c>
      <c r="D1452" s="277" t="s">
        <v>5035</v>
      </c>
      <c r="E1452" s="195" t="s">
        <v>5215</v>
      </c>
      <c r="F1452" s="196" t="s">
        <v>2073</v>
      </c>
      <c r="G1452" s="197" t="s">
        <v>3239</v>
      </c>
      <c r="H1452" s="198">
        <v>0.8</v>
      </c>
      <c r="I1452" s="199">
        <v>121310</v>
      </c>
      <c r="J1452" s="200" t="s">
        <v>2095</v>
      </c>
      <c r="K1452" s="200" t="s">
        <v>2096</v>
      </c>
      <c r="L1452" s="201">
        <v>0.4</v>
      </c>
      <c r="M1452" s="278" t="s">
        <v>4814</v>
      </c>
      <c r="N1452" s="205">
        <v>2500.14</v>
      </c>
      <c r="O1452" s="254">
        <v>2500.14</v>
      </c>
      <c r="P1452" s="254">
        <v>2000.11</v>
      </c>
      <c r="Q1452" s="254">
        <v>2000.11</v>
      </c>
      <c r="R1452" s="1262" t="s">
        <v>3000</v>
      </c>
      <c r="S1452" s="254">
        <v>1000.06</v>
      </c>
      <c r="T1452" s="204">
        <v>45128</v>
      </c>
      <c r="U1452" s="1262" t="s">
        <v>2810</v>
      </c>
      <c r="V1452" s="254">
        <v>500.03</v>
      </c>
      <c r="W1452" s="203" t="s">
        <v>5216</v>
      </c>
      <c r="X1452" s="206">
        <v>500.03</v>
      </c>
      <c r="Y1452" s="192"/>
    </row>
    <row r="1453" ht="37.5" customHeight="1" spans="1:25">
      <c r="A1453" s="192">
        <f t="shared" si="33"/>
        <v>1445</v>
      </c>
      <c r="B1453" s="208">
        <v>2023</v>
      </c>
      <c r="C1453" s="193" t="s">
        <v>37</v>
      </c>
      <c r="D1453" s="277" t="s">
        <v>5037</v>
      </c>
      <c r="E1453" s="195" t="s">
        <v>5217</v>
      </c>
      <c r="F1453" s="196" t="s">
        <v>2073</v>
      </c>
      <c r="G1453" s="197" t="s">
        <v>1103</v>
      </c>
      <c r="H1453" s="198">
        <v>0.8</v>
      </c>
      <c r="I1453" s="199">
        <v>138400</v>
      </c>
      <c r="J1453" s="200" t="s">
        <v>1825</v>
      </c>
      <c r="K1453" s="200" t="s">
        <v>2169</v>
      </c>
      <c r="L1453" s="201">
        <v>0.4</v>
      </c>
      <c r="M1453" s="278" t="s">
        <v>5039</v>
      </c>
      <c r="N1453" s="205">
        <v>26700</v>
      </c>
      <c r="O1453" s="254">
        <v>26700</v>
      </c>
      <c r="P1453" s="254">
        <v>21360</v>
      </c>
      <c r="Q1453" s="254">
        <v>21360</v>
      </c>
      <c r="R1453" s="1262" t="s">
        <v>3000</v>
      </c>
      <c r="S1453" s="254">
        <v>10680</v>
      </c>
      <c r="T1453" s="204">
        <v>45128</v>
      </c>
      <c r="U1453" s="1262" t="s">
        <v>2810</v>
      </c>
      <c r="V1453" s="254">
        <v>5340</v>
      </c>
      <c r="W1453" s="203" t="s">
        <v>4457</v>
      </c>
      <c r="X1453" s="206">
        <v>5340</v>
      </c>
      <c r="Y1453" s="192"/>
    </row>
    <row r="1454" ht="37.5" customHeight="1" spans="1:25">
      <c r="A1454" s="192">
        <f t="shared" si="33"/>
        <v>1446</v>
      </c>
      <c r="B1454" s="208">
        <v>2023</v>
      </c>
      <c r="C1454" s="193" t="s">
        <v>37</v>
      </c>
      <c r="D1454" s="277" t="s">
        <v>5090</v>
      </c>
      <c r="E1454" s="195" t="s">
        <v>5218</v>
      </c>
      <c r="F1454" s="196" t="s">
        <v>2073</v>
      </c>
      <c r="G1454" s="197" t="s">
        <v>3239</v>
      </c>
      <c r="H1454" s="198">
        <v>0.8</v>
      </c>
      <c r="I1454" s="199">
        <v>18000</v>
      </c>
      <c r="J1454" s="200" t="s">
        <v>4942</v>
      </c>
      <c r="K1454" s="200" t="s">
        <v>4943</v>
      </c>
      <c r="L1454" s="201">
        <v>0.4</v>
      </c>
      <c r="M1454" s="278" t="s">
        <v>5039</v>
      </c>
      <c r="N1454" s="205">
        <v>10500.05</v>
      </c>
      <c r="O1454" s="254">
        <v>10500.05</v>
      </c>
      <c r="P1454" s="254">
        <v>8400.04</v>
      </c>
      <c r="Q1454" s="254">
        <v>8400.04</v>
      </c>
      <c r="R1454" s="1262" t="s">
        <v>3000</v>
      </c>
      <c r="S1454" s="254">
        <v>4200.02</v>
      </c>
      <c r="T1454" s="204">
        <v>45128</v>
      </c>
      <c r="U1454" s="203"/>
      <c r="V1454" s="254"/>
      <c r="W1454" s="203"/>
      <c r="X1454" s="206"/>
      <c r="Y1454" s="203" t="s">
        <v>1077</v>
      </c>
    </row>
    <row r="1455" ht="37.5" customHeight="1" spans="1:25">
      <c r="A1455" s="192">
        <f t="shared" si="33"/>
        <v>1447</v>
      </c>
      <c r="B1455" s="208">
        <v>2023</v>
      </c>
      <c r="C1455" s="193" t="s">
        <v>37</v>
      </c>
      <c r="D1455" s="277" t="s">
        <v>5219</v>
      </c>
      <c r="E1455" s="195" t="s">
        <v>5220</v>
      </c>
      <c r="F1455" s="196" t="s">
        <v>2073</v>
      </c>
      <c r="G1455" s="197" t="s">
        <v>3239</v>
      </c>
      <c r="H1455" s="198">
        <v>0.8</v>
      </c>
      <c r="I1455" s="199">
        <v>54000</v>
      </c>
      <c r="J1455" s="200" t="s">
        <v>2498</v>
      </c>
      <c r="K1455" s="200" t="s">
        <v>5221</v>
      </c>
      <c r="L1455" s="201">
        <v>0.4</v>
      </c>
      <c r="M1455" s="278" t="s">
        <v>5222</v>
      </c>
      <c r="N1455" s="205">
        <v>3166.7</v>
      </c>
      <c r="O1455" s="254">
        <v>3166.7</v>
      </c>
      <c r="P1455" s="254">
        <v>2533.36</v>
      </c>
      <c r="Q1455" s="254">
        <v>2533.36</v>
      </c>
      <c r="R1455" s="1262" t="s">
        <v>3000</v>
      </c>
      <c r="S1455" s="254">
        <v>1266.68</v>
      </c>
      <c r="T1455" s="204">
        <v>45128</v>
      </c>
      <c r="U1455" s="203"/>
      <c r="V1455" s="254"/>
      <c r="W1455" s="203"/>
      <c r="X1455" s="206"/>
      <c r="Y1455" s="203" t="s">
        <v>1077</v>
      </c>
    </row>
    <row r="1456" ht="37.5" customHeight="1" spans="1:25">
      <c r="A1456" s="192">
        <f t="shared" si="33"/>
        <v>1448</v>
      </c>
      <c r="B1456" s="208">
        <v>2023</v>
      </c>
      <c r="C1456" s="193" t="s">
        <v>37</v>
      </c>
      <c r="D1456" s="277" t="s">
        <v>5092</v>
      </c>
      <c r="E1456" s="195" t="s">
        <v>5223</v>
      </c>
      <c r="F1456" s="196" t="s">
        <v>2073</v>
      </c>
      <c r="G1456" s="197" t="s">
        <v>1103</v>
      </c>
      <c r="H1456" s="198">
        <v>0.8</v>
      </c>
      <c r="I1456" s="199">
        <v>10100</v>
      </c>
      <c r="J1456" s="200" t="s">
        <v>2612</v>
      </c>
      <c r="K1456" s="200" t="s">
        <v>3969</v>
      </c>
      <c r="L1456" s="201">
        <v>0.4</v>
      </c>
      <c r="M1456" s="278" t="s">
        <v>4442</v>
      </c>
      <c r="N1456" s="205">
        <v>4083.35</v>
      </c>
      <c r="O1456" s="254">
        <v>4083.35</v>
      </c>
      <c r="P1456" s="254">
        <v>3266.68</v>
      </c>
      <c r="Q1456" s="254">
        <v>3266.68</v>
      </c>
      <c r="R1456" s="1262" t="s">
        <v>3000</v>
      </c>
      <c r="S1456" s="254">
        <v>1633.34</v>
      </c>
      <c r="T1456" s="204">
        <v>45128</v>
      </c>
      <c r="U1456" s="203"/>
      <c r="V1456" s="254"/>
      <c r="W1456" s="203"/>
      <c r="X1456" s="206"/>
      <c r="Y1456" s="203" t="s">
        <v>1077</v>
      </c>
    </row>
    <row r="1457" ht="37.5" customHeight="1" spans="1:25">
      <c r="A1457" s="192">
        <f t="shared" si="33"/>
        <v>1449</v>
      </c>
      <c r="B1457" s="208">
        <v>2023</v>
      </c>
      <c r="C1457" s="193" t="s">
        <v>37</v>
      </c>
      <c r="D1457" s="277" t="s">
        <v>5092</v>
      </c>
      <c r="E1457" s="195" t="s">
        <v>5224</v>
      </c>
      <c r="F1457" s="196" t="s">
        <v>2073</v>
      </c>
      <c r="G1457" s="197" t="s">
        <v>3239</v>
      </c>
      <c r="H1457" s="198">
        <v>0.8</v>
      </c>
      <c r="I1457" s="199">
        <v>13000</v>
      </c>
      <c r="J1457" s="200" t="s">
        <v>2399</v>
      </c>
      <c r="K1457" s="200" t="s">
        <v>3973</v>
      </c>
      <c r="L1457" s="201">
        <v>0.4</v>
      </c>
      <c r="M1457" s="278" t="s">
        <v>4442</v>
      </c>
      <c r="N1457" s="205">
        <v>1500</v>
      </c>
      <c r="O1457" s="254">
        <v>1500</v>
      </c>
      <c r="P1457" s="254">
        <v>1200</v>
      </c>
      <c r="Q1457" s="254">
        <v>1200</v>
      </c>
      <c r="R1457" s="1262" t="s">
        <v>3000</v>
      </c>
      <c r="S1457" s="254">
        <v>600</v>
      </c>
      <c r="T1457" s="204">
        <v>45128</v>
      </c>
      <c r="U1457" s="203"/>
      <c r="V1457" s="254"/>
      <c r="W1457" s="203"/>
      <c r="X1457" s="206"/>
      <c r="Y1457" s="203" t="s">
        <v>1077</v>
      </c>
    </row>
    <row r="1458" ht="37.5" customHeight="1" spans="1:25">
      <c r="A1458" s="192">
        <f t="shared" si="33"/>
        <v>1450</v>
      </c>
      <c r="B1458" s="208">
        <v>2023</v>
      </c>
      <c r="C1458" s="193" t="s">
        <v>37</v>
      </c>
      <c r="D1458" s="277" t="s">
        <v>5115</v>
      </c>
      <c r="E1458" s="195" t="s">
        <v>5225</v>
      </c>
      <c r="F1458" s="196" t="s">
        <v>2073</v>
      </c>
      <c r="G1458" s="197" t="s">
        <v>3239</v>
      </c>
      <c r="H1458" s="198">
        <v>0.8</v>
      </c>
      <c r="I1458" s="199">
        <v>64000</v>
      </c>
      <c r="J1458" s="200" t="s">
        <v>1995</v>
      </c>
      <c r="K1458" s="200" t="s">
        <v>3458</v>
      </c>
      <c r="L1458" s="201">
        <v>0.4</v>
      </c>
      <c r="M1458" s="278" t="s">
        <v>4995</v>
      </c>
      <c r="N1458" s="205">
        <v>28021.04</v>
      </c>
      <c r="O1458" s="254">
        <v>28021.04</v>
      </c>
      <c r="P1458" s="254">
        <v>22416.83</v>
      </c>
      <c r="Q1458" s="254">
        <v>22416.83</v>
      </c>
      <c r="R1458" s="1262" t="s">
        <v>3000</v>
      </c>
      <c r="S1458" s="254">
        <v>11208.42</v>
      </c>
      <c r="T1458" s="204">
        <v>45128</v>
      </c>
      <c r="U1458" s="203"/>
      <c r="V1458" s="254"/>
      <c r="W1458" s="203"/>
      <c r="X1458" s="206"/>
      <c r="Y1458" s="203" t="s">
        <v>1077</v>
      </c>
    </row>
    <row r="1459" ht="37.5" customHeight="1" spans="1:25">
      <c r="A1459" s="192">
        <f t="shared" si="33"/>
        <v>1451</v>
      </c>
      <c r="B1459" s="208">
        <v>2023</v>
      </c>
      <c r="C1459" s="193" t="s">
        <v>37</v>
      </c>
      <c r="D1459" s="277" t="s">
        <v>5226</v>
      </c>
      <c r="E1459" s="195" t="s">
        <v>5227</v>
      </c>
      <c r="F1459" s="196" t="s">
        <v>2073</v>
      </c>
      <c r="G1459" s="197" t="s">
        <v>1103</v>
      </c>
      <c r="H1459" s="198">
        <v>0.8</v>
      </c>
      <c r="I1459" s="199">
        <v>42000</v>
      </c>
      <c r="J1459" s="200" t="s">
        <v>2167</v>
      </c>
      <c r="K1459" s="200" t="s">
        <v>3978</v>
      </c>
      <c r="L1459" s="201">
        <v>0.4</v>
      </c>
      <c r="M1459" s="278" t="s">
        <v>5073</v>
      </c>
      <c r="N1459" s="205">
        <v>21000</v>
      </c>
      <c r="O1459" s="254">
        <v>21000</v>
      </c>
      <c r="P1459" s="254">
        <v>16800</v>
      </c>
      <c r="Q1459" s="254">
        <v>16800</v>
      </c>
      <c r="R1459" s="1262" t="s">
        <v>3000</v>
      </c>
      <c r="S1459" s="254">
        <v>8400</v>
      </c>
      <c r="T1459" s="204">
        <v>45128</v>
      </c>
      <c r="U1459" s="203"/>
      <c r="V1459" s="254"/>
      <c r="W1459" s="203"/>
      <c r="X1459" s="206"/>
      <c r="Y1459" s="203" t="s">
        <v>1077</v>
      </c>
    </row>
    <row r="1460" ht="37.5" customHeight="1" spans="1:25">
      <c r="A1460" s="192">
        <f t="shared" si="33"/>
        <v>1452</v>
      </c>
      <c r="B1460" s="208">
        <v>2023</v>
      </c>
      <c r="C1460" s="193" t="s">
        <v>37</v>
      </c>
      <c r="D1460" s="277" t="s">
        <v>5149</v>
      </c>
      <c r="E1460" s="195" t="s">
        <v>5228</v>
      </c>
      <c r="F1460" s="196" t="s">
        <v>2073</v>
      </c>
      <c r="G1460" s="197" t="s">
        <v>3239</v>
      </c>
      <c r="H1460" s="198">
        <v>0.8</v>
      </c>
      <c r="I1460" s="199">
        <v>19407.44</v>
      </c>
      <c r="J1460" s="200" t="s">
        <v>2326</v>
      </c>
      <c r="K1460" s="200" t="s">
        <v>4965</v>
      </c>
      <c r="L1460" s="201">
        <v>0.4</v>
      </c>
      <c r="M1460" s="278" t="s">
        <v>5000</v>
      </c>
      <c r="N1460" s="205">
        <v>2234.11</v>
      </c>
      <c r="O1460" s="254">
        <v>2234.11</v>
      </c>
      <c r="P1460" s="254">
        <v>1787.29</v>
      </c>
      <c r="Q1460" s="254">
        <v>1787.29</v>
      </c>
      <c r="R1460" s="1262" t="s">
        <v>3000</v>
      </c>
      <c r="S1460" s="254">
        <v>893.64</v>
      </c>
      <c r="T1460" s="204">
        <v>45128</v>
      </c>
      <c r="U1460" s="203"/>
      <c r="V1460" s="254"/>
      <c r="W1460" s="203"/>
      <c r="X1460" s="206"/>
      <c r="Y1460" s="203" t="s">
        <v>1077</v>
      </c>
    </row>
    <row r="1461" s="80" customFormat="1" ht="37.5" customHeight="1" spans="1:25">
      <c r="A1461" s="138">
        <f t="shared" si="33"/>
        <v>1453</v>
      </c>
      <c r="B1461" s="139">
        <v>2023</v>
      </c>
      <c r="C1461" s="189" t="s">
        <v>37</v>
      </c>
      <c r="D1461" s="279" t="s">
        <v>5229</v>
      </c>
      <c r="E1461" s="190" t="s">
        <v>5230</v>
      </c>
      <c r="F1461" s="142" t="s">
        <v>3192</v>
      </c>
      <c r="G1461" s="143" t="s">
        <v>5231</v>
      </c>
      <c r="H1461" s="144">
        <v>0.8</v>
      </c>
      <c r="I1461" s="145">
        <v>90000</v>
      </c>
      <c r="J1461" s="185" t="s">
        <v>2178</v>
      </c>
      <c r="K1461" s="185" t="s">
        <v>5178</v>
      </c>
      <c r="L1461" s="147">
        <v>0.4</v>
      </c>
      <c r="M1461" s="280" t="s">
        <v>4740</v>
      </c>
      <c r="N1461" s="186">
        <v>60000</v>
      </c>
      <c r="O1461" s="276">
        <v>60000</v>
      </c>
      <c r="P1461" s="276">
        <v>48000</v>
      </c>
      <c r="Q1461" s="276">
        <v>48000</v>
      </c>
      <c r="R1461" s="1260" t="s">
        <v>2820</v>
      </c>
      <c r="S1461" s="276">
        <v>24000</v>
      </c>
      <c r="T1461" s="150">
        <v>45147</v>
      </c>
      <c r="U1461" s="1260" t="s">
        <v>2798</v>
      </c>
      <c r="V1461" s="276">
        <v>12000</v>
      </c>
      <c r="W1461" s="184" t="s">
        <v>3981</v>
      </c>
      <c r="X1461" s="153">
        <v>12000</v>
      </c>
      <c r="Y1461" s="138"/>
    </row>
    <row r="1462" s="80" customFormat="1" ht="37.5" customHeight="1" spans="1:25">
      <c r="A1462" s="138">
        <f t="shared" si="33"/>
        <v>1454</v>
      </c>
      <c r="B1462" s="139">
        <v>2023</v>
      </c>
      <c r="C1462" s="189" t="s">
        <v>37</v>
      </c>
      <c r="D1462" s="279" t="s">
        <v>5232</v>
      </c>
      <c r="E1462" s="190" t="s">
        <v>5233</v>
      </c>
      <c r="F1462" s="142" t="s">
        <v>3192</v>
      </c>
      <c r="G1462" s="143" t="s">
        <v>5231</v>
      </c>
      <c r="H1462" s="144">
        <v>0.8</v>
      </c>
      <c r="I1462" s="145">
        <v>10000</v>
      </c>
      <c r="J1462" s="185" t="s">
        <v>2001</v>
      </c>
      <c r="K1462" s="185" t="s">
        <v>5234</v>
      </c>
      <c r="L1462" s="147">
        <v>0.4</v>
      </c>
      <c r="M1462" s="280" t="s">
        <v>4740</v>
      </c>
      <c r="N1462" s="186">
        <v>6666.64</v>
      </c>
      <c r="O1462" s="276">
        <v>6666.64</v>
      </c>
      <c r="P1462" s="276">
        <v>5333.31</v>
      </c>
      <c r="Q1462" s="276">
        <v>5333.31</v>
      </c>
      <c r="R1462" s="1260" t="s">
        <v>2820</v>
      </c>
      <c r="S1462" s="276">
        <v>2666.66</v>
      </c>
      <c r="T1462" s="150">
        <v>45147</v>
      </c>
      <c r="U1462" s="1260" t="s">
        <v>2798</v>
      </c>
      <c r="V1462" s="276">
        <v>1333.328</v>
      </c>
      <c r="W1462" s="184" t="s">
        <v>3981</v>
      </c>
      <c r="X1462" s="153">
        <v>1333.328</v>
      </c>
      <c r="Y1462" s="138"/>
    </row>
    <row r="1463" s="80" customFormat="1" ht="37.5" customHeight="1" spans="1:25">
      <c r="A1463" s="138">
        <f t="shared" si="33"/>
        <v>1455</v>
      </c>
      <c r="B1463" s="139">
        <v>2023</v>
      </c>
      <c r="C1463" s="189" t="s">
        <v>37</v>
      </c>
      <c r="D1463" s="279" t="s">
        <v>5235</v>
      </c>
      <c r="E1463" s="190" t="s">
        <v>5236</v>
      </c>
      <c r="F1463" s="142" t="s">
        <v>3192</v>
      </c>
      <c r="G1463" s="143" t="s">
        <v>5231</v>
      </c>
      <c r="H1463" s="144">
        <v>0.8</v>
      </c>
      <c r="I1463" s="145">
        <v>60000</v>
      </c>
      <c r="J1463" s="185" t="s">
        <v>1988</v>
      </c>
      <c r="K1463" s="185" t="s">
        <v>3194</v>
      </c>
      <c r="L1463" s="147">
        <v>0.4</v>
      </c>
      <c r="M1463" s="280" t="s">
        <v>4740</v>
      </c>
      <c r="N1463" s="186">
        <v>40000</v>
      </c>
      <c r="O1463" s="276">
        <v>40000</v>
      </c>
      <c r="P1463" s="276">
        <v>32000</v>
      </c>
      <c r="Q1463" s="276">
        <v>32000</v>
      </c>
      <c r="R1463" s="1260" t="s">
        <v>2820</v>
      </c>
      <c r="S1463" s="276">
        <v>16000</v>
      </c>
      <c r="T1463" s="150">
        <v>45147</v>
      </c>
      <c r="U1463" s="1260" t="s">
        <v>2798</v>
      </c>
      <c r="V1463" s="276">
        <v>8000</v>
      </c>
      <c r="W1463" s="184" t="s">
        <v>3981</v>
      </c>
      <c r="X1463" s="153">
        <v>8000</v>
      </c>
      <c r="Y1463" s="138"/>
    </row>
    <row r="1464" s="80" customFormat="1" ht="37.5" customHeight="1" spans="1:25">
      <c r="A1464" s="138">
        <f t="shared" si="33"/>
        <v>1456</v>
      </c>
      <c r="B1464" s="139">
        <v>2023</v>
      </c>
      <c r="C1464" s="189" t="s">
        <v>37</v>
      </c>
      <c r="D1464" s="279" t="s">
        <v>5237</v>
      </c>
      <c r="E1464" s="190" t="s">
        <v>5238</v>
      </c>
      <c r="F1464" s="142" t="s">
        <v>3192</v>
      </c>
      <c r="G1464" s="143" t="s">
        <v>5231</v>
      </c>
      <c r="H1464" s="144">
        <v>0.8</v>
      </c>
      <c r="I1464" s="145">
        <v>100000</v>
      </c>
      <c r="J1464" s="185" t="s">
        <v>2533</v>
      </c>
      <c r="K1464" s="185" t="s">
        <v>5239</v>
      </c>
      <c r="L1464" s="147">
        <v>0.4</v>
      </c>
      <c r="M1464" s="280" t="s">
        <v>4740</v>
      </c>
      <c r="N1464" s="186">
        <v>79166.65</v>
      </c>
      <c r="O1464" s="276">
        <v>79166.65</v>
      </c>
      <c r="P1464" s="276">
        <v>63333.32</v>
      </c>
      <c r="Q1464" s="276">
        <v>63333.32</v>
      </c>
      <c r="R1464" s="1260" t="s">
        <v>2820</v>
      </c>
      <c r="S1464" s="276">
        <v>31666.66</v>
      </c>
      <c r="T1464" s="150">
        <v>45147</v>
      </c>
      <c r="U1464" s="1260" t="s">
        <v>2798</v>
      </c>
      <c r="V1464" s="276">
        <v>15833.33</v>
      </c>
      <c r="W1464" s="184" t="s">
        <v>3981</v>
      </c>
      <c r="X1464" s="153">
        <v>15833.33</v>
      </c>
      <c r="Y1464" s="138"/>
    </row>
    <row r="1465" s="80" customFormat="1" ht="37.5" customHeight="1" spans="1:25">
      <c r="A1465" s="138">
        <f t="shared" si="33"/>
        <v>1457</v>
      </c>
      <c r="B1465" s="139">
        <v>2023</v>
      </c>
      <c r="C1465" s="189" t="s">
        <v>37</v>
      </c>
      <c r="D1465" s="279" t="s">
        <v>5240</v>
      </c>
      <c r="E1465" s="190" t="s">
        <v>5241</v>
      </c>
      <c r="F1465" s="142" t="s">
        <v>3192</v>
      </c>
      <c r="G1465" s="143" t="s">
        <v>5231</v>
      </c>
      <c r="H1465" s="144">
        <v>0.8</v>
      </c>
      <c r="I1465" s="145">
        <v>1000000</v>
      </c>
      <c r="J1465" s="185" t="s">
        <v>2634</v>
      </c>
      <c r="K1465" s="185" t="s">
        <v>5242</v>
      </c>
      <c r="L1465" s="147">
        <v>0.4</v>
      </c>
      <c r="M1465" s="280" t="s">
        <v>4740</v>
      </c>
      <c r="N1465" s="186">
        <v>857142.85</v>
      </c>
      <c r="O1465" s="276">
        <v>857142.85</v>
      </c>
      <c r="P1465" s="276">
        <v>685714.28</v>
      </c>
      <c r="Q1465" s="276">
        <v>685714.28</v>
      </c>
      <c r="R1465" s="1260" t="s">
        <v>2820</v>
      </c>
      <c r="S1465" s="276">
        <v>342857.14</v>
      </c>
      <c r="T1465" s="150">
        <v>45147</v>
      </c>
      <c r="U1465" s="1260" t="s">
        <v>2798</v>
      </c>
      <c r="V1465" s="276">
        <v>171428.57</v>
      </c>
      <c r="W1465" s="184" t="s">
        <v>3981</v>
      </c>
      <c r="X1465" s="153">
        <v>171428.57</v>
      </c>
      <c r="Y1465" s="138"/>
    </row>
    <row r="1466" s="80" customFormat="1" ht="37.5" customHeight="1" spans="1:25">
      <c r="A1466" s="138">
        <f t="shared" si="33"/>
        <v>1458</v>
      </c>
      <c r="B1466" s="139">
        <v>2023</v>
      </c>
      <c r="C1466" s="189" t="s">
        <v>37</v>
      </c>
      <c r="D1466" s="279" t="s">
        <v>5243</v>
      </c>
      <c r="E1466" s="190" t="s">
        <v>5244</v>
      </c>
      <c r="F1466" s="142" t="s">
        <v>3192</v>
      </c>
      <c r="G1466" s="143" t="s">
        <v>5231</v>
      </c>
      <c r="H1466" s="144">
        <v>0.8</v>
      </c>
      <c r="I1466" s="145">
        <v>40000</v>
      </c>
      <c r="J1466" s="185" t="s">
        <v>2046</v>
      </c>
      <c r="K1466" s="185" t="s">
        <v>5245</v>
      </c>
      <c r="L1466" s="147">
        <v>0.4</v>
      </c>
      <c r="M1466" s="280" t="s">
        <v>4740</v>
      </c>
      <c r="N1466" s="186">
        <v>31666.65</v>
      </c>
      <c r="O1466" s="276">
        <v>31666.65</v>
      </c>
      <c r="P1466" s="276">
        <v>25333.32</v>
      </c>
      <c r="Q1466" s="276">
        <v>25333.32</v>
      </c>
      <c r="R1466" s="1260" t="s">
        <v>2820</v>
      </c>
      <c r="S1466" s="276">
        <v>12666.66</v>
      </c>
      <c r="T1466" s="150">
        <v>45147</v>
      </c>
      <c r="U1466" s="1260" t="s">
        <v>2798</v>
      </c>
      <c r="V1466" s="276">
        <v>6333.33</v>
      </c>
      <c r="W1466" s="184" t="s">
        <v>3981</v>
      </c>
      <c r="X1466" s="153">
        <v>6333.33</v>
      </c>
      <c r="Y1466" s="138"/>
    </row>
    <row r="1467" s="80" customFormat="1" ht="37.5" customHeight="1" spans="1:25">
      <c r="A1467" s="138">
        <f t="shared" si="33"/>
        <v>1459</v>
      </c>
      <c r="B1467" s="139">
        <v>2023</v>
      </c>
      <c r="C1467" s="189" t="s">
        <v>37</v>
      </c>
      <c r="D1467" s="279" t="s">
        <v>5229</v>
      </c>
      <c r="E1467" s="190" t="s">
        <v>5246</v>
      </c>
      <c r="F1467" s="142" t="s">
        <v>3192</v>
      </c>
      <c r="G1467" s="143" t="s">
        <v>5231</v>
      </c>
      <c r="H1467" s="144">
        <v>0.8</v>
      </c>
      <c r="I1467" s="145">
        <v>100000</v>
      </c>
      <c r="J1467" s="185" t="s">
        <v>5247</v>
      </c>
      <c r="K1467" s="185" t="s">
        <v>5248</v>
      </c>
      <c r="L1467" s="147">
        <v>0.4</v>
      </c>
      <c r="M1467" s="280" t="s">
        <v>4740</v>
      </c>
      <c r="N1467" s="186">
        <v>70833.31</v>
      </c>
      <c r="O1467" s="276">
        <v>70833.31</v>
      </c>
      <c r="P1467" s="276">
        <v>56666.65</v>
      </c>
      <c r="Q1467" s="276">
        <v>56666.65</v>
      </c>
      <c r="R1467" s="1260" t="s">
        <v>2820</v>
      </c>
      <c r="S1467" s="276">
        <v>28333.32</v>
      </c>
      <c r="T1467" s="150">
        <v>45147</v>
      </c>
      <c r="U1467" s="184"/>
      <c r="V1467" s="276"/>
      <c r="W1467" s="184"/>
      <c r="X1467" s="153"/>
      <c r="Y1467" s="184" t="s">
        <v>1077</v>
      </c>
    </row>
    <row r="1468" s="80" customFormat="1" ht="37.5" customHeight="1" spans="1:25">
      <c r="A1468" s="138">
        <f t="shared" si="33"/>
        <v>1460</v>
      </c>
      <c r="B1468" s="139">
        <v>2023</v>
      </c>
      <c r="C1468" s="189" t="s">
        <v>37</v>
      </c>
      <c r="D1468" s="279" t="s">
        <v>5232</v>
      </c>
      <c r="E1468" s="190" t="s">
        <v>5249</v>
      </c>
      <c r="F1468" s="142" t="s">
        <v>3192</v>
      </c>
      <c r="G1468" s="143" t="s">
        <v>5231</v>
      </c>
      <c r="H1468" s="144">
        <v>0.8</v>
      </c>
      <c r="I1468" s="145">
        <v>10000</v>
      </c>
      <c r="J1468" s="185" t="s">
        <v>2181</v>
      </c>
      <c r="K1468" s="185" t="s">
        <v>5250</v>
      </c>
      <c r="L1468" s="147">
        <v>0.4</v>
      </c>
      <c r="M1468" s="280" t="s">
        <v>4740</v>
      </c>
      <c r="N1468" s="186">
        <v>7083.31</v>
      </c>
      <c r="O1468" s="276">
        <v>7083.31</v>
      </c>
      <c r="P1468" s="276">
        <v>5666.65</v>
      </c>
      <c r="Q1468" s="276">
        <v>5666.65</v>
      </c>
      <c r="R1468" s="1260" t="s">
        <v>2820</v>
      </c>
      <c r="S1468" s="276">
        <v>2833.32</v>
      </c>
      <c r="T1468" s="150">
        <v>45147</v>
      </c>
      <c r="U1468" s="184"/>
      <c r="V1468" s="276"/>
      <c r="W1468" s="184"/>
      <c r="X1468" s="153"/>
      <c r="Y1468" s="184" t="s">
        <v>1077</v>
      </c>
    </row>
    <row r="1469" s="80" customFormat="1" ht="37.5" customHeight="1" spans="1:25">
      <c r="A1469" s="138">
        <f t="shared" si="33"/>
        <v>1461</v>
      </c>
      <c r="B1469" s="139">
        <v>2023</v>
      </c>
      <c r="C1469" s="189" t="s">
        <v>133</v>
      </c>
      <c r="D1469" s="279" t="s">
        <v>5251</v>
      </c>
      <c r="E1469" s="190" t="s">
        <v>5252</v>
      </c>
      <c r="F1469" s="142" t="s">
        <v>5253</v>
      </c>
      <c r="G1469" s="143" t="s">
        <v>1137</v>
      </c>
      <c r="H1469" s="144">
        <v>0.8</v>
      </c>
      <c r="I1469" s="145">
        <v>200000</v>
      </c>
      <c r="J1469" s="185" t="s">
        <v>1939</v>
      </c>
      <c r="K1469" s="185" t="s">
        <v>3994</v>
      </c>
      <c r="L1469" s="147">
        <v>0.4</v>
      </c>
      <c r="M1469" s="280" t="s">
        <v>5254</v>
      </c>
      <c r="N1469" s="186">
        <v>200000</v>
      </c>
      <c r="O1469" s="276">
        <v>200000</v>
      </c>
      <c r="P1469" s="276">
        <v>160000</v>
      </c>
      <c r="Q1469" s="276">
        <v>161148.84</v>
      </c>
      <c r="R1469" s="1260" t="s">
        <v>2820</v>
      </c>
      <c r="S1469" s="276">
        <v>80574.42</v>
      </c>
      <c r="T1469" s="150">
        <v>45147</v>
      </c>
      <c r="U1469" s="1260" t="s">
        <v>2798</v>
      </c>
      <c r="V1469" s="276">
        <v>40000</v>
      </c>
      <c r="W1469" s="184" t="s">
        <v>3981</v>
      </c>
      <c r="X1469" s="153">
        <v>40000</v>
      </c>
      <c r="Y1469" s="138"/>
    </row>
    <row r="1470" s="80" customFormat="1" ht="37.5" customHeight="1" spans="1:25">
      <c r="A1470" s="138">
        <f t="shared" si="33"/>
        <v>1462</v>
      </c>
      <c r="B1470" s="139">
        <v>2023</v>
      </c>
      <c r="C1470" s="189" t="s">
        <v>133</v>
      </c>
      <c r="D1470" s="279" t="s">
        <v>5255</v>
      </c>
      <c r="E1470" s="190" t="s">
        <v>5256</v>
      </c>
      <c r="F1470" s="142" t="s">
        <v>5257</v>
      </c>
      <c r="G1470" s="143" t="s">
        <v>1137</v>
      </c>
      <c r="H1470" s="144">
        <v>0.8</v>
      </c>
      <c r="I1470" s="145">
        <v>100000</v>
      </c>
      <c r="J1470" s="185" t="s">
        <v>1927</v>
      </c>
      <c r="K1470" s="185" t="s">
        <v>3292</v>
      </c>
      <c r="L1470" s="147">
        <v>0.4</v>
      </c>
      <c r="M1470" s="280" t="s">
        <v>3470</v>
      </c>
      <c r="N1470" s="186">
        <v>98279.84</v>
      </c>
      <c r="O1470" s="276">
        <v>98279.84</v>
      </c>
      <c r="P1470" s="276">
        <v>78625.87</v>
      </c>
      <c r="Q1470" s="276">
        <v>79655.6</v>
      </c>
      <c r="R1470" s="1260" t="s">
        <v>2820</v>
      </c>
      <c r="S1470" s="276">
        <v>39827.8</v>
      </c>
      <c r="T1470" s="150">
        <v>45147</v>
      </c>
      <c r="U1470" s="1260" t="s">
        <v>3517</v>
      </c>
      <c r="V1470" s="276">
        <v>19655.97</v>
      </c>
      <c r="W1470" s="184" t="s">
        <v>5258</v>
      </c>
      <c r="X1470" s="153">
        <v>19655.97</v>
      </c>
      <c r="Y1470" s="138"/>
    </row>
    <row r="1471" s="80" customFormat="1" ht="37.5" customHeight="1" spans="1:25">
      <c r="A1471" s="138">
        <f t="shared" si="33"/>
        <v>1463</v>
      </c>
      <c r="B1471" s="139">
        <v>2023</v>
      </c>
      <c r="C1471" s="189" t="s">
        <v>62</v>
      </c>
      <c r="D1471" s="279" t="s">
        <v>5259</v>
      </c>
      <c r="E1471" s="190" t="s">
        <v>5260</v>
      </c>
      <c r="F1471" s="142" t="s">
        <v>5261</v>
      </c>
      <c r="G1471" s="143" t="s">
        <v>1137</v>
      </c>
      <c r="H1471" s="144">
        <v>0.8</v>
      </c>
      <c r="I1471" s="145">
        <v>50000</v>
      </c>
      <c r="J1471" s="185" t="s">
        <v>2659</v>
      </c>
      <c r="K1471" s="185" t="s">
        <v>3726</v>
      </c>
      <c r="L1471" s="147">
        <v>0.4</v>
      </c>
      <c r="M1471" s="280" t="s">
        <v>2216</v>
      </c>
      <c r="N1471" s="276">
        <v>49999.99</v>
      </c>
      <c r="O1471" s="276">
        <v>49999.99</v>
      </c>
      <c r="P1471" s="276">
        <v>39999.99</v>
      </c>
      <c r="Q1471" s="276">
        <v>39999.99</v>
      </c>
      <c r="R1471" s="1260" t="s">
        <v>2820</v>
      </c>
      <c r="S1471" s="276">
        <v>20000</v>
      </c>
      <c r="T1471" s="150">
        <v>45147</v>
      </c>
      <c r="U1471" s="184"/>
      <c r="V1471" s="276"/>
      <c r="W1471" s="184"/>
      <c r="X1471" s="153"/>
      <c r="Y1471" s="184" t="s">
        <v>1077</v>
      </c>
    </row>
    <row r="1472" s="80" customFormat="1" ht="37.5" customHeight="1" spans="1:25">
      <c r="A1472" s="138">
        <f t="shared" si="33"/>
        <v>1464</v>
      </c>
      <c r="B1472" s="139">
        <v>2023</v>
      </c>
      <c r="C1472" s="189" t="s">
        <v>62</v>
      </c>
      <c r="D1472" s="279" t="s">
        <v>5259</v>
      </c>
      <c r="E1472" s="190" t="s">
        <v>5262</v>
      </c>
      <c r="F1472" s="142" t="s">
        <v>5261</v>
      </c>
      <c r="G1472" s="143" t="s">
        <v>1137</v>
      </c>
      <c r="H1472" s="144">
        <v>0.8</v>
      </c>
      <c r="I1472" s="145">
        <v>50000</v>
      </c>
      <c r="J1472" s="185" t="s">
        <v>2659</v>
      </c>
      <c r="K1472" s="185" t="s">
        <v>3726</v>
      </c>
      <c r="L1472" s="147">
        <v>0.4</v>
      </c>
      <c r="M1472" s="280" t="s">
        <v>2216</v>
      </c>
      <c r="N1472" s="276">
        <v>50000</v>
      </c>
      <c r="O1472" s="276">
        <v>50000</v>
      </c>
      <c r="P1472" s="276">
        <v>40000</v>
      </c>
      <c r="Q1472" s="276">
        <v>40000</v>
      </c>
      <c r="R1472" s="1260" t="s">
        <v>2820</v>
      </c>
      <c r="S1472" s="276">
        <v>20000</v>
      </c>
      <c r="T1472" s="150">
        <v>45147</v>
      </c>
      <c r="U1472" s="184"/>
      <c r="V1472" s="276"/>
      <c r="W1472" s="184"/>
      <c r="X1472" s="153"/>
      <c r="Y1472" s="184" t="s">
        <v>1077</v>
      </c>
    </row>
    <row r="1473" ht="37.5" customHeight="1" spans="1:25">
      <c r="A1473" s="192">
        <f t="shared" si="33"/>
        <v>1465</v>
      </c>
      <c r="B1473" s="208">
        <v>2023</v>
      </c>
      <c r="C1473" s="193" t="s">
        <v>37</v>
      </c>
      <c r="D1473" s="277" t="s">
        <v>5263</v>
      </c>
      <c r="E1473" s="195" t="s">
        <v>5264</v>
      </c>
      <c r="F1473" s="196" t="s">
        <v>2073</v>
      </c>
      <c r="G1473" s="197" t="s">
        <v>3239</v>
      </c>
      <c r="H1473" s="198">
        <v>0.8</v>
      </c>
      <c r="I1473" s="199">
        <v>800000</v>
      </c>
      <c r="J1473" s="200" t="s">
        <v>2794</v>
      </c>
      <c r="K1473" s="200" t="s">
        <v>4085</v>
      </c>
      <c r="L1473" s="201">
        <v>0.4</v>
      </c>
      <c r="M1473" s="278" t="s">
        <v>5189</v>
      </c>
      <c r="N1473" s="205">
        <v>408333.49</v>
      </c>
      <c r="O1473" s="254">
        <v>408333.49</v>
      </c>
      <c r="P1473" s="254">
        <v>326666.82</v>
      </c>
      <c r="Q1473" s="254">
        <v>326666.82</v>
      </c>
      <c r="R1473" s="1262" t="s">
        <v>5265</v>
      </c>
      <c r="S1473" s="254">
        <v>163333.4</v>
      </c>
      <c r="T1473" s="204">
        <v>45162</v>
      </c>
      <c r="U1473" s="1262" t="s">
        <v>3097</v>
      </c>
      <c r="V1473" s="254">
        <v>81666.7</v>
      </c>
      <c r="W1473" s="203" t="s">
        <v>4457</v>
      </c>
      <c r="X1473" s="206">
        <v>81666.7</v>
      </c>
      <c r="Y1473" s="192"/>
    </row>
    <row r="1474" ht="37.5" customHeight="1" spans="1:25">
      <c r="A1474" s="192">
        <f t="shared" si="33"/>
        <v>1466</v>
      </c>
      <c r="B1474" s="208">
        <v>2023</v>
      </c>
      <c r="C1474" s="193" t="s">
        <v>37</v>
      </c>
      <c r="D1474" s="277" t="s">
        <v>5266</v>
      </c>
      <c r="E1474" s="195" t="s">
        <v>5267</v>
      </c>
      <c r="F1474" s="196" t="s">
        <v>2073</v>
      </c>
      <c r="G1474" s="197" t="s">
        <v>3239</v>
      </c>
      <c r="H1474" s="198">
        <v>0.8</v>
      </c>
      <c r="I1474" s="199">
        <v>183840</v>
      </c>
      <c r="J1474" s="200" t="s">
        <v>2220</v>
      </c>
      <c r="K1474" s="200" t="s">
        <v>2221</v>
      </c>
      <c r="L1474" s="201">
        <v>0.4</v>
      </c>
      <c r="M1474" s="278" t="s">
        <v>4990</v>
      </c>
      <c r="N1474" s="205">
        <v>833.37</v>
      </c>
      <c r="O1474" s="254">
        <v>833.37</v>
      </c>
      <c r="P1474" s="254">
        <v>666.7</v>
      </c>
      <c r="Q1474" s="254">
        <v>666.7</v>
      </c>
      <c r="R1474" s="1262" t="s">
        <v>5265</v>
      </c>
      <c r="S1474" s="254">
        <v>333.35</v>
      </c>
      <c r="T1474" s="204">
        <v>45162</v>
      </c>
      <c r="U1474" s="1262" t="s">
        <v>3097</v>
      </c>
      <c r="V1474" s="254">
        <v>166.67</v>
      </c>
      <c r="W1474" s="203" t="s">
        <v>3981</v>
      </c>
      <c r="X1474" s="206">
        <v>166.67</v>
      </c>
      <c r="Y1474" s="192"/>
    </row>
    <row r="1475" ht="37.5" customHeight="1" spans="1:25">
      <c r="A1475" s="192">
        <f t="shared" si="33"/>
        <v>1467</v>
      </c>
      <c r="B1475" s="208">
        <v>2023</v>
      </c>
      <c r="C1475" s="193" t="s">
        <v>37</v>
      </c>
      <c r="D1475" s="277" t="s">
        <v>5268</v>
      </c>
      <c r="E1475" s="195" t="s">
        <v>5269</v>
      </c>
      <c r="F1475" s="196" t="s">
        <v>2073</v>
      </c>
      <c r="G1475" s="197" t="s">
        <v>3239</v>
      </c>
      <c r="H1475" s="198">
        <v>0.8</v>
      </c>
      <c r="I1475" s="199">
        <v>70180</v>
      </c>
      <c r="J1475" s="200" t="s">
        <v>1865</v>
      </c>
      <c r="K1475" s="200" t="s">
        <v>2550</v>
      </c>
      <c r="L1475" s="201">
        <v>0.4</v>
      </c>
      <c r="M1475" s="278" t="s">
        <v>5270</v>
      </c>
      <c r="N1475" s="205">
        <v>833.37</v>
      </c>
      <c r="O1475" s="254">
        <v>833.37</v>
      </c>
      <c r="P1475" s="254">
        <v>666.7</v>
      </c>
      <c r="Q1475" s="254">
        <v>666.7</v>
      </c>
      <c r="R1475" s="1262" t="s">
        <v>5265</v>
      </c>
      <c r="S1475" s="254">
        <v>333.35</v>
      </c>
      <c r="T1475" s="204">
        <v>45162</v>
      </c>
      <c r="U1475" s="1262" t="s">
        <v>3097</v>
      </c>
      <c r="V1475" s="254">
        <v>166.67</v>
      </c>
      <c r="W1475" s="203" t="s">
        <v>3981</v>
      </c>
      <c r="X1475" s="206">
        <v>166.67</v>
      </c>
      <c r="Y1475" s="192"/>
    </row>
    <row r="1476" ht="37.5" customHeight="1" spans="1:25">
      <c r="A1476" s="192">
        <f t="shared" si="33"/>
        <v>1468</v>
      </c>
      <c r="B1476" s="208">
        <v>2023</v>
      </c>
      <c r="C1476" s="193" t="s">
        <v>37</v>
      </c>
      <c r="D1476" s="277" t="s">
        <v>5271</v>
      </c>
      <c r="E1476" s="195" t="s">
        <v>5272</v>
      </c>
      <c r="F1476" s="196" t="s">
        <v>2073</v>
      </c>
      <c r="G1476" s="197" t="s">
        <v>3239</v>
      </c>
      <c r="H1476" s="198">
        <v>0.8</v>
      </c>
      <c r="I1476" s="199">
        <v>32690</v>
      </c>
      <c r="J1476" s="200" t="s">
        <v>2936</v>
      </c>
      <c r="K1476" s="200" t="s">
        <v>2937</v>
      </c>
      <c r="L1476" s="201">
        <v>0.4</v>
      </c>
      <c r="M1476" s="278" t="s">
        <v>5273</v>
      </c>
      <c r="N1476" s="205">
        <v>521.29</v>
      </c>
      <c r="O1476" s="254">
        <v>521.29</v>
      </c>
      <c r="P1476" s="254">
        <v>417.03</v>
      </c>
      <c r="Q1476" s="254">
        <v>417.03</v>
      </c>
      <c r="R1476" s="1262" t="s">
        <v>5265</v>
      </c>
      <c r="S1476" s="254">
        <v>208.52</v>
      </c>
      <c r="T1476" s="204">
        <v>45162</v>
      </c>
      <c r="U1476" s="1262" t="s">
        <v>3097</v>
      </c>
      <c r="V1476" s="254">
        <v>104.26</v>
      </c>
      <c r="W1476" s="203" t="s">
        <v>3981</v>
      </c>
      <c r="X1476" s="206">
        <v>104.26</v>
      </c>
      <c r="Y1476" s="192"/>
    </row>
    <row r="1477" ht="37.5" customHeight="1" spans="1:25">
      <c r="A1477" s="192">
        <f t="shared" si="33"/>
        <v>1469</v>
      </c>
      <c r="B1477" s="208">
        <v>2023</v>
      </c>
      <c r="C1477" s="193" t="s">
        <v>37</v>
      </c>
      <c r="D1477" s="277" t="s">
        <v>5274</v>
      </c>
      <c r="E1477" s="195" t="s">
        <v>5275</v>
      </c>
      <c r="F1477" s="196" t="s">
        <v>2073</v>
      </c>
      <c r="G1477" s="197" t="s">
        <v>1137</v>
      </c>
      <c r="H1477" s="198">
        <v>0.8</v>
      </c>
      <c r="I1477" s="199">
        <v>75000</v>
      </c>
      <c r="J1477" s="200" t="s">
        <v>2704</v>
      </c>
      <c r="K1477" s="200" t="s">
        <v>2705</v>
      </c>
      <c r="L1477" s="201">
        <v>0.4</v>
      </c>
      <c r="M1477" s="278" t="s">
        <v>5276</v>
      </c>
      <c r="N1477" s="205">
        <v>83.37</v>
      </c>
      <c r="O1477" s="254">
        <v>83.37</v>
      </c>
      <c r="P1477" s="254">
        <v>66.7</v>
      </c>
      <c r="Q1477" s="254">
        <v>66.7</v>
      </c>
      <c r="R1477" s="1262" t="s">
        <v>5265</v>
      </c>
      <c r="S1477" s="254">
        <v>33.35</v>
      </c>
      <c r="T1477" s="204">
        <v>45162</v>
      </c>
      <c r="U1477" s="1262" t="s">
        <v>3097</v>
      </c>
      <c r="V1477" s="254">
        <v>16.67</v>
      </c>
      <c r="W1477" s="203" t="s">
        <v>3981</v>
      </c>
      <c r="X1477" s="206">
        <v>16.67</v>
      </c>
      <c r="Y1477" s="192"/>
    </row>
    <row r="1478" ht="37.5" customHeight="1" spans="1:25">
      <c r="A1478" s="192">
        <f t="shared" si="33"/>
        <v>1470</v>
      </c>
      <c r="B1478" s="208">
        <v>2023</v>
      </c>
      <c r="C1478" s="193" t="s">
        <v>37</v>
      </c>
      <c r="D1478" s="277" t="s">
        <v>5277</v>
      </c>
      <c r="E1478" s="195" t="s">
        <v>5278</v>
      </c>
      <c r="F1478" s="196" t="s">
        <v>2073</v>
      </c>
      <c r="G1478" s="197" t="s">
        <v>3239</v>
      </c>
      <c r="H1478" s="198">
        <v>0.8</v>
      </c>
      <c r="I1478" s="199">
        <v>70090</v>
      </c>
      <c r="J1478" s="200" t="s">
        <v>1873</v>
      </c>
      <c r="K1478" s="200" t="s">
        <v>4042</v>
      </c>
      <c r="L1478" s="201">
        <v>0.4</v>
      </c>
      <c r="M1478" s="278" t="s">
        <v>5273</v>
      </c>
      <c r="N1478" s="205">
        <v>4387.31</v>
      </c>
      <c r="O1478" s="254">
        <v>4387.31</v>
      </c>
      <c r="P1478" s="254">
        <v>3509.85</v>
      </c>
      <c r="Q1478" s="254">
        <v>3509.85</v>
      </c>
      <c r="R1478" s="1262" t="s">
        <v>5265</v>
      </c>
      <c r="S1478" s="254">
        <v>1754.92</v>
      </c>
      <c r="T1478" s="204">
        <v>45162</v>
      </c>
      <c r="U1478" s="1262" t="s">
        <v>3097</v>
      </c>
      <c r="V1478" s="254">
        <v>877.46</v>
      </c>
      <c r="W1478" s="203" t="s">
        <v>3981</v>
      </c>
      <c r="X1478" s="206">
        <v>877.46</v>
      </c>
      <c r="Y1478" s="192"/>
    </row>
    <row r="1479" ht="37.5" customHeight="1" spans="1:25">
      <c r="A1479" s="192">
        <f t="shared" si="33"/>
        <v>1471</v>
      </c>
      <c r="B1479" s="208">
        <v>2023</v>
      </c>
      <c r="C1479" s="193" t="s">
        <v>37</v>
      </c>
      <c r="D1479" s="277" t="s">
        <v>5279</v>
      </c>
      <c r="E1479" s="195" t="s">
        <v>5280</v>
      </c>
      <c r="F1479" s="196" t="s">
        <v>2073</v>
      </c>
      <c r="G1479" s="197" t="s">
        <v>3239</v>
      </c>
      <c r="H1479" s="198">
        <v>0.8</v>
      </c>
      <c r="I1479" s="199">
        <v>471000</v>
      </c>
      <c r="J1479" s="200" t="s">
        <v>3056</v>
      </c>
      <c r="K1479" s="200" t="s">
        <v>3057</v>
      </c>
      <c r="L1479" s="201">
        <v>0.4</v>
      </c>
      <c r="M1479" s="278" t="s">
        <v>5281</v>
      </c>
      <c r="N1479" s="205">
        <v>2916.74</v>
      </c>
      <c r="O1479" s="254">
        <v>2916.74</v>
      </c>
      <c r="P1479" s="254">
        <v>2333.39</v>
      </c>
      <c r="Q1479" s="254">
        <v>2333.39</v>
      </c>
      <c r="R1479" s="1262" t="s">
        <v>5265</v>
      </c>
      <c r="S1479" s="254">
        <v>1166.7</v>
      </c>
      <c r="T1479" s="204">
        <v>45162</v>
      </c>
      <c r="U1479" s="1262" t="s">
        <v>3097</v>
      </c>
      <c r="V1479" s="254">
        <v>583.35</v>
      </c>
      <c r="W1479" s="203" t="s">
        <v>3981</v>
      </c>
      <c r="X1479" s="206">
        <v>583.35</v>
      </c>
      <c r="Y1479" s="192"/>
    </row>
    <row r="1480" ht="37.5" customHeight="1" spans="1:25">
      <c r="A1480" s="192">
        <f t="shared" si="33"/>
        <v>1472</v>
      </c>
      <c r="B1480" s="208">
        <v>2023</v>
      </c>
      <c r="C1480" s="193" t="s">
        <v>37</v>
      </c>
      <c r="D1480" s="277" t="s">
        <v>5282</v>
      </c>
      <c r="E1480" s="195" t="s">
        <v>5283</v>
      </c>
      <c r="F1480" s="196" t="s">
        <v>2073</v>
      </c>
      <c r="G1480" s="197" t="s">
        <v>3239</v>
      </c>
      <c r="H1480" s="198">
        <v>0.8</v>
      </c>
      <c r="I1480" s="199">
        <v>26000</v>
      </c>
      <c r="J1480" s="200" t="s">
        <v>5020</v>
      </c>
      <c r="K1480" s="200" t="s">
        <v>4987</v>
      </c>
      <c r="L1480" s="201">
        <v>0.4</v>
      </c>
      <c r="M1480" s="278" t="s">
        <v>5153</v>
      </c>
      <c r="N1480" s="205">
        <v>833.37</v>
      </c>
      <c r="O1480" s="254">
        <v>833.37</v>
      </c>
      <c r="P1480" s="254">
        <v>666.7</v>
      </c>
      <c r="Q1480" s="254">
        <v>666.7</v>
      </c>
      <c r="R1480" s="1262" t="s">
        <v>5265</v>
      </c>
      <c r="S1480" s="254">
        <v>333.35</v>
      </c>
      <c r="T1480" s="204">
        <v>45162</v>
      </c>
      <c r="U1480" s="1262" t="s">
        <v>3097</v>
      </c>
      <c r="V1480" s="254">
        <v>166.67</v>
      </c>
      <c r="W1480" s="203" t="s">
        <v>3981</v>
      </c>
      <c r="X1480" s="206">
        <v>166.67</v>
      </c>
      <c r="Y1480" s="192"/>
    </row>
    <row r="1481" ht="37.5" customHeight="1" spans="1:25">
      <c r="A1481" s="192">
        <f t="shared" si="33"/>
        <v>1473</v>
      </c>
      <c r="B1481" s="208">
        <v>2023</v>
      </c>
      <c r="C1481" s="193" t="s">
        <v>37</v>
      </c>
      <c r="D1481" s="277" t="s">
        <v>5284</v>
      </c>
      <c r="E1481" s="195" t="s">
        <v>5285</v>
      </c>
      <c r="F1481" s="196" t="s">
        <v>2073</v>
      </c>
      <c r="G1481" s="197" t="s">
        <v>3239</v>
      </c>
      <c r="H1481" s="198">
        <v>0.8</v>
      </c>
      <c r="I1481" s="199">
        <v>200000</v>
      </c>
      <c r="J1481" s="200" t="s">
        <v>5020</v>
      </c>
      <c r="K1481" s="200" t="s">
        <v>4987</v>
      </c>
      <c r="L1481" s="201">
        <v>0.4</v>
      </c>
      <c r="M1481" s="278" t="s">
        <v>5025</v>
      </c>
      <c r="N1481" s="205">
        <v>75000</v>
      </c>
      <c r="O1481" s="254">
        <v>75000</v>
      </c>
      <c r="P1481" s="254">
        <v>60000</v>
      </c>
      <c r="Q1481" s="254">
        <v>60000</v>
      </c>
      <c r="R1481" s="1262" t="s">
        <v>5265</v>
      </c>
      <c r="S1481" s="254">
        <v>30000</v>
      </c>
      <c r="T1481" s="204">
        <v>45162</v>
      </c>
      <c r="U1481" s="1262" t="s">
        <v>3097</v>
      </c>
      <c r="V1481" s="254">
        <v>15000</v>
      </c>
      <c r="W1481" s="203" t="s">
        <v>3981</v>
      </c>
      <c r="X1481" s="206">
        <v>15000</v>
      </c>
      <c r="Y1481" s="192"/>
    </row>
    <row r="1482" ht="37.5" customHeight="1" spans="1:25">
      <c r="A1482" s="192">
        <f t="shared" si="33"/>
        <v>1474</v>
      </c>
      <c r="B1482" s="208">
        <v>2023</v>
      </c>
      <c r="C1482" s="193" t="s">
        <v>37</v>
      </c>
      <c r="D1482" s="277" t="s">
        <v>5268</v>
      </c>
      <c r="E1482" s="195" t="s">
        <v>5286</v>
      </c>
      <c r="F1482" s="196" t="s">
        <v>2073</v>
      </c>
      <c r="G1482" s="197" t="s">
        <v>1137</v>
      </c>
      <c r="H1482" s="198">
        <v>0.8</v>
      </c>
      <c r="I1482" s="199">
        <v>132220</v>
      </c>
      <c r="J1482" s="200" t="s">
        <v>4271</v>
      </c>
      <c r="K1482" s="200" t="s">
        <v>4193</v>
      </c>
      <c r="L1482" s="201">
        <v>0.4</v>
      </c>
      <c r="M1482" s="278" t="s">
        <v>5270</v>
      </c>
      <c r="N1482" s="205">
        <v>1666.74</v>
      </c>
      <c r="O1482" s="254">
        <v>1666.74</v>
      </c>
      <c r="P1482" s="254">
        <v>1333.4</v>
      </c>
      <c r="Q1482" s="254">
        <v>1333.4</v>
      </c>
      <c r="R1482" s="1262" t="s">
        <v>5265</v>
      </c>
      <c r="S1482" s="254">
        <v>666.7</v>
      </c>
      <c r="T1482" s="204">
        <v>45162</v>
      </c>
      <c r="U1482" s="1262" t="s">
        <v>3097</v>
      </c>
      <c r="V1482" s="254">
        <v>333.35</v>
      </c>
      <c r="W1482" s="203" t="s">
        <v>3981</v>
      </c>
      <c r="X1482" s="206">
        <v>333.35</v>
      </c>
      <c r="Y1482" s="192"/>
    </row>
    <row r="1483" ht="37.5" customHeight="1" spans="1:25">
      <c r="A1483" s="192">
        <f t="shared" si="33"/>
        <v>1475</v>
      </c>
      <c r="B1483" s="208">
        <v>2023</v>
      </c>
      <c r="C1483" s="193" t="s">
        <v>37</v>
      </c>
      <c r="D1483" s="277" t="s">
        <v>5287</v>
      </c>
      <c r="E1483" s="195" t="s">
        <v>5288</v>
      </c>
      <c r="F1483" s="196" t="s">
        <v>2073</v>
      </c>
      <c r="G1483" s="197" t="s">
        <v>3239</v>
      </c>
      <c r="H1483" s="198">
        <v>0.8</v>
      </c>
      <c r="I1483" s="199">
        <v>26050</v>
      </c>
      <c r="J1483" s="200" t="s">
        <v>4679</v>
      </c>
      <c r="K1483" s="200" t="s">
        <v>4680</v>
      </c>
      <c r="L1483" s="201">
        <v>0.4</v>
      </c>
      <c r="M1483" s="278" t="s">
        <v>5289</v>
      </c>
      <c r="N1483" s="205">
        <v>26050</v>
      </c>
      <c r="O1483" s="254">
        <v>26050</v>
      </c>
      <c r="P1483" s="254">
        <v>20840</v>
      </c>
      <c r="Q1483" s="254">
        <v>20840</v>
      </c>
      <c r="R1483" s="1262" t="s">
        <v>5265</v>
      </c>
      <c r="S1483" s="254">
        <v>10420</v>
      </c>
      <c r="T1483" s="204">
        <v>45162</v>
      </c>
      <c r="U1483" s="1262" t="s">
        <v>3097</v>
      </c>
      <c r="V1483" s="254">
        <v>5210</v>
      </c>
      <c r="W1483" s="203" t="s">
        <v>3981</v>
      </c>
      <c r="X1483" s="206">
        <v>5210</v>
      </c>
      <c r="Y1483" s="192"/>
    </row>
    <row r="1484" ht="37.5" customHeight="1" spans="1:25">
      <c r="A1484" s="192">
        <f t="shared" si="33"/>
        <v>1476</v>
      </c>
      <c r="B1484" s="208">
        <v>2023</v>
      </c>
      <c r="C1484" s="193" t="s">
        <v>37</v>
      </c>
      <c r="D1484" s="277" t="s">
        <v>5290</v>
      </c>
      <c r="E1484" s="195" t="s">
        <v>5291</v>
      </c>
      <c r="F1484" s="196" t="s">
        <v>2073</v>
      </c>
      <c r="G1484" s="197" t="s">
        <v>3239</v>
      </c>
      <c r="H1484" s="198">
        <v>0.8</v>
      </c>
      <c r="I1484" s="199">
        <v>46000</v>
      </c>
      <c r="J1484" s="200" t="s">
        <v>2020</v>
      </c>
      <c r="K1484" s="200" t="s">
        <v>2698</v>
      </c>
      <c r="L1484" s="201">
        <v>0.4</v>
      </c>
      <c r="M1484" s="278" t="s">
        <v>5281</v>
      </c>
      <c r="N1484" s="205">
        <v>1500</v>
      </c>
      <c r="O1484" s="254">
        <v>1500</v>
      </c>
      <c r="P1484" s="254">
        <v>1200</v>
      </c>
      <c r="Q1484" s="254">
        <v>1200</v>
      </c>
      <c r="R1484" s="1262" t="s">
        <v>5265</v>
      </c>
      <c r="S1484" s="254">
        <v>600</v>
      </c>
      <c r="T1484" s="204">
        <v>45162</v>
      </c>
      <c r="U1484" s="1262" t="s">
        <v>3097</v>
      </c>
      <c r="V1484" s="254">
        <v>300</v>
      </c>
      <c r="W1484" s="203" t="s">
        <v>3981</v>
      </c>
      <c r="X1484" s="206">
        <v>300</v>
      </c>
      <c r="Y1484" s="192"/>
    </row>
    <row r="1485" ht="37.5" customHeight="1" spans="1:25">
      <c r="A1485" s="192">
        <f t="shared" si="33"/>
        <v>1477</v>
      </c>
      <c r="B1485" s="208">
        <v>2023</v>
      </c>
      <c r="C1485" s="193" t="s">
        <v>37</v>
      </c>
      <c r="D1485" s="277" t="s">
        <v>5292</v>
      </c>
      <c r="E1485" s="195" t="s">
        <v>5293</v>
      </c>
      <c r="F1485" s="196" t="s">
        <v>2073</v>
      </c>
      <c r="G1485" s="197" t="s">
        <v>3239</v>
      </c>
      <c r="H1485" s="198">
        <v>0.8</v>
      </c>
      <c r="I1485" s="199">
        <v>18949.86</v>
      </c>
      <c r="J1485" s="200" t="s">
        <v>2429</v>
      </c>
      <c r="K1485" s="200" t="s">
        <v>2820</v>
      </c>
      <c r="L1485" s="201">
        <v>0.4</v>
      </c>
      <c r="M1485" s="278" t="s">
        <v>4990</v>
      </c>
      <c r="N1485" s="205">
        <v>725</v>
      </c>
      <c r="O1485" s="254">
        <v>725</v>
      </c>
      <c r="P1485" s="254">
        <v>580</v>
      </c>
      <c r="Q1485" s="254">
        <v>580</v>
      </c>
      <c r="R1485" s="1262" t="s">
        <v>5265</v>
      </c>
      <c r="S1485" s="254">
        <v>290</v>
      </c>
      <c r="T1485" s="204">
        <v>45162</v>
      </c>
      <c r="U1485" s="1262" t="s">
        <v>3097</v>
      </c>
      <c r="V1485" s="254">
        <v>145</v>
      </c>
      <c r="W1485" s="203" t="s">
        <v>3981</v>
      </c>
      <c r="X1485" s="206">
        <v>145</v>
      </c>
      <c r="Y1485" s="192"/>
    </row>
    <row r="1486" ht="37.5" customHeight="1" spans="1:25">
      <c r="A1486" s="192">
        <f t="shared" si="33"/>
        <v>1478</v>
      </c>
      <c r="B1486" s="208">
        <v>2023</v>
      </c>
      <c r="C1486" s="193" t="s">
        <v>37</v>
      </c>
      <c r="D1486" s="277" t="s">
        <v>5284</v>
      </c>
      <c r="E1486" s="195" t="s">
        <v>5294</v>
      </c>
      <c r="F1486" s="196" t="s">
        <v>2073</v>
      </c>
      <c r="G1486" s="197" t="s">
        <v>3239</v>
      </c>
      <c r="H1486" s="198">
        <v>0.8</v>
      </c>
      <c r="I1486" s="199">
        <v>65000</v>
      </c>
      <c r="J1486" s="200" t="s">
        <v>2429</v>
      </c>
      <c r="K1486" s="200" t="s">
        <v>2820</v>
      </c>
      <c r="L1486" s="201">
        <v>0.4</v>
      </c>
      <c r="M1486" s="278" t="s">
        <v>5025</v>
      </c>
      <c r="N1486" s="205">
        <v>32930.58</v>
      </c>
      <c r="O1486" s="254">
        <v>32930.58</v>
      </c>
      <c r="P1486" s="254">
        <v>26344.46</v>
      </c>
      <c r="Q1486" s="254">
        <v>26344.46</v>
      </c>
      <c r="R1486" s="1262" t="s">
        <v>5265</v>
      </c>
      <c r="S1486" s="254">
        <v>13172.23</v>
      </c>
      <c r="T1486" s="204">
        <v>45162</v>
      </c>
      <c r="U1486" s="1262" t="s">
        <v>3097</v>
      </c>
      <c r="V1486" s="254">
        <v>6586.12</v>
      </c>
      <c r="W1486" s="203" t="s">
        <v>3981</v>
      </c>
      <c r="X1486" s="206">
        <v>6586.12</v>
      </c>
      <c r="Y1486" s="192"/>
    </row>
    <row r="1487" ht="37.5" customHeight="1" spans="1:25">
      <c r="A1487" s="192">
        <f t="shared" si="33"/>
        <v>1479</v>
      </c>
      <c r="B1487" s="208">
        <v>2023</v>
      </c>
      <c r="C1487" s="193" t="s">
        <v>37</v>
      </c>
      <c r="D1487" s="277" t="s">
        <v>5295</v>
      </c>
      <c r="E1487" s="195" t="s">
        <v>5296</v>
      </c>
      <c r="F1487" s="196" t="s">
        <v>2073</v>
      </c>
      <c r="G1487" s="197" t="s">
        <v>1137</v>
      </c>
      <c r="H1487" s="198">
        <v>0.8</v>
      </c>
      <c r="I1487" s="199">
        <v>14000</v>
      </c>
      <c r="J1487" s="200" t="s">
        <v>2405</v>
      </c>
      <c r="K1487" s="200" t="s">
        <v>2731</v>
      </c>
      <c r="L1487" s="201">
        <v>0.4</v>
      </c>
      <c r="M1487" s="278" t="s">
        <v>5281</v>
      </c>
      <c r="N1487" s="205">
        <v>2333.4</v>
      </c>
      <c r="O1487" s="254">
        <v>2333.4</v>
      </c>
      <c r="P1487" s="254">
        <v>1866.72</v>
      </c>
      <c r="Q1487" s="254">
        <v>1866.72</v>
      </c>
      <c r="R1487" s="1262" t="s">
        <v>5265</v>
      </c>
      <c r="S1487" s="254">
        <v>933.36</v>
      </c>
      <c r="T1487" s="204">
        <v>45162</v>
      </c>
      <c r="U1487" s="1262" t="s">
        <v>3097</v>
      </c>
      <c r="V1487" s="254">
        <v>466.68</v>
      </c>
      <c r="W1487" s="203" t="s">
        <v>3981</v>
      </c>
      <c r="X1487" s="206">
        <v>466.68</v>
      </c>
      <c r="Y1487" s="192"/>
    </row>
    <row r="1488" ht="37.5" customHeight="1" spans="1:25">
      <c r="A1488" s="192">
        <f t="shared" si="33"/>
        <v>1480</v>
      </c>
      <c r="B1488" s="208">
        <v>2023</v>
      </c>
      <c r="C1488" s="193" t="s">
        <v>37</v>
      </c>
      <c r="D1488" s="277" t="s">
        <v>5297</v>
      </c>
      <c r="E1488" s="195" t="s">
        <v>5298</v>
      </c>
      <c r="F1488" s="196" t="s">
        <v>2073</v>
      </c>
      <c r="G1488" s="197" t="s">
        <v>3239</v>
      </c>
      <c r="H1488" s="198">
        <v>0.8</v>
      </c>
      <c r="I1488" s="199">
        <v>112000</v>
      </c>
      <c r="J1488" s="200" t="s">
        <v>2405</v>
      </c>
      <c r="K1488" s="200" t="s">
        <v>2731</v>
      </c>
      <c r="L1488" s="201">
        <v>0.4</v>
      </c>
      <c r="M1488" s="278" t="s">
        <v>4740</v>
      </c>
      <c r="N1488" s="205">
        <v>112000</v>
      </c>
      <c r="O1488" s="254">
        <v>112000</v>
      </c>
      <c r="P1488" s="254">
        <v>89600</v>
      </c>
      <c r="Q1488" s="254">
        <v>89600</v>
      </c>
      <c r="R1488" s="1262" t="s">
        <v>5265</v>
      </c>
      <c r="S1488" s="254">
        <v>44800</v>
      </c>
      <c r="T1488" s="204">
        <v>45162</v>
      </c>
      <c r="U1488" s="1262" t="s">
        <v>3097</v>
      </c>
      <c r="V1488" s="254">
        <v>22400</v>
      </c>
      <c r="W1488" s="203" t="s">
        <v>3981</v>
      </c>
      <c r="X1488" s="206">
        <v>22400</v>
      </c>
      <c r="Y1488" s="192"/>
    </row>
    <row r="1489" ht="37.5" customHeight="1" spans="1:25">
      <c r="A1489" s="192">
        <f t="shared" si="33"/>
        <v>1481</v>
      </c>
      <c r="B1489" s="208">
        <v>2023</v>
      </c>
      <c r="C1489" s="193" t="s">
        <v>37</v>
      </c>
      <c r="D1489" s="277" t="s">
        <v>5299</v>
      </c>
      <c r="E1489" s="195" t="s">
        <v>5300</v>
      </c>
      <c r="F1489" s="196" t="s">
        <v>2073</v>
      </c>
      <c r="G1489" s="197" t="s">
        <v>3239</v>
      </c>
      <c r="H1489" s="198">
        <v>0.8</v>
      </c>
      <c r="I1489" s="199">
        <v>62000</v>
      </c>
      <c r="J1489" s="200" t="s">
        <v>2016</v>
      </c>
      <c r="K1489" s="200" t="s">
        <v>3330</v>
      </c>
      <c r="L1489" s="201">
        <v>0.4</v>
      </c>
      <c r="M1489" s="278" t="s">
        <v>5276</v>
      </c>
      <c r="N1489" s="205">
        <v>1833.37</v>
      </c>
      <c r="O1489" s="254">
        <v>1833.37</v>
      </c>
      <c r="P1489" s="254">
        <v>1466.7</v>
      </c>
      <c r="Q1489" s="254">
        <v>1466.7</v>
      </c>
      <c r="R1489" s="1262" t="s">
        <v>5265</v>
      </c>
      <c r="S1489" s="254">
        <v>733.35</v>
      </c>
      <c r="T1489" s="204">
        <v>45162</v>
      </c>
      <c r="U1489" s="1262" t="s">
        <v>3097</v>
      </c>
      <c r="V1489" s="254">
        <v>366.67</v>
      </c>
      <c r="W1489" s="203" t="s">
        <v>3981</v>
      </c>
      <c r="X1489" s="206">
        <v>366.67</v>
      </c>
      <c r="Y1489" s="192"/>
    </row>
    <row r="1490" ht="37.5" customHeight="1" spans="1:25">
      <c r="A1490" s="192">
        <f t="shared" si="33"/>
        <v>1482</v>
      </c>
      <c r="B1490" s="208">
        <v>2023</v>
      </c>
      <c r="C1490" s="193" t="s">
        <v>37</v>
      </c>
      <c r="D1490" s="277" t="s">
        <v>5301</v>
      </c>
      <c r="E1490" s="195" t="s">
        <v>5302</v>
      </c>
      <c r="F1490" s="196" t="s">
        <v>2073</v>
      </c>
      <c r="G1490" s="197" t="s">
        <v>3239</v>
      </c>
      <c r="H1490" s="198">
        <v>0.8</v>
      </c>
      <c r="I1490" s="199">
        <v>60000</v>
      </c>
      <c r="J1490" s="200" t="s">
        <v>2016</v>
      </c>
      <c r="K1490" s="200" t="s">
        <v>3330</v>
      </c>
      <c r="L1490" s="201">
        <v>0.4</v>
      </c>
      <c r="M1490" s="278" t="s">
        <v>5189</v>
      </c>
      <c r="N1490" s="205">
        <v>10000</v>
      </c>
      <c r="O1490" s="254">
        <v>10000</v>
      </c>
      <c r="P1490" s="254">
        <v>8000</v>
      </c>
      <c r="Q1490" s="254">
        <v>8000</v>
      </c>
      <c r="R1490" s="1262" t="s">
        <v>5265</v>
      </c>
      <c r="S1490" s="254">
        <v>4000</v>
      </c>
      <c r="T1490" s="204">
        <v>45162</v>
      </c>
      <c r="U1490" s="1262" t="s">
        <v>3097</v>
      </c>
      <c r="V1490" s="254">
        <v>2000</v>
      </c>
      <c r="W1490" s="203" t="s">
        <v>3981</v>
      </c>
      <c r="X1490" s="206">
        <v>2000</v>
      </c>
      <c r="Y1490" s="192"/>
    </row>
    <row r="1491" ht="37.5" customHeight="1" spans="1:25">
      <c r="A1491" s="192">
        <f t="shared" si="33"/>
        <v>1483</v>
      </c>
      <c r="B1491" s="208">
        <v>2023</v>
      </c>
      <c r="C1491" s="193" t="s">
        <v>37</v>
      </c>
      <c r="D1491" s="277" t="s">
        <v>5266</v>
      </c>
      <c r="E1491" s="195" t="s">
        <v>5303</v>
      </c>
      <c r="F1491" s="196" t="s">
        <v>2073</v>
      </c>
      <c r="G1491" s="197" t="s">
        <v>3239</v>
      </c>
      <c r="H1491" s="198">
        <v>0.8</v>
      </c>
      <c r="I1491" s="199">
        <v>20000</v>
      </c>
      <c r="J1491" s="200" t="s">
        <v>2016</v>
      </c>
      <c r="K1491" s="200" t="s">
        <v>3330</v>
      </c>
      <c r="L1491" s="201">
        <v>0.4</v>
      </c>
      <c r="M1491" s="278" t="s">
        <v>4990</v>
      </c>
      <c r="N1491" s="205">
        <v>1666.74</v>
      </c>
      <c r="O1491" s="254">
        <v>1666.74</v>
      </c>
      <c r="P1491" s="254">
        <v>1333.39</v>
      </c>
      <c r="Q1491" s="254">
        <v>1333.39</v>
      </c>
      <c r="R1491" s="1262" t="s">
        <v>5265</v>
      </c>
      <c r="S1491" s="254">
        <v>666.7</v>
      </c>
      <c r="T1491" s="204">
        <v>45162</v>
      </c>
      <c r="U1491" s="1262" t="s">
        <v>3097</v>
      </c>
      <c r="V1491" s="254">
        <v>333.35</v>
      </c>
      <c r="W1491" s="203" t="s">
        <v>3981</v>
      </c>
      <c r="X1491" s="206">
        <v>333.35</v>
      </c>
      <c r="Y1491" s="192"/>
    </row>
    <row r="1492" ht="37.5" customHeight="1" spans="1:25">
      <c r="A1492" s="192">
        <f t="shared" si="33"/>
        <v>1484</v>
      </c>
      <c r="B1492" s="208">
        <v>2023</v>
      </c>
      <c r="C1492" s="193" t="s">
        <v>37</v>
      </c>
      <c r="D1492" s="277" t="s">
        <v>5219</v>
      </c>
      <c r="E1492" s="195" t="s">
        <v>5304</v>
      </c>
      <c r="F1492" s="196" t="s">
        <v>2073</v>
      </c>
      <c r="G1492" s="197" t="s">
        <v>1137</v>
      </c>
      <c r="H1492" s="198">
        <v>0.8</v>
      </c>
      <c r="I1492" s="199">
        <v>60000</v>
      </c>
      <c r="J1492" s="200" t="s">
        <v>3164</v>
      </c>
      <c r="K1492" s="200" t="s">
        <v>3165</v>
      </c>
      <c r="L1492" s="201">
        <v>0.4</v>
      </c>
      <c r="M1492" s="278" t="s">
        <v>5305</v>
      </c>
      <c r="N1492" s="205">
        <v>1666.7</v>
      </c>
      <c r="O1492" s="254">
        <v>1666.7</v>
      </c>
      <c r="P1492" s="254">
        <v>1333.36</v>
      </c>
      <c r="Q1492" s="254">
        <v>1333.36</v>
      </c>
      <c r="R1492" s="1262" t="s">
        <v>5265</v>
      </c>
      <c r="S1492" s="254">
        <v>666.68</v>
      </c>
      <c r="T1492" s="204">
        <v>45162</v>
      </c>
      <c r="U1492" s="1262" t="s">
        <v>3097</v>
      </c>
      <c r="V1492" s="254">
        <v>333.34</v>
      </c>
      <c r="W1492" s="203" t="s">
        <v>3981</v>
      </c>
      <c r="X1492" s="206">
        <v>333.34</v>
      </c>
      <c r="Y1492" s="192"/>
    </row>
    <row r="1493" ht="37.5" customHeight="1" spans="1:25">
      <c r="A1493" s="192">
        <f t="shared" si="33"/>
        <v>1485</v>
      </c>
      <c r="B1493" s="208">
        <v>2023</v>
      </c>
      <c r="C1493" s="193" t="s">
        <v>37</v>
      </c>
      <c r="D1493" s="277" t="s">
        <v>5306</v>
      </c>
      <c r="E1493" s="195" t="s">
        <v>5307</v>
      </c>
      <c r="F1493" s="196" t="s">
        <v>2073</v>
      </c>
      <c r="G1493" s="197" t="s">
        <v>3239</v>
      </c>
      <c r="H1493" s="198">
        <v>0.8</v>
      </c>
      <c r="I1493" s="199">
        <v>17100</v>
      </c>
      <c r="J1493" s="200" t="s">
        <v>3164</v>
      </c>
      <c r="K1493" s="200" t="s">
        <v>3165</v>
      </c>
      <c r="L1493" s="201">
        <v>0.4</v>
      </c>
      <c r="M1493" s="278" t="s">
        <v>5308</v>
      </c>
      <c r="N1493" s="205">
        <v>250</v>
      </c>
      <c r="O1493" s="254">
        <v>250</v>
      </c>
      <c r="P1493" s="254">
        <v>200</v>
      </c>
      <c r="Q1493" s="254">
        <v>200</v>
      </c>
      <c r="R1493" s="1262" t="s">
        <v>5265</v>
      </c>
      <c r="S1493" s="254">
        <v>100</v>
      </c>
      <c r="T1493" s="204">
        <v>45162</v>
      </c>
      <c r="U1493" s="1262" t="s">
        <v>3097</v>
      </c>
      <c r="V1493" s="254">
        <v>50</v>
      </c>
      <c r="W1493" s="203" t="s">
        <v>3981</v>
      </c>
      <c r="X1493" s="206">
        <v>50</v>
      </c>
      <c r="Y1493" s="192"/>
    </row>
    <row r="1494" ht="37.5" customHeight="1" spans="1:25">
      <c r="A1494" s="192">
        <f t="shared" si="33"/>
        <v>1486</v>
      </c>
      <c r="B1494" s="208">
        <v>2023</v>
      </c>
      <c r="C1494" s="193" t="s">
        <v>37</v>
      </c>
      <c r="D1494" s="277" t="s">
        <v>5309</v>
      </c>
      <c r="E1494" s="195" t="s">
        <v>5310</v>
      </c>
      <c r="F1494" s="196" t="s">
        <v>2073</v>
      </c>
      <c r="G1494" s="197" t="s">
        <v>3239</v>
      </c>
      <c r="H1494" s="198">
        <v>0.8</v>
      </c>
      <c r="I1494" s="199">
        <v>12024.85</v>
      </c>
      <c r="J1494" s="200" t="s">
        <v>3578</v>
      </c>
      <c r="K1494" s="200" t="s">
        <v>3579</v>
      </c>
      <c r="L1494" s="201">
        <v>0.4</v>
      </c>
      <c r="M1494" s="278" t="s">
        <v>5160</v>
      </c>
      <c r="N1494" s="205">
        <v>1500</v>
      </c>
      <c r="O1494" s="254">
        <v>1500</v>
      </c>
      <c r="P1494" s="254">
        <v>1200</v>
      </c>
      <c r="Q1494" s="254">
        <v>1200</v>
      </c>
      <c r="R1494" s="1262" t="s">
        <v>5265</v>
      </c>
      <c r="S1494" s="254">
        <v>600</v>
      </c>
      <c r="T1494" s="204">
        <v>45162</v>
      </c>
      <c r="U1494" s="1262" t="s">
        <v>3097</v>
      </c>
      <c r="V1494" s="254">
        <v>300</v>
      </c>
      <c r="W1494" s="203" t="s">
        <v>3981</v>
      </c>
      <c r="X1494" s="206">
        <v>300</v>
      </c>
      <c r="Y1494" s="192"/>
    </row>
    <row r="1495" ht="37.5" customHeight="1" spans="1:25">
      <c r="A1495" s="192">
        <f t="shared" si="33"/>
        <v>1487</v>
      </c>
      <c r="B1495" s="208">
        <v>2023</v>
      </c>
      <c r="C1495" s="193" t="s">
        <v>37</v>
      </c>
      <c r="D1495" s="277" t="s">
        <v>5311</v>
      </c>
      <c r="E1495" s="195" t="s">
        <v>5312</v>
      </c>
      <c r="F1495" s="196" t="s">
        <v>2073</v>
      </c>
      <c r="G1495" s="197" t="s">
        <v>3239</v>
      </c>
      <c r="H1495" s="198">
        <v>0.8</v>
      </c>
      <c r="I1495" s="199">
        <v>19005.55</v>
      </c>
      <c r="J1495" s="200" t="s">
        <v>3085</v>
      </c>
      <c r="K1495" s="200" t="s">
        <v>3086</v>
      </c>
      <c r="L1495" s="201">
        <v>0.4</v>
      </c>
      <c r="M1495" s="278" t="s">
        <v>5313</v>
      </c>
      <c r="N1495" s="205">
        <v>300</v>
      </c>
      <c r="O1495" s="254">
        <v>300</v>
      </c>
      <c r="P1495" s="254">
        <v>240</v>
      </c>
      <c r="Q1495" s="254">
        <v>240</v>
      </c>
      <c r="R1495" s="1262" t="s">
        <v>5265</v>
      </c>
      <c r="S1495" s="254">
        <v>120</v>
      </c>
      <c r="T1495" s="204">
        <v>45162</v>
      </c>
      <c r="U1495" s="1262" t="s">
        <v>3097</v>
      </c>
      <c r="V1495" s="254">
        <v>60</v>
      </c>
      <c r="W1495" s="203" t="s">
        <v>3981</v>
      </c>
      <c r="X1495" s="206">
        <v>60</v>
      </c>
      <c r="Y1495" s="192"/>
    </row>
    <row r="1496" ht="37.5" customHeight="1" spans="1:25">
      <c r="A1496" s="192">
        <f t="shared" si="33"/>
        <v>1488</v>
      </c>
      <c r="B1496" s="208">
        <v>2023</v>
      </c>
      <c r="C1496" s="193" t="s">
        <v>37</v>
      </c>
      <c r="D1496" s="277" t="s">
        <v>5268</v>
      </c>
      <c r="E1496" s="195" t="s">
        <v>5314</v>
      </c>
      <c r="F1496" s="196" t="s">
        <v>2073</v>
      </c>
      <c r="G1496" s="197" t="s">
        <v>3239</v>
      </c>
      <c r="H1496" s="198">
        <v>0.8</v>
      </c>
      <c r="I1496" s="199">
        <v>20324</v>
      </c>
      <c r="J1496" s="200" t="s">
        <v>3085</v>
      </c>
      <c r="K1496" s="200" t="s">
        <v>3086</v>
      </c>
      <c r="L1496" s="201">
        <v>0.4</v>
      </c>
      <c r="M1496" s="278" t="s">
        <v>5270</v>
      </c>
      <c r="N1496" s="205">
        <v>3387.4</v>
      </c>
      <c r="O1496" s="254">
        <v>3387.4</v>
      </c>
      <c r="P1496" s="254">
        <v>2709.92</v>
      </c>
      <c r="Q1496" s="254">
        <v>2709.92</v>
      </c>
      <c r="R1496" s="1262" t="s">
        <v>5265</v>
      </c>
      <c r="S1496" s="254">
        <v>1354.96</v>
      </c>
      <c r="T1496" s="204">
        <v>45162</v>
      </c>
      <c r="U1496" s="1262" t="s">
        <v>3097</v>
      </c>
      <c r="V1496" s="254">
        <v>677.48</v>
      </c>
      <c r="W1496" s="203" t="s">
        <v>3981</v>
      </c>
      <c r="X1496" s="206">
        <v>677.48</v>
      </c>
      <c r="Y1496" s="192"/>
    </row>
    <row r="1497" ht="37.5" customHeight="1" spans="1:25">
      <c r="A1497" s="192">
        <f t="shared" si="33"/>
        <v>1489</v>
      </c>
      <c r="B1497" s="208">
        <v>2023</v>
      </c>
      <c r="C1497" s="193" t="s">
        <v>37</v>
      </c>
      <c r="D1497" s="277" t="s">
        <v>5315</v>
      </c>
      <c r="E1497" s="195" t="s">
        <v>5316</v>
      </c>
      <c r="F1497" s="196" t="s">
        <v>2073</v>
      </c>
      <c r="G1497" s="197" t="s">
        <v>1137</v>
      </c>
      <c r="H1497" s="198">
        <v>0.8</v>
      </c>
      <c r="I1497" s="199">
        <v>150000</v>
      </c>
      <c r="J1497" s="200" t="s">
        <v>3516</v>
      </c>
      <c r="K1497" s="200" t="s">
        <v>3517</v>
      </c>
      <c r="L1497" s="201">
        <v>0.4</v>
      </c>
      <c r="M1497" s="278" t="s">
        <v>5025</v>
      </c>
      <c r="N1497" s="205">
        <v>7596.83</v>
      </c>
      <c r="O1497" s="254">
        <v>7596.83</v>
      </c>
      <c r="P1497" s="254">
        <v>6077.46</v>
      </c>
      <c r="Q1497" s="254">
        <v>6077.46</v>
      </c>
      <c r="R1497" s="1262" t="s">
        <v>5265</v>
      </c>
      <c r="S1497" s="254">
        <v>3038.73</v>
      </c>
      <c r="T1497" s="204">
        <v>45162</v>
      </c>
      <c r="U1497" s="1262" t="s">
        <v>3097</v>
      </c>
      <c r="V1497" s="254">
        <v>1519.37</v>
      </c>
      <c r="W1497" s="203" t="s">
        <v>3981</v>
      </c>
      <c r="X1497" s="206">
        <v>1519.37</v>
      </c>
      <c r="Y1497" s="192"/>
    </row>
    <row r="1498" ht="37.5" customHeight="1" spans="1:25">
      <c r="A1498" s="192">
        <f t="shared" si="33"/>
        <v>1490</v>
      </c>
      <c r="B1498" s="208">
        <v>2023</v>
      </c>
      <c r="C1498" s="193" t="s">
        <v>37</v>
      </c>
      <c r="D1498" s="277" t="s">
        <v>5317</v>
      </c>
      <c r="E1498" s="195" t="s">
        <v>5318</v>
      </c>
      <c r="F1498" s="196" t="s">
        <v>2073</v>
      </c>
      <c r="G1498" s="197" t="s">
        <v>3239</v>
      </c>
      <c r="H1498" s="198">
        <v>0.8</v>
      </c>
      <c r="I1498" s="199">
        <v>20060</v>
      </c>
      <c r="J1498" s="200" t="s">
        <v>3032</v>
      </c>
      <c r="K1498" s="200" t="s">
        <v>3033</v>
      </c>
      <c r="L1498" s="201">
        <v>0.4</v>
      </c>
      <c r="M1498" s="278" t="s">
        <v>5313</v>
      </c>
      <c r="N1498" s="205">
        <v>3343.4</v>
      </c>
      <c r="O1498" s="254">
        <v>3343.4</v>
      </c>
      <c r="P1498" s="254">
        <v>2674.72</v>
      </c>
      <c r="Q1498" s="254">
        <v>2674.72</v>
      </c>
      <c r="R1498" s="1262" t="s">
        <v>5265</v>
      </c>
      <c r="S1498" s="254">
        <v>1337.36</v>
      </c>
      <c r="T1498" s="204">
        <v>45162</v>
      </c>
      <c r="U1498" s="1262" t="s">
        <v>3097</v>
      </c>
      <c r="V1498" s="254">
        <v>668.68</v>
      </c>
      <c r="W1498" s="203" t="s">
        <v>3981</v>
      </c>
      <c r="X1498" s="206">
        <v>668.68</v>
      </c>
      <c r="Y1498" s="192"/>
    </row>
    <row r="1499" ht="37.5" customHeight="1" spans="1:25">
      <c r="A1499" s="192">
        <f t="shared" si="33"/>
        <v>1491</v>
      </c>
      <c r="B1499" s="208">
        <v>2023</v>
      </c>
      <c r="C1499" s="193" t="s">
        <v>37</v>
      </c>
      <c r="D1499" s="277" t="s">
        <v>5271</v>
      </c>
      <c r="E1499" s="195" t="s">
        <v>5319</v>
      </c>
      <c r="F1499" s="196" t="s">
        <v>2073</v>
      </c>
      <c r="G1499" s="197" t="s">
        <v>3239</v>
      </c>
      <c r="H1499" s="198">
        <v>0.8</v>
      </c>
      <c r="I1499" s="199">
        <v>18491.17</v>
      </c>
      <c r="J1499" s="200" t="s">
        <v>2069</v>
      </c>
      <c r="K1499" s="200" t="s">
        <v>2940</v>
      </c>
      <c r="L1499" s="201">
        <v>0.4</v>
      </c>
      <c r="M1499" s="278" t="s">
        <v>5273</v>
      </c>
      <c r="N1499" s="205">
        <v>1150</v>
      </c>
      <c r="O1499" s="254">
        <v>1150</v>
      </c>
      <c r="P1499" s="254">
        <v>920</v>
      </c>
      <c r="Q1499" s="254">
        <v>920</v>
      </c>
      <c r="R1499" s="1262" t="s">
        <v>5265</v>
      </c>
      <c r="S1499" s="254">
        <v>460</v>
      </c>
      <c r="T1499" s="204">
        <v>45162</v>
      </c>
      <c r="U1499" s="1262" t="s">
        <v>3097</v>
      </c>
      <c r="V1499" s="254">
        <v>230</v>
      </c>
      <c r="W1499" s="203" t="s">
        <v>3981</v>
      </c>
      <c r="X1499" s="206">
        <v>230</v>
      </c>
      <c r="Y1499" s="192"/>
    </row>
    <row r="1500" ht="37.5" customHeight="1" spans="1:25">
      <c r="A1500" s="192">
        <f t="shared" si="33"/>
        <v>1492</v>
      </c>
      <c r="B1500" s="208">
        <v>2023</v>
      </c>
      <c r="C1500" s="193" t="s">
        <v>37</v>
      </c>
      <c r="D1500" s="277" t="s">
        <v>5320</v>
      </c>
      <c r="E1500" s="195" t="s">
        <v>5321</v>
      </c>
      <c r="F1500" s="196" t="s">
        <v>2073</v>
      </c>
      <c r="G1500" s="197" t="s">
        <v>3239</v>
      </c>
      <c r="H1500" s="198">
        <v>0.8</v>
      </c>
      <c r="I1500" s="199">
        <v>14722.29</v>
      </c>
      <c r="J1500" s="200" t="s">
        <v>2069</v>
      </c>
      <c r="K1500" s="200" t="s">
        <v>2940</v>
      </c>
      <c r="L1500" s="201">
        <v>0.4</v>
      </c>
      <c r="M1500" s="278" t="s">
        <v>3726</v>
      </c>
      <c r="N1500" s="205">
        <v>400.11</v>
      </c>
      <c r="O1500" s="254">
        <v>400.11</v>
      </c>
      <c r="P1500" s="254">
        <v>320.09</v>
      </c>
      <c r="Q1500" s="254">
        <v>320.09</v>
      </c>
      <c r="R1500" s="1262" t="s">
        <v>5265</v>
      </c>
      <c r="S1500" s="254">
        <v>160.04</v>
      </c>
      <c r="T1500" s="204">
        <v>45162</v>
      </c>
      <c r="U1500" s="1262" t="s">
        <v>3097</v>
      </c>
      <c r="V1500" s="254">
        <v>80.02</v>
      </c>
      <c r="W1500" s="203" t="s">
        <v>3981</v>
      </c>
      <c r="X1500" s="206">
        <v>80.02</v>
      </c>
      <c r="Y1500" s="192"/>
    </row>
    <row r="1501" ht="37.5" customHeight="1" spans="1:25">
      <c r="A1501" s="192">
        <f t="shared" si="33"/>
        <v>1493</v>
      </c>
      <c r="B1501" s="208">
        <v>2023</v>
      </c>
      <c r="C1501" s="193" t="s">
        <v>37</v>
      </c>
      <c r="D1501" s="277" t="s">
        <v>5322</v>
      </c>
      <c r="E1501" s="195" t="s">
        <v>5323</v>
      </c>
      <c r="F1501" s="196" t="s">
        <v>2073</v>
      </c>
      <c r="G1501" s="197" t="s">
        <v>3239</v>
      </c>
      <c r="H1501" s="198">
        <v>0.8</v>
      </c>
      <c r="I1501" s="199">
        <v>16008.33</v>
      </c>
      <c r="J1501" s="200" t="s">
        <v>2069</v>
      </c>
      <c r="K1501" s="200" t="s">
        <v>2940</v>
      </c>
      <c r="L1501" s="201">
        <v>0.4</v>
      </c>
      <c r="M1501" s="278" t="s">
        <v>5273</v>
      </c>
      <c r="N1501" s="205">
        <v>266.7</v>
      </c>
      <c r="O1501" s="254">
        <v>266.7</v>
      </c>
      <c r="P1501" s="254">
        <v>213.36</v>
      </c>
      <c r="Q1501" s="254">
        <v>213.36</v>
      </c>
      <c r="R1501" s="1262" t="s">
        <v>5265</v>
      </c>
      <c r="S1501" s="254">
        <v>106.68</v>
      </c>
      <c r="T1501" s="204">
        <v>45162</v>
      </c>
      <c r="U1501" s="1262" t="s">
        <v>3097</v>
      </c>
      <c r="V1501" s="254">
        <v>53.34</v>
      </c>
      <c r="W1501" s="203" t="s">
        <v>4457</v>
      </c>
      <c r="X1501" s="206">
        <v>53.34</v>
      </c>
      <c r="Y1501" s="192"/>
    </row>
    <row r="1502" ht="37.5" customHeight="1" spans="1:25">
      <c r="A1502" s="192">
        <f t="shared" ref="A1502:A1565" si="34">ROW()-8</f>
        <v>1494</v>
      </c>
      <c r="B1502" s="208">
        <v>2023</v>
      </c>
      <c r="C1502" s="193" t="s">
        <v>37</v>
      </c>
      <c r="D1502" s="277" t="s">
        <v>4798</v>
      </c>
      <c r="E1502" s="195" t="s">
        <v>5324</v>
      </c>
      <c r="F1502" s="196" t="s">
        <v>2073</v>
      </c>
      <c r="G1502" s="197" t="s">
        <v>1137</v>
      </c>
      <c r="H1502" s="198">
        <v>0.8</v>
      </c>
      <c r="I1502" s="199">
        <v>60000</v>
      </c>
      <c r="J1502" s="200" t="s">
        <v>4714</v>
      </c>
      <c r="K1502" s="200" t="s">
        <v>4715</v>
      </c>
      <c r="L1502" s="201">
        <v>0.4</v>
      </c>
      <c r="M1502" s="278" t="s">
        <v>5325</v>
      </c>
      <c r="N1502" s="205">
        <v>8333.4</v>
      </c>
      <c r="O1502" s="254">
        <v>8333.4</v>
      </c>
      <c r="P1502" s="254">
        <v>6666.72</v>
      </c>
      <c r="Q1502" s="254">
        <v>6666.72</v>
      </c>
      <c r="R1502" s="1262" t="s">
        <v>5265</v>
      </c>
      <c r="S1502" s="254">
        <v>3333.36</v>
      </c>
      <c r="T1502" s="204">
        <v>45162</v>
      </c>
      <c r="U1502" s="1262" t="s">
        <v>3097</v>
      </c>
      <c r="V1502" s="254">
        <v>1666.68</v>
      </c>
      <c r="W1502" s="203" t="s">
        <v>4457</v>
      </c>
      <c r="X1502" s="206">
        <v>1666.68</v>
      </c>
      <c r="Y1502" s="192"/>
    </row>
    <row r="1503" ht="37.5" customHeight="1" spans="1:25">
      <c r="A1503" s="192">
        <f t="shared" si="34"/>
        <v>1495</v>
      </c>
      <c r="B1503" s="208">
        <v>2023</v>
      </c>
      <c r="C1503" s="193" t="s">
        <v>37</v>
      </c>
      <c r="D1503" s="277" t="s">
        <v>5282</v>
      </c>
      <c r="E1503" s="195" t="s">
        <v>5326</v>
      </c>
      <c r="F1503" s="196" t="s">
        <v>2073</v>
      </c>
      <c r="G1503" s="197" t="s">
        <v>3239</v>
      </c>
      <c r="H1503" s="198">
        <v>0.8</v>
      </c>
      <c r="I1503" s="199">
        <v>15848.08</v>
      </c>
      <c r="J1503" s="200" t="s">
        <v>4714</v>
      </c>
      <c r="K1503" s="200" t="s">
        <v>4715</v>
      </c>
      <c r="L1503" s="201">
        <v>0.4</v>
      </c>
      <c r="M1503" s="278" t="s">
        <v>5153</v>
      </c>
      <c r="N1503" s="205">
        <v>1666.53</v>
      </c>
      <c r="O1503" s="254">
        <v>1666.53</v>
      </c>
      <c r="P1503" s="254">
        <v>1333.22</v>
      </c>
      <c r="Q1503" s="254">
        <v>1333.22</v>
      </c>
      <c r="R1503" s="1262" t="s">
        <v>5265</v>
      </c>
      <c r="S1503" s="254">
        <v>666.61</v>
      </c>
      <c r="T1503" s="204">
        <v>45162</v>
      </c>
      <c r="U1503" s="1262" t="s">
        <v>3097</v>
      </c>
      <c r="V1503" s="254">
        <v>333.31</v>
      </c>
      <c r="W1503" s="203" t="s">
        <v>4457</v>
      </c>
      <c r="X1503" s="206">
        <v>333.31</v>
      </c>
      <c r="Y1503" s="192"/>
    </row>
    <row r="1504" ht="37.5" customHeight="1" spans="1:25">
      <c r="A1504" s="192">
        <f t="shared" si="34"/>
        <v>1496</v>
      </c>
      <c r="B1504" s="208">
        <v>2023</v>
      </c>
      <c r="C1504" s="193" t="s">
        <v>37</v>
      </c>
      <c r="D1504" s="277" t="s">
        <v>5327</v>
      </c>
      <c r="E1504" s="195" t="s">
        <v>5328</v>
      </c>
      <c r="F1504" s="196" t="s">
        <v>2073</v>
      </c>
      <c r="G1504" s="197" t="s">
        <v>3239</v>
      </c>
      <c r="H1504" s="198">
        <v>0.8</v>
      </c>
      <c r="I1504" s="199">
        <v>15108.82</v>
      </c>
      <c r="J1504" s="200" t="s">
        <v>2076</v>
      </c>
      <c r="K1504" s="200" t="s">
        <v>2996</v>
      </c>
      <c r="L1504" s="201">
        <v>0.4</v>
      </c>
      <c r="M1504" s="278" t="s">
        <v>5305</v>
      </c>
      <c r="N1504" s="205">
        <v>1666.7</v>
      </c>
      <c r="O1504" s="254">
        <v>1666.7</v>
      </c>
      <c r="P1504" s="254">
        <v>1333.36</v>
      </c>
      <c r="Q1504" s="254">
        <v>1333.36</v>
      </c>
      <c r="R1504" s="1262" t="s">
        <v>5265</v>
      </c>
      <c r="S1504" s="254">
        <v>666.68</v>
      </c>
      <c r="T1504" s="204">
        <v>45162</v>
      </c>
      <c r="U1504" s="1262" t="s">
        <v>3097</v>
      </c>
      <c r="V1504" s="254">
        <v>333.34</v>
      </c>
      <c r="W1504" s="203" t="s">
        <v>4457</v>
      </c>
      <c r="X1504" s="206">
        <v>333.34</v>
      </c>
      <c r="Y1504" s="192"/>
    </row>
    <row r="1505" ht="37.5" customHeight="1" spans="1:25">
      <c r="A1505" s="192">
        <f t="shared" si="34"/>
        <v>1497</v>
      </c>
      <c r="B1505" s="208">
        <v>2023</v>
      </c>
      <c r="C1505" s="193" t="s">
        <v>37</v>
      </c>
      <c r="D1505" s="277" t="s">
        <v>5329</v>
      </c>
      <c r="E1505" s="195" t="s">
        <v>5330</v>
      </c>
      <c r="F1505" s="196" t="s">
        <v>2073</v>
      </c>
      <c r="G1505" s="197" t="s">
        <v>3239</v>
      </c>
      <c r="H1505" s="198">
        <v>0.8</v>
      </c>
      <c r="I1505" s="199">
        <v>36500</v>
      </c>
      <c r="J1505" s="200" t="s">
        <v>2677</v>
      </c>
      <c r="K1505" s="200" t="s">
        <v>2678</v>
      </c>
      <c r="L1505" s="201">
        <v>0.4</v>
      </c>
      <c r="M1505" s="278" t="s">
        <v>4990</v>
      </c>
      <c r="N1505" s="205">
        <v>2333.4</v>
      </c>
      <c r="O1505" s="254">
        <v>2333.4</v>
      </c>
      <c r="P1505" s="254">
        <v>1866.72</v>
      </c>
      <c r="Q1505" s="254">
        <v>1866.72</v>
      </c>
      <c r="R1505" s="1262" t="s">
        <v>5265</v>
      </c>
      <c r="S1505" s="254">
        <v>933.36</v>
      </c>
      <c r="T1505" s="204">
        <v>45162</v>
      </c>
      <c r="U1505" s="1262" t="s">
        <v>3097</v>
      </c>
      <c r="V1505" s="254">
        <v>466.68</v>
      </c>
      <c r="W1505" s="203" t="s">
        <v>4457</v>
      </c>
      <c r="X1505" s="206">
        <v>466.68</v>
      </c>
      <c r="Y1505" s="192"/>
    </row>
    <row r="1506" ht="37.5" customHeight="1" spans="1:25">
      <c r="A1506" s="192">
        <f t="shared" si="34"/>
        <v>1498</v>
      </c>
      <c r="B1506" s="208">
        <v>2023</v>
      </c>
      <c r="C1506" s="193" t="s">
        <v>37</v>
      </c>
      <c r="D1506" s="277" t="s">
        <v>5331</v>
      </c>
      <c r="E1506" s="195" t="s">
        <v>5332</v>
      </c>
      <c r="F1506" s="196" t="s">
        <v>2073</v>
      </c>
      <c r="G1506" s="197" t="s">
        <v>1137</v>
      </c>
      <c r="H1506" s="198">
        <v>0.8</v>
      </c>
      <c r="I1506" s="199">
        <v>12121.32</v>
      </c>
      <c r="J1506" s="200" t="s">
        <v>2677</v>
      </c>
      <c r="K1506" s="200" t="s">
        <v>2678</v>
      </c>
      <c r="L1506" s="201">
        <v>0.4</v>
      </c>
      <c r="M1506" s="278" t="s">
        <v>4410</v>
      </c>
      <c r="N1506" s="205">
        <v>333.4</v>
      </c>
      <c r="O1506" s="254">
        <v>333.4</v>
      </c>
      <c r="P1506" s="254">
        <v>266.72</v>
      </c>
      <c r="Q1506" s="254">
        <v>266.72</v>
      </c>
      <c r="R1506" s="1262" t="s">
        <v>5265</v>
      </c>
      <c r="S1506" s="254">
        <v>133.36</v>
      </c>
      <c r="T1506" s="204">
        <v>45162</v>
      </c>
      <c r="U1506" s="1262" t="s">
        <v>3097</v>
      </c>
      <c r="V1506" s="254">
        <v>66.68</v>
      </c>
      <c r="W1506" s="203" t="s">
        <v>4457</v>
      </c>
      <c r="X1506" s="206">
        <v>66.68</v>
      </c>
      <c r="Y1506" s="192"/>
    </row>
    <row r="1507" ht="37.5" customHeight="1" spans="1:25">
      <c r="A1507" s="192">
        <f t="shared" si="34"/>
        <v>1499</v>
      </c>
      <c r="B1507" s="208">
        <v>2023</v>
      </c>
      <c r="C1507" s="193" t="s">
        <v>37</v>
      </c>
      <c r="D1507" s="277" t="s">
        <v>5333</v>
      </c>
      <c r="E1507" s="195" t="s">
        <v>5334</v>
      </c>
      <c r="F1507" s="196" t="s">
        <v>2073</v>
      </c>
      <c r="G1507" s="197" t="s">
        <v>3239</v>
      </c>
      <c r="H1507" s="198">
        <v>0.8</v>
      </c>
      <c r="I1507" s="199">
        <v>40000</v>
      </c>
      <c r="J1507" s="200" t="s">
        <v>2677</v>
      </c>
      <c r="K1507" s="200" t="s">
        <v>2678</v>
      </c>
      <c r="L1507" s="201">
        <v>0.4</v>
      </c>
      <c r="M1507" s="278" t="s">
        <v>5335</v>
      </c>
      <c r="N1507" s="205">
        <v>6666.7</v>
      </c>
      <c r="O1507" s="254">
        <v>6666.7</v>
      </c>
      <c r="P1507" s="254">
        <v>5333.36</v>
      </c>
      <c r="Q1507" s="254">
        <v>5333.36</v>
      </c>
      <c r="R1507" s="1262" t="s">
        <v>5265</v>
      </c>
      <c r="S1507" s="254">
        <v>2666.68</v>
      </c>
      <c r="T1507" s="204">
        <v>45162</v>
      </c>
      <c r="U1507" s="1262" t="s">
        <v>3097</v>
      </c>
      <c r="V1507" s="254">
        <v>1333.34</v>
      </c>
      <c r="W1507" s="203" t="s">
        <v>4457</v>
      </c>
      <c r="X1507" s="206">
        <v>1333.34</v>
      </c>
      <c r="Y1507" s="192"/>
    </row>
    <row r="1508" ht="37.5" customHeight="1" spans="1:25">
      <c r="A1508" s="192">
        <f t="shared" si="34"/>
        <v>1500</v>
      </c>
      <c r="B1508" s="208">
        <v>2023</v>
      </c>
      <c r="C1508" s="193" t="s">
        <v>37</v>
      </c>
      <c r="D1508" s="277" t="s">
        <v>5336</v>
      </c>
      <c r="E1508" s="195" t="s">
        <v>5337</v>
      </c>
      <c r="F1508" s="196" t="s">
        <v>2073</v>
      </c>
      <c r="G1508" s="197" t="s">
        <v>3239</v>
      </c>
      <c r="H1508" s="198">
        <v>0.8</v>
      </c>
      <c r="I1508" s="199">
        <v>40000</v>
      </c>
      <c r="J1508" s="200" t="s">
        <v>2677</v>
      </c>
      <c r="K1508" s="200" t="s">
        <v>2678</v>
      </c>
      <c r="L1508" s="201">
        <v>0.4</v>
      </c>
      <c r="M1508" s="278" t="s">
        <v>5338</v>
      </c>
      <c r="N1508" s="205">
        <v>3333.4</v>
      </c>
      <c r="O1508" s="254">
        <v>3333.4</v>
      </c>
      <c r="P1508" s="254">
        <v>2666.72</v>
      </c>
      <c r="Q1508" s="254">
        <v>2666.72</v>
      </c>
      <c r="R1508" s="1262" t="s">
        <v>5265</v>
      </c>
      <c r="S1508" s="254">
        <v>1333.36</v>
      </c>
      <c r="T1508" s="204">
        <v>45162</v>
      </c>
      <c r="U1508" s="1262" t="s">
        <v>3097</v>
      </c>
      <c r="V1508" s="254">
        <v>666.68</v>
      </c>
      <c r="W1508" s="203" t="s">
        <v>4457</v>
      </c>
      <c r="X1508" s="206">
        <v>666.68</v>
      </c>
      <c r="Y1508" s="192"/>
    </row>
    <row r="1509" ht="37.5" customHeight="1" spans="1:25">
      <c r="A1509" s="192">
        <f t="shared" si="34"/>
        <v>1501</v>
      </c>
      <c r="B1509" s="208">
        <v>2023</v>
      </c>
      <c r="C1509" s="193" t="s">
        <v>37</v>
      </c>
      <c r="D1509" s="277" t="s">
        <v>5339</v>
      </c>
      <c r="E1509" s="195" t="s">
        <v>5340</v>
      </c>
      <c r="F1509" s="196" t="s">
        <v>2073</v>
      </c>
      <c r="G1509" s="197" t="s">
        <v>3239</v>
      </c>
      <c r="H1509" s="198">
        <v>0.8</v>
      </c>
      <c r="I1509" s="199">
        <v>15049.75</v>
      </c>
      <c r="J1509" s="200" t="s">
        <v>2677</v>
      </c>
      <c r="K1509" s="200" t="s">
        <v>2678</v>
      </c>
      <c r="L1509" s="201">
        <v>0.4</v>
      </c>
      <c r="M1509" s="278" t="s">
        <v>4990</v>
      </c>
      <c r="N1509" s="205">
        <v>833.4</v>
      </c>
      <c r="O1509" s="254">
        <v>833.4</v>
      </c>
      <c r="P1509" s="254">
        <v>666.72</v>
      </c>
      <c r="Q1509" s="254">
        <v>666.72</v>
      </c>
      <c r="R1509" s="1262" t="s">
        <v>5265</v>
      </c>
      <c r="S1509" s="254">
        <v>333.36</v>
      </c>
      <c r="T1509" s="204">
        <v>45162</v>
      </c>
      <c r="U1509" s="1262" t="s">
        <v>3097</v>
      </c>
      <c r="V1509" s="254">
        <v>166.68</v>
      </c>
      <c r="W1509" s="203" t="s">
        <v>4457</v>
      </c>
      <c r="X1509" s="206">
        <v>166.68</v>
      </c>
      <c r="Y1509" s="192"/>
    </row>
    <row r="1510" ht="37.5" customHeight="1" spans="1:25">
      <c r="A1510" s="192">
        <f t="shared" si="34"/>
        <v>1502</v>
      </c>
      <c r="B1510" s="208">
        <v>2023</v>
      </c>
      <c r="C1510" s="193" t="s">
        <v>37</v>
      </c>
      <c r="D1510" s="277" t="s">
        <v>5341</v>
      </c>
      <c r="E1510" s="195" t="s">
        <v>5342</v>
      </c>
      <c r="F1510" s="196" t="s">
        <v>2073</v>
      </c>
      <c r="G1510" s="197" t="s">
        <v>1137</v>
      </c>
      <c r="H1510" s="198">
        <v>0.8</v>
      </c>
      <c r="I1510" s="199">
        <v>42400</v>
      </c>
      <c r="J1510" s="200" t="s">
        <v>1950</v>
      </c>
      <c r="K1510" s="200" t="s">
        <v>2755</v>
      </c>
      <c r="L1510" s="201">
        <v>0.4</v>
      </c>
      <c r="M1510" s="278" t="s">
        <v>4410</v>
      </c>
      <c r="N1510" s="205">
        <v>12960</v>
      </c>
      <c r="O1510" s="254">
        <v>12960</v>
      </c>
      <c r="P1510" s="254">
        <v>10368</v>
      </c>
      <c r="Q1510" s="254">
        <v>10368</v>
      </c>
      <c r="R1510" s="1262" t="s">
        <v>5265</v>
      </c>
      <c r="S1510" s="254">
        <v>5184</v>
      </c>
      <c r="T1510" s="204">
        <v>45162</v>
      </c>
      <c r="U1510" s="1262" t="s">
        <v>3097</v>
      </c>
      <c r="V1510" s="254">
        <v>2592</v>
      </c>
      <c r="W1510" s="203" t="s">
        <v>4457</v>
      </c>
      <c r="X1510" s="206">
        <v>2592</v>
      </c>
      <c r="Y1510" s="192"/>
    </row>
    <row r="1511" ht="37.5" customHeight="1" spans="1:25">
      <c r="A1511" s="192">
        <f t="shared" si="34"/>
        <v>1503</v>
      </c>
      <c r="B1511" s="208">
        <v>2023</v>
      </c>
      <c r="C1511" s="193" t="s">
        <v>37</v>
      </c>
      <c r="D1511" s="277" t="s">
        <v>5343</v>
      </c>
      <c r="E1511" s="195" t="s">
        <v>5344</v>
      </c>
      <c r="F1511" s="196" t="s">
        <v>2073</v>
      </c>
      <c r="G1511" s="197" t="s">
        <v>3239</v>
      </c>
      <c r="H1511" s="198">
        <v>0.8</v>
      </c>
      <c r="I1511" s="199">
        <v>13834.06</v>
      </c>
      <c r="J1511" s="200" t="s">
        <v>1950</v>
      </c>
      <c r="K1511" s="200" t="s">
        <v>2755</v>
      </c>
      <c r="L1511" s="201">
        <v>0.4</v>
      </c>
      <c r="M1511" s="278" t="s">
        <v>5270</v>
      </c>
      <c r="N1511" s="205">
        <v>1333.4</v>
      </c>
      <c r="O1511" s="254">
        <v>1333.4</v>
      </c>
      <c r="P1511" s="254">
        <v>1066.72</v>
      </c>
      <c r="Q1511" s="254">
        <v>1066.72</v>
      </c>
      <c r="R1511" s="1262" t="s">
        <v>5265</v>
      </c>
      <c r="S1511" s="254">
        <v>533.36</v>
      </c>
      <c r="T1511" s="204">
        <v>45162</v>
      </c>
      <c r="U1511" s="1262" t="s">
        <v>3097</v>
      </c>
      <c r="V1511" s="254">
        <v>266.68</v>
      </c>
      <c r="W1511" s="203" t="s">
        <v>4457</v>
      </c>
      <c r="X1511" s="206">
        <v>266.68</v>
      </c>
      <c r="Y1511" s="192"/>
    </row>
    <row r="1512" ht="37.5" customHeight="1" spans="1:25">
      <c r="A1512" s="192">
        <f t="shared" si="34"/>
        <v>1504</v>
      </c>
      <c r="B1512" s="208">
        <v>2023</v>
      </c>
      <c r="C1512" s="193" t="s">
        <v>37</v>
      </c>
      <c r="D1512" s="277" t="s">
        <v>5345</v>
      </c>
      <c r="E1512" s="195" t="s">
        <v>5346</v>
      </c>
      <c r="F1512" s="196" t="s">
        <v>2073</v>
      </c>
      <c r="G1512" s="197" t="s">
        <v>3239</v>
      </c>
      <c r="H1512" s="198">
        <v>0.8</v>
      </c>
      <c r="I1512" s="199">
        <v>10316.23</v>
      </c>
      <c r="J1512" s="200" t="s">
        <v>2812</v>
      </c>
      <c r="K1512" s="200" t="s">
        <v>2813</v>
      </c>
      <c r="L1512" s="201">
        <v>0.4</v>
      </c>
      <c r="M1512" s="278" t="s">
        <v>5347</v>
      </c>
      <c r="N1512" s="205">
        <v>556.81</v>
      </c>
      <c r="O1512" s="254">
        <v>556.81</v>
      </c>
      <c r="P1512" s="254">
        <v>445.45</v>
      </c>
      <c r="Q1512" s="254">
        <v>445.45</v>
      </c>
      <c r="R1512" s="1262" t="s">
        <v>5265</v>
      </c>
      <c r="S1512" s="254">
        <v>222.72</v>
      </c>
      <c r="T1512" s="204">
        <v>45162</v>
      </c>
      <c r="U1512" s="1262" t="s">
        <v>3097</v>
      </c>
      <c r="V1512" s="254">
        <v>111.36</v>
      </c>
      <c r="W1512" s="203" t="s">
        <v>4457</v>
      </c>
      <c r="X1512" s="206">
        <v>111.36</v>
      </c>
      <c r="Y1512" s="192"/>
    </row>
    <row r="1513" ht="37.5" customHeight="1" spans="1:25">
      <c r="A1513" s="192">
        <f t="shared" si="34"/>
        <v>1505</v>
      </c>
      <c r="B1513" s="208">
        <v>2023</v>
      </c>
      <c r="C1513" s="193" t="s">
        <v>37</v>
      </c>
      <c r="D1513" s="277" t="s">
        <v>5277</v>
      </c>
      <c r="E1513" s="195" t="s">
        <v>5348</v>
      </c>
      <c r="F1513" s="196" t="s">
        <v>2073</v>
      </c>
      <c r="G1513" s="197" t="s">
        <v>3239</v>
      </c>
      <c r="H1513" s="198">
        <v>0.8</v>
      </c>
      <c r="I1513" s="199">
        <v>14505.55</v>
      </c>
      <c r="J1513" s="200" t="s">
        <v>2812</v>
      </c>
      <c r="K1513" s="200" t="s">
        <v>2813</v>
      </c>
      <c r="L1513" s="201">
        <v>0.4</v>
      </c>
      <c r="M1513" s="278" t="s">
        <v>5273</v>
      </c>
      <c r="N1513" s="205">
        <v>10000</v>
      </c>
      <c r="O1513" s="254">
        <v>10000</v>
      </c>
      <c r="P1513" s="254">
        <v>8000</v>
      </c>
      <c r="Q1513" s="254">
        <v>8000</v>
      </c>
      <c r="R1513" s="1262" t="s">
        <v>5265</v>
      </c>
      <c r="S1513" s="254">
        <v>4000</v>
      </c>
      <c r="T1513" s="204">
        <v>45162</v>
      </c>
      <c r="U1513" s="1262" t="s">
        <v>3097</v>
      </c>
      <c r="V1513" s="254">
        <v>2000</v>
      </c>
      <c r="W1513" s="203" t="s">
        <v>4457</v>
      </c>
      <c r="X1513" s="206">
        <v>2000</v>
      </c>
      <c r="Y1513" s="192"/>
    </row>
    <row r="1514" ht="37.5" customHeight="1" spans="1:25">
      <c r="A1514" s="192">
        <f t="shared" si="34"/>
        <v>1506</v>
      </c>
      <c r="B1514" s="208">
        <v>2023</v>
      </c>
      <c r="C1514" s="193" t="s">
        <v>37</v>
      </c>
      <c r="D1514" s="277" t="s">
        <v>5133</v>
      </c>
      <c r="E1514" s="195" t="s">
        <v>5349</v>
      </c>
      <c r="F1514" s="196" t="s">
        <v>2073</v>
      </c>
      <c r="G1514" s="197" t="s">
        <v>1137</v>
      </c>
      <c r="H1514" s="198">
        <v>0.8</v>
      </c>
      <c r="I1514" s="199">
        <v>19772.41</v>
      </c>
      <c r="J1514" s="200" t="s">
        <v>2812</v>
      </c>
      <c r="K1514" s="200" t="s">
        <v>2813</v>
      </c>
      <c r="L1514" s="201">
        <v>0.4</v>
      </c>
      <c r="M1514" s="278" t="s">
        <v>5335</v>
      </c>
      <c r="N1514" s="205">
        <v>583.4</v>
      </c>
      <c r="O1514" s="254">
        <v>583.4</v>
      </c>
      <c r="P1514" s="254">
        <v>466.72</v>
      </c>
      <c r="Q1514" s="254">
        <v>466.72</v>
      </c>
      <c r="R1514" s="1262" t="s">
        <v>5265</v>
      </c>
      <c r="S1514" s="254">
        <v>233.36</v>
      </c>
      <c r="T1514" s="204">
        <v>45162</v>
      </c>
      <c r="U1514" s="1262" t="s">
        <v>3097</v>
      </c>
      <c r="V1514" s="254">
        <v>116.68</v>
      </c>
      <c r="W1514" s="203" t="s">
        <v>4457</v>
      </c>
      <c r="X1514" s="206">
        <v>116.68</v>
      </c>
      <c r="Y1514" s="192"/>
    </row>
    <row r="1515" ht="37.5" customHeight="1" spans="1:25">
      <c r="A1515" s="192">
        <f t="shared" si="34"/>
        <v>1507</v>
      </c>
      <c r="B1515" s="208">
        <v>2023</v>
      </c>
      <c r="C1515" s="193" t="s">
        <v>37</v>
      </c>
      <c r="D1515" s="277" t="s">
        <v>338</v>
      </c>
      <c r="E1515" s="195" t="s">
        <v>5350</v>
      </c>
      <c r="F1515" s="196" t="s">
        <v>2073</v>
      </c>
      <c r="G1515" s="197" t="s">
        <v>3239</v>
      </c>
      <c r="H1515" s="198">
        <v>0.8</v>
      </c>
      <c r="I1515" s="199">
        <v>80000</v>
      </c>
      <c r="J1515" s="200" t="s">
        <v>3361</v>
      </c>
      <c r="K1515" s="200" t="s">
        <v>3362</v>
      </c>
      <c r="L1515" s="201">
        <v>0.4</v>
      </c>
      <c r="M1515" s="278" t="s">
        <v>5289</v>
      </c>
      <c r="N1515" s="205">
        <v>4722.9</v>
      </c>
      <c r="O1515" s="254">
        <v>4722.9</v>
      </c>
      <c r="P1515" s="254">
        <v>3778.32</v>
      </c>
      <c r="Q1515" s="254">
        <v>3778.32</v>
      </c>
      <c r="R1515" s="1262" t="s">
        <v>5265</v>
      </c>
      <c r="S1515" s="254">
        <v>1889.16</v>
      </c>
      <c r="T1515" s="204">
        <v>45162</v>
      </c>
      <c r="U1515" s="1262" t="s">
        <v>3097</v>
      </c>
      <c r="V1515" s="254">
        <v>944.58</v>
      </c>
      <c r="W1515" s="203" t="s">
        <v>4457</v>
      </c>
      <c r="X1515" s="206">
        <v>944.58</v>
      </c>
      <c r="Y1515" s="192"/>
    </row>
    <row r="1516" ht="37.5" customHeight="1" spans="1:25">
      <c r="A1516" s="192">
        <f t="shared" si="34"/>
        <v>1508</v>
      </c>
      <c r="B1516" s="208">
        <v>2023</v>
      </c>
      <c r="C1516" s="193" t="s">
        <v>37</v>
      </c>
      <c r="D1516" s="277" t="s">
        <v>5351</v>
      </c>
      <c r="E1516" s="195" t="s">
        <v>5352</v>
      </c>
      <c r="F1516" s="196" t="s">
        <v>2073</v>
      </c>
      <c r="G1516" s="197" t="s">
        <v>3239</v>
      </c>
      <c r="H1516" s="198">
        <v>0.8</v>
      </c>
      <c r="I1516" s="199">
        <v>17628.89</v>
      </c>
      <c r="J1516" s="200" t="s">
        <v>3361</v>
      </c>
      <c r="K1516" s="200" t="s">
        <v>3362</v>
      </c>
      <c r="L1516" s="201">
        <v>0.4</v>
      </c>
      <c r="M1516" s="278" t="s">
        <v>5313</v>
      </c>
      <c r="N1516" s="205">
        <v>5000</v>
      </c>
      <c r="O1516" s="254">
        <v>5000</v>
      </c>
      <c r="P1516" s="254">
        <v>4000</v>
      </c>
      <c r="Q1516" s="254">
        <v>4000</v>
      </c>
      <c r="R1516" s="1262" t="s">
        <v>5265</v>
      </c>
      <c r="S1516" s="254">
        <v>2000</v>
      </c>
      <c r="T1516" s="204">
        <v>45162</v>
      </c>
      <c r="U1516" s="1262" t="s">
        <v>3097</v>
      </c>
      <c r="V1516" s="254">
        <v>1000</v>
      </c>
      <c r="W1516" s="203" t="s">
        <v>4457</v>
      </c>
      <c r="X1516" s="206">
        <v>1000</v>
      </c>
      <c r="Y1516" s="192"/>
    </row>
    <row r="1517" ht="37.5" customHeight="1" spans="1:25">
      <c r="A1517" s="192">
        <f t="shared" si="34"/>
        <v>1509</v>
      </c>
      <c r="B1517" s="208">
        <v>2023</v>
      </c>
      <c r="C1517" s="193" t="s">
        <v>37</v>
      </c>
      <c r="D1517" s="277" t="s">
        <v>5353</v>
      </c>
      <c r="E1517" s="195" t="s">
        <v>5354</v>
      </c>
      <c r="F1517" s="196" t="s">
        <v>2073</v>
      </c>
      <c r="G1517" s="197" t="s">
        <v>3239</v>
      </c>
      <c r="H1517" s="198">
        <v>0.8</v>
      </c>
      <c r="I1517" s="199">
        <v>13000</v>
      </c>
      <c r="J1517" s="200" t="s">
        <v>3361</v>
      </c>
      <c r="K1517" s="200" t="s">
        <v>3362</v>
      </c>
      <c r="L1517" s="201">
        <v>0.4</v>
      </c>
      <c r="M1517" s="278" t="s">
        <v>5335</v>
      </c>
      <c r="N1517" s="205">
        <v>1333.4</v>
      </c>
      <c r="O1517" s="254">
        <v>1333.4</v>
      </c>
      <c r="P1517" s="254">
        <v>1066.72</v>
      </c>
      <c r="Q1517" s="254">
        <v>1066.72</v>
      </c>
      <c r="R1517" s="1262" t="s">
        <v>5265</v>
      </c>
      <c r="S1517" s="254">
        <v>533.36</v>
      </c>
      <c r="T1517" s="204">
        <v>45162</v>
      </c>
      <c r="U1517" s="1262" t="s">
        <v>3097</v>
      </c>
      <c r="V1517" s="254">
        <v>266.68</v>
      </c>
      <c r="W1517" s="203" t="s">
        <v>4457</v>
      </c>
      <c r="X1517" s="206">
        <v>266.68</v>
      </c>
      <c r="Y1517" s="192"/>
    </row>
    <row r="1518" ht="37.5" customHeight="1" spans="1:25">
      <c r="A1518" s="192">
        <f t="shared" si="34"/>
        <v>1510</v>
      </c>
      <c r="B1518" s="208">
        <v>2023</v>
      </c>
      <c r="C1518" s="193" t="s">
        <v>37</v>
      </c>
      <c r="D1518" s="277" t="s">
        <v>5355</v>
      </c>
      <c r="E1518" s="195" t="s">
        <v>5356</v>
      </c>
      <c r="F1518" s="196" t="s">
        <v>2073</v>
      </c>
      <c r="G1518" s="197" t="s">
        <v>1137</v>
      </c>
      <c r="H1518" s="198">
        <v>0.8</v>
      </c>
      <c r="I1518" s="199">
        <v>20000</v>
      </c>
      <c r="J1518" s="200" t="s">
        <v>2767</v>
      </c>
      <c r="K1518" s="200" t="s">
        <v>2768</v>
      </c>
      <c r="L1518" s="201">
        <v>0.4</v>
      </c>
      <c r="M1518" s="278" t="s">
        <v>5308</v>
      </c>
      <c r="N1518" s="205">
        <v>833.4</v>
      </c>
      <c r="O1518" s="254">
        <v>833.4</v>
      </c>
      <c r="P1518" s="254">
        <v>666.72</v>
      </c>
      <c r="Q1518" s="254">
        <v>666.72</v>
      </c>
      <c r="R1518" s="1262" t="s">
        <v>5265</v>
      </c>
      <c r="S1518" s="254">
        <v>333.36</v>
      </c>
      <c r="T1518" s="204">
        <v>45162</v>
      </c>
      <c r="U1518" s="1262" t="s">
        <v>3097</v>
      </c>
      <c r="V1518" s="254">
        <v>166.68</v>
      </c>
      <c r="W1518" s="203" t="s">
        <v>4457</v>
      </c>
      <c r="X1518" s="206">
        <v>166.68</v>
      </c>
      <c r="Y1518" s="192"/>
    </row>
    <row r="1519" ht="37.5" customHeight="1" spans="1:25">
      <c r="A1519" s="192">
        <f t="shared" si="34"/>
        <v>1511</v>
      </c>
      <c r="B1519" s="208">
        <v>2023</v>
      </c>
      <c r="C1519" s="193" t="s">
        <v>37</v>
      </c>
      <c r="D1519" s="277" t="s">
        <v>5357</v>
      </c>
      <c r="E1519" s="195" t="s">
        <v>5358</v>
      </c>
      <c r="F1519" s="196" t="s">
        <v>2073</v>
      </c>
      <c r="G1519" s="197" t="s">
        <v>3239</v>
      </c>
      <c r="H1519" s="198">
        <v>0.8</v>
      </c>
      <c r="I1519" s="199">
        <v>16797.06</v>
      </c>
      <c r="J1519" s="200" t="s">
        <v>2767</v>
      </c>
      <c r="K1519" s="200" t="s">
        <v>2768</v>
      </c>
      <c r="L1519" s="201">
        <v>0.4</v>
      </c>
      <c r="M1519" s="278" t="s">
        <v>5359</v>
      </c>
      <c r="N1519" s="205">
        <v>1625.06</v>
      </c>
      <c r="O1519" s="254">
        <v>1625.06</v>
      </c>
      <c r="P1519" s="254">
        <v>1300.05</v>
      </c>
      <c r="Q1519" s="254">
        <v>1300.05</v>
      </c>
      <c r="R1519" s="1262" t="s">
        <v>5265</v>
      </c>
      <c r="S1519" s="254">
        <v>650.02</v>
      </c>
      <c r="T1519" s="204">
        <v>45162</v>
      </c>
      <c r="U1519" s="1262" t="s">
        <v>3097</v>
      </c>
      <c r="V1519" s="254">
        <v>325.01</v>
      </c>
      <c r="W1519" s="203" t="s">
        <v>4457</v>
      </c>
      <c r="X1519" s="206">
        <v>325.01</v>
      </c>
      <c r="Y1519" s="192"/>
    </row>
    <row r="1520" ht="37.5" customHeight="1" spans="1:25">
      <c r="A1520" s="192">
        <f t="shared" si="34"/>
        <v>1512</v>
      </c>
      <c r="B1520" s="208">
        <v>2023</v>
      </c>
      <c r="C1520" s="193" t="s">
        <v>37</v>
      </c>
      <c r="D1520" s="277" t="s">
        <v>5360</v>
      </c>
      <c r="E1520" s="195" t="s">
        <v>5361</v>
      </c>
      <c r="F1520" s="196" t="s">
        <v>2073</v>
      </c>
      <c r="G1520" s="197" t="s">
        <v>3239</v>
      </c>
      <c r="H1520" s="198">
        <v>0.8</v>
      </c>
      <c r="I1520" s="199">
        <v>13794.73</v>
      </c>
      <c r="J1520" s="200" t="s">
        <v>2125</v>
      </c>
      <c r="K1520" s="200" t="s">
        <v>2887</v>
      </c>
      <c r="L1520" s="201">
        <v>0.4</v>
      </c>
      <c r="M1520" s="278" t="s">
        <v>5338</v>
      </c>
      <c r="N1520" s="205">
        <v>406.34</v>
      </c>
      <c r="O1520" s="254">
        <v>406.34</v>
      </c>
      <c r="P1520" s="254">
        <v>325.07</v>
      </c>
      <c r="Q1520" s="254">
        <v>325.07</v>
      </c>
      <c r="R1520" s="1262" t="s">
        <v>5265</v>
      </c>
      <c r="S1520" s="254">
        <v>162.54</v>
      </c>
      <c r="T1520" s="204">
        <v>45162</v>
      </c>
      <c r="U1520" s="1262" t="s">
        <v>3097</v>
      </c>
      <c r="V1520" s="254">
        <v>81.27</v>
      </c>
      <c r="W1520" s="203" t="s">
        <v>4457</v>
      </c>
      <c r="X1520" s="206">
        <v>81.27</v>
      </c>
      <c r="Y1520" s="192"/>
    </row>
    <row r="1521" ht="37.5" customHeight="1" spans="1:25">
      <c r="A1521" s="192">
        <f t="shared" si="34"/>
        <v>1513</v>
      </c>
      <c r="B1521" s="208">
        <v>2023</v>
      </c>
      <c r="C1521" s="193" t="s">
        <v>37</v>
      </c>
      <c r="D1521" s="277" t="s">
        <v>5362</v>
      </c>
      <c r="E1521" s="195" t="s">
        <v>5363</v>
      </c>
      <c r="F1521" s="196" t="s">
        <v>2073</v>
      </c>
      <c r="G1521" s="197" t="s">
        <v>3239</v>
      </c>
      <c r="H1521" s="198">
        <v>0.8</v>
      </c>
      <c r="I1521" s="199">
        <v>13000</v>
      </c>
      <c r="J1521" s="200" t="s">
        <v>1952</v>
      </c>
      <c r="K1521" s="200" t="s">
        <v>3097</v>
      </c>
      <c r="L1521" s="201">
        <v>0.4</v>
      </c>
      <c r="M1521" s="278" t="s">
        <v>5335</v>
      </c>
      <c r="N1521" s="205">
        <v>2166.7</v>
      </c>
      <c r="O1521" s="254">
        <v>2166.7</v>
      </c>
      <c r="P1521" s="254">
        <v>1733.36</v>
      </c>
      <c r="Q1521" s="254">
        <v>1733.36</v>
      </c>
      <c r="R1521" s="1262" t="s">
        <v>5265</v>
      </c>
      <c r="S1521" s="254">
        <v>866.68</v>
      </c>
      <c r="T1521" s="204">
        <v>45162</v>
      </c>
      <c r="U1521" s="1262" t="s">
        <v>3097</v>
      </c>
      <c r="V1521" s="254">
        <v>433.34</v>
      </c>
      <c r="W1521" s="203" t="s">
        <v>4457</v>
      </c>
      <c r="X1521" s="206">
        <v>433.34</v>
      </c>
      <c r="Y1521" s="192"/>
    </row>
    <row r="1522" ht="37.5" customHeight="1" spans="1:25">
      <c r="A1522" s="192">
        <f t="shared" si="34"/>
        <v>1514</v>
      </c>
      <c r="B1522" s="208">
        <v>2023</v>
      </c>
      <c r="C1522" s="193" t="s">
        <v>37</v>
      </c>
      <c r="D1522" s="277" t="s">
        <v>5279</v>
      </c>
      <c r="E1522" s="195" t="s">
        <v>5364</v>
      </c>
      <c r="F1522" s="196" t="s">
        <v>2073</v>
      </c>
      <c r="G1522" s="197" t="s">
        <v>1137</v>
      </c>
      <c r="H1522" s="198">
        <v>0.8</v>
      </c>
      <c r="I1522" s="199">
        <v>125000</v>
      </c>
      <c r="J1522" s="200" t="s">
        <v>2429</v>
      </c>
      <c r="K1522" s="200" t="s">
        <v>2820</v>
      </c>
      <c r="L1522" s="201">
        <v>0.4</v>
      </c>
      <c r="M1522" s="278" t="s">
        <v>5281</v>
      </c>
      <c r="N1522" s="205">
        <v>27916.73</v>
      </c>
      <c r="O1522" s="254">
        <v>27916.73</v>
      </c>
      <c r="P1522" s="254">
        <v>22333.38</v>
      </c>
      <c r="Q1522" s="254">
        <v>22333.38</v>
      </c>
      <c r="R1522" s="1262" t="s">
        <v>5265</v>
      </c>
      <c r="S1522" s="254">
        <v>11166.69</v>
      </c>
      <c r="T1522" s="204">
        <v>45162</v>
      </c>
      <c r="U1522" s="1262" t="s">
        <v>3097</v>
      </c>
      <c r="V1522" s="254">
        <v>5583.35</v>
      </c>
      <c r="W1522" s="203" t="s">
        <v>4457</v>
      </c>
      <c r="X1522" s="206">
        <v>5583.35</v>
      </c>
      <c r="Y1522" s="192"/>
    </row>
    <row r="1523" ht="37.5" customHeight="1" spans="1:25">
      <c r="A1523" s="192">
        <f t="shared" si="34"/>
        <v>1515</v>
      </c>
      <c r="B1523" s="208">
        <v>2023</v>
      </c>
      <c r="C1523" s="193" t="s">
        <v>37</v>
      </c>
      <c r="D1523" s="277" t="s">
        <v>5365</v>
      </c>
      <c r="E1523" s="195" t="s">
        <v>5366</v>
      </c>
      <c r="F1523" s="196" t="s">
        <v>2073</v>
      </c>
      <c r="G1523" s="197" t="s">
        <v>3239</v>
      </c>
      <c r="H1523" s="198">
        <v>0.8</v>
      </c>
      <c r="I1523" s="199">
        <v>48967</v>
      </c>
      <c r="J1523" s="200" t="s">
        <v>3543</v>
      </c>
      <c r="K1523" s="200" t="s">
        <v>3544</v>
      </c>
      <c r="L1523" s="201">
        <v>0.4</v>
      </c>
      <c r="M1523" s="278" t="s">
        <v>5276</v>
      </c>
      <c r="N1523" s="205">
        <v>7389.66</v>
      </c>
      <c r="O1523" s="254">
        <v>7389.66</v>
      </c>
      <c r="P1523" s="254">
        <v>5911.73</v>
      </c>
      <c r="Q1523" s="254">
        <v>5911.73</v>
      </c>
      <c r="R1523" s="1262" t="s">
        <v>5265</v>
      </c>
      <c r="S1523" s="254">
        <v>2955.86</v>
      </c>
      <c r="T1523" s="204">
        <v>45162</v>
      </c>
      <c r="U1523" s="1262" t="s">
        <v>3097</v>
      </c>
      <c r="V1523" s="254">
        <v>1477.93</v>
      </c>
      <c r="W1523" s="203" t="s">
        <v>4457</v>
      </c>
      <c r="X1523" s="206">
        <v>1477.93</v>
      </c>
      <c r="Y1523" s="192"/>
    </row>
    <row r="1524" ht="37.5" customHeight="1" spans="1:25">
      <c r="A1524" s="192">
        <f t="shared" si="34"/>
        <v>1516</v>
      </c>
      <c r="B1524" s="208">
        <v>2023</v>
      </c>
      <c r="C1524" s="193" t="s">
        <v>37</v>
      </c>
      <c r="D1524" s="277" t="s">
        <v>5367</v>
      </c>
      <c r="E1524" s="195" t="s">
        <v>5368</v>
      </c>
      <c r="F1524" s="196" t="s">
        <v>2073</v>
      </c>
      <c r="G1524" s="197" t="s">
        <v>3239</v>
      </c>
      <c r="H1524" s="198">
        <v>0.8</v>
      </c>
      <c r="I1524" s="199">
        <v>75000</v>
      </c>
      <c r="J1524" s="200" t="s">
        <v>2103</v>
      </c>
      <c r="K1524" s="200" t="s">
        <v>2740</v>
      </c>
      <c r="L1524" s="201">
        <v>0.4</v>
      </c>
      <c r="M1524" s="278" t="s">
        <v>5359</v>
      </c>
      <c r="N1524" s="205">
        <v>6250.03</v>
      </c>
      <c r="O1524" s="254">
        <v>6250.03</v>
      </c>
      <c r="P1524" s="254">
        <v>5000.02</v>
      </c>
      <c r="Q1524" s="254">
        <v>5000.02</v>
      </c>
      <c r="R1524" s="1262" t="s">
        <v>5265</v>
      </c>
      <c r="S1524" s="254">
        <v>2500.01</v>
      </c>
      <c r="T1524" s="204">
        <v>45162</v>
      </c>
      <c r="U1524" s="1262" t="s">
        <v>3097</v>
      </c>
      <c r="V1524" s="254">
        <v>1250.01</v>
      </c>
      <c r="W1524" s="203" t="s">
        <v>4457</v>
      </c>
      <c r="X1524" s="206">
        <v>1250.01</v>
      </c>
      <c r="Y1524" s="192"/>
    </row>
    <row r="1525" ht="37.5" customHeight="1" spans="1:25">
      <c r="A1525" s="192">
        <f t="shared" si="34"/>
        <v>1517</v>
      </c>
      <c r="B1525" s="208">
        <v>2023</v>
      </c>
      <c r="C1525" s="193" t="s">
        <v>37</v>
      </c>
      <c r="D1525" s="277" t="s">
        <v>5357</v>
      </c>
      <c r="E1525" s="195" t="s">
        <v>5369</v>
      </c>
      <c r="F1525" s="196" t="s">
        <v>2073</v>
      </c>
      <c r="G1525" s="197" t="s">
        <v>3239</v>
      </c>
      <c r="H1525" s="198">
        <v>0.8</v>
      </c>
      <c r="I1525" s="199">
        <v>16797.06</v>
      </c>
      <c r="J1525" s="200" t="s">
        <v>3376</v>
      </c>
      <c r="K1525" s="200" t="s">
        <v>3377</v>
      </c>
      <c r="L1525" s="201">
        <v>0.4</v>
      </c>
      <c r="M1525" s="278" t="s">
        <v>5359</v>
      </c>
      <c r="N1525" s="205">
        <v>2000.06</v>
      </c>
      <c r="O1525" s="254">
        <v>2000.06</v>
      </c>
      <c r="P1525" s="254">
        <v>1600.05</v>
      </c>
      <c r="Q1525" s="254">
        <v>1600.05</v>
      </c>
      <c r="R1525" s="1262" t="s">
        <v>5265</v>
      </c>
      <c r="S1525" s="254">
        <v>800.02</v>
      </c>
      <c r="T1525" s="204">
        <v>45162</v>
      </c>
      <c r="U1525" s="1262" t="s">
        <v>3097</v>
      </c>
      <c r="V1525" s="254">
        <v>400.01</v>
      </c>
      <c r="W1525" s="203" t="s">
        <v>4457</v>
      </c>
      <c r="X1525" s="206">
        <v>400.01</v>
      </c>
      <c r="Y1525" s="192"/>
    </row>
    <row r="1526" ht="37.5" customHeight="1" spans="1:25">
      <c r="A1526" s="192">
        <f t="shared" si="34"/>
        <v>1518</v>
      </c>
      <c r="B1526" s="208">
        <v>2023</v>
      </c>
      <c r="C1526" s="193" t="s">
        <v>37</v>
      </c>
      <c r="D1526" s="277" t="s">
        <v>5370</v>
      </c>
      <c r="E1526" s="195" t="s">
        <v>5371</v>
      </c>
      <c r="F1526" s="196" t="s">
        <v>2073</v>
      </c>
      <c r="G1526" s="197" t="s">
        <v>1137</v>
      </c>
      <c r="H1526" s="198">
        <v>0.8</v>
      </c>
      <c r="I1526" s="199">
        <v>15000</v>
      </c>
      <c r="J1526" s="200" t="s">
        <v>2120</v>
      </c>
      <c r="K1526" s="200" t="s">
        <v>2800</v>
      </c>
      <c r="L1526" s="201">
        <v>0.4</v>
      </c>
      <c r="M1526" s="278" t="s">
        <v>5372</v>
      </c>
      <c r="N1526" s="205">
        <v>4166.75</v>
      </c>
      <c r="O1526" s="254">
        <v>4166.75</v>
      </c>
      <c r="P1526" s="254">
        <v>3333.4</v>
      </c>
      <c r="Q1526" s="254">
        <v>3333.4</v>
      </c>
      <c r="R1526" s="1262" t="s">
        <v>5265</v>
      </c>
      <c r="S1526" s="254">
        <v>1666.7</v>
      </c>
      <c r="T1526" s="204">
        <v>45162</v>
      </c>
      <c r="U1526" s="1262" t="s">
        <v>3097</v>
      </c>
      <c r="V1526" s="254">
        <v>833.35</v>
      </c>
      <c r="W1526" s="203" t="s">
        <v>4457</v>
      </c>
      <c r="X1526" s="206">
        <v>833.35</v>
      </c>
      <c r="Y1526" s="192"/>
    </row>
    <row r="1527" ht="37.5" customHeight="1" spans="1:25">
      <c r="A1527" s="192">
        <f t="shared" si="34"/>
        <v>1519</v>
      </c>
      <c r="B1527" s="208">
        <v>2023</v>
      </c>
      <c r="C1527" s="193" t="s">
        <v>37</v>
      </c>
      <c r="D1527" s="277" t="s">
        <v>5279</v>
      </c>
      <c r="E1527" s="195" t="s">
        <v>5373</v>
      </c>
      <c r="F1527" s="196" t="s">
        <v>2073</v>
      </c>
      <c r="G1527" s="197" t="s">
        <v>3239</v>
      </c>
      <c r="H1527" s="198">
        <v>0.8</v>
      </c>
      <c r="I1527" s="199">
        <v>34000</v>
      </c>
      <c r="J1527" s="200" t="s">
        <v>2120</v>
      </c>
      <c r="K1527" s="200" t="s">
        <v>2800</v>
      </c>
      <c r="L1527" s="201">
        <v>0.4</v>
      </c>
      <c r="M1527" s="278" t="s">
        <v>5281</v>
      </c>
      <c r="N1527" s="205">
        <v>11000.11</v>
      </c>
      <c r="O1527" s="254">
        <v>11000.11</v>
      </c>
      <c r="P1527" s="254">
        <v>8800.09</v>
      </c>
      <c r="Q1527" s="254">
        <v>8800.09</v>
      </c>
      <c r="R1527" s="1262" t="s">
        <v>5265</v>
      </c>
      <c r="S1527" s="254">
        <v>4400.04</v>
      </c>
      <c r="T1527" s="204">
        <v>45162</v>
      </c>
      <c r="U1527" s="1262" t="s">
        <v>3097</v>
      </c>
      <c r="V1527" s="254">
        <v>2200.02</v>
      </c>
      <c r="W1527" s="203" t="s">
        <v>4457</v>
      </c>
      <c r="X1527" s="206">
        <v>2200.02</v>
      </c>
      <c r="Y1527" s="192"/>
    </row>
    <row r="1528" ht="37.5" customHeight="1" spans="1:25">
      <c r="A1528" s="192">
        <f t="shared" si="34"/>
        <v>1520</v>
      </c>
      <c r="B1528" s="208">
        <v>2023</v>
      </c>
      <c r="C1528" s="193" t="s">
        <v>37</v>
      </c>
      <c r="D1528" s="277" t="s">
        <v>5374</v>
      </c>
      <c r="E1528" s="195" t="s">
        <v>5375</v>
      </c>
      <c r="F1528" s="196" t="s">
        <v>2073</v>
      </c>
      <c r="G1528" s="197" t="s">
        <v>3239</v>
      </c>
      <c r="H1528" s="198">
        <v>0.8</v>
      </c>
      <c r="I1528" s="199">
        <v>14483.3</v>
      </c>
      <c r="J1528" s="200" t="s">
        <v>2120</v>
      </c>
      <c r="K1528" s="200" t="s">
        <v>2800</v>
      </c>
      <c r="L1528" s="201">
        <v>0.4</v>
      </c>
      <c r="M1528" s="278" t="s">
        <v>4740</v>
      </c>
      <c r="N1528" s="205">
        <v>1500</v>
      </c>
      <c r="O1528" s="254">
        <v>1500</v>
      </c>
      <c r="P1528" s="254">
        <v>1200</v>
      </c>
      <c r="Q1528" s="254">
        <v>1200</v>
      </c>
      <c r="R1528" s="1262" t="s">
        <v>5265</v>
      </c>
      <c r="S1528" s="254">
        <v>600</v>
      </c>
      <c r="T1528" s="204">
        <v>45162</v>
      </c>
      <c r="U1528" s="1262" t="s">
        <v>3097</v>
      </c>
      <c r="V1528" s="254">
        <v>300</v>
      </c>
      <c r="W1528" s="203" t="s">
        <v>4457</v>
      </c>
      <c r="X1528" s="206">
        <v>300</v>
      </c>
      <c r="Y1528" s="192"/>
    </row>
    <row r="1529" ht="37.5" customHeight="1" spans="1:25">
      <c r="A1529" s="192">
        <f t="shared" si="34"/>
        <v>1521</v>
      </c>
      <c r="B1529" s="208">
        <v>2023</v>
      </c>
      <c r="C1529" s="193" t="s">
        <v>37</v>
      </c>
      <c r="D1529" s="277" t="s">
        <v>2804</v>
      </c>
      <c r="E1529" s="195" t="s">
        <v>5376</v>
      </c>
      <c r="F1529" s="196" t="s">
        <v>2073</v>
      </c>
      <c r="G1529" s="197" t="s">
        <v>3239</v>
      </c>
      <c r="H1529" s="198">
        <v>0.8</v>
      </c>
      <c r="I1529" s="199">
        <v>122060</v>
      </c>
      <c r="J1529" s="200" t="s">
        <v>1848</v>
      </c>
      <c r="K1529" s="200" t="s">
        <v>2671</v>
      </c>
      <c r="L1529" s="201">
        <v>0.4</v>
      </c>
      <c r="M1529" s="278" t="s">
        <v>5276</v>
      </c>
      <c r="N1529" s="205">
        <v>120000</v>
      </c>
      <c r="O1529" s="254">
        <v>120000</v>
      </c>
      <c r="P1529" s="254">
        <v>96000</v>
      </c>
      <c r="Q1529" s="254">
        <v>96000</v>
      </c>
      <c r="R1529" s="1262" t="s">
        <v>5265</v>
      </c>
      <c r="S1529" s="254">
        <v>48000</v>
      </c>
      <c r="T1529" s="204">
        <v>45162</v>
      </c>
      <c r="U1529" s="1262" t="s">
        <v>3097</v>
      </c>
      <c r="V1529" s="254">
        <v>24000</v>
      </c>
      <c r="W1529" s="203" t="s">
        <v>4457</v>
      </c>
      <c r="X1529" s="206">
        <v>24000</v>
      </c>
      <c r="Y1529" s="192"/>
    </row>
    <row r="1530" ht="37.5" customHeight="1" spans="1:25">
      <c r="A1530" s="192">
        <f t="shared" si="34"/>
        <v>1522</v>
      </c>
      <c r="B1530" s="208">
        <v>2023</v>
      </c>
      <c r="C1530" s="193" t="s">
        <v>37</v>
      </c>
      <c r="D1530" s="277" t="s">
        <v>4668</v>
      </c>
      <c r="E1530" s="195" t="s">
        <v>5377</v>
      </c>
      <c r="F1530" s="196" t="s">
        <v>2073</v>
      </c>
      <c r="G1530" s="197" t="s">
        <v>1137</v>
      </c>
      <c r="H1530" s="198">
        <v>0.8</v>
      </c>
      <c r="I1530" s="199">
        <v>19407.44</v>
      </c>
      <c r="J1530" s="200" t="s">
        <v>1848</v>
      </c>
      <c r="K1530" s="200" t="s">
        <v>2671</v>
      </c>
      <c r="L1530" s="201">
        <v>0.4</v>
      </c>
      <c r="M1530" s="278" t="s">
        <v>5335</v>
      </c>
      <c r="N1530" s="205">
        <v>250.03</v>
      </c>
      <c r="O1530" s="254">
        <v>250.03</v>
      </c>
      <c r="P1530" s="254">
        <v>200.02</v>
      </c>
      <c r="Q1530" s="254">
        <v>200.02</v>
      </c>
      <c r="R1530" s="1262" t="s">
        <v>5265</v>
      </c>
      <c r="S1530" s="254">
        <v>100.01</v>
      </c>
      <c r="T1530" s="204">
        <v>45162</v>
      </c>
      <c r="U1530" s="1262" t="s">
        <v>3097</v>
      </c>
      <c r="V1530" s="254">
        <v>50.01</v>
      </c>
      <c r="W1530" s="203" t="s">
        <v>4457</v>
      </c>
      <c r="X1530" s="206">
        <v>50.01</v>
      </c>
      <c r="Y1530" s="192"/>
    </row>
    <row r="1531" ht="37.5" customHeight="1" spans="1:25">
      <c r="A1531" s="192">
        <f t="shared" si="34"/>
        <v>1523</v>
      </c>
      <c r="B1531" s="208">
        <v>2023</v>
      </c>
      <c r="C1531" s="193" t="s">
        <v>37</v>
      </c>
      <c r="D1531" s="277" t="s">
        <v>5320</v>
      </c>
      <c r="E1531" s="195" t="s">
        <v>5378</v>
      </c>
      <c r="F1531" s="196" t="s">
        <v>2073</v>
      </c>
      <c r="G1531" s="197" t="s">
        <v>3239</v>
      </c>
      <c r="H1531" s="198">
        <v>0.8</v>
      </c>
      <c r="I1531" s="199">
        <v>14722.29</v>
      </c>
      <c r="J1531" s="200" t="s">
        <v>2053</v>
      </c>
      <c r="K1531" s="200" t="s">
        <v>2709</v>
      </c>
      <c r="L1531" s="201">
        <v>0.4</v>
      </c>
      <c r="M1531" s="278" t="s">
        <v>3726</v>
      </c>
      <c r="N1531" s="205">
        <v>315.34</v>
      </c>
      <c r="O1531" s="254">
        <v>315.34</v>
      </c>
      <c r="P1531" s="254">
        <v>252.27</v>
      </c>
      <c r="Q1531" s="254">
        <v>252.27</v>
      </c>
      <c r="R1531" s="1262" t="s">
        <v>5265</v>
      </c>
      <c r="S1531" s="254">
        <v>126.14</v>
      </c>
      <c r="T1531" s="204">
        <v>45162</v>
      </c>
      <c r="U1531" s="1262" t="s">
        <v>3097</v>
      </c>
      <c r="V1531" s="254">
        <v>63.07</v>
      </c>
      <c r="W1531" s="203" t="s">
        <v>4457</v>
      </c>
      <c r="X1531" s="206">
        <v>63.07</v>
      </c>
      <c r="Y1531" s="192"/>
    </row>
    <row r="1532" ht="37.5" customHeight="1" spans="1:25">
      <c r="A1532" s="192">
        <f t="shared" si="34"/>
        <v>1524</v>
      </c>
      <c r="B1532" s="208">
        <v>2023</v>
      </c>
      <c r="C1532" s="193" t="s">
        <v>37</v>
      </c>
      <c r="D1532" s="277" t="s">
        <v>5379</v>
      </c>
      <c r="E1532" s="195" t="s">
        <v>5380</v>
      </c>
      <c r="F1532" s="196" t="s">
        <v>2073</v>
      </c>
      <c r="G1532" s="197" t="s">
        <v>3239</v>
      </c>
      <c r="H1532" s="198">
        <v>0.8</v>
      </c>
      <c r="I1532" s="199">
        <v>14062.02</v>
      </c>
      <c r="J1532" s="200" t="s">
        <v>2761</v>
      </c>
      <c r="K1532" s="200" t="s">
        <v>2762</v>
      </c>
      <c r="L1532" s="201">
        <v>0.4</v>
      </c>
      <c r="M1532" s="278" t="s">
        <v>5381</v>
      </c>
      <c r="N1532" s="205">
        <v>750</v>
      </c>
      <c r="O1532" s="254">
        <v>750</v>
      </c>
      <c r="P1532" s="254">
        <v>600</v>
      </c>
      <c r="Q1532" s="254">
        <v>600</v>
      </c>
      <c r="R1532" s="1262" t="s">
        <v>5265</v>
      </c>
      <c r="S1532" s="254">
        <v>300</v>
      </c>
      <c r="T1532" s="204">
        <v>45162</v>
      </c>
      <c r="U1532" s="1262" t="s">
        <v>3097</v>
      </c>
      <c r="V1532" s="254">
        <v>150</v>
      </c>
      <c r="W1532" s="203" t="s">
        <v>4457</v>
      </c>
      <c r="X1532" s="206">
        <v>150</v>
      </c>
      <c r="Y1532" s="192"/>
    </row>
    <row r="1533" ht="37.5" customHeight="1" spans="1:25">
      <c r="A1533" s="192">
        <f t="shared" si="34"/>
        <v>1525</v>
      </c>
      <c r="B1533" s="208">
        <v>2023</v>
      </c>
      <c r="C1533" s="193" t="s">
        <v>37</v>
      </c>
      <c r="D1533" s="277" t="s">
        <v>5382</v>
      </c>
      <c r="E1533" s="195" t="s">
        <v>5383</v>
      </c>
      <c r="F1533" s="196" t="s">
        <v>2073</v>
      </c>
      <c r="G1533" s="197" t="s">
        <v>3239</v>
      </c>
      <c r="H1533" s="198">
        <v>0.8</v>
      </c>
      <c r="I1533" s="199">
        <v>65000</v>
      </c>
      <c r="J1533" s="200" t="s">
        <v>2761</v>
      </c>
      <c r="K1533" s="200" t="s">
        <v>2762</v>
      </c>
      <c r="L1533" s="201">
        <v>0.4</v>
      </c>
      <c r="M1533" s="278" t="s">
        <v>5025</v>
      </c>
      <c r="N1533" s="205">
        <v>16250.06</v>
      </c>
      <c r="O1533" s="254">
        <v>16250.06</v>
      </c>
      <c r="P1533" s="254">
        <v>13000.05</v>
      </c>
      <c r="Q1533" s="254">
        <v>13000.05</v>
      </c>
      <c r="R1533" s="1262" t="s">
        <v>5265</v>
      </c>
      <c r="S1533" s="254">
        <v>6500.02</v>
      </c>
      <c r="T1533" s="204">
        <v>45162</v>
      </c>
      <c r="U1533" s="1262" t="s">
        <v>3097</v>
      </c>
      <c r="V1533" s="254">
        <v>3250.01</v>
      </c>
      <c r="W1533" s="203" t="s">
        <v>4457</v>
      </c>
      <c r="X1533" s="206">
        <v>3250.01</v>
      </c>
      <c r="Y1533" s="192"/>
    </row>
    <row r="1534" ht="37.5" customHeight="1" spans="1:25">
      <c r="A1534" s="192">
        <f t="shared" si="34"/>
        <v>1526</v>
      </c>
      <c r="B1534" s="208">
        <v>2023</v>
      </c>
      <c r="C1534" s="193" t="s">
        <v>37</v>
      </c>
      <c r="D1534" s="277" t="s">
        <v>5355</v>
      </c>
      <c r="E1534" s="195" t="s">
        <v>5384</v>
      </c>
      <c r="F1534" s="196" t="s">
        <v>2073</v>
      </c>
      <c r="G1534" s="197" t="s">
        <v>3239</v>
      </c>
      <c r="H1534" s="198">
        <v>0.8</v>
      </c>
      <c r="I1534" s="199">
        <v>27000</v>
      </c>
      <c r="J1534" s="200" t="s">
        <v>2984</v>
      </c>
      <c r="K1534" s="200" t="s">
        <v>2985</v>
      </c>
      <c r="L1534" s="201">
        <v>0.4</v>
      </c>
      <c r="M1534" s="278" t="s">
        <v>5308</v>
      </c>
      <c r="N1534" s="205">
        <v>6750.18</v>
      </c>
      <c r="O1534" s="254">
        <v>6750.18</v>
      </c>
      <c r="P1534" s="254">
        <v>5400.15</v>
      </c>
      <c r="Q1534" s="254">
        <v>5400.15</v>
      </c>
      <c r="R1534" s="1262" t="s">
        <v>5265</v>
      </c>
      <c r="S1534" s="254">
        <v>2700.07</v>
      </c>
      <c r="T1534" s="204">
        <v>45162</v>
      </c>
      <c r="U1534" s="1262" t="s">
        <v>3097</v>
      </c>
      <c r="V1534" s="254">
        <v>1350.04</v>
      </c>
      <c r="W1534" s="203" t="s">
        <v>4457</v>
      </c>
      <c r="X1534" s="206">
        <v>1350.04</v>
      </c>
      <c r="Y1534" s="192"/>
    </row>
    <row r="1535" ht="37.5" customHeight="1" spans="1:25">
      <c r="A1535" s="192">
        <f t="shared" si="34"/>
        <v>1527</v>
      </c>
      <c r="B1535" s="208">
        <v>2023</v>
      </c>
      <c r="C1535" s="193" t="s">
        <v>37</v>
      </c>
      <c r="D1535" s="277" t="s">
        <v>5311</v>
      </c>
      <c r="E1535" s="195" t="s">
        <v>5385</v>
      </c>
      <c r="F1535" s="196" t="s">
        <v>2073</v>
      </c>
      <c r="G1535" s="197" t="s">
        <v>1137</v>
      </c>
      <c r="H1535" s="198">
        <v>0.8</v>
      </c>
      <c r="I1535" s="199">
        <v>19005.55</v>
      </c>
      <c r="J1535" s="200" t="s">
        <v>2984</v>
      </c>
      <c r="K1535" s="200" t="s">
        <v>2985</v>
      </c>
      <c r="L1535" s="201">
        <v>0.4</v>
      </c>
      <c r="M1535" s="278" t="s">
        <v>5313</v>
      </c>
      <c r="N1535" s="205">
        <v>1200</v>
      </c>
      <c r="O1535" s="254">
        <v>1200</v>
      </c>
      <c r="P1535" s="254">
        <v>960</v>
      </c>
      <c r="Q1535" s="254">
        <v>960</v>
      </c>
      <c r="R1535" s="1262" t="s">
        <v>5265</v>
      </c>
      <c r="S1535" s="254">
        <v>480</v>
      </c>
      <c r="T1535" s="204">
        <v>45162</v>
      </c>
      <c r="U1535" s="1262" t="s">
        <v>3097</v>
      </c>
      <c r="V1535" s="254">
        <v>240</v>
      </c>
      <c r="W1535" s="203" t="s">
        <v>4457</v>
      </c>
      <c r="X1535" s="206">
        <v>240</v>
      </c>
      <c r="Y1535" s="192"/>
    </row>
    <row r="1536" ht="37.5" customHeight="1" spans="1:25">
      <c r="A1536" s="192">
        <f t="shared" si="34"/>
        <v>1528</v>
      </c>
      <c r="B1536" s="208">
        <v>2023</v>
      </c>
      <c r="C1536" s="193" t="s">
        <v>37</v>
      </c>
      <c r="D1536" s="277" t="s">
        <v>5386</v>
      </c>
      <c r="E1536" s="195" t="s">
        <v>5387</v>
      </c>
      <c r="F1536" s="196" t="s">
        <v>2073</v>
      </c>
      <c r="G1536" s="197" t="s">
        <v>3239</v>
      </c>
      <c r="H1536" s="198">
        <v>0.8</v>
      </c>
      <c r="I1536" s="199">
        <v>179500</v>
      </c>
      <c r="J1536" s="200" t="s">
        <v>2092</v>
      </c>
      <c r="K1536" s="200" t="s">
        <v>2926</v>
      </c>
      <c r="L1536" s="201">
        <v>0.4</v>
      </c>
      <c r="M1536" s="278" t="s">
        <v>5313</v>
      </c>
      <c r="N1536" s="205">
        <v>47791.79</v>
      </c>
      <c r="O1536" s="254">
        <v>47791.79</v>
      </c>
      <c r="P1536" s="254">
        <v>38233.43</v>
      </c>
      <c r="Q1536" s="254">
        <v>38233.43</v>
      </c>
      <c r="R1536" s="1262" t="s">
        <v>5265</v>
      </c>
      <c r="S1536" s="254">
        <v>19116.72</v>
      </c>
      <c r="T1536" s="204">
        <v>45162</v>
      </c>
      <c r="U1536" s="1262" t="s">
        <v>3097</v>
      </c>
      <c r="V1536" s="254">
        <v>9558.36</v>
      </c>
      <c r="W1536" s="203" t="s">
        <v>4457</v>
      </c>
      <c r="X1536" s="206">
        <v>9558.36</v>
      </c>
      <c r="Y1536" s="192"/>
    </row>
    <row r="1537" ht="37.5" customHeight="1" spans="1:25">
      <c r="A1537" s="192">
        <f t="shared" si="34"/>
        <v>1529</v>
      </c>
      <c r="B1537" s="208">
        <v>2023</v>
      </c>
      <c r="C1537" s="193" t="s">
        <v>37</v>
      </c>
      <c r="D1537" s="277" t="s">
        <v>5388</v>
      </c>
      <c r="E1537" s="195" t="s">
        <v>5389</v>
      </c>
      <c r="F1537" s="196" t="s">
        <v>2073</v>
      </c>
      <c r="G1537" s="197" t="s">
        <v>3239</v>
      </c>
      <c r="H1537" s="198">
        <v>0.8</v>
      </c>
      <c r="I1537" s="199">
        <v>90000</v>
      </c>
      <c r="J1537" s="200" t="s">
        <v>2961</v>
      </c>
      <c r="K1537" s="200" t="s">
        <v>2962</v>
      </c>
      <c r="L1537" s="201">
        <v>0.4</v>
      </c>
      <c r="M1537" s="278" t="s">
        <v>4990</v>
      </c>
      <c r="N1537" s="205">
        <v>12500.06</v>
      </c>
      <c r="O1537" s="254">
        <v>12500.06</v>
      </c>
      <c r="P1537" s="254">
        <v>10000.05</v>
      </c>
      <c r="Q1537" s="254">
        <v>10000.05</v>
      </c>
      <c r="R1537" s="1262" t="s">
        <v>5265</v>
      </c>
      <c r="S1537" s="254">
        <v>5000.02</v>
      </c>
      <c r="T1537" s="204">
        <v>45162</v>
      </c>
      <c r="U1537" s="1262" t="s">
        <v>3097</v>
      </c>
      <c r="V1537" s="254">
        <v>2500.01</v>
      </c>
      <c r="W1537" s="203" t="s">
        <v>4457</v>
      </c>
      <c r="X1537" s="206">
        <v>2500.01</v>
      </c>
      <c r="Y1537" s="192"/>
    </row>
    <row r="1538" ht="37.5" customHeight="1" spans="1:25">
      <c r="A1538" s="192">
        <f t="shared" si="34"/>
        <v>1530</v>
      </c>
      <c r="B1538" s="208">
        <v>2023</v>
      </c>
      <c r="C1538" s="193" t="s">
        <v>37</v>
      </c>
      <c r="D1538" s="277" t="s">
        <v>5271</v>
      </c>
      <c r="E1538" s="195" t="s">
        <v>5390</v>
      </c>
      <c r="F1538" s="196" t="s">
        <v>2073</v>
      </c>
      <c r="G1538" s="197" t="s">
        <v>3239</v>
      </c>
      <c r="H1538" s="198">
        <v>0.8</v>
      </c>
      <c r="I1538" s="199">
        <v>18491.17</v>
      </c>
      <c r="J1538" s="200" t="s">
        <v>2912</v>
      </c>
      <c r="K1538" s="200" t="s">
        <v>2913</v>
      </c>
      <c r="L1538" s="201">
        <v>0.4</v>
      </c>
      <c r="M1538" s="278" t="s">
        <v>5273</v>
      </c>
      <c r="N1538" s="205">
        <v>400.03</v>
      </c>
      <c r="O1538" s="254">
        <v>400.03</v>
      </c>
      <c r="P1538" s="254">
        <v>320.02</v>
      </c>
      <c r="Q1538" s="254">
        <v>320.02</v>
      </c>
      <c r="R1538" s="1262" t="s">
        <v>5265</v>
      </c>
      <c r="S1538" s="254">
        <v>160.01</v>
      </c>
      <c r="T1538" s="204">
        <v>45162</v>
      </c>
      <c r="U1538" s="1262" t="s">
        <v>3097</v>
      </c>
      <c r="V1538" s="254">
        <v>80.01</v>
      </c>
      <c r="W1538" s="203" t="s">
        <v>4457</v>
      </c>
      <c r="X1538" s="206">
        <v>80.01</v>
      </c>
      <c r="Y1538" s="192"/>
    </row>
    <row r="1539" ht="37.5" customHeight="1" spans="1:25">
      <c r="A1539" s="192">
        <f t="shared" si="34"/>
        <v>1531</v>
      </c>
      <c r="B1539" s="208">
        <v>2023</v>
      </c>
      <c r="C1539" s="193" t="s">
        <v>37</v>
      </c>
      <c r="D1539" s="277" t="s">
        <v>5391</v>
      </c>
      <c r="E1539" s="195" t="s">
        <v>5392</v>
      </c>
      <c r="F1539" s="196" t="s">
        <v>2073</v>
      </c>
      <c r="G1539" s="197" t="s">
        <v>3239</v>
      </c>
      <c r="H1539" s="198">
        <v>0.8</v>
      </c>
      <c r="I1539" s="199">
        <v>120000</v>
      </c>
      <c r="J1539" s="200" t="s">
        <v>2977</v>
      </c>
      <c r="K1539" s="200" t="s">
        <v>2978</v>
      </c>
      <c r="L1539" s="201">
        <v>0.4</v>
      </c>
      <c r="M1539" s="278" t="s">
        <v>4640</v>
      </c>
      <c r="N1539" s="205">
        <v>30000</v>
      </c>
      <c r="O1539" s="254">
        <v>30000</v>
      </c>
      <c r="P1539" s="254">
        <v>24000</v>
      </c>
      <c r="Q1539" s="254">
        <v>24000</v>
      </c>
      <c r="R1539" s="1262" t="s">
        <v>5265</v>
      </c>
      <c r="S1539" s="254">
        <v>12000</v>
      </c>
      <c r="T1539" s="204">
        <v>45162</v>
      </c>
      <c r="U1539" s="1262" t="s">
        <v>3097</v>
      </c>
      <c r="V1539" s="254">
        <v>6000</v>
      </c>
      <c r="W1539" s="203" t="s">
        <v>4457</v>
      </c>
      <c r="X1539" s="206">
        <v>6000</v>
      </c>
      <c r="Y1539" s="192"/>
    </row>
    <row r="1540" ht="37.5" customHeight="1" spans="1:25">
      <c r="A1540" s="192">
        <f t="shared" si="34"/>
        <v>1532</v>
      </c>
      <c r="B1540" s="208">
        <v>2023</v>
      </c>
      <c r="C1540" s="193" t="s">
        <v>37</v>
      </c>
      <c r="D1540" s="277" t="s">
        <v>5393</v>
      </c>
      <c r="E1540" s="195" t="s">
        <v>5394</v>
      </c>
      <c r="F1540" s="196" t="s">
        <v>2073</v>
      </c>
      <c r="G1540" s="197" t="s">
        <v>1137</v>
      </c>
      <c r="H1540" s="198">
        <v>0.8</v>
      </c>
      <c r="I1540" s="199">
        <v>46000</v>
      </c>
      <c r="J1540" s="200" t="s">
        <v>2261</v>
      </c>
      <c r="K1540" s="200" t="s">
        <v>3389</v>
      </c>
      <c r="L1540" s="201">
        <v>0.4</v>
      </c>
      <c r="M1540" s="278" t="s">
        <v>5325</v>
      </c>
      <c r="N1540" s="205">
        <v>46000</v>
      </c>
      <c r="O1540" s="254">
        <v>46000</v>
      </c>
      <c r="P1540" s="254">
        <v>36800</v>
      </c>
      <c r="Q1540" s="254">
        <v>36800</v>
      </c>
      <c r="R1540" s="1262" t="s">
        <v>5265</v>
      </c>
      <c r="S1540" s="254">
        <v>18400</v>
      </c>
      <c r="T1540" s="204">
        <v>45162</v>
      </c>
      <c r="U1540" s="1262" t="s">
        <v>3097</v>
      </c>
      <c r="V1540" s="254">
        <v>9200</v>
      </c>
      <c r="W1540" s="203" t="s">
        <v>4457</v>
      </c>
      <c r="X1540" s="206">
        <v>9200</v>
      </c>
      <c r="Y1540" s="192"/>
    </row>
    <row r="1541" ht="37.5" customHeight="1" spans="1:25">
      <c r="A1541" s="192">
        <f t="shared" si="34"/>
        <v>1533</v>
      </c>
      <c r="B1541" s="208">
        <v>2023</v>
      </c>
      <c r="C1541" s="193" t="s">
        <v>37</v>
      </c>
      <c r="D1541" s="277" t="s">
        <v>338</v>
      </c>
      <c r="E1541" s="195" t="s">
        <v>5395</v>
      </c>
      <c r="F1541" s="196" t="s">
        <v>2073</v>
      </c>
      <c r="G1541" s="197" t="s">
        <v>3239</v>
      </c>
      <c r="H1541" s="198">
        <v>0.8</v>
      </c>
      <c r="I1541" s="199">
        <v>25364</v>
      </c>
      <c r="J1541" s="200" t="s">
        <v>1959</v>
      </c>
      <c r="K1541" s="200" t="s">
        <v>3391</v>
      </c>
      <c r="L1541" s="201">
        <v>0.4</v>
      </c>
      <c r="M1541" s="278" t="s">
        <v>5289</v>
      </c>
      <c r="N1541" s="205">
        <v>6341.15</v>
      </c>
      <c r="O1541" s="254">
        <v>6341.15</v>
      </c>
      <c r="P1541" s="254">
        <v>5072.92</v>
      </c>
      <c r="Q1541" s="254">
        <v>5072.92</v>
      </c>
      <c r="R1541" s="1262" t="s">
        <v>5265</v>
      </c>
      <c r="S1541" s="254">
        <v>2536.46</v>
      </c>
      <c r="T1541" s="204">
        <v>45162</v>
      </c>
      <c r="U1541" s="1262" t="s">
        <v>3097</v>
      </c>
      <c r="V1541" s="254">
        <v>1268.23</v>
      </c>
      <c r="W1541" s="203" t="s">
        <v>4457</v>
      </c>
      <c r="X1541" s="206">
        <v>1268.23</v>
      </c>
      <c r="Y1541" s="192"/>
    </row>
    <row r="1542" ht="37.5" customHeight="1" spans="1:25">
      <c r="A1542" s="192">
        <f t="shared" si="34"/>
        <v>1534</v>
      </c>
      <c r="B1542" s="208">
        <v>2023</v>
      </c>
      <c r="C1542" s="193" t="s">
        <v>37</v>
      </c>
      <c r="D1542" s="277" t="s">
        <v>5336</v>
      </c>
      <c r="E1542" s="195" t="s">
        <v>5396</v>
      </c>
      <c r="F1542" s="196" t="s">
        <v>2073</v>
      </c>
      <c r="G1542" s="197" t="s">
        <v>3239</v>
      </c>
      <c r="H1542" s="198">
        <v>0.8</v>
      </c>
      <c r="I1542" s="199">
        <v>40000</v>
      </c>
      <c r="J1542" s="200" t="s">
        <v>2212</v>
      </c>
      <c r="K1542" s="200" t="s">
        <v>3109</v>
      </c>
      <c r="L1542" s="201">
        <v>0.4</v>
      </c>
      <c r="M1542" s="278" t="s">
        <v>5338</v>
      </c>
      <c r="N1542" s="205">
        <v>7727.34</v>
      </c>
      <c r="O1542" s="254">
        <v>7727.34</v>
      </c>
      <c r="P1542" s="254">
        <v>6181.87</v>
      </c>
      <c r="Q1542" s="254">
        <v>6181.87</v>
      </c>
      <c r="R1542" s="1262" t="s">
        <v>5265</v>
      </c>
      <c r="S1542" s="254">
        <v>3090.94</v>
      </c>
      <c r="T1542" s="204">
        <v>45162</v>
      </c>
      <c r="U1542" s="1262" t="s">
        <v>3097</v>
      </c>
      <c r="V1542" s="254">
        <v>1545.47</v>
      </c>
      <c r="W1542" s="203" t="s">
        <v>4457</v>
      </c>
      <c r="X1542" s="206">
        <v>1545.47</v>
      </c>
      <c r="Y1542" s="192"/>
    </row>
    <row r="1543" ht="37.5" customHeight="1" spans="1:25">
      <c r="A1543" s="192">
        <f t="shared" si="34"/>
        <v>1535</v>
      </c>
      <c r="B1543" s="208">
        <v>2023</v>
      </c>
      <c r="C1543" s="193" t="s">
        <v>37</v>
      </c>
      <c r="D1543" s="277" t="s">
        <v>5054</v>
      </c>
      <c r="E1543" s="195" t="s">
        <v>5397</v>
      </c>
      <c r="F1543" s="196" t="s">
        <v>2073</v>
      </c>
      <c r="G1543" s="197" t="s">
        <v>3239</v>
      </c>
      <c r="H1543" s="198">
        <v>0.8</v>
      </c>
      <c r="I1543" s="199">
        <v>11000</v>
      </c>
      <c r="J1543" s="200" t="s">
        <v>2993</v>
      </c>
      <c r="K1543" s="200" t="s">
        <v>2994</v>
      </c>
      <c r="L1543" s="201">
        <v>0.4</v>
      </c>
      <c r="M1543" s="278" t="s">
        <v>3726</v>
      </c>
      <c r="N1543" s="205">
        <v>5500.01</v>
      </c>
      <c r="O1543" s="254">
        <v>5500.01</v>
      </c>
      <c r="P1543" s="254">
        <v>4400.01</v>
      </c>
      <c r="Q1543" s="254">
        <v>4400.01</v>
      </c>
      <c r="R1543" s="1262" t="s">
        <v>5265</v>
      </c>
      <c r="S1543" s="254">
        <v>2200</v>
      </c>
      <c r="T1543" s="204">
        <v>45162</v>
      </c>
      <c r="U1543" s="1262" t="s">
        <v>3097</v>
      </c>
      <c r="V1543" s="254">
        <v>1100</v>
      </c>
      <c r="W1543" s="203" t="s">
        <v>4457</v>
      </c>
      <c r="X1543" s="206">
        <v>1100</v>
      </c>
      <c r="Y1543" s="192"/>
    </row>
    <row r="1544" ht="37.5" customHeight="1" spans="1:25">
      <c r="A1544" s="192">
        <f t="shared" si="34"/>
        <v>1536</v>
      </c>
      <c r="B1544" s="208">
        <v>2023</v>
      </c>
      <c r="C1544" s="193" t="s">
        <v>37</v>
      </c>
      <c r="D1544" s="277" t="s">
        <v>5398</v>
      </c>
      <c r="E1544" s="195" t="s">
        <v>5399</v>
      </c>
      <c r="F1544" s="196" t="s">
        <v>2073</v>
      </c>
      <c r="G1544" s="197" t="s">
        <v>3239</v>
      </c>
      <c r="H1544" s="198">
        <v>0.8</v>
      </c>
      <c r="I1544" s="199">
        <v>38000</v>
      </c>
      <c r="J1544" s="200" t="s">
        <v>2919</v>
      </c>
      <c r="K1544" s="200" t="s">
        <v>2920</v>
      </c>
      <c r="L1544" s="201">
        <v>0.4</v>
      </c>
      <c r="M1544" s="278" t="s">
        <v>4990</v>
      </c>
      <c r="N1544" s="205">
        <v>13166.68</v>
      </c>
      <c r="O1544" s="254">
        <v>13166.68</v>
      </c>
      <c r="P1544" s="254">
        <v>10533.34</v>
      </c>
      <c r="Q1544" s="254">
        <v>10533.34</v>
      </c>
      <c r="R1544" s="1262" t="s">
        <v>5265</v>
      </c>
      <c r="S1544" s="254">
        <v>5266.67</v>
      </c>
      <c r="T1544" s="204">
        <v>45162</v>
      </c>
      <c r="U1544" s="1262" t="s">
        <v>3097</v>
      </c>
      <c r="V1544" s="254">
        <v>2633.34</v>
      </c>
      <c r="W1544" s="203" t="s">
        <v>4457</v>
      </c>
      <c r="X1544" s="206">
        <v>2633.34</v>
      </c>
      <c r="Y1544" s="192"/>
    </row>
    <row r="1545" ht="37.5" customHeight="1" spans="1:25">
      <c r="A1545" s="192">
        <f t="shared" si="34"/>
        <v>1537</v>
      </c>
      <c r="B1545" s="208">
        <v>2023</v>
      </c>
      <c r="C1545" s="193" t="s">
        <v>37</v>
      </c>
      <c r="D1545" s="277" t="s">
        <v>5374</v>
      </c>
      <c r="E1545" s="195" t="s">
        <v>5400</v>
      </c>
      <c r="F1545" s="196" t="s">
        <v>2073</v>
      </c>
      <c r="G1545" s="197" t="s">
        <v>1137</v>
      </c>
      <c r="H1545" s="198">
        <v>0.8</v>
      </c>
      <c r="I1545" s="199">
        <v>120000</v>
      </c>
      <c r="J1545" s="200" t="s">
        <v>2919</v>
      </c>
      <c r="K1545" s="200" t="s">
        <v>2920</v>
      </c>
      <c r="L1545" s="201">
        <v>0.4</v>
      </c>
      <c r="M1545" s="278" t="s">
        <v>4740</v>
      </c>
      <c r="N1545" s="205">
        <v>40000.08</v>
      </c>
      <c r="O1545" s="254">
        <v>40000.08</v>
      </c>
      <c r="P1545" s="254">
        <v>32000.07</v>
      </c>
      <c r="Q1545" s="254">
        <v>32000.07</v>
      </c>
      <c r="R1545" s="1262" t="s">
        <v>5265</v>
      </c>
      <c r="S1545" s="254">
        <v>16000.03</v>
      </c>
      <c r="T1545" s="204">
        <v>45162</v>
      </c>
      <c r="U1545" s="1262" t="s">
        <v>3097</v>
      </c>
      <c r="V1545" s="254">
        <v>8000.02</v>
      </c>
      <c r="W1545" s="203" t="s">
        <v>4457</v>
      </c>
      <c r="X1545" s="206">
        <v>8000.02</v>
      </c>
      <c r="Y1545" s="192"/>
    </row>
    <row r="1546" ht="37.5" customHeight="1" spans="1:25">
      <c r="A1546" s="192">
        <f t="shared" si="34"/>
        <v>1538</v>
      </c>
      <c r="B1546" s="208">
        <v>2023</v>
      </c>
      <c r="C1546" s="193" t="s">
        <v>37</v>
      </c>
      <c r="D1546" s="277" t="s">
        <v>5284</v>
      </c>
      <c r="E1546" s="195" t="s">
        <v>5401</v>
      </c>
      <c r="F1546" s="196" t="s">
        <v>2073</v>
      </c>
      <c r="G1546" s="197" t="s">
        <v>3239</v>
      </c>
      <c r="H1546" s="198">
        <v>0.8</v>
      </c>
      <c r="I1546" s="199">
        <v>21500</v>
      </c>
      <c r="J1546" s="200" t="s">
        <v>2919</v>
      </c>
      <c r="K1546" s="200" t="s">
        <v>2920</v>
      </c>
      <c r="L1546" s="201">
        <v>0.4</v>
      </c>
      <c r="M1546" s="278" t="s">
        <v>5025</v>
      </c>
      <c r="N1546" s="205">
        <v>21500</v>
      </c>
      <c r="O1546" s="254">
        <v>21500</v>
      </c>
      <c r="P1546" s="254">
        <v>17200</v>
      </c>
      <c r="Q1546" s="254">
        <v>17200</v>
      </c>
      <c r="R1546" s="1262" t="s">
        <v>5265</v>
      </c>
      <c r="S1546" s="254">
        <v>8600</v>
      </c>
      <c r="T1546" s="204">
        <v>45162</v>
      </c>
      <c r="U1546" s="1262" t="s">
        <v>3097</v>
      </c>
      <c r="V1546" s="254">
        <v>4300</v>
      </c>
      <c r="W1546" s="203" t="s">
        <v>4457</v>
      </c>
      <c r="X1546" s="206">
        <v>4300</v>
      </c>
      <c r="Y1546" s="192"/>
    </row>
    <row r="1547" ht="37.5" customHeight="1" spans="1:25">
      <c r="A1547" s="192">
        <f t="shared" si="34"/>
        <v>1539</v>
      </c>
      <c r="B1547" s="208">
        <v>2023</v>
      </c>
      <c r="C1547" s="193" t="s">
        <v>37</v>
      </c>
      <c r="D1547" s="277" t="s">
        <v>5279</v>
      </c>
      <c r="E1547" s="195" t="s">
        <v>5402</v>
      </c>
      <c r="F1547" s="196" t="s">
        <v>2073</v>
      </c>
      <c r="G1547" s="197" t="s">
        <v>3239</v>
      </c>
      <c r="H1547" s="198">
        <v>0.8</v>
      </c>
      <c r="I1547" s="199">
        <v>54000</v>
      </c>
      <c r="J1547" s="200" t="s">
        <v>1987</v>
      </c>
      <c r="K1547" s="200" t="s">
        <v>2982</v>
      </c>
      <c r="L1547" s="201">
        <v>0.4</v>
      </c>
      <c r="M1547" s="278" t="s">
        <v>5281</v>
      </c>
      <c r="N1547" s="205">
        <v>18833.41</v>
      </c>
      <c r="O1547" s="254">
        <v>18833.41</v>
      </c>
      <c r="P1547" s="254">
        <v>15066.73</v>
      </c>
      <c r="Q1547" s="254">
        <v>15066.73</v>
      </c>
      <c r="R1547" s="1262" t="s">
        <v>5265</v>
      </c>
      <c r="S1547" s="254">
        <v>7533.36</v>
      </c>
      <c r="T1547" s="204">
        <v>45162</v>
      </c>
      <c r="U1547" s="1262" t="s">
        <v>3097</v>
      </c>
      <c r="V1547" s="254">
        <v>3766.68</v>
      </c>
      <c r="W1547" s="203" t="s">
        <v>4457</v>
      </c>
      <c r="X1547" s="206">
        <v>3766.68</v>
      </c>
      <c r="Y1547" s="192"/>
    </row>
    <row r="1548" ht="37.5" customHeight="1" spans="1:25">
      <c r="A1548" s="192">
        <f t="shared" si="34"/>
        <v>1540</v>
      </c>
      <c r="B1548" s="208">
        <v>2023</v>
      </c>
      <c r="C1548" s="193" t="s">
        <v>37</v>
      </c>
      <c r="D1548" s="277" t="s">
        <v>5386</v>
      </c>
      <c r="E1548" s="195" t="s">
        <v>5403</v>
      </c>
      <c r="F1548" s="196" t="s">
        <v>2073</v>
      </c>
      <c r="G1548" s="197" t="s">
        <v>3239</v>
      </c>
      <c r="H1548" s="198">
        <v>0.8</v>
      </c>
      <c r="I1548" s="199">
        <v>77600</v>
      </c>
      <c r="J1548" s="200" t="s">
        <v>1987</v>
      </c>
      <c r="K1548" s="200" t="s">
        <v>2982</v>
      </c>
      <c r="L1548" s="201">
        <v>0.4</v>
      </c>
      <c r="M1548" s="278" t="s">
        <v>5313</v>
      </c>
      <c r="N1548" s="205">
        <v>23099.49</v>
      </c>
      <c r="O1548" s="254">
        <v>23099.49</v>
      </c>
      <c r="P1548" s="254">
        <v>18479.6</v>
      </c>
      <c r="Q1548" s="254">
        <v>18479.6</v>
      </c>
      <c r="R1548" s="1262" t="s">
        <v>5265</v>
      </c>
      <c r="S1548" s="254">
        <v>9239.8</v>
      </c>
      <c r="T1548" s="204">
        <v>45162</v>
      </c>
      <c r="U1548" s="1262" t="s">
        <v>3097</v>
      </c>
      <c r="V1548" s="254">
        <v>4619.9</v>
      </c>
      <c r="W1548" s="203" t="s">
        <v>4457</v>
      </c>
      <c r="X1548" s="206">
        <v>4619.9</v>
      </c>
      <c r="Y1548" s="192"/>
    </row>
    <row r="1549" ht="37.5" customHeight="1" spans="1:25">
      <c r="A1549" s="192">
        <f t="shared" si="34"/>
        <v>1541</v>
      </c>
      <c r="B1549" s="208">
        <v>2023</v>
      </c>
      <c r="C1549" s="193" t="s">
        <v>37</v>
      </c>
      <c r="D1549" s="277" t="s">
        <v>5357</v>
      </c>
      <c r="E1549" s="195" t="s">
        <v>5404</v>
      </c>
      <c r="F1549" s="196" t="s">
        <v>2073</v>
      </c>
      <c r="G1549" s="197" t="s">
        <v>3239</v>
      </c>
      <c r="H1549" s="198">
        <v>0.8</v>
      </c>
      <c r="I1549" s="199">
        <v>16797.06</v>
      </c>
      <c r="J1549" s="200" t="s">
        <v>2970</v>
      </c>
      <c r="K1549" s="200" t="s">
        <v>2971</v>
      </c>
      <c r="L1549" s="201">
        <v>0.4</v>
      </c>
      <c r="M1549" s="278" t="s">
        <v>5359</v>
      </c>
      <c r="N1549" s="205">
        <v>3033.36</v>
      </c>
      <c r="O1549" s="254">
        <v>3033.36</v>
      </c>
      <c r="P1549" s="254">
        <v>2426.69</v>
      </c>
      <c r="Q1549" s="254">
        <v>2426.69</v>
      </c>
      <c r="R1549" s="1262" t="s">
        <v>5265</v>
      </c>
      <c r="S1549" s="254">
        <v>1213.34</v>
      </c>
      <c r="T1549" s="204">
        <v>45162</v>
      </c>
      <c r="U1549" s="1262" t="s">
        <v>3097</v>
      </c>
      <c r="V1549" s="254">
        <v>606.67</v>
      </c>
      <c r="W1549" s="203" t="s">
        <v>4457</v>
      </c>
      <c r="X1549" s="206">
        <v>606.67</v>
      </c>
      <c r="Y1549" s="192"/>
    </row>
    <row r="1550" ht="37.5" customHeight="1" spans="1:25">
      <c r="A1550" s="192">
        <f t="shared" si="34"/>
        <v>1542</v>
      </c>
      <c r="B1550" s="208">
        <v>2023</v>
      </c>
      <c r="C1550" s="193" t="s">
        <v>37</v>
      </c>
      <c r="D1550" s="277" t="s">
        <v>5341</v>
      </c>
      <c r="E1550" s="195" t="s">
        <v>5405</v>
      </c>
      <c r="F1550" s="196" t="s">
        <v>2073</v>
      </c>
      <c r="G1550" s="197" t="s">
        <v>1137</v>
      </c>
      <c r="H1550" s="198">
        <v>0.8</v>
      </c>
      <c r="I1550" s="199">
        <v>130000</v>
      </c>
      <c r="J1550" s="200" t="s">
        <v>2209</v>
      </c>
      <c r="K1550" s="200" t="s">
        <v>2902</v>
      </c>
      <c r="L1550" s="201">
        <v>0.4</v>
      </c>
      <c r="M1550" s="278" t="s">
        <v>4410</v>
      </c>
      <c r="N1550" s="205">
        <v>83552.74</v>
      </c>
      <c r="O1550" s="254">
        <v>83552.74</v>
      </c>
      <c r="P1550" s="254">
        <v>66842.19</v>
      </c>
      <c r="Q1550" s="254">
        <v>66842.19</v>
      </c>
      <c r="R1550" s="1262" t="s">
        <v>5265</v>
      </c>
      <c r="S1550" s="254">
        <v>33421.1</v>
      </c>
      <c r="T1550" s="204">
        <v>45162</v>
      </c>
      <c r="U1550" s="1262" t="s">
        <v>3097</v>
      </c>
      <c r="V1550" s="254">
        <v>16710.55</v>
      </c>
      <c r="W1550" s="203" t="s">
        <v>4457</v>
      </c>
      <c r="X1550" s="206">
        <v>16710.55</v>
      </c>
      <c r="Y1550" s="192"/>
    </row>
    <row r="1551" ht="37.5" customHeight="1" spans="1:25">
      <c r="A1551" s="192">
        <f t="shared" si="34"/>
        <v>1543</v>
      </c>
      <c r="B1551" s="208">
        <v>2023</v>
      </c>
      <c r="C1551" s="193" t="s">
        <v>37</v>
      </c>
      <c r="D1551" s="277" t="s">
        <v>5406</v>
      </c>
      <c r="E1551" s="195" t="s">
        <v>5407</v>
      </c>
      <c r="F1551" s="196" t="s">
        <v>2073</v>
      </c>
      <c r="G1551" s="197" t="s">
        <v>3239</v>
      </c>
      <c r="H1551" s="198">
        <v>0.8</v>
      </c>
      <c r="I1551" s="199">
        <v>17085.2</v>
      </c>
      <c r="J1551" s="200" t="s">
        <v>2149</v>
      </c>
      <c r="K1551" s="200" t="s">
        <v>2923</v>
      </c>
      <c r="L1551" s="201">
        <v>0.4</v>
      </c>
      <c r="M1551" s="278" t="s">
        <v>5381</v>
      </c>
      <c r="N1551" s="205">
        <v>1869</v>
      </c>
      <c r="O1551" s="254">
        <v>1869</v>
      </c>
      <c r="P1551" s="254">
        <v>1495.2</v>
      </c>
      <c r="Q1551" s="254">
        <v>1495.2</v>
      </c>
      <c r="R1551" s="1262" t="s">
        <v>5265</v>
      </c>
      <c r="S1551" s="254">
        <v>747.6</v>
      </c>
      <c r="T1551" s="204">
        <v>45162</v>
      </c>
      <c r="U1551" s="1262" t="s">
        <v>3097</v>
      </c>
      <c r="V1551" s="254">
        <v>373.8</v>
      </c>
      <c r="W1551" s="203" t="s">
        <v>4457</v>
      </c>
      <c r="X1551" s="206">
        <v>373.8</v>
      </c>
      <c r="Y1551" s="192"/>
    </row>
    <row r="1552" ht="37.5" customHeight="1" spans="1:25">
      <c r="A1552" s="192">
        <f t="shared" si="34"/>
        <v>1544</v>
      </c>
      <c r="B1552" s="208">
        <v>2023</v>
      </c>
      <c r="C1552" s="193" t="s">
        <v>37</v>
      </c>
      <c r="D1552" s="277" t="s">
        <v>5408</v>
      </c>
      <c r="E1552" s="195" t="s">
        <v>5409</v>
      </c>
      <c r="F1552" s="196" t="s">
        <v>2073</v>
      </c>
      <c r="G1552" s="197" t="s">
        <v>3239</v>
      </c>
      <c r="H1552" s="198">
        <v>0.8</v>
      </c>
      <c r="I1552" s="199">
        <v>15300.94</v>
      </c>
      <c r="J1552" s="200" t="s">
        <v>2149</v>
      </c>
      <c r="K1552" s="200" t="s">
        <v>2923</v>
      </c>
      <c r="L1552" s="201">
        <v>0.4</v>
      </c>
      <c r="M1552" s="278" t="s">
        <v>4640</v>
      </c>
      <c r="N1552" s="205">
        <v>250.08</v>
      </c>
      <c r="O1552" s="254">
        <v>250.08</v>
      </c>
      <c r="P1552" s="254">
        <v>200.07</v>
      </c>
      <c r="Q1552" s="254">
        <v>200.07</v>
      </c>
      <c r="R1552" s="1262" t="s">
        <v>5265</v>
      </c>
      <c r="S1552" s="254">
        <v>100.03</v>
      </c>
      <c r="T1552" s="204">
        <v>45162</v>
      </c>
      <c r="U1552" s="1262" t="s">
        <v>3097</v>
      </c>
      <c r="V1552" s="254">
        <v>50.02</v>
      </c>
      <c r="W1552" s="203" t="s">
        <v>4457</v>
      </c>
      <c r="X1552" s="206">
        <v>50.02</v>
      </c>
      <c r="Y1552" s="192"/>
    </row>
    <row r="1553" ht="37.5" customHeight="1" spans="1:25">
      <c r="A1553" s="192">
        <f t="shared" si="34"/>
        <v>1545</v>
      </c>
      <c r="B1553" s="208">
        <v>2023</v>
      </c>
      <c r="C1553" s="193" t="s">
        <v>37</v>
      </c>
      <c r="D1553" s="277" t="s">
        <v>5355</v>
      </c>
      <c r="E1553" s="195" t="s">
        <v>5410</v>
      </c>
      <c r="F1553" s="196" t="s">
        <v>2073</v>
      </c>
      <c r="G1553" s="197" t="s">
        <v>3239</v>
      </c>
      <c r="H1553" s="198">
        <v>0.8</v>
      </c>
      <c r="I1553" s="199">
        <v>22000</v>
      </c>
      <c r="J1553" s="200" t="s">
        <v>2152</v>
      </c>
      <c r="K1553" s="200" t="s">
        <v>4400</v>
      </c>
      <c r="L1553" s="201">
        <v>0.4</v>
      </c>
      <c r="M1553" s="278" t="s">
        <v>5308</v>
      </c>
      <c r="N1553" s="205">
        <v>6500.12</v>
      </c>
      <c r="O1553" s="254">
        <v>6500.12</v>
      </c>
      <c r="P1553" s="254">
        <v>5200.1</v>
      </c>
      <c r="Q1553" s="254">
        <v>5200.1</v>
      </c>
      <c r="R1553" s="1262" t="s">
        <v>5265</v>
      </c>
      <c r="S1553" s="254">
        <v>2600.05</v>
      </c>
      <c r="T1553" s="204">
        <v>45162</v>
      </c>
      <c r="U1553" s="1262" t="s">
        <v>3097</v>
      </c>
      <c r="V1553" s="254">
        <v>1300.02</v>
      </c>
      <c r="W1553" s="203" t="s">
        <v>4457</v>
      </c>
      <c r="X1553" s="206">
        <v>1300.02</v>
      </c>
      <c r="Y1553" s="192"/>
    </row>
    <row r="1554" ht="37.5" customHeight="1" spans="1:25">
      <c r="A1554" s="192">
        <f t="shared" si="34"/>
        <v>1546</v>
      </c>
      <c r="B1554" s="208">
        <v>2023</v>
      </c>
      <c r="C1554" s="193" t="s">
        <v>37</v>
      </c>
      <c r="D1554" s="277" t="s">
        <v>5411</v>
      </c>
      <c r="E1554" s="195" t="s">
        <v>5412</v>
      </c>
      <c r="F1554" s="196" t="s">
        <v>2073</v>
      </c>
      <c r="G1554" s="197" t="s">
        <v>3239</v>
      </c>
      <c r="H1554" s="198">
        <v>0.8</v>
      </c>
      <c r="I1554" s="199">
        <v>14000</v>
      </c>
      <c r="J1554" s="200" t="s">
        <v>3891</v>
      </c>
      <c r="K1554" s="200" t="s">
        <v>3892</v>
      </c>
      <c r="L1554" s="201">
        <v>0.4</v>
      </c>
      <c r="M1554" s="278" t="s">
        <v>5413</v>
      </c>
      <c r="N1554" s="205">
        <v>3333.36</v>
      </c>
      <c r="O1554" s="254">
        <v>3333.36</v>
      </c>
      <c r="P1554" s="254">
        <v>2666.69</v>
      </c>
      <c r="Q1554" s="254">
        <v>2666.69</v>
      </c>
      <c r="R1554" s="1262" t="s">
        <v>5265</v>
      </c>
      <c r="S1554" s="254">
        <v>1333.34</v>
      </c>
      <c r="T1554" s="204">
        <v>45162</v>
      </c>
      <c r="U1554" s="1262" t="s">
        <v>3097</v>
      </c>
      <c r="V1554" s="254">
        <v>666.67</v>
      </c>
      <c r="W1554" s="203" t="s">
        <v>4457</v>
      </c>
      <c r="X1554" s="206">
        <v>666.67</v>
      </c>
      <c r="Y1554" s="192"/>
    </row>
    <row r="1555" ht="37.5" customHeight="1" spans="1:25">
      <c r="A1555" s="192">
        <f t="shared" si="34"/>
        <v>1547</v>
      </c>
      <c r="B1555" s="208">
        <v>2023</v>
      </c>
      <c r="C1555" s="193" t="s">
        <v>37</v>
      </c>
      <c r="D1555" s="277" t="s">
        <v>5048</v>
      </c>
      <c r="E1555" s="195" t="s">
        <v>5414</v>
      </c>
      <c r="F1555" s="196" t="s">
        <v>2073</v>
      </c>
      <c r="G1555" s="197" t="s">
        <v>1137</v>
      </c>
      <c r="H1555" s="198">
        <v>0.8</v>
      </c>
      <c r="I1555" s="199">
        <v>18068.46</v>
      </c>
      <c r="J1555" s="200" t="s">
        <v>2087</v>
      </c>
      <c r="K1555" s="200" t="s">
        <v>3407</v>
      </c>
      <c r="L1555" s="201">
        <v>0.4</v>
      </c>
      <c r="M1555" s="278" t="s">
        <v>5413</v>
      </c>
      <c r="N1555" s="205">
        <v>100</v>
      </c>
      <c r="O1555" s="254">
        <v>100</v>
      </c>
      <c r="P1555" s="254">
        <v>80</v>
      </c>
      <c r="Q1555" s="254">
        <v>80</v>
      </c>
      <c r="R1555" s="1262" t="s">
        <v>5265</v>
      </c>
      <c r="S1555" s="254">
        <v>40</v>
      </c>
      <c r="T1555" s="204">
        <v>45162</v>
      </c>
      <c r="U1555" s="1262" t="s">
        <v>3097</v>
      </c>
      <c r="V1555" s="254">
        <v>20</v>
      </c>
      <c r="W1555" s="203" t="s">
        <v>4457</v>
      </c>
      <c r="X1555" s="206">
        <v>20</v>
      </c>
      <c r="Y1555" s="192"/>
    </row>
    <row r="1556" ht="37.5" customHeight="1" spans="1:25">
      <c r="A1556" s="192">
        <f t="shared" si="34"/>
        <v>1548</v>
      </c>
      <c r="B1556" s="208">
        <v>2023</v>
      </c>
      <c r="C1556" s="193" t="s">
        <v>37</v>
      </c>
      <c r="D1556" s="277" t="s">
        <v>5311</v>
      </c>
      <c r="E1556" s="195" t="s">
        <v>5415</v>
      </c>
      <c r="F1556" s="196" t="s">
        <v>2073</v>
      </c>
      <c r="G1556" s="197" t="s">
        <v>3239</v>
      </c>
      <c r="H1556" s="198">
        <v>0.8</v>
      </c>
      <c r="I1556" s="199">
        <v>19005.55</v>
      </c>
      <c r="J1556" s="200" t="s">
        <v>2242</v>
      </c>
      <c r="K1556" s="200" t="s">
        <v>3409</v>
      </c>
      <c r="L1556" s="201">
        <v>0.4</v>
      </c>
      <c r="M1556" s="278" t="s">
        <v>5313</v>
      </c>
      <c r="N1556" s="205">
        <v>2166.72</v>
      </c>
      <c r="O1556" s="254">
        <v>2166.72</v>
      </c>
      <c r="P1556" s="254">
        <v>1733.38</v>
      </c>
      <c r="Q1556" s="254">
        <v>1733.38</v>
      </c>
      <c r="R1556" s="1262" t="s">
        <v>5265</v>
      </c>
      <c r="S1556" s="254">
        <v>866.69</v>
      </c>
      <c r="T1556" s="204">
        <v>45162</v>
      </c>
      <c r="U1556" s="1262" t="s">
        <v>3097</v>
      </c>
      <c r="V1556" s="254">
        <v>433.34</v>
      </c>
      <c r="W1556" s="203" t="s">
        <v>4457</v>
      </c>
      <c r="X1556" s="206">
        <v>433.34</v>
      </c>
      <c r="Y1556" s="192"/>
    </row>
    <row r="1557" ht="37.5" customHeight="1" spans="1:25">
      <c r="A1557" s="192">
        <f t="shared" si="34"/>
        <v>1549</v>
      </c>
      <c r="B1557" s="208">
        <v>2023</v>
      </c>
      <c r="C1557" s="193" t="s">
        <v>37</v>
      </c>
      <c r="D1557" s="277" t="s">
        <v>5416</v>
      </c>
      <c r="E1557" s="195" t="s">
        <v>5417</v>
      </c>
      <c r="F1557" s="196" t="s">
        <v>2073</v>
      </c>
      <c r="G1557" s="197" t="s">
        <v>3239</v>
      </c>
      <c r="H1557" s="198">
        <v>0.8</v>
      </c>
      <c r="I1557" s="199">
        <v>12469.82</v>
      </c>
      <c r="J1557" s="200" t="s">
        <v>2242</v>
      </c>
      <c r="K1557" s="200" t="s">
        <v>3409</v>
      </c>
      <c r="L1557" s="201">
        <v>0.4</v>
      </c>
      <c r="M1557" s="278" t="s">
        <v>5347</v>
      </c>
      <c r="N1557" s="205">
        <v>666.72</v>
      </c>
      <c r="O1557" s="254">
        <v>666.72</v>
      </c>
      <c r="P1557" s="254">
        <v>533.38</v>
      </c>
      <c r="Q1557" s="254">
        <v>533.38</v>
      </c>
      <c r="R1557" s="1262" t="s">
        <v>5265</v>
      </c>
      <c r="S1557" s="254">
        <v>266.69</v>
      </c>
      <c r="T1557" s="204">
        <v>45162</v>
      </c>
      <c r="U1557" s="1262" t="s">
        <v>3097</v>
      </c>
      <c r="V1557" s="254">
        <v>133.34</v>
      </c>
      <c r="W1557" s="203" t="s">
        <v>4457</v>
      </c>
      <c r="X1557" s="206">
        <v>133.34</v>
      </c>
      <c r="Y1557" s="192"/>
    </row>
    <row r="1558" ht="37.5" customHeight="1" spans="1:25">
      <c r="A1558" s="192">
        <f t="shared" si="34"/>
        <v>1550</v>
      </c>
      <c r="B1558" s="208">
        <v>2023</v>
      </c>
      <c r="C1558" s="193" t="s">
        <v>37</v>
      </c>
      <c r="D1558" s="277" t="s">
        <v>5331</v>
      </c>
      <c r="E1558" s="195" t="s">
        <v>5418</v>
      </c>
      <c r="F1558" s="196" t="s">
        <v>2073</v>
      </c>
      <c r="G1558" s="197" t="s">
        <v>3239</v>
      </c>
      <c r="H1558" s="198">
        <v>0.8</v>
      </c>
      <c r="I1558" s="199">
        <v>14700</v>
      </c>
      <c r="J1558" s="200" t="s">
        <v>2242</v>
      </c>
      <c r="K1558" s="200" t="s">
        <v>3409</v>
      </c>
      <c r="L1558" s="201">
        <v>0.4</v>
      </c>
      <c r="M1558" s="278" t="s">
        <v>4410</v>
      </c>
      <c r="N1558" s="205">
        <v>4650.08</v>
      </c>
      <c r="O1558" s="254">
        <v>4650.08</v>
      </c>
      <c r="P1558" s="254">
        <v>3720.07</v>
      </c>
      <c r="Q1558" s="254">
        <v>3720.07</v>
      </c>
      <c r="R1558" s="1262" t="s">
        <v>5265</v>
      </c>
      <c r="S1558" s="254">
        <v>1860.03</v>
      </c>
      <c r="T1558" s="204">
        <v>45162</v>
      </c>
      <c r="U1558" s="1262" t="s">
        <v>3097</v>
      </c>
      <c r="V1558" s="254">
        <v>930.02</v>
      </c>
      <c r="W1558" s="203" t="s">
        <v>4457</v>
      </c>
      <c r="X1558" s="206">
        <v>930.02</v>
      </c>
      <c r="Y1558" s="192"/>
    </row>
    <row r="1559" ht="37.5" customHeight="1" spans="1:25">
      <c r="A1559" s="192">
        <f t="shared" si="34"/>
        <v>1551</v>
      </c>
      <c r="B1559" s="208">
        <v>2023</v>
      </c>
      <c r="C1559" s="193" t="s">
        <v>37</v>
      </c>
      <c r="D1559" s="277" t="s">
        <v>5419</v>
      </c>
      <c r="E1559" s="195" t="s">
        <v>5420</v>
      </c>
      <c r="F1559" s="196" t="s">
        <v>2073</v>
      </c>
      <c r="G1559" s="197" t="s">
        <v>3239</v>
      </c>
      <c r="H1559" s="198">
        <v>0.8</v>
      </c>
      <c r="I1559" s="199">
        <v>26000</v>
      </c>
      <c r="J1559" s="200" t="s">
        <v>2908</v>
      </c>
      <c r="K1559" s="200" t="s">
        <v>2909</v>
      </c>
      <c r="L1559" s="201">
        <v>0.4</v>
      </c>
      <c r="M1559" s="278" t="s">
        <v>5254</v>
      </c>
      <c r="N1559" s="205">
        <v>10066.12</v>
      </c>
      <c r="O1559" s="254">
        <v>10066.12</v>
      </c>
      <c r="P1559" s="254">
        <v>8052.9</v>
      </c>
      <c r="Q1559" s="254">
        <v>8052.9</v>
      </c>
      <c r="R1559" s="1262" t="s">
        <v>5265</v>
      </c>
      <c r="S1559" s="254">
        <v>4026.45</v>
      </c>
      <c r="T1559" s="204">
        <v>45162</v>
      </c>
      <c r="U1559" s="1262" t="s">
        <v>3097</v>
      </c>
      <c r="V1559" s="254">
        <v>2013.22</v>
      </c>
      <c r="W1559" s="203" t="s">
        <v>4457</v>
      </c>
      <c r="X1559" s="206">
        <v>2013.22</v>
      </c>
      <c r="Y1559" s="192"/>
    </row>
    <row r="1560" ht="37.5" customHeight="1" spans="1:25">
      <c r="A1560" s="192">
        <f t="shared" si="34"/>
        <v>1552</v>
      </c>
      <c r="B1560" s="208">
        <v>2023</v>
      </c>
      <c r="C1560" s="193" t="s">
        <v>37</v>
      </c>
      <c r="D1560" s="277" t="s">
        <v>5035</v>
      </c>
      <c r="E1560" s="195" t="s">
        <v>5421</v>
      </c>
      <c r="F1560" s="196" t="s">
        <v>2073</v>
      </c>
      <c r="G1560" s="197" t="s">
        <v>1137</v>
      </c>
      <c r="H1560" s="198">
        <v>0.8</v>
      </c>
      <c r="I1560" s="199">
        <v>11140.18</v>
      </c>
      <c r="J1560" s="200" t="s">
        <v>3014</v>
      </c>
      <c r="K1560" s="200" t="s">
        <v>3015</v>
      </c>
      <c r="L1560" s="201">
        <v>0.4</v>
      </c>
      <c r="M1560" s="278" t="s">
        <v>5273</v>
      </c>
      <c r="N1560" s="205">
        <v>2666.72</v>
      </c>
      <c r="O1560" s="254">
        <v>2666.72</v>
      </c>
      <c r="P1560" s="254">
        <v>2133.38</v>
      </c>
      <c r="Q1560" s="254">
        <v>2133.38</v>
      </c>
      <c r="R1560" s="1262" t="s">
        <v>5265</v>
      </c>
      <c r="S1560" s="254">
        <v>1066.69</v>
      </c>
      <c r="T1560" s="204">
        <v>45162</v>
      </c>
      <c r="U1560" s="1262" t="s">
        <v>3097</v>
      </c>
      <c r="V1560" s="254">
        <v>533.34</v>
      </c>
      <c r="W1560" s="203" t="s">
        <v>4457</v>
      </c>
      <c r="X1560" s="206">
        <v>533.34</v>
      </c>
      <c r="Y1560" s="192"/>
    </row>
    <row r="1561" ht="37.5" customHeight="1" spans="1:25">
      <c r="A1561" s="192">
        <f t="shared" si="34"/>
        <v>1553</v>
      </c>
      <c r="B1561" s="208">
        <v>2023</v>
      </c>
      <c r="C1561" s="193" t="s">
        <v>37</v>
      </c>
      <c r="D1561" s="277" t="s">
        <v>5422</v>
      </c>
      <c r="E1561" s="195" t="s">
        <v>5423</v>
      </c>
      <c r="F1561" s="196" t="s">
        <v>2073</v>
      </c>
      <c r="G1561" s="197" t="s">
        <v>3239</v>
      </c>
      <c r="H1561" s="198">
        <v>0.8</v>
      </c>
      <c r="I1561" s="199">
        <v>16797.06</v>
      </c>
      <c r="J1561" s="200" t="s">
        <v>2197</v>
      </c>
      <c r="K1561" s="200" t="s">
        <v>3909</v>
      </c>
      <c r="L1561" s="201">
        <v>0.4</v>
      </c>
      <c r="M1561" s="278" t="s">
        <v>5270</v>
      </c>
      <c r="N1561" s="205">
        <v>3333.36</v>
      </c>
      <c r="O1561" s="254">
        <v>3333.36</v>
      </c>
      <c r="P1561" s="254">
        <v>2666.69</v>
      </c>
      <c r="Q1561" s="254">
        <v>2666.69</v>
      </c>
      <c r="R1561" s="1262" t="s">
        <v>5265</v>
      </c>
      <c r="S1561" s="254">
        <v>1333.34</v>
      </c>
      <c r="T1561" s="204">
        <v>45162</v>
      </c>
      <c r="U1561" s="1262" t="s">
        <v>3097</v>
      </c>
      <c r="V1561" s="254">
        <v>666.67</v>
      </c>
      <c r="W1561" s="203" t="s">
        <v>4457</v>
      </c>
      <c r="X1561" s="206">
        <v>666.67</v>
      </c>
      <c r="Y1561" s="192"/>
    </row>
    <row r="1562" ht="37.5" customHeight="1" spans="1:25">
      <c r="A1562" s="192">
        <f t="shared" si="34"/>
        <v>1554</v>
      </c>
      <c r="B1562" s="208">
        <v>2023</v>
      </c>
      <c r="C1562" s="193" t="s">
        <v>37</v>
      </c>
      <c r="D1562" s="277" t="s">
        <v>5424</v>
      </c>
      <c r="E1562" s="195" t="s">
        <v>5425</v>
      </c>
      <c r="F1562" s="196" t="s">
        <v>2073</v>
      </c>
      <c r="G1562" s="197" t="s">
        <v>3239</v>
      </c>
      <c r="H1562" s="198">
        <v>0.8</v>
      </c>
      <c r="I1562" s="199">
        <v>18837.42</v>
      </c>
      <c r="J1562" s="200" t="s">
        <v>2034</v>
      </c>
      <c r="K1562" s="200" t="s">
        <v>3546</v>
      </c>
      <c r="L1562" s="201">
        <v>0.4</v>
      </c>
      <c r="M1562" s="278" t="s">
        <v>5289</v>
      </c>
      <c r="N1562" s="205">
        <v>4500</v>
      </c>
      <c r="O1562" s="254">
        <v>4500</v>
      </c>
      <c r="P1562" s="254">
        <v>3600</v>
      </c>
      <c r="Q1562" s="254">
        <v>3600</v>
      </c>
      <c r="R1562" s="1262" t="s">
        <v>5265</v>
      </c>
      <c r="S1562" s="254">
        <v>1800</v>
      </c>
      <c r="T1562" s="204">
        <v>45162</v>
      </c>
      <c r="U1562" s="1262" t="s">
        <v>3097</v>
      </c>
      <c r="V1562" s="254">
        <v>900</v>
      </c>
      <c r="W1562" s="203" t="s">
        <v>4457</v>
      </c>
      <c r="X1562" s="206">
        <v>900</v>
      </c>
      <c r="Y1562" s="192"/>
    </row>
    <row r="1563" ht="37.5" customHeight="1" spans="1:25">
      <c r="A1563" s="192">
        <f t="shared" si="34"/>
        <v>1555</v>
      </c>
      <c r="B1563" s="208">
        <v>2023</v>
      </c>
      <c r="C1563" s="193" t="s">
        <v>37</v>
      </c>
      <c r="D1563" s="277" t="s">
        <v>5426</v>
      </c>
      <c r="E1563" s="195" t="s">
        <v>5427</v>
      </c>
      <c r="F1563" s="196" t="s">
        <v>2073</v>
      </c>
      <c r="G1563" s="197" t="s">
        <v>3239</v>
      </c>
      <c r="H1563" s="198">
        <v>0.8</v>
      </c>
      <c r="I1563" s="199">
        <v>36000</v>
      </c>
      <c r="J1563" s="200" t="s">
        <v>3913</v>
      </c>
      <c r="K1563" s="200" t="s">
        <v>3914</v>
      </c>
      <c r="L1563" s="201">
        <v>0.4</v>
      </c>
      <c r="M1563" s="278" t="s">
        <v>5025</v>
      </c>
      <c r="N1563" s="205">
        <v>12000.08</v>
      </c>
      <c r="O1563" s="254">
        <v>12000.08</v>
      </c>
      <c r="P1563" s="254">
        <v>9600.07</v>
      </c>
      <c r="Q1563" s="254">
        <v>9600.07</v>
      </c>
      <c r="R1563" s="1262" t="s">
        <v>5265</v>
      </c>
      <c r="S1563" s="254">
        <v>4800.03</v>
      </c>
      <c r="T1563" s="204">
        <v>45162</v>
      </c>
      <c r="U1563" s="1262" t="s">
        <v>3097</v>
      </c>
      <c r="V1563" s="254">
        <v>2400.02</v>
      </c>
      <c r="W1563" s="203" t="s">
        <v>4457</v>
      </c>
      <c r="X1563" s="206">
        <v>2400.02</v>
      </c>
      <c r="Y1563" s="192"/>
    </row>
    <row r="1564" ht="37.5" customHeight="1" spans="1:25">
      <c r="A1564" s="192">
        <f t="shared" si="34"/>
        <v>1556</v>
      </c>
      <c r="B1564" s="208">
        <v>2023</v>
      </c>
      <c r="C1564" s="193" t="s">
        <v>37</v>
      </c>
      <c r="D1564" s="277" t="s">
        <v>5428</v>
      </c>
      <c r="E1564" s="195" t="s">
        <v>5429</v>
      </c>
      <c r="F1564" s="196" t="s">
        <v>2073</v>
      </c>
      <c r="G1564" s="197" t="s">
        <v>3239</v>
      </c>
      <c r="H1564" s="198">
        <v>0.8</v>
      </c>
      <c r="I1564" s="199">
        <v>47000</v>
      </c>
      <c r="J1564" s="200" t="s">
        <v>2463</v>
      </c>
      <c r="K1564" s="200" t="s">
        <v>4831</v>
      </c>
      <c r="L1564" s="201">
        <v>0.4</v>
      </c>
      <c r="M1564" s="278" t="s">
        <v>5325</v>
      </c>
      <c r="N1564" s="205">
        <v>21989.95</v>
      </c>
      <c r="O1564" s="254">
        <v>21989.95</v>
      </c>
      <c r="P1564" s="254">
        <v>17591.96</v>
      </c>
      <c r="Q1564" s="254">
        <v>17591.96</v>
      </c>
      <c r="R1564" s="1262" t="s">
        <v>5265</v>
      </c>
      <c r="S1564" s="254">
        <v>8795.98</v>
      </c>
      <c r="T1564" s="204">
        <v>45162</v>
      </c>
      <c r="U1564" s="1262" t="s">
        <v>3097</v>
      </c>
      <c r="V1564" s="254">
        <v>4397.99</v>
      </c>
      <c r="W1564" s="203" t="s">
        <v>4457</v>
      </c>
      <c r="X1564" s="206">
        <v>4397.99</v>
      </c>
      <c r="Y1564" s="192"/>
    </row>
    <row r="1565" ht="37.5" customHeight="1" spans="1:25">
      <c r="A1565" s="192">
        <f t="shared" si="34"/>
        <v>1557</v>
      </c>
      <c r="B1565" s="208">
        <v>2023</v>
      </c>
      <c r="C1565" s="193" t="s">
        <v>37</v>
      </c>
      <c r="D1565" s="277" t="s">
        <v>5430</v>
      </c>
      <c r="E1565" s="195" t="s">
        <v>5431</v>
      </c>
      <c r="F1565" s="196" t="s">
        <v>2073</v>
      </c>
      <c r="G1565" s="197" t="s">
        <v>1137</v>
      </c>
      <c r="H1565" s="198">
        <v>0.8</v>
      </c>
      <c r="I1565" s="199">
        <v>18491.17</v>
      </c>
      <c r="J1565" s="200" t="s">
        <v>2319</v>
      </c>
      <c r="K1565" s="200" t="s">
        <v>5432</v>
      </c>
      <c r="L1565" s="201">
        <v>0.4</v>
      </c>
      <c r="M1565" s="278" t="s">
        <v>4740</v>
      </c>
      <c r="N1565" s="205">
        <v>5000.08</v>
      </c>
      <c r="O1565" s="254">
        <v>5000.08</v>
      </c>
      <c r="P1565" s="254">
        <v>4000.06</v>
      </c>
      <c r="Q1565" s="254">
        <v>4000.06</v>
      </c>
      <c r="R1565" s="1262" t="s">
        <v>5265</v>
      </c>
      <c r="S1565" s="254">
        <v>2000.03</v>
      </c>
      <c r="T1565" s="204">
        <v>45162</v>
      </c>
      <c r="U1565" s="1262" t="s">
        <v>3097</v>
      </c>
      <c r="V1565" s="254">
        <v>1000.02</v>
      </c>
      <c r="W1565" s="203" t="s">
        <v>3981</v>
      </c>
      <c r="X1565" s="206">
        <v>1000.02</v>
      </c>
      <c r="Y1565" s="192"/>
    </row>
    <row r="1566" ht="37.5" customHeight="1" spans="1:25">
      <c r="A1566" s="192">
        <f t="shared" ref="A1566:A1629" si="35">ROW()-8</f>
        <v>1558</v>
      </c>
      <c r="B1566" s="208">
        <v>2023</v>
      </c>
      <c r="C1566" s="193" t="s">
        <v>37</v>
      </c>
      <c r="D1566" s="277" t="s">
        <v>5433</v>
      </c>
      <c r="E1566" s="195" t="s">
        <v>5434</v>
      </c>
      <c r="F1566" s="196" t="s">
        <v>2073</v>
      </c>
      <c r="G1566" s="197" t="s">
        <v>3239</v>
      </c>
      <c r="H1566" s="198">
        <v>0.8</v>
      </c>
      <c r="I1566" s="199">
        <v>20000</v>
      </c>
      <c r="J1566" s="200" t="s">
        <v>2402</v>
      </c>
      <c r="K1566" s="200" t="s">
        <v>3657</v>
      </c>
      <c r="L1566" s="201">
        <v>0.4</v>
      </c>
      <c r="M1566" s="278" t="s">
        <v>5308</v>
      </c>
      <c r="N1566" s="205">
        <v>8571.43</v>
      </c>
      <c r="O1566" s="254">
        <v>8571.43</v>
      </c>
      <c r="P1566" s="254">
        <v>6857.14</v>
      </c>
      <c r="Q1566" s="254">
        <v>6857.14</v>
      </c>
      <c r="R1566" s="1262" t="s">
        <v>5265</v>
      </c>
      <c r="S1566" s="254">
        <v>3428.57</v>
      </c>
      <c r="T1566" s="204">
        <v>45162</v>
      </c>
      <c r="U1566" s="1262" t="s">
        <v>3097</v>
      </c>
      <c r="V1566" s="254">
        <v>1714.29</v>
      </c>
      <c r="W1566" s="203" t="s">
        <v>3981</v>
      </c>
      <c r="X1566" s="206">
        <v>1714.29</v>
      </c>
      <c r="Y1566" s="192"/>
    </row>
    <row r="1567" ht="37.5" customHeight="1" spans="1:25">
      <c r="A1567" s="192">
        <f t="shared" si="35"/>
        <v>1559</v>
      </c>
      <c r="B1567" s="208">
        <v>2023</v>
      </c>
      <c r="C1567" s="193" t="s">
        <v>37</v>
      </c>
      <c r="D1567" s="277" t="s">
        <v>5331</v>
      </c>
      <c r="E1567" s="195" t="s">
        <v>5435</v>
      </c>
      <c r="F1567" s="196" t="s">
        <v>2073</v>
      </c>
      <c r="G1567" s="197" t="s">
        <v>3239</v>
      </c>
      <c r="H1567" s="198">
        <v>0.8</v>
      </c>
      <c r="I1567" s="199">
        <v>12121.32</v>
      </c>
      <c r="J1567" s="200" t="s">
        <v>2010</v>
      </c>
      <c r="K1567" s="200" t="s">
        <v>3593</v>
      </c>
      <c r="L1567" s="201">
        <v>0.4</v>
      </c>
      <c r="M1567" s="278" t="s">
        <v>4410</v>
      </c>
      <c r="N1567" s="205">
        <v>1500</v>
      </c>
      <c r="O1567" s="254">
        <v>1500</v>
      </c>
      <c r="P1567" s="254">
        <v>1200</v>
      </c>
      <c r="Q1567" s="254">
        <v>1200</v>
      </c>
      <c r="R1567" s="1262" t="s">
        <v>5265</v>
      </c>
      <c r="S1567" s="254">
        <v>600</v>
      </c>
      <c r="T1567" s="204">
        <v>45162</v>
      </c>
      <c r="U1567" s="1262" t="s">
        <v>3097</v>
      </c>
      <c r="V1567" s="254">
        <v>300</v>
      </c>
      <c r="W1567" s="203" t="s">
        <v>3981</v>
      </c>
      <c r="X1567" s="206">
        <v>300</v>
      </c>
      <c r="Y1567" s="192"/>
    </row>
    <row r="1568" ht="37.5" customHeight="1" spans="1:25">
      <c r="A1568" s="192">
        <f t="shared" si="35"/>
        <v>1560</v>
      </c>
      <c r="B1568" s="208">
        <v>2023</v>
      </c>
      <c r="C1568" s="193" t="s">
        <v>37</v>
      </c>
      <c r="D1568" s="277" t="s">
        <v>5436</v>
      </c>
      <c r="E1568" s="195" t="s">
        <v>5437</v>
      </c>
      <c r="F1568" s="196" t="s">
        <v>2073</v>
      </c>
      <c r="G1568" s="197" t="s">
        <v>3239</v>
      </c>
      <c r="H1568" s="198">
        <v>0.8</v>
      </c>
      <c r="I1568" s="199">
        <v>87000</v>
      </c>
      <c r="J1568" s="200" t="s">
        <v>2542</v>
      </c>
      <c r="K1568" s="200" t="s">
        <v>4444</v>
      </c>
      <c r="L1568" s="201">
        <v>0.4</v>
      </c>
      <c r="M1568" s="278" t="s">
        <v>5289</v>
      </c>
      <c r="N1568" s="205">
        <v>15278.2</v>
      </c>
      <c r="O1568" s="254">
        <v>15278.2</v>
      </c>
      <c r="P1568" s="254">
        <v>12222.56</v>
      </c>
      <c r="Q1568" s="254">
        <v>12222.56</v>
      </c>
      <c r="R1568" s="1262" t="s">
        <v>5265</v>
      </c>
      <c r="S1568" s="254">
        <v>6111.28</v>
      </c>
      <c r="T1568" s="204">
        <v>45162</v>
      </c>
      <c r="U1568" s="1262" t="s">
        <v>3097</v>
      </c>
      <c r="V1568" s="254">
        <v>3055.64</v>
      </c>
      <c r="W1568" s="203" t="s">
        <v>3981</v>
      </c>
      <c r="X1568" s="206">
        <v>3055.64</v>
      </c>
      <c r="Y1568" s="192"/>
    </row>
    <row r="1569" ht="37.5" customHeight="1" spans="1:25">
      <c r="A1569" s="192">
        <f t="shared" si="35"/>
        <v>1561</v>
      </c>
      <c r="B1569" s="208">
        <v>2023</v>
      </c>
      <c r="C1569" s="193" t="s">
        <v>37</v>
      </c>
      <c r="D1569" s="277" t="s">
        <v>5422</v>
      </c>
      <c r="E1569" s="195" t="s">
        <v>5438</v>
      </c>
      <c r="F1569" s="196" t="s">
        <v>2073</v>
      </c>
      <c r="G1569" s="197" t="s">
        <v>3239</v>
      </c>
      <c r="H1569" s="198">
        <v>0.8</v>
      </c>
      <c r="I1569" s="199">
        <v>16797.06</v>
      </c>
      <c r="J1569" s="200" t="s">
        <v>2484</v>
      </c>
      <c r="K1569" s="200" t="s">
        <v>3564</v>
      </c>
      <c r="L1569" s="201">
        <v>0.4</v>
      </c>
      <c r="M1569" s="278" t="s">
        <v>5270</v>
      </c>
      <c r="N1569" s="205">
        <v>2291.73</v>
      </c>
      <c r="O1569" s="254">
        <v>2291.73</v>
      </c>
      <c r="P1569" s="254">
        <v>1833.38</v>
      </c>
      <c r="Q1569" s="254">
        <v>1833.38</v>
      </c>
      <c r="R1569" s="1262" t="s">
        <v>5265</v>
      </c>
      <c r="S1569" s="254">
        <v>916.69</v>
      </c>
      <c r="T1569" s="204">
        <v>45162</v>
      </c>
      <c r="U1569" s="1262" t="s">
        <v>3097</v>
      </c>
      <c r="V1569" s="254">
        <v>458.35</v>
      </c>
      <c r="W1569" s="203" t="s">
        <v>3981</v>
      </c>
      <c r="X1569" s="206">
        <v>458.35</v>
      </c>
      <c r="Y1569" s="192"/>
    </row>
    <row r="1570" ht="37.5" customHeight="1" spans="1:25">
      <c r="A1570" s="192">
        <f t="shared" si="35"/>
        <v>1562</v>
      </c>
      <c r="B1570" s="208">
        <v>2023</v>
      </c>
      <c r="C1570" s="193" t="s">
        <v>37</v>
      </c>
      <c r="D1570" s="277" t="s">
        <v>5439</v>
      </c>
      <c r="E1570" s="195" t="s">
        <v>5440</v>
      </c>
      <c r="F1570" s="196" t="s">
        <v>2073</v>
      </c>
      <c r="G1570" s="197" t="s">
        <v>1137</v>
      </c>
      <c r="H1570" s="198">
        <v>0.8</v>
      </c>
      <c r="I1570" s="199">
        <v>16253</v>
      </c>
      <c r="J1570" s="200" t="s">
        <v>2457</v>
      </c>
      <c r="K1570" s="200" t="s">
        <v>4446</v>
      </c>
      <c r="L1570" s="201">
        <v>0.4</v>
      </c>
      <c r="M1570" s="278" t="s">
        <v>5153</v>
      </c>
      <c r="N1570" s="205">
        <v>2214.47</v>
      </c>
      <c r="O1570" s="254">
        <v>2214.47</v>
      </c>
      <c r="P1570" s="254">
        <v>1771.58</v>
      </c>
      <c r="Q1570" s="254">
        <v>1771.58</v>
      </c>
      <c r="R1570" s="1262" t="s">
        <v>5265</v>
      </c>
      <c r="S1570" s="254">
        <v>885.79</v>
      </c>
      <c r="T1570" s="204">
        <v>45162</v>
      </c>
      <c r="U1570" s="1262" t="s">
        <v>3097</v>
      </c>
      <c r="V1570" s="254">
        <v>442.89</v>
      </c>
      <c r="W1570" s="203" t="s">
        <v>3981</v>
      </c>
      <c r="X1570" s="206">
        <v>442.89</v>
      </c>
      <c r="Y1570" s="192"/>
    </row>
    <row r="1571" ht="37.5" customHeight="1" spans="1:25">
      <c r="A1571" s="192">
        <f t="shared" si="35"/>
        <v>1563</v>
      </c>
      <c r="B1571" s="208">
        <v>2023</v>
      </c>
      <c r="C1571" s="193" t="s">
        <v>37</v>
      </c>
      <c r="D1571" s="277" t="s">
        <v>5398</v>
      </c>
      <c r="E1571" s="195" t="s">
        <v>5441</v>
      </c>
      <c r="F1571" s="196" t="s">
        <v>2073</v>
      </c>
      <c r="G1571" s="197" t="s">
        <v>3239</v>
      </c>
      <c r="H1571" s="198">
        <v>0.8</v>
      </c>
      <c r="I1571" s="199">
        <v>16008.33</v>
      </c>
      <c r="J1571" s="200" t="s">
        <v>2481</v>
      </c>
      <c r="K1571" s="200" t="s">
        <v>3924</v>
      </c>
      <c r="L1571" s="201">
        <v>0.4</v>
      </c>
      <c r="M1571" s="278" t="s">
        <v>4990</v>
      </c>
      <c r="N1571" s="205">
        <v>2083.38</v>
      </c>
      <c r="O1571" s="254">
        <v>2083.38</v>
      </c>
      <c r="P1571" s="254">
        <v>1666.7</v>
      </c>
      <c r="Q1571" s="254">
        <v>1666.7</v>
      </c>
      <c r="R1571" s="1262" t="s">
        <v>5265</v>
      </c>
      <c r="S1571" s="254">
        <v>833.35</v>
      </c>
      <c r="T1571" s="204">
        <v>45162</v>
      </c>
      <c r="U1571" s="1262" t="s">
        <v>3097</v>
      </c>
      <c r="V1571" s="254">
        <v>416.68</v>
      </c>
      <c r="W1571" s="203" t="s">
        <v>3981</v>
      </c>
      <c r="X1571" s="206">
        <v>416.68</v>
      </c>
      <c r="Y1571" s="192"/>
    </row>
    <row r="1572" ht="37.5" customHeight="1" spans="1:25">
      <c r="A1572" s="192">
        <f t="shared" si="35"/>
        <v>1564</v>
      </c>
      <c r="B1572" s="208">
        <v>2023</v>
      </c>
      <c r="C1572" s="193" t="s">
        <v>37</v>
      </c>
      <c r="D1572" s="277" t="s">
        <v>5268</v>
      </c>
      <c r="E1572" s="195" t="s">
        <v>5442</v>
      </c>
      <c r="F1572" s="196" t="s">
        <v>2073</v>
      </c>
      <c r="G1572" s="197" t="s">
        <v>3239</v>
      </c>
      <c r="H1572" s="198">
        <v>0.8</v>
      </c>
      <c r="I1572" s="199">
        <v>10316.23</v>
      </c>
      <c r="J1572" s="200" t="s">
        <v>2481</v>
      </c>
      <c r="K1572" s="200" t="s">
        <v>3924</v>
      </c>
      <c r="L1572" s="201">
        <v>0.4</v>
      </c>
      <c r="M1572" s="278" t="s">
        <v>5270</v>
      </c>
      <c r="N1572" s="205">
        <v>5000.02</v>
      </c>
      <c r="O1572" s="254">
        <v>5000.02</v>
      </c>
      <c r="P1572" s="254">
        <v>4000.02</v>
      </c>
      <c r="Q1572" s="254">
        <v>4000.02</v>
      </c>
      <c r="R1572" s="1262" t="s">
        <v>5265</v>
      </c>
      <c r="S1572" s="254">
        <v>2000.01</v>
      </c>
      <c r="T1572" s="204">
        <v>45162</v>
      </c>
      <c r="U1572" s="1262" t="s">
        <v>3097</v>
      </c>
      <c r="V1572" s="254">
        <v>1000</v>
      </c>
      <c r="W1572" s="203" t="s">
        <v>3981</v>
      </c>
      <c r="X1572" s="206">
        <v>1000</v>
      </c>
      <c r="Y1572" s="192"/>
    </row>
    <row r="1573" ht="37.5" customHeight="1" spans="1:25">
      <c r="A1573" s="192">
        <f t="shared" si="35"/>
        <v>1565</v>
      </c>
      <c r="B1573" s="208">
        <v>2023</v>
      </c>
      <c r="C1573" s="193" t="s">
        <v>37</v>
      </c>
      <c r="D1573" s="277" t="s">
        <v>3356</v>
      </c>
      <c r="E1573" s="195" t="s">
        <v>5443</v>
      </c>
      <c r="F1573" s="196" t="s">
        <v>2073</v>
      </c>
      <c r="G1573" s="197" t="s">
        <v>3239</v>
      </c>
      <c r="H1573" s="198">
        <v>0.8</v>
      </c>
      <c r="I1573" s="199">
        <v>20000</v>
      </c>
      <c r="J1573" s="200" t="s">
        <v>2578</v>
      </c>
      <c r="K1573" s="200" t="s">
        <v>4855</v>
      </c>
      <c r="L1573" s="201">
        <v>0.4</v>
      </c>
      <c r="M1573" s="278" t="s">
        <v>5189</v>
      </c>
      <c r="N1573" s="205">
        <v>11666.7</v>
      </c>
      <c r="O1573" s="254">
        <v>11666.7</v>
      </c>
      <c r="P1573" s="254">
        <v>9333.36</v>
      </c>
      <c r="Q1573" s="254">
        <v>9333.36</v>
      </c>
      <c r="R1573" s="1262" t="s">
        <v>5265</v>
      </c>
      <c r="S1573" s="254">
        <v>4666.68</v>
      </c>
      <c r="T1573" s="204">
        <v>45162</v>
      </c>
      <c r="U1573" s="1262" t="s">
        <v>3097</v>
      </c>
      <c r="V1573" s="254">
        <v>2333.34</v>
      </c>
      <c r="W1573" s="203" t="s">
        <v>3981</v>
      </c>
      <c r="X1573" s="206">
        <v>2333.34</v>
      </c>
      <c r="Y1573" s="192"/>
    </row>
    <row r="1574" ht="37.5" customHeight="1" spans="1:25">
      <c r="A1574" s="192">
        <f t="shared" si="35"/>
        <v>1566</v>
      </c>
      <c r="B1574" s="208">
        <v>2023</v>
      </c>
      <c r="C1574" s="193" t="s">
        <v>37</v>
      </c>
      <c r="D1574" s="277" t="s">
        <v>5263</v>
      </c>
      <c r="E1574" s="195" t="s">
        <v>5444</v>
      </c>
      <c r="F1574" s="196" t="s">
        <v>2073</v>
      </c>
      <c r="G1574" s="197" t="s">
        <v>3239</v>
      </c>
      <c r="H1574" s="198">
        <v>0.8</v>
      </c>
      <c r="I1574" s="199">
        <v>100000</v>
      </c>
      <c r="J1574" s="200" t="s">
        <v>2492</v>
      </c>
      <c r="K1574" s="200" t="s">
        <v>3930</v>
      </c>
      <c r="L1574" s="201">
        <v>0.4</v>
      </c>
      <c r="M1574" s="278" t="s">
        <v>5338</v>
      </c>
      <c r="N1574" s="205">
        <v>50000.02</v>
      </c>
      <c r="O1574" s="254">
        <v>50000.02</v>
      </c>
      <c r="P1574" s="254">
        <v>40000.02</v>
      </c>
      <c r="Q1574" s="254">
        <v>40000.02</v>
      </c>
      <c r="R1574" s="1262" t="s">
        <v>5265</v>
      </c>
      <c r="S1574" s="254">
        <v>20000.01</v>
      </c>
      <c r="T1574" s="204">
        <v>45162</v>
      </c>
      <c r="U1574" s="1262" t="s">
        <v>3097</v>
      </c>
      <c r="V1574" s="254">
        <v>10000</v>
      </c>
      <c r="W1574" s="203" t="s">
        <v>3981</v>
      </c>
      <c r="X1574" s="206">
        <v>10000</v>
      </c>
      <c r="Y1574" s="192"/>
    </row>
    <row r="1575" ht="37.5" customHeight="1" spans="1:25">
      <c r="A1575" s="192">
        <f t="shared" si="35"/>
        <v>1567</v>
      </c>
      <c r="B1575" s="208">
        <v>2023</v>
      </c>
      <c r="C1575" s="193" t="s">
        <v>37</v>
      </c>
      <c r="D1575" s="277" t="s">
        <v>5279</v>
      </c>
      <c r="E1575" s="195" t="s">
        <v>5445</v>
      </c>
      <c r="F1575" s="196" t="s">
        <v>2073</v>
      </c>
      <c r="G1575" s="197" t="s">
        <v>1137</v>
      </c>
      <c r="H1575" s="198">
        <v>0.8</v>
      </c>
      <c r="I1575" s="199">
        <v>20000</v>
      </c>
      <c r="J1575" s="200" t="s">
        <v>2200</v>
      </c>
      <c r="K1575" s="200" t="s">
        <v>3702</v>
      </c>
      <c r="L1575" s="201">
        <v>0.4</v>
      </c>
      <c r="M1575" s="278" t="s">
        <v>5281</v>
      </c>
      <c r="N1575" s="205">
        <v>11666.7</v>
      </c>
      <c r="O1575" s="254">
        <v>11666.7</v>
      </c>
      <c r="P1575" s="254">
        <v>9333.36</v>
      </c>
      <c r="Q1575" s="254">
        <v>9333.36</v>
      </c>
      <c r="R1575" s="1262" t="s">
        <v>5265</v>
      </c>
      <c r="S1575" s="254">
        <v>4666.68</v>
      </c>
      <c r="T1575" s="204">
        <v>45162</v>
      </c>
      <c r="U1575" s="1262" t="s">
        <v>3097</v>
      </c>
      <c r="V1575" s="254">
        <v>2333.34</v>
      </c>
      <c r="W1575" s="203" t="s">
        <v>3981</v>
      </c>
      <c r="X1575" s="206">
        <v>2333.34</v>
      </c>
      <c r="Y1575" s="192"/>
    </row>
    <row r="1576" ht="37.5" customHeight="1" spans="1:25">
      <c r="A1576" s="192">
        <f t="shared" si="35"/>
        <v>1568</v>
      </c>
      <c r="B1576" s="208">
        <v>2023</v>
      </c>
      <c r="C1576" s="193" t="s">
        <v>37</v>
      </c>
      <c r="D1576" s="277" t="s">
        <v>5382</v>
      </c>
      <c r="E1576" s="195" t="s">
        <v>5446</v>
      </c>
      <c r="F1576" s="196" t="s">
        <v>2073</v>
      </c>
      <c r="G1576" s="197" t="s">
        <v>3239</v>
      </c>
      <c r="H1576" s="198">
        <v>0.8</v>
      </c>
      <c r="I1576" s="199">
        <v>17700.65</v>
      </c>
      <c r="J1576" s="200" t="s">
        <v>2376</v>
      </c>
      <c r="K1576" s="200" t="s">
        <v>4866</v>
      </c>
      <c r="L1576" s="201">
        <v>0.4</v>
      </c>
      <c r="M1576" s="278" t="s">
        <v>5025</v>
      </c>
      <c r="N1576" s="205">
        <v>4250.02</v>
      </c>
      <c r="O1576" s="254">
        <v>4250.02</v>
      </c>
      <c r="P1576" s="254">
        <v>3400.02</v>
      </c>
      <c r="Q1576" s="254">
        <v>3400.02</v>
      </c>
      <c r="R1576" s="1262" t="s">
        <v>5265</v>
      </c>
      <c r="S1576" s="254">
        <v>1700.01</v>
      </c>
      <c r="T1576" s="204">
        <v>45162</v>
      </c>
      <c r="U1576" s="1262" t="s">
        <v>3097</v>
      </c>
      <c r="V1576" s="254">
        <v>850</v>
      </c>
      <c r="W1576" s="203" t="s">
        <v>3981</v>
      </c>
      <c r="X1576" s="206">
        <v>850</v>
      </c>
      <c r="Y1576" s="192"/>
    </row>
    <row r="1577" ht="37.5" customHeight="1" spans="1:25">
      <c r="A1577" s="192">
        <f t="shared" si="35"/>
        <v>1569</v>
      </c>
      <c r="B1577" s="208">
        <v>2023</v>
      </c>
      <c r="C1577" s="193" t="s">
        <v>37</v>
      </c>
      <c r="D1577" s="277" t="s">
        <v>4798</v>
      </c>
      <c r="E1577" s="195" t="s">
        <v>5447</v>
      </c>
      <c r="F1577" s="196" t="s">
        <v>2073</v>
      </c>
      <c r="G1577" s="197" t="s">
        <v>3239</v>
      </c>
      <c r="H1577" s="198">
        <v>0.8</v>
      </c>
      <c r="I1577" s="199">
        <v>18600</v>
      </c>
      <c r="J1577" s="200" t="s">
        <v>2466</v>
      </c>
      <c r="K1577" s="200" t="s">
        <v>4067</v>
      </c>
      <c r="L1577" s="201">
        <v>0.4</v>
      </c>
      <c r="M1577" s="278" t="s">
        <v>5325</v>
      </c>
      <c r="N1577" s="205">
        <v>9300.06</v>
      </c>
      <c r="O1577" s="254">
        <v>9300.06</v>
      </c>
      <c r="P1577" s="254">
        <v>7440.05</v>
      </c>
      <c r="Q1577" s="254">
        <v>7440.05</v>
      </c>
      <c r="R1577" s="1262" t="s">
        <v>5265</v>
      </c>
      <c r="S1577" s="254">
        <v>3720.02</v>
      </c>
      <c r="T1577" s="204">
        <v>45162</v>
      </c>
      <c r="U1577" s="1262" t="s">
        <v>3097</v>
      </c>
      <c r="V1577" s="254">
        <v>1860.01</v>
      </c>
      <c r="W1577" s="203" t="s">
        <v>3981</v>
      </c>
      <c r="X1577" s="206">
        <v>1860.01</v>
      </c>
      <c r="Y1577" s="192"/>
    </row>
    <row r="1578" ht="37.5" customHeight="1" spans="1:25">
      <c r="A1578" s="192">
        <f t="shared" si="35"/>
        <v>1570</v>
      </c>
      <c r="B1578" s="208">
        <v>2023</v>
      </c>
      <c r="C1578" s="193" t="s">
        <v>37</v>
      </c>
      <c r="D1578" s="277" t="s">
        <v>5448</v>
      </c>
      <c r="E1578" s="195" t="s">
        <v>5449</v>
      </c>
      <c r="F1578" s="196" t="s">
        <v>2073</v>
      </c>
      <c r="G1578" s="197" t="s">
        <v>3239</v>
      </c>
      <c r="H1578" s="198">
        <v>0.8</v>
      </c>
      <c r="I1578" s="199">
        <v>17218.03</v>
      </c>
      <c r="J1578" s="200" t="s">
        <v>2466</v>
      </c>
      <c r="K1578" s="200" t="s">
        <v>4067</v>
      </c>
      <c r="L1578" s="201">
        <v>0.4</v>
      </c>
      <c r="M1578" s="278" t="s">
        <v>5025</v>
      </c>
      <c r="N1578" s="205">
        <v>10000</v>
      </c>
      <c r="O1578" s="254">
        <v>10000</v>
      </c>
      <c r="P1578" s="254">
        <v>8000</v>
      </c>
      <c r="Q1578" s="254">
        <v>8000</v>
      </c>
      <c r="R1578" s="1262" t="s">
        <v>5265</v>
      </c>
      <c r="S1578" s="254">
        <v>4000</v>
      </c>
      <c r="T1578" s="204">
        <v>45162</v>
      </c>
      <c r="U1578" s="1262" t="s">
        <v>3097</v>
      </c>
      <c r="V1578" s="254">
        <v>2000</v>
      </c>
      <c r="W1578" s="203" t="s">
        <v>3981</v>
      </c>
      <c r="X1578" s="206">
        <v>2000</v>
      </c>
      <c r="Y1578" s="192"/>
    </row>
    <row r="1579" ht="37.5" customHeight="1" spans="1:25">
      <c r="A1579" s="192">
        <f t="shared" si="35"/>
        <v>1571</v>
      </c>
      <c r="B1579" s="208">
        <v>2023</v>
      </c>
      <c r="C1579" s="193" t="s">
        <v>37</v>
      </c>
      <c r="D1579" s="277" t="s">
        <v>5450</v>
      </c>
      <c r="E1579" s="195" t="s">
        <v>5451</v>
      </c>
      <c r="F1579" s="196" t="s">
        <v>2073</v>
      </c>
      <c r="G1579" s="197" t="s">
        <v>3239</v>
      </c>
      <c r="H1579" s="198">
        <v>0.8</v>
      </c>
      <c r="I1579" s="199">
        <v>47000</v>
      </c>
      <c r="J1579" s="200" t="s">
        <v>2021</v>
      </c>
      <c r="K1579" s="200" t="s">
        <v>3932</v>
      </c>
      <c r="L1579" s="201">
        <v>0.4</v>
      </c>
      <c r="M1579" s="278" t="s">
        <v>4990</v>
      </c>
      <c r="N1579" s="205">
        <v>23500.04</v>
      </c>
      <c r="O1579" s="254">
        <v>23500.04</v>
      </c>
      <c r="P1579" s="254">
        <v>18800.03</v>
      </c>
      <c r="Q1579" s="254">
        <v>18800.03</v>
      </c>
      <c r="R1579" s="1262" t="s">
        <v>5265</v>
      </c>
      <c r="S1579" s="254">
        <v>9400.02</v>
      </c>
      <c r="T1579" s="204">
        <v>45162</v>
      </c>
      <c r="U1579" s="1262" t="s">
        <v>3097</v>
      </c>
      <c r="V1579" s="254">
        <v>4700.01</v>
      </c>
      <c r="W1579" s="203" t="s">
        <v>3981</v>
      </c>
      <c r="X1579" s="206">
        <v>4700.01</v>
      </c>
      <c r="Y1579" s="192"/>
    </row>
    <row r="1580" ht="37.5" customHeight="1" spans="1:25">
      <c r="A1580" s="192">
        <f t="shared" si="35"/>
        <v>1572</v>
      </c>
      <c r="B1580" s="208">
        <v>2023</v>
      </c>
      <c r="C1580" s="193" t="s">
        <v>37</v>
      </c>
      <c r="D1580" s="277" t="s">
        <v>5279</v>
      </c>
      <c r="E1580" s="195" t="s">
        <v>5452</v>
      </c>
      <c r="F1580" s="196" t="s">
        <v>2073</v>
      </c>
      <c r="G1580" s="197" t="s">
        <v>1137</v>
      </c>
      <c r="H1580" s="198">
        <v>0.8</v>
      </c>
      <c r="I1580" s="199">
        <v>68000</v>
      </c>
      <c r="J1580" s="200" t="s">
        <v>2691</v>
      </c>
      <c r="K1580" s="200" t="s">
        <v>4465</v>
      </c>
      <c r="L1580" s="201">
        <v>0.4</v>
      </c>
      <c r="M1580" s="278" t="s">
        <v>5281</v>
      </c>
      <c r="N1580" s="205">
        <v>38833.37</v>
      </c>
      <c r="O1580" s="254">
        <v>38833.37</v>
      </c>
      <c r="P1580" s="254">
        <v>31066.7</v>
      </c>
      <c r="Q1580" s="254">
        <v>31066.7</v>
      </c>
      <c r="R1580" s="1262" t="s">
        <v>5265</v>
      </c>
      <c r="S1580" s="254">
        <v>15533.35</v>
      </c>
      <c r="T1580" s="204">
        <v>45162</v>
      </c>
      <c r="U1580" s="1262" t="s">
        <v>3097</v>
      </c>
      <c r="V1580" s="254">
        <v>7766.67</v>
      </c>
      <c r="W1580" s="203" t="s">
        <v>3981</v>
      </c>
      <c r="X1580" s="206">
        <v>7766.67</v>
      </c>
      <c r="Y1580" s="192"/>
    </row>
    <row r="1581" ht="37.5" customHeight="1" spans="1:25">
      <c r="A1581" s="192">
        <f t="shared" si="35"/>
        <v>1573</v>
      </c>
      <c r="B1581" s="208">
        <v>2023</v>
      </c>
      <c r="C1581" s="193" t="s">
        <v>37</v>
      </c>
      <c r="D1581" s="277" t="s">
        <v>5453</v>
      </c>
      <c r="E1581" s="195" t="s">
        <v>5454</v>
      </c>
      <c r="F1581" s="196" t="s">
        <v>2073</v>
      </c>
      <c r="G1581" s="197" t="s">
        <v>3239</v>
      </c>
      <c r="H1581" s="198">
        <v>0.8</v>
      </c>
      <c r="I1581" s="199">
        <v>100000</v>
      </c>
      <c r="J1581" s="200" t="s">
        <v>2559</v>
      </c>
      <c r="K1581" s="200" t="s">
        <v>4076</v>
      </c>
      <c r="L1581" s="201">
        <v>0.4</v>
      </c>
      <c r="M1581" s="278" t="s">
        <v>5455</v>
      </c>
      <c r="N1581" s="205">
        <v>58333.4</v>
      </c>
      <c r="O1581" s="254">
        <v>58333.4</v>
      </c>
      <c r="P1581" s="254">
        <v>46666.72</v>
      </c>
      <c r="Q1581" s="254">
        <v>46666.72</v>
      </c>
      <c r="R1581" s="1262" t="s">
        <v>5265</v>
      </c>
      <c r="S1581" s="254">
        <v>23333.36</v>
      </c>
      <c r="T1581" s="204">
        <v>45162</v>
      </c>
      <c r="U1581" s="1262" t="s">
        <v>3097</v>
      </c>
      <c r="V1581" s="254">
        <v>11666.68</v>
      </c>
      <c r="W1581" s="203" t="s">
        <v>3981</v>
      </c>
      <c r="X1581" s="206">
        <v>11666.68</v>
      </c>
      <c r="Y1581" s="192"/>
    </row>
    <row r="1582" ht="37.5" customHeight="1" spans="1:25">
      <c r="A1582" s="192">
        <f t="shared" si="35"/>
        <v>1574</v>
      </c>
      <c r="B1582" s="208">
        <v>2023</v>
      </c>
      <c r="C1582" s="193" t="s">
        <v>37</v>
      </c>
      <c r="D1582" s="277" t="s">
        <v>5422</v>
      </c>
      <c r="E1582" s="195" t="s">
        <v>5456</v>
      </c>
      <c r="F1582" s="196" t="s">
        <v>2073</v>
      </c>
      <c r="G1582" s="197" t="s">
        <v>3239</v>
      </c>
      <c r="H1582" s="198">
        <v>0.8</v>
      </c>
      <c r="I1582" s="199">
        <v>20500</v>
      </c>
      <c r="J1582" s="200" t="s">
        <v>2559</v>
      </c>
      <c r="K1582" s="200" t="s">
        <v>4076</v>
      </c>
      <c r="L1582" s="201">
        <v>0.4</v>
      </c>
      <c r="M1582" s="278" t="s">
        <v>5270</v>
      </c>
      <c r="N1582" s="205">
        <v>12500.11</v>
      </c>
      <c r="O1582" s="254">
        <v>12500.11</v>
      </c>
      <c r="P1582" s="254">
        <v>10000.09</v>
      </c>
      <c r="Q1582" s="254">
        <v>10000.09</v>
      </c>
      <c r="R1582" s="1262" t="s">
        <v>5265</v>
      </c>
      <c r="S1582" s="254">
        <v>5000.04</v>
      </c>
      <c r="T1582" s="204">
        <v>45162</v>
      </c>
      <c r="U1582" s="1262" t="s">
        <v>3097</v>
      </c>
      <c r="V1582" s="254">
        <v>2500.02</v>
      </c>
      <c r="W1582" s="203" t="s">
        <v>3981</v>
      </c>
      <c r="X1582" s="206">
        <v>2500.02</v>
      </c>
      <c r="Y1582" s="192"/>
    </row>
    <row r="1583" ht="37.5" customHeight="1" spans="1:25">
      <c r="A1583" s="192">
        <f t="shared" si="35"/>
        <v>1575</v>
      </c>
      <c r="B1583" s="208">
        <v>2023</v>
      </c>
      <c r="C1583" s="193" t="s">
        <v>37</v>
      </c>
      <c r="D1583" s="277" t="s">
        <v>5311</v>
      </c>
      <c r="E1583" s="195" t="s">
        <v>5457</v>
      </c>
      <c r="F1583" s="196" t="s">
        <v>2073</v>
      </c>
      <c r="G1583" s="197" t="s">
        <v>3239</v>
      </c>
      <c r="H1583" s="198">
        <v>0.8</v>
      </c>
      <c r="I1583" s="199">
        <v>19005.55</v>
      </c>
      <c r="J1583" s="200" t="s">
        <v>2794</v>
      </c>
      <c r="K1583" s="200" t="s">
        <v>4085</v>
      </c>
      <c r="L1583" s="201">
        <v>0.4</v>
      </c>
      <c r="M1583" s="278" t="s">
        <v>5313</v>
      </c>
      <c r="N1583" s="205">
        <v>4083.35</v>
      </c>
      <c r="O1583" s="254">
        <v>4083.35</v>
      </c>
      <c r="P1583" s="254">
        <v>3266.68</v>
      </c>
      <c r="Q1583" s="254">
        <v>3266.68</v>
      </c>
      <c r="R1583" s="1262" t="s">
        <v>5265</v>
      </c>
      <c r="S1583" s="254">
        <v>1633.34</v>
      </c>
      <c r="T1583" s="204">
        <v>45162</v>
      </c>
      <c r="U1583" s="1262" t="s">
        <v>3097</v>
      </c>
      <c r="V1583" s="254">
        <v>816.67</v>
      </c>
      <c r="W1583" s="203" t="s">
        <v>3981</v>
      </c>
      <c r="X1583" s="206">
        <v>816.67</v>
      </c>
      <c r="Y1583" s="192"/>
    </row>
    <row r="1584" ht="37.5" customHeight="1" spans="1:25">
      <c r="A1584" s="192">
        <f t="shared" si="35"/>
        <v>1576</v>
      </c>
      <c r="B1584" s="208">
        <v>2023</v>
      </c>
      <c r="C1584" s="193" t="s">
        <v>37</v>
      </c>
      <c r="D1584" s="277" t="s">
        <v>5458</v>
      </c>
      <c r="E1584" s="195" t="s">
        <v>5459</v>
      </c>
      <c r="F1584" s="196" t="s">
        <v>2073</v>
      </c>
      <c r="G1584" s="197" t="s">
        <v>3239</v>
      </c>
      <c r="H1584" s="198">
        <v>0.8</v>
      </c>
      <c r="I1584" s="199">
        <v>15665.69</v>
      </c>
      <c r="J1584" s="200" t="s">
        <v>2794</v>
      </c>
      <c r="K1584" s="200" t="s">
        <v>4085</v>
      </c>
      <c r="L1584" s="201">
        <v>0.4</v>
      </c>
      <c r="M1584" s="278" t="s">
        <v>5189</v>
      </c>
      <c r="N1584" s="205">
        <v>333.35</v>
      </c>
      <c r="O1584" s="254">
        <v>333.35</v>
      </c>
      <c r="P1584" s="254">
        <v>266.68</v>
      </c>
      <c r="Q1584" s="254">
        <v>266.68</v>
      </c>
      <c r="R1584" s="1262" t="s">
        <v>5265</v>
      </c>
      <c r="S1584" s="254">
        <v>133.34</v>
      </c>
      <c r="T1584" s="204">
        <v>45162</v>
      </c>
      <c r="U1584" s="1262" t="s">
        <v>3097</v>
      </c>
      <c r="V1584" s="254">
        <v>66.67</v>
      </c>
      <c r="W1584" s="203" t="s">
        <v>3981</v>
      </c>
      <c r="X1584" s="206">
        <v>66.67</v>
      </c>
      <c r="Y1584" s="192"/>
    </row>
    <row r="1585" ht="37.5" customHeight="1" spans="1:25">
      <c r="A1585" s="192">
        <f t="shared" si="35"/>
        <v>1577</v>
      </c>
      <c r="B1585" s="208">
        <v>2023</v>
      </c>
      <c r="C1585" s="193" t="s">
        <v>37</v>
      </c>
      <c r="D1585" s="277" t="s">
        <v>5460</v>
      </c>
      <c r="E1585" s="195" t="s">
        <v>5461</v>
      </c>
      <c r="F1585" s="196" t="s">
        <v>2073</v>
      </c>
      <c r="G1585" s="197" t="s">
        <v>1137</v>
      </c>
      <c r="H1585" s="198">
        <v>0.8</v>
      </c>
      <c r="I1585" s="199">
        <v>70000</v>
      </c>
      <c r="J1585" s="200" t="s">
        <v>2706</v>
      </c>
      <c r="K1585" s="200" t="s">
        <v>4880</v>
      </c>
      <c r="L1585" s="201">
        <v>0.4</v>
      </c>
      <c r="M1585" s="278" t="s">
        <v>5347</v>
      </c>
      <c r="N1585" s="205">
        <v>40833.4</v>
      </c>
      <c r="O1585" s="254">
        <v>40833.4</v>
      </c>
      <c r="P1585" s="254">
        <v>32666.72</v>
      </c>
      <c r="Q1585" s="254">
        <v>32666.72</v>
      </c>
      <c r="R1585" s="1262" t="s">
        <v>5265</v>
      </c>
      <c r="S1585" s="254">
        <v>16333.36</v>
      </c>
      <c r="T1585" s="204">
        <v>45162</v>
      </c>
      <c r="U1585" s="1262" t="s">
        <v>3097</v>
      </c>
      <c r="V1585" s="254">
        <v>8166.68</v>
      </c>
      <c r="W1585" s="203" t="s">
        <v>3981</v>
      </c>
      <c r="X1585" s="206">
        <v>8166.68</v>
      </c>
      <c r="Y1585" s="192"/>
    </row>
    <row r="1586" ht="37.5" customHeight="1" spans="1:25">
      <c r="A1586" s="192">
        <f t="shared" si="35"/>
        <v>1578</v>
      </c>
      <c r="B1586" s="208">
        <v>2023</v>
      </c>
      <c r="C1586" s="193" t="s">
        <v>37</v>
      </c>
      <c r="D1586" s="277" t="s">
        <v>5162</v>
      </c>
      <c r="E1586" s="195" t="s">
        <v>5462</v>
      </c>
      <c r="F1586" s="196" t="s">
        <v>2073</v>
      </c>
      <c r="G1586" s="197" t="s">
        <v>3239</v>
      </c>
      <c r="H1586" s="198">
        <v>0.8</v>
      </c>
      <c r="I1586" s="199">
        <v>12024.85</v>
      </c>
      <c r="J1586" s="200" t="s">
        <v>5463</v>
      </c>
      <c r="K1586" s="200" t="s">
        <v>5464</v>
      </c>
      <c r="L1586" s="201">
        <v>0.4</v>
      </c>
      <c r="M1586" s="278" t="s">
        <v>5338</v>
      </c>
      <c r="N1586" s="205">
        <v>4083.35</v>
      </c>
      <c r="O1586" s="254">
        <v>4083.35</v>
      </c>
      <c r="P1586" s="254">
        <v>3266.68</v>
      </c>
      <c r="Q1586" s="254">
        <v>3266.68</v>
      </c>
      <c r="R1586" s="1262" t="s">
        <v>5265</v>
      </c>
      <c r="S1586" s="254">
        <v>1633.34</v>
      </c>
      <c r="T1586" s="204">
        <v>45162</v>
      </c>
      <c r="U1586" s="1262" t="s">
        <v>3097</v>
      </c>
      <c r="V1586" s="254">
        <v>816.67</v>
      </c>
      <c r="W1586" s="203" t="s">
        <v>3981</v>
      </c>
      <c r="X1586" s="206">
        <v>816.67</v>
      </c>
      <c r="Y1586" s="192"/>
    </row>
    <row r="1587" ht="37.5" customHeight="1" spans="1:25">
      <c r="A1587" s="192">
        <f t="shared" si="35"/>
        <v>1579</v>
      </c>
      <c r="B1587" s="208">
        <v>2023</v>
      </c>
      <c r="C1587" s="193" t="s">
        <v>37</v>
      </c>
      <c r="D1587" s="277" t="s">
        <v>5465</v>
      </c>
      <c r="E1587" s="195" t="s">
        <v>5466</v>
      </c>
      <c r="F1587" s="196" t="s">
        <v>2073</v>
      </c>
      <c r="G1587" s="197" t="s">
        <v>3239</v>
      </c>
      <c r="H1587" s="198">
        <v>0.8</v>
      </c>
      <c r="I1587" s="199">
        <v>17355.27</v>
      </c>
      <c r="J1587" s="200" t="s">
        <v>2047</v>
      </c>
      <c r="K1587" s="200" t="s">
        <v>5467</v>
      </c>
      <c r="L1587" s="201">
        <v>0.4</v>
      </c>
      <c r="M1587" s="278" t="s">
        <v>5276</v>
      </c>
      <c r="N1587" s="205">
        <v>5600</v>
      </c>
      <c r="O1587" s="254">
        <v>5600</v>
      </c>
      <c r="P1587" s="254">
        <v>4480</v>
      </c>
      <c r="Q1587" s="254">
        <v>4480</v>
      </c>
      <c r="R1587" s="1262" t="s">
        <v>5265</v>
      </c>
      <c r="S1587" s="254">
        <v>2240</v>
      </c>
      <c r="T1587" s="204">
        <v>45162</v>
      </c>
      <c r="U1587" s="1262" t="s">
        <v>3097</v>
      </c>
      <c r="V1587" s="254">
        <v>1120</v>
      </c>
      <c r="W1587" s="203" t="s">
        <v>3981</v>
      </c>
      <c r="X1587" s="206">
        <v>1120</v>
      </c>
      <c r="Y1587" s="192"/>
    </row>
    <row r="1588" ht="37.5" customHeight="1" spans="1:25">
      <c r="A1588" s="192">
        <f t="shared" si="35"/>
        <v>1580</v>
      </c>
      <c r="B1588" s="208">
        <v>2023</v>
      </c>
      <c r="C1588" s="193" t="s">
        <v>37</v>
      </c>
      <c r="D1588" s="277" t="s">
        <v>5279</v>
      </c>
      <c r="E1588" s="195" t="s">
        <v>5468</v>
      </c>
      <c r="F1588" s="196" t="s">
        <v>2073</v>
      </c>
      <c r="G1588" s="197" t="s">
        <v>3239</v>
      </c>
      <c r="H1588" s="198">
        <v>0.8</v>
      </c>
      <c r="I1588" s="199">
        <v>55000</v>
      </c>
      <c r="J1588" s="200" t="s">
        <v>3050</v>
      </c>
      <c r="K1588" s="200" t="s">
        <v>4093</v>
      </c>
      <c r="L1588" s="201">
        <v>0.4</v>
      </c>
      <c r="M1588" s="278" t="s">
        <v>5281</v>
      </c>
      <c r="N1588" s="205">
        <v>37500.01</v>
      </c>
      <c r="O1588" s="254">
        <v>37500.01</v>
      </c>
      <c r="P1588" s="254">
        <v>30000.01</v>
      </c>
      <c r="Q1588" s="254">
        <v>30000.01</v>
      </c>
      <c r="R1588" s="1262" t="s">
        <v>5265</v>
      </c>
      <c r="S1588" s="254">
        <v>15000</v>
      </c>
      <c r="T1588" s="204">
        <v>45162</v>
      </c>
      <c r="U1588" s="1262" t="s">
        <v>3097</v>
      </c>
      <c r="V1588" s="254">
        <v>7500</v>
      </c>
      <c r="W1588" s="203" t="s">
        <v>3981</v>
      </c>
      <c r="X1588" s="206">
        <v>7500</v>
      </c>
      <c r="Y1588" s="192"/>
    </row>
    <row r="1589" ht="37.5" customHeight="1" spans="1:25">
      <c r="A1589" s="192">
        <f t="shared" si="35"/>
        <v>1581</v>
      </c>
      <c r="B1589" s="208">
        <v>2023</v>
      </c>
      <c r="C1589" s="193" t="s">
        <v>37</v>
      </c>
      <c r="D1589" s="277" t="s">
        <v>5469</v>
      </c>
      <c r="E1589" s="195" t="s">
        <v>5470</v>
      </c>
      <c r="F1589" s="196" t="s">
        <v>2073</v>
      </c>
      <c r="G1589" s="197" t="s">
        <v>3239</v>
      </c>
      <c r="H1589" s="198">
        <v>0.8</v>
      </c>
      <c r="I1589" s="199">
        <v>15000</v>
      </c>
      <c r="J1589" s="200" t="s">
        <v>2941</v>
      </c>
      <c r="K1589" s="200" t="s">
        <v>4514</v>
      </c>
      <c r="L1589" s="201">
        <v>0.4</v>
      </c>
      <c r="M1589" s="278" t="s">
        <v>5338</v>
      </c>
      <c r="N1589" s="205">
        <v>8750</v>
      </c>
      <c r="O1589" s="254">
        <v>8750</v>
      </c>
      <c r="P1589" s="254">
        <v>7000</v>
      </c>
      <c r="Q1589" s="254">
        <v>7000</v>
      </c>
      <c r="R1589" s="1262" t="s">
        <v>5265</v>
      </c>
      <c r="S1589" s="254">
        <v>3500</v>
      </c>
      <c r="T1589" s="204">
        <v>45162</v>
      </c>
      <c r="U1589" s="1262" t="s">
        <v>3097</v>
      </c>
      <c r="V1589" s="254">
        <v>1750</v>
      </c>
      <c r="W1589" s="203" t="s">
        <v>3981</v>
      </c>
      <c r="X1589" s="206">
        <v>1750</v>
      </c>
      <c r="Y1589" s="192"/>
    </row>
    <row r="1590" ht="37.5" customHeight="1" spans="1:25">
      <c r="A1590" s="192">
        <f t="shared" si="35"/>
        <v>1582</v>
      </c>
      <c r="B1590" s="208">
        <v>2023</v>
      </c>
      <c r="C1590" s="193" t="s">
        <v>37</v>
      </c>
      <c r="D1590" s="277" t="s">
        <v>5422</v>
      </c>
      <c r="E1590" s="195" t="s">
        <v>5471</v>
      </c>
      <c r="F1590" s="196" t="s">
        <v>2073</v>
      </c>
      <c r="G1590" s="197" t="s">
        <v>1137</v>
      </c>
      <c r="H1590" s="198">
        <v>0.8</v>
      </c>
      <c r="I1590" s="199">
        <v>51034</v>
      </c>
      <c r="J1590" s="200" t="s">
        <v>3041</v>
      </c>
      <c r="K1590" s="200" t="s">
        <v>4520</v>
      </c>
      <c r="L1590" s="201">
        <v>0.4</v>
      </c>
      <c r="M1590" s="278" t="s">
        <v>5270</v>
      </c>
      <c r="N1590" s="205">
        <v>34022.68</v>
      </c>
      <c r="O1590" s="254">
        <v>34022.68</v>
      </c>
      <c r="P1590" s="254">
        <v>27218.14</v>
      </c>
      <c r="Q1590" s="254">
        <v>27218.14</v>
      </c>
      <c r="R1590" s="1262" t="s">
        <v>5265</v>
      </c>
      <c r="S1590" s="254">
        <v>13609.07</v>
      </c>
      <c r="T1590" s="204">
        <v>45162</v>
      </c>
      <c r="U1590" s="1262" t="s">
        <v>3097</v>
      </c>
      <c r="V1590" s="254">
        <v>6804.54</v>
      </c>
      <c r="W1590" s="203" t="s">
        <v>3981</v>
      </c>
      <c r="X1590" s="206">
        <v>6804.54</v>
      </c>
      <c r="Y1590" s="192"/>
    </row>
    <row r="1591" ht="37.5" customHeight="1" spans="1:25">
      <c r="A1591" s="192">
        <f t="shared" si="35"/>
        <v>1583</v>
      </c>
      <c r="B1591" s="208">
        <v>2023</v>
      </c>
      <c r="C1591" s="193" t="s">
        <v>37</v>
      </c>
      <c r="D1591" s="277" t="s">
        <v>5472</v>
      </c>
      <c r="E1591" s="195" t="s">
        <v>5473</v>
      </c>
      <c r="F1591" s="196" t="s">
        <v>2073</v>
      </c>
      <c r="G1591" s="197" t="s">
        <v>3239</v>
      </c>
      <c r="H1591" s="198">
        <v>0.8</v>
      </c>
      <c r="I1591" s="199">
        <v>17489.99</v>
      </c>
      <c r="J1591" s="200" t="s">
        <v>3041</v>
      </c>
      <c r="K1591" s="200" t="s">
        <v>4520</v>
      </c>
      <c r="L1591" s="201">
        <v>0.4</v>
      </c>
      <c r="M1591" s="278" t="s">
        <v>5276</v>
      </c>
      <c r="N1591" s="205">
        <v>208.35</v>
      </c>
      <c r="O1591" s="254">
        <v>208.35</v>
      </c>
      <c r="P1591" s="254">
        <v>166.68</v>
      </c>
      <c r="Q1591" s="254">
        <v>166.68</v>
      </c>
      <c r="R1591" s="1262" t="s">
        <v>5265</v>
      </c>
      <c r="S1591" s="254">
        <v>83.34</v>
      </c>
      <c r="T1591" s="204">
        <v>45162</v>
      </c>
      <c r="U1591" s="1262" t="s">
        <v>3097</v>
      </c>
      <c r="V1591" s="254">
        <v>41.67</v>
      </c>
      <c r="W1591" s="203" t="s">
        <v>3981</v>
      </c>
      <c r="X1591" s="206">
        <v>41.67</v>
      </c>
      <c r="Y1591" s="192"/>
    </row>
    <row r="1592" ht="37.5" customHeight="1" spans="1:25">
      <c r="A1592" s="192">
        <f t="shared" si="35"/>
        <v>1584</v>
      </c>
      <c r="B1592" s="208">
        <v>2023</v>
      </c>
      <c r="C1592" s="193" t="s">
        <v>37</v>
      </c>
      <c r="D1592" s="277" t="s">
        <v>5311</v>
      </c>
      <c r="E1592" s="195" t="s">
        <v>5474</v>
      </c>
      <c r="F1592" s="196" t="s">
        <v>2073</v>
      </c>
      <c r="G1592" s="197" t="s">
        <v>3239</v>
      </c>
      <c r="H1592" s="198">
        <v>0.8</v>
      </c>
      <c r="I1592" s="199">
        <v>16000</v>
      </c>
      <c r="J1592" s="200" t="s">
        <v>2906</v>
      </c>
      <c r="K1592" s="200" t="s">
        <v>4904</v>
      </c>
      <c r="L1592" s="201">
        <v>0.4</v>
      </c>
      <c r="M1592" s="278" t="s">
        <v>5313</v>
      </c>
      <c r="N1592" s="205">
        <v>10666.68</v>
      </c>
      <c r="O1592" s="254">
        <v>10666.68</v>
      </c>
      <c r="P1592" s="254">
        <v>8533.34</v>
      </c>
      <c r="Q1592" s="254">
        <v>8533.34</v>
      </c>
      <c r="R1592" s="1262" t="s">
        <v>5265</v>
      </c>
      <c r="S1592" s="254">
        <v>4266.67</v>
      </c>
      <c r="T1592" s="204">
        <v>45162</v>
      </c>
      <c r="U1592" s="1262" t="s">
        <v>3097</v>
      </c>
      <c r="V1592" s="254">
        <v>2133.34</v>
      </c>
      <c r="W1592" s="203" t="s">
        <v>3981</v>
      </c>
      <c r="X1592" s="206">
        <v>2133.34</v>
      </c>
      <c r="Y1592" s="192"/>
    </row>
    <row r="1593" ht="37.5" customHeight="1" spans="1:25">
      <c r="A1593" s="192">
        <f t="shared" si="35"/>
        <v>1585</v>
      </c>
      <c r="B1593" s="208">
        <v>2023</v>
      </c>
      <c r="C1593" s="193" t="s">
        <v>37</v>
      </c>
      <c r="D1593" s="277" t="s">
        <v>5460</v>
      </c>
      <c r="E1593" s="195" t="s">
        <v>5475</v>
      </c>
      <c r="F1593" s="196" t="s">
        <v>2073</v>
      </c>
      <c r="G1593" s="197" t="s">
        <v>3239</v>
      </c>
      <c r="H1593" s="198">
        <v>0.8</v>
      </c>
      <c r="I1593" s="199">
        <v>74000</v>
      </c>
      <c r="J1593" s="200" t="s">
        <v>3100</v>
      </c>
      <c r="K1593" s="200" t="s">
        <v>4906</v>
      </c>
      <c r="L1593" s="201">
        <v>0.4</v>
      </c>
      <c r="M1593" s="278" t="s">
        <v>5347</v>
      </c>
      <c r="N1593" s="205">
        <v>49333.36</v>
      </c>
      <c r="O1593" s="254">
        <v>49333.36</v>
      </c>
      <c r="P1593" s="254">
        <v>39466.68</v>
      </c>
      <c r="Q1593" s="254">
        <v>39466.68</v>
      </c>
      <c r="R1593" s="1262" t="s">
        <v>5265</v>
      </c>
      <c r="S1593" s="254">
        <v>19733.34</v>
      </c>
      <c r="T1593" s="204">
        <v>45162</v>
      </c>
      <c r="U1593" s="1262" t="s">
        <v>3097</v>
      </c>
      <c r="V1593" s="254">
        <v>9866.67</v>
      </c>
      <c r="W1593" s="203" t="s">
        <v>3981</v>
      </c>
      <c r="X1593" s="206">
        <v>9866.67</v>
      </c>
      <c r="Y1593" s="192"/>
    </row>
    <row r="1594" ht="37.5" customHeight="1" spans="1:25">
      <c r="A1594" s="192">
        <f t="shared" si="35"/>
        <v>1586</v>
      </c>
      <c r="B1594" s="208">
        <v>2023</v>
      </c>
      <c r="C1594" s="193" t="s">
        <v>37</v>
      </c>
      <c r="D1594" s="277" t="s">
        <v>5476</v>
      </c>
      <c r="E1594" s="195" t="s">
        <v>5477</v>
      </c>
      <c r="F1594" s="196" t="s">
        <v>2073</v>
      </c>
      <c r="G1594" s="197" t="s">
        <v>3239</v>
      </c>
      <c r="H1594" s="198">
        <v>0.8</v>
      </c>
      <c r="I1594" s="199">
        <v>150000</v>
      </c>
      <c r="J1594" s="200" t="s">
        <v>3093</v>
      </c>
      <c r="K1594" s="200" t="s">
        <v>5478</v>
      </c>
      <c r="L1594" s="201">
        <v>0.4</v>
      </c>
      <c r="M1594" s="278" t="s">
        <v>3726</v>
      </c>
      <c r="N1594" s="205">
        <v>100000.04</v>
      </c>
      <c r="O1594" s="254">
        <v>100000.04</v>
      </c>
      <c r="P1594" s="254">
        <v>80000.03</v>
      </c>
      <c r="Q1594" s="254">
        <v>80000.03</v>
      </c>
      <c r="R1594" s="1262" t="s">
        <v>5265</v>
      </c>
      <c r="S1594" s="254">
        <v>40000.02</v>
      </c>
      <c r="T1594" s="204">
        <v>45162</v>
      </c>
      <c r="U1594" s="1262" t="s">
        <v>3097</v>
      </c>
      <c r="V1594" s="254">
        <v>20000.01</v>
      </c>
      <c r="W1594" s="1262" t="s">
        <v>2994</v>
      </c>
      <c r="X1594" s="258">
        <v>20000.01</v>
      </c>
      <c r="Y1594" s="192"/>
    </row>
    <row r="1595" ht="37.5" customHeight="1" spans="1:25">
      <c r="A1595" s="192">
        <f t="shared" si="35"/>
        <v>1587</v>
      </c>
      <c r="B1595" s="208">
        <v>2023</v>
      </c>
      <c r="C1595" s="193" t="s">
        <v>37</v>
      </c>
      <c r="D1595" s="277" t="s">
        <v>5268</v>
      </c>
      <c r="E1595" s="195" t="s">
        <v>5479</v>
      </c>
      <c r="F1595" s="196" t="s">
        <v>2073</v>
      </c>
      <c r="G1595" s="197" t="s">
        <v>1137</v>
      </c>
      <c r="H1595" s="198">
        <v>0.8</v>
      </c>
      <c r="I1595" s="199">
        <v>10316.23</v>
      </c>
      <c r="J1595" s="200" t="s">
        <v>4908</v>
      </c>
      <c r="K1595" s="200" t="s">
        <v>4909</v>
      </c>
      <c r="L1595" s="201">
        <v>0.4</v>
      </c>
      <c r="M1595" s="278" t="s">
        <v>5270</v>
      </c>
      <c r="N1595" s="205">
        <v>3333.36</v>
      </c>
      <c r="O1595" s="254">
        <v>3333.36</v>
      </c>
      <c r="P1595" s="254">
        <v>2666.69</v>
      </c>
      <c r="Q1595" s="254">
        <v>2666.69</v>
      </c>
      <c r="R1595" s="1262" t="s">
        <v>5265</v>
      </c>
      <c r="S1595" s="254">
        <v>1333.34</v>
      </c>
      <c r="T1595" s="204">
        <v>45162</v>
      </c>
      <c r="U1595" s="1262" t="s">
        <v>3097</v>
      </c>
      <c r="V1595" s="254">
        <v>666.67</v>
      </c>
      <c r="W1595" s="1262" t="s">
        <v>2994</v>
      </c>
      <c r="X1595" s="258">
        <v>666.67</v>
      </c>
      <c r="Y1595" s="192"/>
    </row>
    <row r="1596" ht="37.5" customHeight="1" spans="1:25">
      <c r="A1596" s="192">
        <f t="shared" si="35"/>
        <v>1588</v>
      </c>
      <c r="B1596" s="208">
        <v>2023</v>
      </c>
      <c r="C1596" s="193" t="s">
        <v>37</v>
      </c>
      <c r="D1596" s="277" t="s">
        <v>5480</v>
      </c>
      <c r="E1596" s="195" t="s">
        <v>5481</v>
      </c>
      <c r="F1596" s="196" t="s">
        <v>2073</v>
      </c>
      <c r="G1596" s="197" t="s">
        <v>3239</v>
      </c>
      <c r="H1596" s="198">
        <v>0.8</v>
      </c>
      <c r="I1596" s="199">
        <v>13016.62</v>
      </c>
      <c r="J1596" s="200" t="s">
        <v>2049</v>
      </c>
      <c r="K1596" s="200" t="s">
        <v>5482</v>
      </c>
      <c r="L1596" s="201">
        <v>0.4</v>
      </c>
      <c r="M1596" s="278" t="s">
        <v>5347</v>
      </c>
      <c r="N1596" s="205">
        <v>1866.68</v>
      </c>
      <c r="O1596" s="254">
        <v>1866.68</v>
      </c>
      <c r="P1596" s="254">
        <v>1493.34</v>
      </c>
      <c r="Q1596" s="254">
        <v>1493.34</v>
      </c>
      <c r="R1596" s="1262" t="s">
        <v>5265</v>
      </c>
      <c r="S1596" s="254">
        <v>746.67</v>
      </c>
      <c r="T1596" s="204">
        <v>45162</v>
      </c>
      <c r="U1596" s="1262" t="s">
        <v>3097</v>
      </c>
      <c r="V1596" s="254">
        <v>373.34</v>
      </c>
      <c r="W1596" s="1262" t="s">
        <v>2994</v>
      </c>
      <c r="X1596" s="258">
        <v>373.34</v>
      </c>
      <c r="Y1596" s="192"/>
    </row>
    <row r="1597" ht="37.5" customHeight="1" spans="1:25">
      <c r="A1597" s="192">
        <f t="shared" si="35"/>
        <v>1589</v>
      </c>
      <c r="B1597" s="208">
        <v>2023</v>
      </c>
      <c r="C1597" s="193" t="s">
        <v>37</v>
      </c>
      <c r="D1597" s="277" t="s">
        <v>5279</v>
      </c>
      <c r="E1597" s="195" t="s">
        <v>5483</v>
      </c>
      <c r="F1597" s="196" t="s">
        <v>2073</v>
      </c>
      <c r="G1597" s="197" t="s">
        <v>3239</v>
      </c>
      <c r="H1597" s="198">
        <v>0.8</v>
      </c>
      <c r="I1597" s="199">
        <v>70755</v>
      </c>
      <c r="J1597" s="200" t="s">
        <v>2026</v>
      </c>
      <c r="K1597" s="200" t="s">
        <v>4539</v>
      </c>
      <c r="L1597" s="201">
        <v>0.4</v>
      </c>
      <c r="M1597" s="278" t="s">
        <v>5281</v>
      </c>
      <c r="N1597" s="205">
        <v>52232.95</v>
      </c>
      <c r="O1597" s="254">
        <v>52232.95</v>
      </c>
      <c r="P1597" s="254">
        <v>41786.36</v>
      </c>
      <c r="Q1597" s="254">
        <v>41786.36</v>
      </c>
      <c r="R1597" s="1262" t="s">
        <v>5265</v>
      </c>
      <c r="S1597" s="254">
        <v>20893.18</v>
      </c>
      <c r="T1597" s="204">
        <v>45162</v>
      </c>
      <c r="U1597" s="1262" t="s">
        <v>3097</v>
      </c>
      <c r="V1597" s="254">
        <v>10446.59</v>
      </c>
      <c r="W1597" s="1262" t="s">
        <v>2994</v>
      </c>
      <c r="X1597" s="258">
        <v>10446.59</v>
      </c>
      <c r="Y1597" s="192"/>
    </row>
    <row r="1598" ht="37.5" customHeight="1" spans="1:25">
      <c r="A1598" s="192">
        <f t="shared" si="35"/>
        <v>1590</v>
      </c>
      <c r="B1598" s="208">
        <v>2023</v>
      </c>
      <c r="C1598" s="193" t="s">
        <v>37</v>
      </c>
      <c r="D1598" s="277" t="s">
        <v>5311</v>
      </c>
      <c r="E1598" s="195" t="s">
        <v>5484</v>
      </c>
      <c r="F1598" s="196" t="s">
        <v>2073</v>
      </c>
      <c r="G1598" s="197" t="s">
        <v>3239</v>
      </c>
      <c r="H1598" s="198">
        <v>0.8</v>
      </c>
      <c r="I1598" s="199">
        <v>19005.55</v>
      </c>
      <c r="J1598" s="200" t="s">
        <v>3136</v>
      </c>
      <c r="K1598" s="200" t="s">
        <v>5172</v>
      </c>
      <c r="L1598" s="201">
        <v>0.4</v>
      </c>
      <c r="M1598" s="278" t="s">
        <v>5313</v>
      </c>
      <c r="N1598" s="205">
        <v>6375.01</v>
      </c>
      <c r="O1598" s="254">
        <v>6375.01</v>
      </c>
      <c r="P1598" s="254">
        <v>5100.01</v>
      </c>
      <c r="Q1598" s="254">
        <v>5100.01</v>
      </c>
      <c r="R1598" s="1262" t="s">
        <v>5265</v>
      </c>
      <c r="S1598" s="254">
        <v>2550</v>
      </c>
      <c r="T1598" s="204">
        <v>45162</v>
      </c>
      <c r="U1598" s="1262" t="s">
        <v>3097</v>
      </c>
      <c r="V1598" s="254">
        <v>1275</v>
      </c>
      <c r="W1598" s="1262" t="s">
        <v>2994</v>
      </c>
      <c r="X1598" s="258">
        <v>1275</v>
      </c>
      <c r="Y1598" s="192"/>
    </row>
    <row r="1599" ht="37.5" customHeight="1" spans="1:25">
      <c r="A1599" s="192">
        <f t="shared" si="35"/>
        <v>1591</v>
      </c>
      <c r="B1599" s="208">
        <v>2023</v>
      </c>
      <c r="C1599" s="193" t="s">
        <v>37</v>
      </c>
      <c r="D1599" s="277" t="s">
        <v>5485</v>
      </c>
      <c r="E1599" s="195" t="s">
        <v>5486</v>
      </c>
      <c r="F1599" s="196" t="s">
        <v>2073</v>
      </c>
      <c r="G1599" s="197" t="s">
        <v>3239</v>
      </c>
      <c r="H1599" s="198">
        <v>0.8</v>
      </c>
      <c r="I1599" s="199">
        <v>40000</v>
      </c>
      <c r="J1599" s="200" t="s">
        <v>3076</v>
      </c>
      <c r="K1599" s="200" t="s">
        <v>3194</v>
      </c>
      <c r="L1599" s="201">
        <v>0.4</v>
      </c>
      <c r="M1599" s="278" t="s">
        <v>5189</v>
      </c>
      <c r="N1599" s="205">
        <v>30000.01</v>
      </c>
      <c r="O1599" s="254">
        <v>30000.01</v>
      </c>
      <c r="P1599" s="254">
        <v>24000.01</v>
      </c>
      <c r="Q1599" s="254">
        <v>24000.01</v>
      </c>
      <c r="R1599" s="1262" t="s">
        <v>5265</v>
      </c>
      <c r="S1599" s="254">
        <v>12000</v>
      </c>
      <c r="T1599" s="204">
        <v>45162</v>
      </c>
      <c r="U1599" s="1262" t="s">
        <v>3097</v>
      </c>
      <c r="V1599" s="254">
        <v>6000</v>
      </c>
      <c r="W1599" s="1262" t="s">
        <v>2994</v>
      </c>
      <c r="X1599" s="258">
        <v>6000</v>
      </c>
      <c r="Y1599" s="192"/>
    </row>
    <row r="1600" ht="37.5" customHeight="1" spans="1:25">
      <c r="A1600" s="192">
        <f t="shared" si="35"/>
        <v>1592</v>
      </c>
      <c r="B1600" s="208">
        <v>2023</v>
      </c>
      <c r="C1600" s="193" t="s">
        <v>37</v>
      </c>
      <c r="D1600" s="277" t="s">
        <v>5469</v>
      </c>
      <c r="E1600" s="195" t="s">
        <v>5487</v>
      </c>
      <c r="F1600" s="196" t="s">
        <v>2073</v>
      </c>
      <c r="G1600" s="197" t="s">
        <v>1137</v>
      </c>
      <c r="H1600" s="198">
        <v>0.8</v>
      </c>
      <c r="I1600" s="199">
        <v>10774.6</v>
      </c>
      <c r="J1600" s="200" t="s">
        <v>2062</v>
      </c>
      <c r="K1600" s="200" t="s">
        <v>5488</v>
      </c>
      <c r="L1600" s="201">
        <v>0.4</v>
      </c>
      <c r="M1600" s="278" t="s">
        <v>5338</v>
      </c>
      <c r="N1600" s="205">
        <v>7500.01</v>
      </c>
      <c r="O1600" s="254">
        <v>7500.01</v>
      </c>
      <c r="P1600" s="254">
        <v>6000.01</v>
      </c>
      <c r="Q1600" s="254">
        <v>6000.01</v>
      </c>
      <c r="R1600" s="1262" t="s">
        <v>5265</v>
      </c>
      <c r="S1600" s="254">
        <v>3000</v>
      </c>
      <c r="T1600" s="204">
        <v>45162</v>
      </c>
      <c r="U1600" s="1262" t="s">
        <v>3097</v>
      </c>
      <c r="V1600" s="254">
        <v>1500</v>
      </c>
      <c r="W1600" s="1262" t="s">
        <v>2994</v>
      </c>
      <c r="X1600" s="258">
        <v>1500</v>
      </c>
      <c r="Y1600" s="192"/>
    </row>
    <row r="1601" ht="37.5" customHeight="1" spans="1:25">
      <c r="A1601" s="192">
        <f t="shared" si="35"/>
        <v>1593</v>
      </c>
      <c r="B1601" s="208">
        <v>2023</v>
      </c>
      <c r="C1601" s="193" t="s">
        <v>37</v>
      </c>
      <c r="D1601" s="277" t="s">
        <v>5120</v>
      </c>
      <c r="E1601" s="195" t="s">
        <v>5489</v>
      </c>
      <c r="F1601" s="196" t="s">
        <v>2073</v>
      </c>
      <c r="G1601" s="197" t="s">
        <v>3239</v>
      </c>
      <c r="H1601" s="198">
        <v>0.8</v>
      </c>
      <c r="I1601" s="199">
        <v>20000</v>
      </c>
      <c r="J1601" s="200" t="s">
        <v>2062</v>
      </c>
      <c r="K1601" s="200" t="s">
        <v>5488</v>
      </c>
      <c r="L1601" s="201">
        <v>0.4</v>
      </c>
      <c r="M1601" s="278" t="s">
        <v>5160</v>
      </c>
      <c r="N1601" s="205">
        <v>15000.02</v>
      </c>
      <c r="O1601" s="254">
        <v>15000.02</v>
      </c>
      <c r="P1601" s="254">
        <v>12000.02</v>
      </c>
      <c r="Q1601" s="254">
        <v>12000.02</v>
      </c>
      <c r="R1601" s="1262" t="s">
        <v>5265</v>
      </c>
      <c r="S1601" s="254">
        <v>6000.01</v>
      </c>
      <c r="T1601" s="204">
        <v>45162</v>
      </c>
      <c r="U1601" s="1262" t="s">
        <v>3097</v>
      </c>
      <c r="V1601" s="254">
        <v>3000</v>
      </c>
      <c r="W1601" s="1262" t="s">
        <v>2994</v>
      </c>
      <c r="X1601" s="258">
        <v>3000</v>
      </c>
      <c r="Y1601" s="192"/>
    </row>
    <row r="1602" ht="37.5" customHeight="1" spans="1:25">
      <c r="A1602" s="192">
        <f t="shared" si="35"/>
        <v>1594</v>
      </c>
      <c r="B1602" s="208">
        <v>2023</v>
      </c>
      <c r="C1602" s="193" t="s">
        <v>37</v>
      </c>
      <c r="D1602" s="277" t="s">
        <v>5460</v>
      </c>
      <c r="E1602" s="195" t="s">
        <v>5490</v>
      </c>
      <c r="F1602" s="196" t="s">
        <v>2073</v>
      </c>
      <c r="G1602" s="197" t="s">
        <v>3239</v>
      </c>
      <c r="H1602" s="198">
        <v>0.8</v>
      </c>
      <c r="I1602" s="199">
        <v>54000</v>
      </c>
      <c r="J1602" s="200" t="s">
        <v>2062</v>
      </c>
      <c r="K1602" s="200" t="s">
        <v>5488</v>
      </c>
      <c r="L1602" s="201">
        <v>0.4</v>
      </c>
      <c r="M1602" s="278" t="s">
        <v>5347</v>
      </c>
      <c r="N1602" s="205">
        <v>40500.03</v>
      </c>
      <c r="O1602" s="254">
        <v>40500.03</v>
      </c>
      <c r="P1602" s="254">
        <v>32400.03</v>
      </c>
      <c r="Q1602" s="254">
        <v>32400.03</v>
      </c>
      <c r="R1602" s="1262" t="s">
        <v>5265</v>
      </c>
      <c r="S1602" s="254">
        <v>16200.01</v>
      </c>
      <c r="T1602" s="204">
        <v>45162</v>
      </c>
      <c r="U1602" s="1262" t="s">
        <v>3097</v>
      </c>
      <c r="V1602" s="254">
        <v>8100.01</v>
      </c>
      <c r="W1602" s="1262" t="s">
        <v>2994</v>
      </c>
      <c r="X1602" s="258">
        <v>8100.01</v>
      </c>
      <c r="Y1602" s="192"/>
    </row>
    <row r="1603" ht="37.5" customHeight="1" spans="1:25">
      <c r="A1603" s="192">
        <f t="shared" si="35"/>
        <v>1595</v>
      </c>
      <c r="B1603" s="208">
        <v>2023</v>
      </c>
      <c r="C1603" s="193" t="s">
        <v>37</v>
      </c>
      <c r="D1603" s="277" t="s">
        <v>5453</v>
      </c>
      <c r="E1603" s="195" t="s">
        <v>5491</v>
      </c>
      <c r="F1603" s="196" t="s">
        <v>2073</v>
      </c>
      <c r="G1603" s="197" t="s">
        <v>3239</v>
      </c>
      <c r="H1603" s="198">
        <v>0.8</v>
      </c>
      <c r="I1603" s="199">
        <v>76000</v>
      </c>
      <c r="J1603" s="200" t="s">
        <v>3047</v>
      </c>
      <c r="K1603" s="200" t="s">
        <v>5182</v>
      </c>
      <c r="L1603" s="201">
        <v>0.4</v>
      </c>
      <c r="M1603" s="278" t="s">
        <v>5455</v>
      </c>
      <c r="N1603" s="205">
        <v>29871.82</v>
      </c>
      <c r="O1603" s="254">
        <v>29871.82</v>
      </c>
      <c r="P1603" s="254">
        <v>23897.46</v>
      </c>
      <c r="Q1603" s="254">
        <v>23897.46</v>
      </c>
      <c r="R1603" s="1262" t="s">
        <v>5265</v>
      </c>
      <c r="S1603" s="254">
        <v>11948.73</v>
      </c>
      <c r="T1603" s="204">
        <v>45162</v>
      </c>
      <c r="U1603" s="1262" t="s">
        <v>3097</v>
      </c>
      <c r="V1603" s="254">
        <v>5974.36</v>
      </c>
      <c r="W1603" s="1262" t="s">
        <v>2994</v>
      </c>
      <c r="X1603" s="258">
        <v>5974.36</v>
      </c>
      <c r="Y1603" s="192"/>
    </row>
    <row r="1604" ht="37.5" customHeight="1" spans="1:25">
      <c r="A1604" s="192">
        <f t="shared" si="35"/>
        <v>1596</v>
      </c>
      <c r="B1604" s="208">
        <v>2023</v>
      </c>
      <c r="C1604" s="193" t="s">
        <v>37</v>
      </c>
      <c r="D1604" s="277" t="s">
        <v>5268</v>
      </c>
      <c r="E1604" s="195" t="s">
        <v>5492</v>
      </c>
      <c r="F1604" s="196" t="s">
        <v>2073</v>
      </c>
      <c r="G1604" s="197" t="s">
        <v>3239</v>
      </c>
      <c r="H1604" s="198">
        <v>0.8</v>
      </c>
      <c r="I1604" s="199">
        <v>31199</v>
      </c>
      <c r="J1604" s="200" t="s">
        <v>2979</v>
      </c>
      <c r="K1604" s="200" t="s">
        <v>4917</v>
      </c>
      <c r="L1604" s="201">
        <v>0.4</v>
      </c>
      <c r="M1604" s="278" t="s">
        <v>5270</v>
      </c>
      <c r="N1604" s="205">
        <v>23399.27</v>
      </c>
      <c r="O1604" s="254">
        <v>23399.27</v>
      </c>
      <c r="P1604" s="254">
        <v>18719.42</v>
      </c>
      <c r="Q1604" s="254">
        <v>18719.42</v>
      </c>
      <c r="R1604" s="1262" t="s">
        <v>5265</v>
      </c>
      <c r="S1604" s="254">
        <v>9359.71</v>
      </c>
      <c r="T1604" s="204">
        <v>45162</v>
      </c>
      <c r="U1604" s="1262" t="s">
        <v>3097</v>
      </c>
      <c r="V1604" s="254">
        <v>4679.85</v>
      </c>
      <c r="W1604" s="1262" t="s">
        <v>2994</v>
      </c>
      <c r="X1604" s="258">
        <v>4679.85</v>
      </c>
      <c r="Y1604" s="192"/>
    </row>
    <row r="1605" ht="37.5" customHeight="1" spans="1:25">
      <c r="A1605" s="192">
        <f t="shared" si="35"/>
        <v>1597</v>
      </c>
      <c r="B1605" s="208">
        <v>2023</v>
      </c>
      <c r="C1605" s="193" t="s">
        <v>37</v>
      </c>
      <c r="D1605" s="277" t="s">
        <v>5493</v>
      </c>
      <c r="E1605" s="195" t="s">
        <v>5494</v>
      </c>
      <c r="F1605" s="196" t="s">
        <v>2073</v>
      </c>
      <c r="G1605" s="197" t="s">
        <v>1137</v>
      </c>
      <c r="H1605" s="198">
        <v>0.8</v>
      </c>
      <c r="I1605" s="199">
        <v>294000</v>
      </c>
      <c r="J1605" s="200" t="s">
        <v>3308</v>
      </c>
      <c r="K1605" s="200" t="s">
        <v>5495</v>
      </c>
      <c r="L1605" s="201">
        <v>0.4</v>
      </c>
      <c r="M1605" s="278" t="s">
        <v>5338</v>
      </c>
      <c r="N1605" s="205">
        <v>204000</v>
      </c>
      <c r="O1605" s="254">
        <v>204000</v>
      </c>
      <c r="P1605" s="254">
        <v>163200</v>
      </c>
      <c r="Q1605" s="254">
        <v>163200</v>
      </c>
      <c r="R1605" s="1262" t="s">
        <v>5265</v>
      </c>
      <c r="S1605" s="254">
        <v>81600</v>
      </c>
      <c r="T1605" s="204">
        <v>45162</v>
      </c>
      <c r="U1605" s="1262" t="s">
        <v>3097</v>
      </c>
      <c r="V1605" s="254">
        <v>40800</v>
      </c>
      <c r="W1605" s="1262" t="s">
        <v>2994</v>
      </c>
      <c r="X1605" s="258">
        <v>40800</v>
      </c>
      <c r="Y1605" s="192"/>
    </row>
    <row r="1606" ht="37.5" customHeight="1" spans="1:25">
      <c r="A1606" s="192">
        <f t="shared" si="35"/>
        <v>1598</v>
      </c>
      <c r="B1606" s="208">
        <v>2023</v>
      </c>
      <c r="C1606" s="193" t="s">
        <v>37</v>
      </c>
      <c r="D1606" s="277" t="s">
        <v>5279</v>
      </c>
      <c r="E1606" s="195" t="s">
        <v>5496</v>
      </c>
      <c r="F1606" s="196" t="s">
        <v>2073</v>
      </c>
      <c r="G1606" s="197" t="s">
        <v>3239</v>
      </c>
      <c r="H1606" s="198">
        <v>0.8</v>
      </c>
      <c r="I1606" s="199">
        <v>43000</v>
      </c>
      <c r="J1606" s="200" t="s">
        <v>3492</v>
      </c>
      <c r="K1606" s="200" t="s">
        <v>5497</v>
      </c>
      <c r="L1606" s="201">
        <v>0.4</v>
      </c>
      <c r="M1606" s="278" t="s">
        <v>5281</v>
      </c>
      <c r="N1606" s="205">
        <v>35833.34</v>
      </c>
      <c r="O1606" s="254">
        <v>35833.34</v>
      </c>
      <c r="P1606" s="254">
        <v>28666.67</v>
      </c>
      <c r="Q1606" s="254">
        <v>28666.67</v>
      </c>
      <c r="R1606" s="1262" t="s">
        <v>5265</v>
      </c>
      <c r="S1606" s="254">
        <v>14333.34</v>
      </c>
      <c r="T1606" s="204">
        <v>45162</v>
      </c>
      <c r="U1606" s="1262" t="s">
        <v>3097</v>
      </c>
      <c r="V1606" s="254">
        <v>7166.67</v>
      </c>
      <c r="W1606" s="1262" t="s">
        <v>2994</v>
      </c>
      <c r="X1606" s="258">
        <v>7166.67</v>
      </c>
      <c r="Y1606" s="192"/>
    </row>
    <row r="1607" ht="37.5" customHeight="1" spans="1:25">
      <c r="A1607" s="192">
        <f t="shared" si="35"/>
        <v>1599</v>
      </c>
      <c r="B1607" s="208">
        <v>2023</v>
      </c>
      <c r="C1607" s="193" t="s">
        <v>37</v>
      </c>
      <c r="D1607" s="277" t="s">
        <v>5311</v>
      </c>
      <c r="E1607" s="195" t="s">
        <v>5498</v>
      </c>
      <c r="F1607" s="196" t="s">
        <v>2073</v>
      </c>
      <c r="G1607" s="197" t="s">
        <v>3239</v>
      </c>
      <c r="H1607" s="198">
        <v>0.8</v>
      </c>
      <c r="I1607" s="199">
        <v>13000</v>
      </c>
      <c r="J1607" s="200" t="s">
        <v>2282</v>
      </c>
      <c r="K1607" s="200" t="s">
        <v>5499</v>
      </c>
      <c r="L1607" s="201">
        <v>0.4</v>
      </c>
      <c r="M1607" s="278" t="s">
        <v>5313</v>
      </c>
      <c r="N1607" s="205">
        <v>10833.34</v>
      </c>
      <c r="O1607" s="254">
        <v>10833.34</v>
      </c>
      <c r="P1607" s="254">
        <v>8666.67</v>
      </c>
      <c r="Q1607" s="254">
        <v>8666.67</v>
      </c>
      <c r="R1607" s="1262" t="s">
        <v>5265</v>
      </c>
      <c r="S1607" s="254">
        <v>4333.34</v>
      </c>
      <c r="T1607" s="204">
        <v>45162</v>
      </c>
      <c r="U1607" s="1262" t="s">
        <v>3097</v>
      </c>
      <c r="V1607" s="254">
        <v>2166.67</v>
      </c>
      <c r="W1607" s="1262" t="s">
        <v>2994</v>
      </c>
      <c r="X1607" s="258">
        <v>2166.67</v>
      </c>
      <c r="Y1607" s="192"/>
    </row>
    <row r="1608" ht="37.5" customHeight="1" spans="1:25">
      <c r="A1608" s="192">
        <f t="shared" si="35"/>
        <v>1600</v>
      </c>
      <c r="B1608" s="208">
        <v>2023</v>
      </c>
      <c r="C1608" s="193" t="s">
        <v>37</v>
      </c>
      <c r="D1608" s="277" t="s">
        <v>5500</v>
      </c>
      <c r="E1608" s="195" t="s">
        <v>5501</v>
      </c>
      <c r="F1608" s="196" t="s">
        <v>2073</v>
      </c>
      <c r="G1608" s="197" t="s">
        <v>3239</v>
      </c>
      <c r="H1608" s="198">
        <v>0.8</v>
      </c>
      <c r="I1608" s="199">
        <v>13000</v>
      </c>
      <c r="J1608" s="200" t="s">
        <v>3257</v>
      </c>
      <c r="K1608" s="200" t="s">
        <v>5502</v>
      </c>
      <c r="L1608" s="201">
        <v>0.4</v>
      </c>
      <c r="M1608" s="278" t="s">
        <v>5153</v>
      </c>
      <c r="N1608" s="205">
        <v>10833.34</v>
      </c>
      <c r="O1608" s="254">
        <v>10833.34</v>
      </c>
      <c r="P1608" s="254">
        <v>8666.67</v>
      </c>
      <c r="Q1608" s="254">
        <v>8666.67</v>
      </c>
      <c r="R1608" s="1262" t="s">
        <v>5265</v>
      </c>
      <c r="S1608" s="254">
        <v>4333.34</v>
      </c>
      <c r="T1608" s="204">
        <v>45162</v>
      </c>
      <c r="U1608" s="1262" t="s">
        <v>3097</v>
      </c>
      <c r="V1608" s="254">
        <v>2166.67</v>
      </c>
      <c r="W1608" s="1262" t="s">
        <v>2994</v>
      </c>
      <c r="X1608" s="258">
        <v>2166.67</v>
      </c>
      <c r="Y1608" s="192"/>
    </row>
    <row r="1609" ht="37.5" customHeight="1" spans="1:25">
      <c r="A1609" s="192">
        <f t="shared" si="35"/>
        <v>1601</v>
      </c>
      <c r="B1609" s="208">
        <v>2023</v>
      </c>
      <c r="C1609" s="193" t="s">
        <v>37</v>
      </c>
      <c r="D1609" s="277" t="s">
        <v>5503</v>
      </c>
      <c r="E1609" s="195" t="s">
        <v>5504</v>
      </c>
      <c r="F1609" s="196" t="s">
        <v>2073</v>
      </c>
      <c r="G1609" s="197" t="s">
        <v>3239</v>
      </c>
      <c r="H1609" s="198">
        <v>0.8</v>
      </c>
      <c r="I1609" s="199">
        <v>16000</v>
      </c>
      <c r="J1609" s="200" t="s">
        <v>3788</v>
      </c>
      <c r="K1609" s="200" t="s">
        <v>5505</v>
      </c>
      <c r="L1609" s="201">
        <v>0.4</v>
      </c>
      <c r="M1609" s="278" t="s">
        <v>5413</v>
      </c>
      <c r="N1609" s="205">
        <v>14666.67</v>
      </c>
      <c r="O1609" s="254">
        <v>14666.67</v>
      </c>
      <c r="P1609" s="254">
        <v>11733.34</v>
      </c>
      <c r="Q1609" s="254">
        <v>11733.34</v>
      </c>
      <c r="R1609" s="1262" t="s">
        <v>5265</v>
      </c>
      <c r="S1609" s="254">
        <v>5866.67</v>
      </c>
      <c r="T1609" s="204">
        <v>45162</v>
      </c>
      <c r="U1609" s="1262" t="s">
        <v>3097</v>
      </c>
      <c r="V1609" s="254">
        <v>2933.33</v>
      </c>
      <c r="W1609" s="1262" t="s">
        <v>2994</v>
      </c>
      <c r="X1609" s="258">
        <v>2933.33</v>
      </c>
      <c r="Y1609" s="192"/>
    </row>
    <row r="1610" ht="37.5" customHeight="1" spans="1:25">
      <c r="A1610" s="192">
        <f t="shared" si="35"/>
        <v>1602</v>
      </c>
      <c r="B1610" s="208">
        <v>2023</v>
      </c>
      <c r="C1610" s="193" t="s">
        <v>37</v>
      </c>
      <c r="D1610" s="277" t="s">
        <v>5279</v>
      </c>
      <c r="E1610" s="195" t="s">
        <v>5506</v>
      </c>
      <c r="F1610" s="196" t="s">
        <v>2073</v>
      </c>
      <c r="G1610" s="197" t="s">
        <v>3239</v>
      </c>
      <c r="H1610" s="198">
        <v>0.8</v>
      </c>
      <c r="I1610" s="199">
        <v>47500</v>
      </c>
      <c r="J1610" s="200" t="s">
        <v>3246</v>
      </c>
      <c r="K1610" s="200" t="s">
        <v>5507</v>
      </c>
      <c r="L1610" s="201">
        <v>0.4</v>
      </c>
      <c r="M1610" s="278" t="s">
        <v>5281</v>
      </c>
      <c r="N1610" s="205">
        <v>40908.36</v>
      </c>
      <c r="O1610" s="254">
        <v>40908.36</v>
      </c>
      <c r="P1610" s="254">
        <v>32726.69</v>
      </c>
      <c r="Q1610" s="254">
        <v>32726.69</v>
      </c>
      <c r="R1610" s="1262" t="s">
        <v>5265</v>
      </c>
      <c r="S1610" s="254">
        <v>16363.34</v>
      </c>
      <c r="T1610" s="204">
        <v>45162</v>
      </c>
      <c r="U1610" s="1262" t="s">
        <v>3097</v>
      </c>
      <c r="V1610" s="254">
        <v>8181.67</v>
      </c>
      <c r="W1610" s="1262" t="s">
        <v>2994</v>
      </c>
      <c r="X1610" s="258">
        <v>8181.67</v>
      </c>
      <c r="Y1610" s="192"/>
    </row>
    <row r="1611" ht="37.5" customHeight="1" spans="1:25">
      <c r="A1611" s="192">
        <f t="shared" si="35"/>
        <v>1603</v>
      </c>
      <c r="B1611" s="208">
        <v>2023</v>
      </c>
      <c r="C1611" s="193" t="s">
        <v>37</v>
      </c>
      <c r="D1611" s="277" t="s">
        <v>5493</v>
      </c>
      <c r="E1611" s="195" t="s">
        <v>5508</v>
      </c>
      <c r="F1611" s="196" t="s">
        <v>2073</v>
      </c>
      <c r="G1611" s="197" t="s">
        <v>3239</v>
      </c>
      <c r="H1611" s="198">
        <v>0.8</v>
      </c>
      <c r="I1611" s="199">
        <v>63000</v>
      </c>
      <c r="J1611" s="200" t="s">
        <v>5509</v>
      </c>
      <c r="K1611" s="200" t="s">
        <v>4592</v>
      </c>
      <c r="L1611" s="201">
        <v>0.4</v>
      </c>
      <c r="M1611" s="278" t="s">
        <v>5338</v>
      </c>
      <c r="N1611" s="205">
        <v>57750</v>
      </c>
      <c r="O1611" s="254">
        <v>57750</v>
      </c>
      <c r="P1611" s="254">
        <v>46200</v>
      </c>
      <c r="Q1611" s="254">
        <v>46200</v>
      </c>
      <c r="R1611" s="1262" t="s">
        <v>5265</v>
      </c>
      <c r="S1611" s="254">
        <v>23100</v>
      </c>
      <c r="T1611" s="204">
        <v>45162</v>
      </c>
      <c r="U1611" s="1262" t="s">
        <v>3097</v>
      </c>
      <c r="V1611" s="254">
        <v>11550</v>
      </c>
      <c r="W1611" s="1262" t="s">
        <v>2994</v>
      </c>
      <c r="X1611" s="258">
        <v>11550</v>
      </c>
      <c r="Y1611" s="192"/>
    </row>
    <row r="1612" ht="37.5" customHeight="1" spans="1:25">
      <c r="A1612" s="192">
        <f t="shared" si="35"/>
        <v>1604</v>
      </c>
      <c r="B1612" s="208">
        <v>2023</v>
      </c>
      <c r="C1612" s="193" t="s">
        <v>37</v>
      </c>
      <c r="D1612" s="277" t="s">
        <v>5311</v>
      </c>
      <c r="E1612" s="195" t="s">
        <v>5510</v>
      </c>
      <c r="F1612" s="196" t="s">
        <v>2073</v>
      </c>
      <c r="G1612" s="197" t="s">
        <v>3239</v>
      </c>
      <c r="H1612" s="198">
        <v>0.8</v>
      </c>
      <c r="I1612" s="199">
        <v>15000</v>
      </c>
      <c r="J1612" s="200" t="s">
        <v>3232</v>
      </c>
      <c r="K1612" s="200" t="s">
        <v>5511</v>
      </c>
      <c r="L1612" s="201">
        <v>0.4</v>
      </c>
      <c r="M1612" s="278" t="s">
        <v>5313</v>
      </c>
      <c r="N1612" s="205">
        <v>13750</v>
      </c>
      <c r="O1612" s="254">
        <v>13750</v>
      </c>
      <c r="P1612" s="254">
        <v>11000</v>
      </c>
      <c r="Q1612" s="254">
        <v>11000</v>
      </c>
      <c r="R1612" s="1262" t="s">
        <v>5265</v>
      </c>
      <c r="S1612" s="254">
        <v>5500</v>
      </c>
      <c r="T1612" s="204">
        <v>45162</v>
      </c>
      <c r="U1612" s="1262" t="s">
        <v>3097</v>
      </c>
      <c r="V1612" s="254">
        <v>2750</v>
      </c>
      <c r="W1612" s="1262" t="s">
        <v>2994</v>
      </c>
      <c r="X1612" s="258">
        <v>2750</v>
      </c>
      <c r="Y1612" s="192"/>
    </row>
    <row r="1613" ht="37.5" customHeight="1" spans="1:25">
      <c r="A1613" s="192">
        <f t="shared" si="35"/>
        <v>1605</v>
      </c>
      <c r="B1613" s="208">
        <v>2023</v>
      </c>
      <c r="C1613" s="193" t="s">
        <v>37</v>
      </c>
      <c r="D1613" s="277" t="s">
        <v>5485</v>
      </c>
      <c r="E1613" s="195" t="s">
        <v>5512</v>
      </c>
      <c r="F1613" s="196" t="s">
        <v>2073</v>
      </c>
      <c r="G1613" s="197" t="s">
        <v>3239</v>
      </c>
      <c r="H1613" s="198">
        <v>0.8</v>
      </c>
      <c r="I1613" s="199">
        <v>13000</v>
      </c>
      <c r="J1613" s="200" t="s">
        <v>3521</v>
      </c>
      <c r="K1613" s="200" t="s">
        <v>5513</v>
      </c>
      <c r="L1613" s="201">
        <v>0.4</v>
      </c>
      <c r="M1613" s="278" t="s">
        <v>5189</v>
      </c>
      <c r="N1613" s="205">
        <v>10833.34</v>
      </c>
      <c r="O1613" s="254">
        <v>10833.34</v>
      </c>
      <c r="P1613" s="254">
        <v>8666.67</v>
      </c>
      <c r="Q1613" s="254">
        <v>8666.67</v>
      </c>
      <c r="R1613" s="1262" t="s">
        <v>5265</v>
      </c>
      <c r="S1613" s="254">
        <v>4333.34</v>
      </c>
      <c r="T1613" s="204">
        <v>45162</v>
      </c>
      <c r="U1613" s="1262" t="s">
        <v>3097</v>
      </c>
      <c r="V1613" s="254">
        <v>2166.67</v>
      </c>
      <c r="W1613" s="1262" t="s">
        <v>2994</v>
      </c>
      <c r="X1613" s="258">
        <v>2166.67</v>
      </c>
      <c r="Y1613" s="192"/>
    </row>
    <row r="1614" ht="37.5" customHeight="1" spans="1:25">
      <c r="A1614" s="192">
        <f t="shared" si="35"/>
        <v>1606</v>
      </c>
      <c r="B1614" s="208">
        <v>2023</v>
      </c>
      <c r="C1614" s="193" t="s">
        <v>37</v>
      </c>
      <c r="D1614" s="277" t="s">
        <v>5500</v>
      </c>
      <c r="E1614" s="195" t="s">
        <v>5514</v>
      </c>
      <c r="F1614" s="196" t="s">
        <v>2073</v>
      </c>
      <c r="G1614" s="197" t="s">
        <v>3239</v>
      </c>
      <c r="H1614" s="198">
        <v>0.8</v>
      </c>
      <c r="I1614" s="199">
        <v>11583</v>
      </c>
      <c r="J1614" s="200" t="s">
        <v>3764</v>
      </c>
      <c r="K1614" s="200" t="s">
        <v>5515</v>
      </c>
      <c r="L1614" s="201">
        <v>0.4</v>
      </c>
      <c r="M1614" s="278" t="s">
        <v>5153</v>
      </c>
      <c r="N1614" s="205">
        <v>10617.75</v>
      </c>
      <c r="O1614" s="254">
        <v>10617.75</v>
      </c>
      <c r="P1614" s="254">
        <v>8494.2</v>
      </c>
      <c r="Q1614" s="254">
        <v>8494.2</v>
      </c>
      <c r="R1614" s="1262" t="s">
        <v>5265</v>
      </c>
      <c r="S1614" s="254">
        <v>4247.1</v>
      </c>
      <c r="T1614" s="204">
        <v>45162</v>
      </c>
      <c r="U1614" s="1262" t="s">
        <v>3097</v>
      </c>
      <c r="V1614" s="254">
        <v>2123.55</v>
      </c>
      <c r="W1614" s="1262" t="s">
        <v>2994</v>
      </c>
      <c r="X1614" s="258">
        <v>2123.55</v>
      </c>
      <c r="Y1614" s="192"/>
    </row>
    <row r="1615" ht="37.5" customHeight="1" spans="1:25">
      <c r="A1615" s="192">
        <f t="shared" si="35"/>
        <v>1607</v>
      </c>
      <c r="B1615" s="208">
        <v>2023</v>
      </c>
      <c r="C1615" s="193" t="s">
        <v>37</v>
      </c>
      <c r="D1615" s="277" t="s">
        <v>5458</v>
      </c>
      <c r="E1615" s="195" t="s">
        <v>5516</v>
      </c>
      <c r="F1615" s="196" t="s">
        <v>2073</v>
      </c>
      <c r="G1615" s="197" t="s">
        <v>3239</v>
      </c>
      <c r="H1615" s="198">
        <v>0.8</v>
      </c>
      <c r="I1615" s="199">
        <v>22000</v>
      </c>
      <c r="J1615" s="200" t="s">
        <v>4942</v>
      </c>
      <c r="K1615" s="200" t="s">
        <v>4943</v>
      </c>
      <c r="L1615" s="201">
        <v>0.4</v>
      </c>
      <c r="M1615" s="278" t="s">
        <v>5189</v>
      </c>
      <c r="N1615" s="205">
        <v>12000.02</v>
      </c>
      <c r="O1615" s="254">
        <v>12000.02</v>
      </c>
      <c r="P1615" s="254">
        <v>9600.02</v>
      </c>
      <c r="Q1615" s="254">
        <v>9600.02</v>
      </c>
      <c r="R1615" s="1262" t="s">
        <v>5265</v>
      </c>
      <c r="S1615" s="254">
        <v>4800.01</v>
      </c>
      <c r="T1615" s="204">
        <v>45162</v>
      </c>
      <c r="U1615" s="203"/>
      <c r="V1615" s="254"/>
      <c r="W1615" s="203"/>
      <c r="X1615" s="206"/>
      <c r="Y1615" s="203" t="s">
        <v>1077</v>
      </c>
    </row>
    <row r="1616" ht="37.5" customHeight="1" spans="1:25">
      <c r="A1616" s="192">
        <f t="shared" si="35"/>
        <v>1608</v>
      </c>
      <c r="B1616" s="208">
        <v>2023</v>
      </c>
      <c r="C1616" s="193" t="s">
        <v>37</v>
      </c>
      <c r="D1616" s="277" t="s">
        <v>5453</v>
      </c>
      <c r="E1616" s="195" t="s">
        <v>5517</v>
      </c>
      <c r="F1616" s="196" t="s">
        <v>2073</v>
      </c>
      <c r="G1616" s="197" t="s">
        <v>3239</v>
      </c>
      <c r="H1616" s="198">
        <v>0.8</v>
      </c>
      <c r="I1616" s="199">
        <v>265000</v>
      </c>
      <c r="J1616" s="200" t="s">
        <v>2598</v>
      </c>
      <c r="K1616" s="200" t="s">
        <v>4947</v>
      </c>
      <c r="L1616" s="201">
        <v>0.4</v>
      </c>
      <c r="M1616" s="278" t="s">
        <v>5455</v>
      </c>
      <c r="N1616" s="205">
        <v>64166.7</v>
      </c>
      <c r="O1616" s="254">
        <v>64166.7</v>
      </c>
      <c r="P1616" s="254">
        <v>51333.36</v>
      </c>
      <c r="Q1616" s="254">
        <v>51333.36</v>
      </c>
      <c r="R1616" s="1262" t="s">
        <v>5265</v>
      </c>
      <c r="S1616" s="254">
        <v>25666.68</v>
      </c>
      <c r="T1616" s="204">
        <v>45162</v>
      </c>
      <c r="U1616" s="203"/>
      <c r="V1616" s="254"/>
      <c r="W1616" s="203"/>
      <c r="X1616" s="206"/>
      <c r="Y1616" s="203" t="s">
        <v>1077</v>
      </c>
    </row>
    <row r="1617" ht="37.5" customHeight="1" spans="1:25">
      <c r="A1617" s="192">
        <f t="shared" si="35"/>
        <v>1609</v>
      </c>
      <c r="B1617" s="208">
        <v>2023</v>
      </c>
      <c r="C1617" s="193" t="s">
        <v>37</v>
      </c>
      <c r="D1617" s="277" t="s">
        <v>5518</v>
      </c>
      <c r="E1617" s="195" t="s">
        <v>5519</v>
      </c>
      <c r="F1617" s="196" t="s">
        <v>2073</v>
      </c>
      <c r="G1617" s="197" t="s">
        <v>3239</v>
      </c>
      <c r="H1617" s="198">
        <v>0.8</v>
      </c>
      <c r="I1617" s="199">
        <v>84000</v>
      </c>
      <c r="J1617" s="200" t="s">
        <v>2498</v>
      </c>
      <c r="K1617" s="200" t="s">
        <v>5221</v>
      </c>
      <c r="L1617" s="201">
        <v>0.4</v>
      </c>
      <c r="M1617" s="278" t="s">
        <v>5025</v>
      </c>
      <c r="N1617" s="205">
        <v>29400.05</v>
      </c>
      <c r="O1617" s="254">
        <v>29400.05</v>
      </c>
      <c r="P1617" s="254">
        <v>23520.04</v>
      </c>
      <c r="Q1617" s="254">
        <v>23520.04</v>
      </c>
      <c r="R1617" s="1262" t="s">
        <v>5265</v>
      </c>
      <c r="S1617" s="254">
        <v>11760.02</v>
      </c>
      <c r="T1617" s="204">
        <v>45162</v>
      </c>
      <c r="U1617" s="203"/>
      <c r="V1617" s="254"/>
      <c r="W1617" s="203"/>
      <c r="X1617" s="206"/>
      <c r="Y1617" s="203" t="s">
        <v>1077</v>
      </c>
    </row>
    <row r="1618" ht="37.5" customHeight="1" spans="1:25">
      <c r="A1618" s="192">
        <f t="shared" si="35"/>
        <v>1610</v>
      </c>
      <c r="B1618" s="208">
        <v>2023</v>
      </c>
      <c r="C1618" s="193" t="s">
        <v>37</v>
      </c>
      <c r="D1618" s="277" t="s">
        <v>5520</v>
      </c>
      <c r="E1618" s="195" t="s">
        <v>5521</v>
      </c>
      <c r="F1618" s="196" t="s">
        <v>2073</v>
      </c>
      <c r="G1618" s="197" t="s">
        <v>3239</v>
      </c>
      <c r="H1618" s="198">
        <v>0.8</v>
      </c>
      <c r="I1618" s="199">
        <v>80000</v>
      </c>
      <c r="J1618" s="200" t="s">
        <v>2304</v>
      </c>
      <c r="K1618" s="200" t="s">
        <v>3716</v>
      </c>
      <c r="L1618" s="201">
        <v>0.4</v>
      </c>
      <c r="M1618" s="278" t="s">
        <v>5281</v>
      </c>
      <c r="N1618" s="205">
        <v>32000</v>
      </c>
      <c r="O1618" s="254">
        <v>32000</v>
      </c>
      <c r="P1618" s="254">
        <v>25600</v>
      </c>
      <c r="Q1618" s="254">
        <v>25600</v>
      </c>
      <c r="R1618" s="1262" t="s">
        <v>5265</v>
      </c>
      <c r="S1618" s="254">
        <v>12800</v>
      </c>
      <c r="T1618" s="204">
        <v>45162</v>
      </c>
      <c r="U1618" s="203"/>
      <c r="V1618" s="254"/>
      <c r="W1618" s="203"/>
      <c r="X1618" s="206"/>
      <c r="Y1618" s="203" t="s">
        <v>1077</v>
      </c>
    </row>
    <row r="1619" ht="37.5" customHeight="1" spans="1:25">
      <c r="A1619" s="192">
        <f t="shared" si="35"/>
        <v>1611</v>
      </c>
      <c r="B1619" s="208">
        <v>2023</v>
      </c>
      <c r="C1619" s="193" t="s">
        <v>37</v>
      </c>
      <c r="D1619" s="277" t="s">
        <v>5522</v>
      </c>
      <c r="E1619" s="195" t="s">
        <v>5523</v>
      </c>
      <c r="F1619" s="196" t="s">
        <v>2073</v>
      </c>
      <c r="G1619" s="197" t="s">
        <v>3239</v>
      </c>
      <c r="H1619" s="198">
        <v>0.8</v>
      </c>
      <c r="I1619" s="199">
        <v>72000</v>
      </c>
      <c r="J1619" s="200" t="s">
        <v>2304</v>
      </c>
      <c r="K1619" s="200" t="s">
        <v>3716</v>
      </c>
      <c r="L1619" s="201">
        <v>0.4</v>
      </c>
      <c r="M1619" s="278" t="s">
        <v>4640</v>
      </c>
      <c r="N1619" s="205">
        <v>20208.29</v>
      </c>
      <c r="O1619" s="254">
        <v>20208.29</v>
      </c>
      <c r="P1619" s="254">
        <v>16166.63</v>
      </c>
      <c r="Q1619" s="254">
        <v>16166.63</v>
      </c>
      <c r="R1619" s="1262" t="s">
        <v>5265</v>
      </c>
      <c r="S1619" s="254">
        <v>8083.32</v>
      </c>
      <c r="T1619" s="204">
        <v>45162</v>
      </c>
      <c r="U1619" s="203"/>
      <c r="V1619" s="254"/>
      <c r="W1619" s="203"/>
      <c r="X1619" s="206"/>
      <c r="Y1619" s="203" t="s">
        <v>1077</v>
      </c>
    </row>
    <row r="1620" ht="37.5" customHeight="1" spans="1:25">
      <c r="A1620" s="192">
        <f t="shared" si="35"/>
        <v>1612</v>
      </c>
      <c r="B1620" s="208">
        <v>2023</v>
      </c>
      <c r="C1620" s="193" t="s">
        <v>37</v>
      </c>
      <c r="D1620" s="277" t="s">
        <v>5279</v>
      </c>
      <c r="E1620" s="195" t="s">
        <v>5524</v>
      </c>
      <c r="F1620" s="196" t="s">
        <v>2073</v>
      </c>
      <c r="G1620" s="197" t="s">
        <v>3239</v>
      </c>
      <c r="H1620" s="198">
        <v>0.8</v>
      </c>
      <c r="I1620" s="199">
        <v>60000</v>
      </c>
      <c r="J1620" s="200" t="s">
        <v>2304</v>
      </c>
      <c r="K1620" s="200" t="s">
        <v>3716</v>
      </c>
      <c r="L1620" s="201">
        <v>0.4</v>
      </c>
      <c r="M1620" s="278" t="s">
        <v>5281</v>
      </c>
      <c r="N1620" s="205">
        <v>23333.41</v>
      </c>
      <c r="O1620" s="254">
        <v>23333.41</v>
      </c>
      <c r="P1620" s="254">
        <v>18666.72</v>
      </c>
      <c r="Q1620" s="254">
        <v>18666.72</v>
      </c>
      <c r="R1620" s="1262" t="s">
        <v>5265</v>
      </c>
      <c r="S1620" s="254">
        <v>9333.36</v>
      </c>
      <c r="T1620" s="204">
        <v>45162</v>
      </c>
      <c r="U1620" s="203"/>
      <c r="V1620" s="254"/>
      <c r="W1620" s="203"/>
      <c r="X1620" s="206"/>
      <c r="Y1620" s="203" t="s">
        <v>1077</v>
      </c>
    </row>
    <row r="1621" ht="37.5" customHeight="1" spans="1:25">
      <c r="A1621" s="192">
        <f t="shared" si="35"/>
        <v>1613</v>
      </c>
      <c r="B1621" s="208">
        <v>2023</v>
      </c>
      <c r="C1621" s="193" t="s">
        <v>37</v>
      </c>
      <c r="D1621" s="277" t="s">
        <v>5525</v>
      </c>
      <c r="E1621" s="195" t="s">
        <v>5526</v>
      </c>
      <c r="F1621" s="196" t="s">
        <v>2073</v>
      </c>
      <c r="G1621" s="197" t="s">
        <v>3239</v>
      </c>
      <c r="H1621" s="198">
        <v>0.8</v>
      </c>
      <c r="I1621" s="199">
        <v>22000</v>
      </c>
      <c r="J1621" s="200" t="s">
        <v>2164</v>
      </c>
      <c r="K1621" s="200" t="s">
        <v>4494</v>
      </c>
      <c r="L1621" s="201">
        <v>0.4</v>
      </c>
      <c r="M1621" s="278" t="s">
        <v>5254</v>
      </c>
      <c r="N1621" s="205">
        <v>10416.75</v>
      </c>
      <c r="O1621" s="254">
        <v>10416.75</v>
      </c>
      <c r="P1621" s="254">
        <v>8333.4</v>
      </c>
      <c r="Q1621" s="254">
        <v>8333.4</v>
      </c>
      <c r="R1621" s="1262" t="s">
        <v>5265</v>
      </c>
      <c r="S1621" s="254">
        <v>4166.7</v>
      </c>
      <c r="T1621" s="204">
        <v>45162</v>
      </c>
      <c r="U1621" s="203"/>
      <c r="V1621" s="254"/>
      <c r="W1621" s="203"/>
      <c r="X1621" s="206"/>
      <c r="Y1621" s="203" t="s">
        <v>1077</v>
      </c>
    </row>
    <row r="1622" ht="37.5" customHeight="1" spans="1:25">
      <c r="A1622" s="192">
        <f t="shared" si="35"/>
        <v>1614</v>
      </c>
      <c r="B1622" s="208">
        <v>2023</v>
      </c>
      <c r="C1622" s="193" t="s">
        <v>37</v>
      </c>
      <c r="D1622" s="277" t="s">
        <v>5341</v>
      </c>
      <c r="E1622" s="195" t="s">
        <v>5527</v>
      </c>
      <c r="F1622" s="196" t="s">
        <v>2073</v>
      </c>
      <c r="G1622" s="197" t="s">
        <v>3239</v>
      </c>
      <c r="H1622" s="198">
        <v>0.8</v>
      </c>
      <c r="I1622" s="199">
        <v>60000</v>
      </c>
      <c r="J1622" s="200" t="s">
        <v>2399</v>
      </c>
      <c r="K1622" s="200" t="s">
        <v>3973</v>
      </c>
      <c r="L1622" s="201">
        <v>0.4</v>
      </c>
      <c r="M1622" s="278" t="s">
        <v>4410</v>
      </c>
      <c r="N1622" s="205">
        <v>60000</v>
      </c>
      <c r="O1622" s="254">
        <v>60000</v>
      </c>
      <c r="P1622" s="254">
        <v>48000</v>
      </c>
      <c r="Q1622" s="254">
        <v>48000</v>
      </c>
      <c r="R1622" s="1262" t="s">
        <v>5265</v>
      </c>
      <c r="S1622" s="254">
        <v>24000</v>
      </c>
      <c r="T1622" s="204">
        <v>45162</v>
      </c>
      <c r="U1622" s="203"/>
      <c r="V1622" s="254"/>
      <c r="W1622" s="203"/>
      <c r="X1622" s="206"/>
      <c r="Y1622" s="203" t="s">
        <v>1077</v>
      </c>
    </row>
    <row r="1623" ht="37.5" customHeight="1" spans="1:25">
      <c r="A1623" s="192">
        <f t="shared" si="35"/>
        <v>1615</v>
      </c>
      <c r="B1623" s="208">
        <v>2023</v>
      </c>
      <c r="C1623" s="193" t="s">
        <v>37</v>
      </c>
      <c r="D1623" s="277" t="s">
        <v>5408</v>
      </c>
      <c r="E1623" s="195" t="s">
        <v>5528</v>
      </c>
      <c r="F1623" s="196" t="s">
        <v>2073</v>
      </c>
      <c r="G1623" s="197" t="s">
        <v>3239</v>
      </c>
      <c r="H1623" s="198">
        <v>0.8</v>
      </c>
      <c r="I1623" s="199">
        <v>15300.94</v>
      </c>
      <c r="J1623" s="200" t="s">
        <v>2399</v>
      </c>
      <c r="K1623" s="200" t="s">
        <v>3973</v>
      </c>
      <c r="L1623" s="201">
        <v>0.4</v>
      </c>
      <c r="M1623" s="278" t="s">
        <v>4640</v>
      </c>
      <c r="N1623" s="205">
        <v>208.38</v>
      </c>
      <c r="O1623" s="254">
        <v>208.38</v>
      </c>
      <c r="P1623" s="254">
        <v>166.7</v>
      </c>
      <c r="Q1623" s="254">
        <v>166.7</v>
      </c>
      <c r="R1623" s="1262" t="s">
        <v>5265</v>
      </c>
      <c r="S1623" s="254">
        <v>83.35</v>
      </c>
      <c r="T1623" s="204">
        <v>45162</v>
      </c>
      <c r="U1623" s="203"/>
      <c r="V1623" s="254"/>
      <c r="W1623" s="203"/>
      <c r="X1623" s="206"/>
      <c r="Y1623" s="203" t="s">
        <v>1077</v>
      </c>
    </row>
    <row r="1624" ht="37.5" customHeight="1" spans="1:25">
      <c r="A1624" s="192">
        <f t="shared" si="35"/>
        <v>1616</v>
      </c>
      <c r="B1624" s="208">
        <v>2023</v>
      </c>
      <c r="C1624" s="193" t="s">
        <v>37</v>
      </c>
      <c r="D1624" s="277" t="s">
        <v>5529</v>
      </c>
      <c r="E1624" s="195" t="s">
        <v>5530</v>
      </c>
      <c r="F1624" s="196" t="s">
        <v>2073</v>
      </c>
      <c r="G1624" s="197" t="s">
        <v>3239</v>
      </c>
      <c r="H1624" s="198">
        <v>0.8</v>
      </c>
      <c r="I1624" s="199">
        <v>19148.77</v>
      </c>
      <c r="J1624" s="200" t="s">
        <v>2338</v>
      </c>
      <c r="K1624" s="200" t="s">
        <v>3455</v>
      </c>
      <c r="L1624" s="201">
        <v>0.4</v>
      </c>
      <c r="M1624" s="278" t="s">
        <v>5270</v>
      </c>
      <c r="N1624" s="205">
        <v>4166.69</v>
      </c>
      <c r="O1624" s="254">
        <v>4166.69</v>
      </c>
      <c r="P1624" s="254">
        <v>3333.35</v>
      </c>
      <c r="Q1624" s="254">
        <v>3333.35</v>
      </c>
      <c r="R1624" s="1262" t="s">
        <v>5265</v>
      </c>
      <c r="S1624" s="254">
        <v>1666.68</v>
      </c>
      <c r="T1624" s="204">
        <v>45162</v>
      </c>
      <c r="U1624" s="203"/>
      <c r="V1624" s="254"/>
      <c r="W1624" s="203"/>
      <c r="X1624" s="206"/>
      <c r="Y1624" s="203" t="s">
        <v>1077</v>
      </c>
    </row>
    <row r="1625" ht="37.5" customHeight="1" spans="1:25">
      <c r="A1625" s="192">
        <f t="shared" si="35"/>
        <v>1617</v>
      </c>
      <c r="B1625" s="208">
        <v>2023</v>
      </c>
      <c r="C1625" s="193" t="s">
        <v>37</v>
      </c>
      <c r="D1625" s="277" t="s">
        <v>5311</v>
      </c>
      <c r="E1625" s="195" t="s">
        <v>5531</v>
      </c>
      <c r="F1625" s="196" t="s">
        <v>2073</v>
      </c>
      <c r="G1625" s="197" t="s">
        <v>3239</v>
      </c>
      <c r="H1625" s="198">
        <v>0.8</v>
      </c>
      <c r="I1625" s="199">
        <v>19005.55</v>
      </c>
      <c r="J1625" s="200" t="s">
        <v>2311</v>
      </c>
      <c r="K1625" s="200" t="s">
        <v>4499</v>
      </c>
      <c r="L1625" s="201">
        <v>0.4</v>
      </c>
      <c r="M1625" s="278" t="s">
        <v>5313</v>
      </c>
      <c r="N1625" s="205">
        <v>2916.69</v>
      </c>
      <c r="O1625" s="254">
        <v>2916.69</v>
      </c>
      <c r="P1625" s="254">
        <v>2333.35</v>
      </c>
      <c r="Q1625" s="254">
        <v>2333.35</v>
      </c>
      <c r="R1625" s="1262" t="s">
        <v>5265</v>
      </c>
      <c r="S1625" s="254">
        <v>1166.68</v>
      </c>
      <c r="T1625" s="204">
        <v>45162</v>
      </c>
      <c r="U1625" s="203"/>
      <c r="V1625" s="254"/>
      <c r="W1625" s="203"/>
      <c r="X1625" s="206"/>
      <c r="Y1625" s="203" t="s">
        <v>1077</v>
      </c>
    </row>
    <row r="1626" ht="37.5" customHeight="1" spans="1:25">
      <c r="A1626" s="192">
        <f t="shared" si="35"/>
        <v>1618</v>
      </c>
      <c r="B1626" s="208">
        <v>2023</v>
      </c>
      <c r="C1626" s="193" t="s">
        <v>37</v>
      </c>
      <c r="D1626" s="277" t="s">
        <v>5081</v>
      </c>
      <c r="E1626" s="195" t="s">
        <v>5532</v>
      </c>
      <c r="F1626" s="196" t="s">
        <v>2073</v>
      </c>
      <c r="G1626" s="197" t="s">
        <v>3239</v>
      </c>
      <c r="H1626" s="198">
        <v>0.8</v>
      </c>
      <c r="I1626" s="199">
        <v>12509.98</v>
      </c>
      <c r="J1626" s="200" t="s">
        <v>2311</v>
      </c>
      <c r="K1626" s="200" t="s">
        <v>4499</v>
      </c>
      <c r="L1626" s="201">
        <v>0.4</v>
      </c>
      <c r="M1626" s="278" t="s">
        <v>5308</v>
      </c>
      <c r="N1626" s="205">
        <v>662.5</v>
      </c>
      <c r="O1626" s="254">
        <v>662.5</v>
      </c>
      <c r="P1626" s="254">
        <v>530</v>
      </c>
      <c r="Q1626" s="254">
        <v>530</v>
      </c>
      <c r="R1626" s="1262" t="s">
        <v>5265</v>
      </c>
      <c r="S1626" s="254">
        <v>265</v>
      </c>
      <c r="T1626" s="204">
        <v>45162</v>
      </c>
      <c r="U1626" s="203"/>
      <c r="V1626" s="254"/>
      <c r="W1626" s="203"/>
      <c r="X1626" s="206"/>
      <c r="Y1626" s="203" t="s">
        <v>1077</v>
      </c>
    </row>
    <row r="1627" ht="37.5" customHeight="1" spans="1:25">
      <c r="A1627" s="192">
        <f t="shared" si="35"/>
        <v>1619</v>
      </c>
      <c r="B1627" s="208">
        <v>2023</v>
      </c>
      <c r="C1627" s="193" t="s">
        <v>37</v>
      </c>
      <c r="D1627" s="277" t="s">
        <v>5533</v>
      </c>
      <c r="E1627" s="195" t="s">
        <v>5534</v>
      </c>
      <c r="F1627" s="196" t="s">
        <v>2073</v>
      </c>
      <c r="G1627" s="197" t="s">
        <v>3239</v>
      </c>
      <c r="H1627" s="198">
        <v>0.8</v>
      </c>
      <c r="I1627" s="199">
        <v>32000</v>
      </c>
      <c r="J1627" s="200" t="s">
        <v>2297</v>
      </c>
      <c r="K1627" s="200" t="s">
        <v>4172</v>
      </c>
      <c r="L1627" s="201">
        <v>0.4</v>
      </c>
      <c r="M1627" s="278" t="s">
        <v>5025</v>
      </c>
      <c r="N1627" s="205">
        <v>31999.99</v>
      </c>
      <c r="O1627" s="254">
        <v>31999.99</v>
      </c>
      <c r="P1627" s="254">
        <v>25599.99</v>
      </c>
      <c r="Q1627" s="254">
        <v>25599.99</v>
      </c>
      <c r="R1627" s="1262" t="s">
        <v>5265</v>
      </c>
      <c r="S1627" s="254">
        <v>12800</v>
      </c>
      <c r="T1627" s="204">
        <v>45162</v>
      </c>
      <c r="U1627" s="203"/>
      <c r="V1627" s="254"/>
      <c r="W1627" s="203"/>
      <c r="X1627" s="206"/>
      <c r="Y1627" s="203" t="s">
        <v>1077</v>
      </c>
    </row>
    <row r="1628" ht="37.5" customHeight="1" spans="1:25">
      <c r="A1628" s="192">
        <f t="shared" si="35"/>
        <v>1620</v>
      </c>
      <c r="B1628" s="208">
        <v>2023</v>
      </c>
      <c r="C1628" s="193" t="s">
        <v>37</v>
      </c>
      <c r="D1628" s="277" t="s">
        <v>5374</v>
      </c>
      <c r="E1628" s="195" t="s">
        <v>5535</v>
      </c>
      <c r="F1628" s="196" t="s">
        <v>2073</v>
      </c>
      <c r="G1628" s="197" t="s">
        <v>3239</v>
      </c>
      <c r="H1628" s="198">
        <v>0.8</v>
      </c>
      <c r="I1628" s="199">
        <v>48000</v>
      </c>
      <c r="J1628" s="200" t="s">
        <v>2413</v>
      </c>
      <c r="K1628" s="200" t="s">
        <v>4174</v>
      </c>
      <c r="L1628" s="201">
        <v>0.4</v>
      </c>
      <c r="M1628" s="278" t="s">
        <v>4740</v>
      </c>
      <c r="N1628" s="205">
        <v>20000</v>
      </c>
      <c r="O1628" s="254">
        <v>20000</v>
      </c>
      <c r="P1628" s="254">
        <v>16000</v>
      </c>
      <c r="Q1628" s="254">
        <v>16000</v>
      </c>
      <c r="R1628" s="1262" t="s">
        <v>5265</v>
      </c>
      <c r="S1628" s="254">
        <v>8000</v>
      </c>
      <c r="T1628" s="204">
        <v>45162</v>
      </c>
      <c r="U1628" s="203"/>
      <c r="V1628" s="254"/>
      <c r="W1628" s="203"/>
      <c r="X1628" s="206"/>
      <c r="Y1628" s="203" t="s">
        <v>1077</v>
      </c>
    </row>
    <row r="1629" ht="37.5" customHeight="1" spans="1:25">
      <c r="A1629" s="192">
        <f t="shared" si="35"/>
        <v>1621</v>
      </c>
      <c r="B1629" s="208">
        <v>2023</v>
      </c>
      <c r="C1629" s="193" t="s">
        <v>37</v>
      </c>
      <c r="D1629" s="277" t="s">
        <v>5536</v>
      </c>
      <c r="E1629" s="195" t="s">
        <v>5537</v>
      </c>
      <c r="F1629" s="196" t="s">
        <v>2073</v>
      </c>
      <c r="G1629" s="197" t="s">
        <v>3239</v>
      </c>
      <c r="H1629" s="198">
        <v>0.8</v>
      </c>
      <c r="I1629" s="199">
        <v>13300</v>
      </c>
      <c r="J1629" s="200" t="s">
        <v>2167</v>
      </c>
      <c r="K1629" s="200" t="s">
        <v>3978</v>
      </c>
      <c r="L1629" s="201">
        <v>0.4</v>
      </c>
      <c r="M1629" s="278" t="s">
        <v>3726</v>
      </c>
      <c r="N1629" s="205">
        <v>4166.68</v>
      </c>
      <c r="O1629" s="254">
        <v>4166.68</v>
      </c>
      <c r="P1629" s="254">
        <v>3333.34</v>
      </c>
      <c r="Q1629" s="254">
        <v>3333.34</v>
      </c>
      <c r="R1629" s="1262" t="s">
        <v>5265</v>
      </c>
      <c r="S1629" s="254">
        <v>1666.67</v>
      </c>
      <c r="T1629" s="204">
        <v>45162</v>
      </c>
      <c r="U1629" s="203"/>
      <c r="V1629" s="254"/>
      <c r="W1629" s="203"/>
      <c r="X1629" s="206"/>
      <c r="Y1629" s="203" t="s">
        <v>1077</v>
      </c>
    </row>
    <row r="1630" ht="37.5" customHeight="1" spans="1:25">
      <c r="A1630" s="192">
        <f t="shared" ref="A1630:A1693" si="36">ROW()-8</f>
        <v>1622</v>
      </c>
      <c r="B1630" s="208">
        <v>2023</v>
      </c>
      <c r="C1630" s="193" t="s">
        <v>37</v>
      </c>
      <c r="D1630" s="277" t="s">
        <v>5430</v>
      </c>
      <c r="E1630" s="195" t="s">
        <v>5538</v>
      </c>
      <c r="F1630" s="196" t="s">
        <v>2073</v>
      </c>
      <c r="G1630" s="197" t="s">
        <v>3239</v>
      </c>
      <c r="H1630" s="198">
        <v>0.8</v>
      </c>
      <c r="I1630" s="199">
        <v>306000</v>
      </c>
      <c r="J1630" s="200" t="s">
        <v>2217</v>
      </c>
      <c r="K1630" s="200" t="s">
        <v>4507</v>
      </c>
      <c r="L1630" s="201">
        <v>0.4</v>
      </c>
      <c r="M1630" s="278" t="s">
        <v>4740</v>
      </c>
      <c r="N1630" s="205">
        <v>306000</v>
      </c>
      <c r="O1630" s="254">
        <v>306000</v>
      </c>
      <c r="P1630" s="254">
        <v>244800</v>
      </c>
      <c r="Q1630" s="254">
        <v>244800</v>
      </c>
      <c r="R1630" s="1262" t="s">
        <v>5265</v>
      </c>
      <c r="S1630" s="254">
        <v>122400</v>
      </c>
      <c r="T1630" s="204">
        <v>45162</v>
      </c>
      <c r="U1630" s="203"/>
      <c r="V1630" s="254"/>
      <c r="W1630" s="203"/>
      <c r="X1630" s="206"/>
      <c r="Y1630" s="203" t="s">
        <v>1077</v>
      </c>
    </row>
    <row r="1631" ht="37.5" customHeight="1" spans="1:25">
      <c r="A1631" s="192">
        <f t="shared" si="36"/>
        <v>1623</v>
      </c>
      <c r="B1631" s="208">
        <v>2023</v>
      </c>
      <c r="C1631" s="193" t="s">
        <v>37</v>
      </c>
      <c r="D1631" s="277" t="s">
        <v>3356</v>
      </c>
      <c r="E1631" s="195" t="s">
        <v>5539</v>
      </c>
      <c r="F1631" s="196" t="s">
        <v>2073</v>
      </c>
      <c r="G1631" s="197" t="s">
        <v>3239</v>
      </c>
      <c r="H1631" s="198">
        <v>0.8</v>
      </c>
      <c r="I1631" s="199">
        <v>80000</v>
      </c>
      <c r="J1631" s="200" t="s">
        <v>5247</v>
      </c>
      <c r="K1631" s="200" t="s">
        <v>5540</v>
      </c>
      <c r="L1631" s="201">
        <v>0.4</v>
      </c>
      <c r="M1631" s="278" t="s">
        <v>5189</v>
      </c>
      <c r="N1631" s="205">
        <v>40000.04</v>
      </c>
      <c r="O1631" s="254">
        <v>40000.04</v>
      </c>
      <c r="P1631" s="254">
        <v>32000.03</v>
      </c>
      <c r="Q1631" s="254">
        <v>32000.03</v>
      </c>
      <c r="R1631" s="1262" t="s">
        <v>5265</v>
      </c>
      <c r="S1631" s="254">
        <v>16000.02</v>
      </c>
      <c r="T1631" s="204">
        <v>45162</v>
      </c>
      <c r="U1631" s="203"/>
      <c r="V1631" s="254"/>
      <c r="W1631" s="203"/>
      <c r="X1631" s="206"/>
      <c r="Y1631" s="203" t="s">
        <v>1077</v>
      </c>
    </row>
    <row r="1632" s="80" customFormat="1" ht="37.5" customHeight="1" spans="1:25">
      <c r="A1632" s="138">
        <f t="shared" si="36"/>
        <v>1624</v>
      </c>
      <c r="B1632" s="139">
        <v>2023</v>
      </c>
      <c r="C1632" s="189" t="s">
        <v>2064</v>
      </c>
      <c r="D1632" s="279" t="s">
        <v>5541</v>
      </c>
      <c r="E1632" s="190" t="s">
        <v>5542</v>
      </c>
      <c r="F1632" s="142" t="s">
        <v>5543</v>
      </c>
      <c r="G1632" s="143" t="s">
        <v>1610</v>
      </c>
      <c r="H1632" s="144">
        <v>0.8</v>
      </c>
      <c r="I1632" s="145">
        <v>150000</v>
      </c>
      <c r="J1632" s="1258" t="s">
        <v>1770</v>
      </c>
      <c r="K1632" s="1258" t="s">
        <v>1770</v>
      </c>
      <c r="L1632" s="147">
        <v>0.4</v>
      </c>
      <c r="M1632" s="1276" t="s">
        <v>3946</v>
      </c>
      <c r="N1632" s="186">
        <v>150000</v>
      </c>
      <c r="O1632" s="276">
        <v>150000</v>
      </c>
      <c r="P1632" s="276">
        <v>150000</v>
      </c>
      <c r="Q1632" s="276">
        <v>120000</v>
      </c>
      <c r="R1632" s="1260" t="s">
        <v>3372</v>
      </c>
      <c r="S1632" s="276">
        <v>60000</v>
      </c>
      <c r="T1632" s="150">
        <v>45174</v>
      </c>
      <c r="U1632" s="1260" t="s">
        <v>2926</v>
      </c>
      <c r="V1632" s="276">
        <v>30000</v>
      </c>
      <c r="W1632" s="184" t="s">
        <v>4457</v>
      </c>
      <c r="X1632" s="153">
        <v>30000</v>
      </c>
      <c r="Y1632" s="138"/>
    </row>
    <row r="1633" s="80" customFormat="1" ht="37.5" customHeight="1" spans="1:25">
      <c r="A1633" s="138">
        <f t="shared" si="36"/>
        <v>1625</v>
      </c>
      <c r="B1633" s="139">
        <v>2023</v>
      </c>
      <c r="C1633" s="189" t="s">
        <v>37</v>
      </c>
      <c r="D1633" s="279" t="s">
        <v>5544</v>
      </c>
      <c r="E1633" s="190" t="s">
        <v>5545</v>
      </c>
      <c r="F1633" s="142" t="s">
        <v>5546</v>
      </c>
      <c r="G1633" s="143" t="s">
        <v>1610</v>
      </c>
      <c r="H1633" s="144">
        <v>1</v>
      </c>
      <c r="I1633" s="145">
        <v>1290000</v>
      </c>
      <c r="J1633" s="1258" t="s">
        <v>1794</v>
      </c>
      <c r="K1633" s="1258" t="s">
        <v>5547</v>
      </c>
      <c r="L1633" s="147">
        <v>0.4</v>
      </c>
      <c r="M1633" s="1276" t="s">
        <v>4640</v>
      </c>
      <c r="N1633" s="186">
        <v>1290000</v>
      </c>
      <c r="O1633" s="276">
        <v>1290000</v>
      </c>
      <c r="P1633" s="276">
        <v>1290000</v>
      </c>
      <c r="Q1633" s="186">
        <v>1298702.46</v>
      </c>
      <c r="R1633" s="1260" t="s">
        <v>2800</v>
      </c>
      <c r="S1633" s="276">
        <v>516000</v>
      </c>
      <c r="T1633" s="150">
        <v>45181</v>
      </c>
      <c r="U1633" s="1260" t="s">
        <v>2926</v>
      </c>
      <c r="V1633" s="276">
        <v>258000</v>
      </c>
      <c r="W1633" s="184" t="s">
        <v>5548</v>
      </c>
      <c r="X1633" s="153">
        <v>258000</v>
      </c>
      <c r="Y1633" s="138"/>
    </row>
    <row r="1634" s="80" customFormat="1" ht="37.5" customHeight="1" spans="1:25">
      <c r="A1634" s="138">
        <f t="shared" si="36"/>
        <v>1626</v>
      </c>
      <c r="B1634" s="139">
        <v>2023</v>
      </c>
      <c r="C1634" s="189" t="s">
        <v>37</v>
      </c>
      <c r="D1634" s="279" t="s">
        <v>5549</v>
      </c>
      <c r="E1634" s="190" t="s">
        <v>5550</v>
      </c>
      <c r="F1634" s="142" t="s">
        <v>3192</v>
      </c>
      <c r="G1634" s="143" t="s">
        <v>5231</v>
      </c>
      <c r="H1634" s="144">
        <v>0.8</v>
      </c>
      <c r="I1634" s="145">
        <v>120000</v>
      </c>
      <c r="J1634" s="1258" t="s">
        <v>2387</v>
      </c>
      <c r="K1634" s="1258" t="s">
        <v>5551</v>
      </c>
      <c r="L1634" s="147">
        <v>0.4</v>
      </c>
      <c r="M1634" s="280" t="s">
        <v>3726</v>
      </c>
      <c r="N1634" s="186">
        <v>85000</v>
      </c>
      <c r="O1634" s="276">
        <v>85000</v>
      </c>
      <c r="P1634" s="276">
        <v>68000</v>
      </c>
      <c r="Q1634" s="186">
        <v>68000</v>
      </c>
      <c r="R1634" s="1260" t="s">
        <v>2800</v>
      </c>
      <c r="S1634" s="276">
        <v>34000</v>
      </c>
      <c r="T1634" s="150">
        <v>45183</v>
      </c>
      <c r="U1634" s="184"/>
      <c r="V1634" s="276"/>
      <c r="W1634" s="184"/>
      <c r="X1634" s="153"/>
      <c r="Y1634" s="184" t="s">
        <v>1077</v>
      </c>
    </row>
    <row r="1635" s="80" customFormat="1" ht="37.5" customHeight="1" spans="1:25">
      <c r="A1635" s="138">
        <f t="shared" si="36"/>
        <v>1627</v>
      </c>
      <c r="B1635" s="139">
        <v>2023</v>
      </c>
      <c r="C1635" s="189" t="s">
        <v>37</v>
      </c>
      <c r="D1635" s="279" t="s">
        <v>5549</v>
      </c>
      <c r="E1635" s="190" t="s">
        <v>5552</v>
      </c>
      <c r="F1635" s="142" t="s">
        <v>3192</v>
      </c>
      <c r="G1635" s="143" t="s">
        <v>5231</v>
      </c>
      <c r="H1635" s="144">
        <v>0.8</v>
      </c>
      <c r="I1635" s="145">
        <v>120000</v>
      </c>
      <c r="J1635" s="1258" t="s">
        <v>2387</v>
      </c>
      <c r="K1635" s="1258" t="s">
        <v>5551</v>
      </c>
      <c r="L1635" s="147">
        <v>0.4</v>
      </c>
      <c r="M1635" s="280" t="s">
        <v>3726</v>
      </c>
      <c r="N1635" s="186">
        <v>85000</v>
      </c>
      <c r="O1635" s="276">
        <v>85000</v>
      </c>
      <c r="P1635" s="276">
        <v>68000</v>
      </c>
      <c r="Q1635" s="186">
        <v>68000</v>
      </c>
      <c r="R1635" s="1260" t="s">
        <v>2800</v>
      </c>
      <c r="S1635" s="276">
        <v>34000</v>
      </c>
      <c r="T1635" s="150">
        <v>45183</v>
      </c>
      <c r="U1635" s="184"/>
      <c r="V1635" s="276"/>
      <c r="W1635" s="184"/>
      <c r="X1635" s="153"/>
      <c r="Y1635" s="184" t="s">
        <v>1077</v>
      </c>
    </row>
    <row r="1636" s="80" customFormat="1" ht="37.5" customHeight="1" spans="1:25">
      <c r="A1636" s="138">
        <f t="shared" si="36"/>
        <v>1628</v>
      </c>
      <c r="B1636" s="139">
        <v>2023</v>
      </c>
      <c r="C1636" s="189" t="s">
        <v>37</v>
      </c>
      <c r="D1636" s="279" t="s">
        <v>5549</v>
      </c>
      <c r="E1636" s="190" t="s">
        <v>5553</v>
      </c>
      <c r="F1636" s="142" t="s">
        <v>3192</v>
      </c>
      <c r="G1636" s="143" t="s">
        <v>5231</v>
      </c>
      <c r="H1636" s="144">
        <v>0.8</v>
      </c>
      <c r="I1636" s="145">
        <v>120000</v>
      </c>
      <c r="J1636" s="1258" t="s">
        <v>2387</v>
      </c>
      <c r="K1636" s="1258" t="s">
        <v>5551</v>
      </c>
      <c r="L1636" s="147">
        <v>0.4</v>
      </c>
      <c r="M1636" s="280" t="s">
        <v>3726</v>
      </c>
      <c r="N1636" s="186">
        <v>75000</v>
      </c>
      <c r="O1636" s="276">
        <v>75000</v>
      </c>
      <c r="P1636" s="276">
        <v>60000</v>
      </c>
      <c r="Q1636" s="186">
        <v>60000</v>
      </c>
      <c r="R1636" s="1260" t="s">
        <v>2800</v>
      </c>
      <c r="S1636" s="276">
        <v>30000</v>
      </c>
      <c r="T1636" s="150">
        <v>45183</v>
      </c>
      <c r="U1636" s="184"/>
      <c r="V1636" s="276"/>
      <c r="W1636" s="184"/>
      <c r="X1636" s="153"/>
      <c r="Y1636" s="184" t="s">
        <v>1077</v>
      </c>
    </row>
    <row r="1637" s="80" customFormat="1" ht="37.5" customHeight="1" spans="1:25">
      <c r="A1637" s="138">
        <f t="shared" si="36"/>
        <v>1629</v>
      </c>
      <c r="B1637" s="139">
        <v>2023</v>
      </c>
      <c r="C1637" s="189" t="s">
        <v>37</v>
      </c>
      <c r="D1637" s="279" t="s">
        <v>5549</v>
      </c>
      <c r="E1637" s="190" t="s">
        <v>5554</v>
      </c>
      <c r="F1637" s="142" t="s">
        <v>3192</v>
      </c>
      <c r="G1637" s="143" t="s">
        <v>5231</v>
      </c>
      <c r="H1637" s="144">
        <v>0.8</v>
      </c>
      <c r="I1637" s="145">
        <v>120000</v>
      </c>
      <c r="J1637" s="1258" t="s">
        <v>2387</v>
      </c>
      <c r="K1637" s="1258" t="s">
        <v>5551</v>
      </c>
      <c r="L1637" s="147">
        <v>0.4</v>
      </c>
      <c r="M1637" s="280" t="s">
        <v>3726</v>
      </c>
      <c r="N1637" s="186">
        <v>85000</v>
      </c>
      <c r="O1637" s="276">
        <v>85000</v>
      </c>
      <c r="P1637" s="276">
        <v>68000</v>
      </c>
      <c r="Q1637" s="186">
        <v>68000</v>
      </c>
      <c r="R1637" s="1260" t="s">
        <v>2800</v>
      </c>
      <c r="S1637" s="276">
        <v>34000</v>
      </c>
      <c r="T1637" s="150">
        <v>45183</v>
      </c>
      <c r="U1637" s="184"/>
      <c r="V1637" s="276"/>
      <c r="W1637" s="184"/>
      <c r="X1637" s="153"/>
      <c r="Y1637" s="184" t="s">
        <v>1077</v>
      </c>
    </row>
    <row r="1638" s="80" customFormat="1" ht="37.5" customHeight="1" spans="1:25">
      <c r="A1638" s="138">
        <f t="shared" si="36"/>
        <v>1630</v>
      </c>
      <c r="B1638" s="139">
        <v>2023</v>
      </c>
      <c r="C1638" s="189" t="s">
        <v>37</v>
      </c>
      <c r="D1638" s="279" t="s">
        <v>5549</v>
      </c>
      <c r="E1638" s="190" t="s">
        <v>5555</v>
      </c>
      <c r="F1638" s="142" t="s">
        <v>3192</v>
      </c>
      <c r="G1638" s="143" t="s">
        <v>5231</v>
      </c>
      <c r="H1638" s="144">
        <v>0.8</v>
      </c>
      <c r="I1638" s="145">
        <v>120000</v>
      </c>
      <c r="J1638" s="1258" t="s">
        <v>2387</v>
      </c>
      <c r="K1638" s="1258" t="s">
        <v>5551</v>
      </c>
      <c r="L1638" s="147">
        <v>0.4</v>
      </c>
      <c r="M1638" s="280" t="s">
        <v>3726</v>
      </c>
      <c r="N1638" s="186">
        <v>85000</v>
      </c>
      <c r="O1638" s="276">
        <v>85000</v>
      </c>
      <c r="P1638" s="276">
        <v>68000</v>
      </c>
      <c r="Q1638" s="186">
        <v>68000</v>
      </c>
      <c r="R1638" s="1260" t="s">
        <v>2800</v>
      </c>
      <c r="S1638" s="276">
        <v>34000</v>
      </c>
      <c r="T1638" s="150">
        <v>45183</v>
      </c>
      <c r="U1638" s="184"/>
      <c r="V1638" s="276"/>
      <c r="W1638" s="184"/>
      <c r="X1638" s="153"/>
      <c r="Y1638" s="184" t="s">
        <v>1077</v>
      </c>
    </row>
    <row r="1639" s="80" customFormat="1" ht="37.5" customHeight="1" spans="1:25">
      <c r="A1639" s="138">
        <f t="shared" si="36"/>
        <v>1631</v>
      </c>
      <c r="B1639" s="139">
        <v>2023</v>
      </c>
      <c r="C1639" s="189" t="s">
        <v>37</v>
      </c>
      <c r="D1639" s="279" t="s">
        <v>5549</v>
      </c>
      <c r="E1639" s="190" t="s">
        <v>5556</v>
      </c>
      <c r="F1639" s="142" t="s">
        <v>3192</v>
      </c>
      <c r="G1639" s="143" t="s">
        <v>5231</v>
      </c>
      <c r="H1639" s="144">
        <v>0.8</v>
      </c>
      <c r="I1639" s="145">
        <v>120000</v>
      </c>
      <c r="J1639" s="1258" t="s">
        <v>2387</v>
      </c>
      <c r="K1639" s="1258" t="s">
        <v>5551</v>
      </c>
      <c r="L1639" s="147">
        <v>0.4</v>
      </c>
      <c r="M1639" s="280" t="s">
        <v>3726</v>
      </c>
      <c r="N1639" s="186">
        <v>85000</v>
      </c>
      <c r="O1639" s="276">
        <v>85000</v>
      </c>
      <c r="P1639" s="276">
        <v>68000</v>
      </c>
      <c r="Q1639" s="186">
        <v>68000</v>
      </c>
      <c r="R1639" s="1260" t="s">
        <v>2800</v>
      </c>
      <c r="S1639" s="276">
        <v>34000</v>
      </c>
      <c r="T1639" s="150">
        <v>45183</v>
      </c>
      <c r="U1639" s="184"/>
      <c r="V1639" s="276"/>
      <c r="W1639" s="184"/>
      <c r="X1639" s="153"/>
      <c r="Y1639" s="184" t="s">
        <v>1077</v>
      </c>
    </row>
    <row r="1640" s="80" customFormat="1" ht="37.5" customHeight="1" spans="1:25">
      <c r="A1640" s="138">
        <f t="shared" si="36"/>
        <v>1632</v>
      </c>
      <c r="B1640" s="139">
        <v>2023</v>
      </c>
      <c r="C1640" s="189" t="s">
        <v>37</v>
      </c>
      <c r="D1640" s="279" t="s">
        <v>5549</v>
      </c>
      <c r="E1640" s="190" t="s">
        <v>5557</v>
      </c>
      <c r="F1640" s="142" t="s">
        <v>3192</v>
      </c>
      <c r="G1640" s="143" t="s">
        <v>5231</v>
      </c>
      <c r="H1640" s="144">
        <v>0.8</v>
      </c>
      <c r="I1640" s="145">
        <v>120000</v>
      </c>
      <c r="J1640" s="1258" t="s">
        <v>2387</v>
      </c>
      <c r="K1640" s="1258" t="s">
        <v>5551</v>
      </c>
      <c r="L1640" s="147">
        <v>0.4</v>
      </c>
      <c r="M1640" s="280" t="s">
        <v>3726</v>
      </c>
      <c r="N1640" s="186">
        <v>85000</v>
      </c>
      <c r="O1640" s="276">
        <v>85000</v>
      </c>
      <c r="P1640" s="276">
        <v>68000</v>
      </c>
      <c r="Q1640" s="186">
        <v>68000</v>
      </c>
      <c r="R1640" s="1260" t="s">
        <v>2800</v>
      </c>
      <c r="S1640" s="276">
        <v>34000</v>
      </c>
      <c r="T1640" s="150">
        <v>45183</v>
      </c>
      <c r="U1640" s="184"/>
      <c r="V1640" s="276"/>
      <c r="W1640" s="184"/>
      <c r="X1640" s="153"/>
      <c r="Y1640" s="184" t="s">
        <v>1077</v>
      </c>
    </row>
    <row r="1641" s="80" customFormat="1" ht="37.5" customHeight="1" spans="1:25">
      <c r="A1641" s="138">
        <f t="shared" si="36"/>
        <v>1633</v>
      </c>
      <c r="B1641" s="139">
        <v>2023</v>
      </c>
      <c r="C1641" s="189" t="s">
        <v>37</v>
      </c>
      <c r="D1641" s="279" t="s">
        <v>5549</v>
      </c>
      <c r="E1641" s="190" t="s">
        <v>5558</v>
      </c>
      <c r="F1641" s="142" t="s">
        <v>3192</v>
      </c>
      <c r="G1641" s="143" t="s">
        <v>5231</v>
      </c>
      <c r="H1641" s="144">
        <v>0.8</v>
      </c>
      <c r="I1641" s="145">
        <v>120000</v>
      </c>
      <c r="J1641" s="1258" t="s">
        <v>2387</v>
      </c>
      <c r="K1641" s="1258" t="s">
        <v>5551</v>
      </c>
      <c r="L1641" s="147">
        <v>0.4</v>
      </c>
      <c r="M1641" s="280" t="s">
        <v>3726</v>
      </c>
      <c r="N1641" s="186">
        <v>85000</v>
      </c>
      <c r="O1641" s="276">
        <v>85000</v>
      </c>
      <c r="P1641" s="276">
        <v>68000</v>
      </c>
      <c r="Q1641" s="186">
        <v>68000</v>
      </c>
      <c r="R1641" s="1260" t="s">
        <v>2800</v>
      </c>
      <c r="S1641" s="276">
        <v>34000</v>
      </c>
      <c r="T1641" s="150">
        <v>45183</v>
      </c>
      <c r="U1641" s="184"/>
      <c r="V1641" s="276"/>
      <c r="W1641" s="184"/>
      <c r="X1641" s="153"/>
      <c r="Y1641" s="184" t="s">
        <v>1077</v>
      </c>
    </row>
    <row r="1642" s="80" customFormat="1" ht="37.5" customHeight="1" spans="1:25">
      <c r="A1642" s="138">
        <f t="shared" si="36"/>
        <v>1634</v>
      </c>
      <c r="B1642" s="139">
        <v>2023</v>
      </c>
      <c r="C1642" s="189" t="s">
        <v>37</v>
      </c>
      <c r="D1642" s="279" t="s">
        <v>5549</v>
      </c>
      <c r="E1642" s="190" t="s">
        <v>5559</v>
      </c>
      <c r="F1642" s="142" t="s">
        <v>3192</v>
      </c>
      <c r="G1642" s="143" t="s">
        <v>5231</v>
      </c>
      <c r="H1642" s="144">
        <v>0.8</v>
      </c>
      <c r="I1642" s="145">
        <v>50000</v>
      </c>
      <c r="J1642" s="1258" t="s">
        <v>2387</v>
      </c>
      <c r="K1642" s="1258" t="s">
        <v>5551</v>
      </c>
      <c r="L1642" s="147">
        <v>0.4</v>
      </c>
      <c r="M1642" s="280" t="s">
        <v>3726</v>
      </c>
      <c r="N1642" s="186">
        <v>14734.48</v>
      </c>
      <c r="O1642" s="276">
        <v>14734.48</v>
      </c>
      <c r="P1642" s="276">
        <v>11787.58</v>
      </c>
      <c r="Q1642" s="186">
        <v>11787.58</v>
      </c>
      <c r="R1642" s="1260" t="s">
        <v>2800</v>
      </c>
      <c r="S1642" s="276">
        <v>5893.79</v>
      </c>
      <c r="T1642" s="150">
        <v>45183</v>
      </c>
      <c r="U1642" s="184"/>
      <c r="V1642" s="276"/>
      <c r="W1642" s="184"/>
      <c r="X1642" s="153"/>
      <c r="Y1642" s="184" t="s">
        <v>1077</v>
      </c>
    </row>
    <row r="1643" s="80" customFormat="1" ht="37.5" customHeight="1" spans="1:25">
      <c r="A1643" s="138">
        <f t="shared" si="36"/>
        <v>1635</v>
      </c>
      <c r="B1643" s="139">
        <v>2023</v>
      </c>
      <c r="C1643" s="189" t="s">
        <v>37</v>
      </c>
      <c r="D1643" s="279" t="s">
        <v>5549</v>
      </c>
      <c r="E1643" s="190" t="s">
        <v>5560</v>
      </c>
      <c r="F1643" s="142" t="s">
        <v>3192</v>
      </c>
      <c r="G1643" s="143" t="s">
        <v>5231</v>
      </c>
      <c r="H1643" s="144">
        <v>0.8</v>
      </c>
      <c r="I1643" s="145">
        <v>120000</v>
      </c>
      <c r="J1643" s="1258" t="s">
        <v>2387</v>
      </c>
      <c r="K1643" s="1258" t="s">
        <v>5551</v>
      </c>
      <c r="L1643" s="147">
        <v>0.4</v>
      </c>
      <c r="M1643" s="280" t="s">
        <v>3726</v>
      </c>
      <c r="N1643" s="186">
        <v>85000</v>
      </c>
      <c r="O1643" s="276">
        <v>85000</v>
      </c>
      <c r="P1643" s="276">
        <v>68000</v>
      </c>
      <c r="Q1643" s="186">
        <v>68000</v>
      </c>
      <c r="R1643" s="1260" t="s">
        <v>2800</v>
      </c>
      <c r="S1643" s="276">
        <v>34000</v>
      </c>
      <c r="T1643" s="150">
        <v>45183</v>
      </c>
      <c r="U1643" s="184"/>
      <c r="V1643" s="276"/>
      <c r="W1643" s="184"/>
      <c r="X1643" s="153"/>
      <c r="Y1643" s="184" t="s">
        <v>1077</v>
      </c>
    </row>
    <row r="1644" s="80" customFormat="1" ht="37.5" customHeight="1" spans="1:25">
      <c r="A1644" s="138">
        <f t="shared" si="36"/>
        <v>1636</v>
      </c>
      <c r="B1644" s="139">
        <v>2023</v>
      </c>
      <c r="C1644" s="189" t="s">
        <v>37</v>
      </c>
      <c r="D1644" s="279" t="s">
        <v>5549</v>
      </c>
      <c r="E1644" s="190" t="s">
        <v>5561</v>
      </c>
      <c r="F1644" s="142" t="s">
        <v>3192</v>
      </c>
      <c r="G1644" s="143" t="s">
        <v>5231</v>
      </c>
      <c r="H1644" s="144">
        <v>0.8</v>
      </c>
      <c r="I1644" s="145">
        <v>120000</v>
      </c>
      <c r="J1644" s="1258" t="s">
        <v>2387</v>
      </c>
      <c r="K1644" s="1258" t="s">
        <v>5551</v>
      </c>
      <c r="L1644" s="147">
        <v>0.4</v>
      </c>
      <c r="M1644" s="280" t="s">
        <v>3726</v>
      </c>
      <c r="N1644" s="186">
        <v>85000</v>
      </c>
      <c r="O1644" s="276">
        <v>85000</v>
      </c>
      <c r="P1644" s="276">
        <v>68000</v>
      </c>
      <c r="Q1644" s="186">
        <v>68000</v>
      </c>
      <c r="R1644" s="1260" t="s">
        <v>2800</v>
      </c>
      <c r="S1644" s="276">
        <v>34000</v>
      </c>
      <c r="T1644" s="150">
        <v>45183</v>
      </c>
      <c r="U1644" s="184"/>
      <c r="V1644" s="276"/>
      <c r="W1644" s="184"/>
      <c r="X1644" s="153"/>
      <c r="Y1644" s="184" t="s">
        <v>1077</v>
      </c>
    </row>
    <row r="1645" s="80" customFormat="1" ht="37.5" customHeight="1" spans="1:25">
      <c r="A1645" s="138">
        <f t="shared" si="36"/>
        <v>1637</v>
      </c>
      <c r="B1645" s="139">
        <v>2023</v>
      </c>
      <c r="C1645" s="189" t="s">
        <v>37</v>
      </c>
      <c r="D1645" s="279" t="s">
        <v>5549</v>
      </c>
      <c r="E1645" s="190" t="s">
        <v>5562</v>
      </c>
      <c r="F1645" s="142" t="s">
        <v>3192</v>
      </c>
      <c r="G1645" s="143" t="s">
        <v>5231</v>
      </c>
      <c r="H1645" s="144">
        <v>0.8</v>
      </c>
      <c r="I1645" s="145">
        <v>120000</v>
      </c>
      <c r="J1645" s="1258" t="s">
        <v>2387</v>
      </c>
      <c r="K1645" s="1258" t="s">
        <v>5551</v>
      </c>
      <c r="L1645" s="147">
        <v>0.4</v>
      </c>
      <c r="M1645" s="280" t="s">
        <v>3726</v>
      </c>
      <c r="N1645" s="186">
        <v>85000</v>
      </c>
      <c r="O1645" s="276">
        <v>85000</v>
      </c>
      <c r="P1645" s="276">
        <v>68000</v>
      </c>
      <c r="Q1645" s="186">
        <v>68000</v>
      </c>
      <c r="R1645" s="1260" t="s">
        <v>2800</v>
      </c>
      <c r="S1645" s="276">
        <v>34000</v>
      </c>
      <c r="T1645" s="150">
        <v>45183</v>
      </c>
      <c r="U1645" s="184"/>
      <c r="V1645" s="276"/>
      <c r="W1645" s="184"/>
      <c r="X1645" s="153"/>
      <c r="Y1645" s="184" t="s">
        <v>1077</v>
      </c>
    </row>
    <row r="1646" s="80" customFormat="1" ht="37.5" customHeight="1" spans="1:25">
      <c r="A1646" s="138">
        <f t="shared" si="36"/>
        <v>1638</v>
      </c>
      <c r="B1646" s="139">
        <v>2023</v>
      </c>
      <c r="C1646" s="189" t="s">
        <v>37</v>
      </c>
      <c r="D1646" s="279" t="s">
        <v>5549</v>
      </c>
      <c r="E1646" s="190" t="s">
        <v>5563</v>
      </c>
      <c r="F1646" s="142" t="s">
        <v>3192</v>
      </c>
      <c r="G1646" s="143" t="s">
        <v>5231</v>
      </c>
      <c r="H1646" s="144">
        <v>0.8</v>
      </c>
      <c r="I1646" s="145">
        <v>120000</v>
      </c>
      <c r="J1646" s="1258" t="s">
        <v>2387</v>
      </c>
      <c r="K1646" s="1258" t="s">
        <v>5551</v>
      </c>
      <c r="L1646" s="147">
        <v>0.4</v>
      </c>
      <c r="M1646" s="280" t="s">
        <v>3726</v>
      </c>
      <c r="N1646" s="186">
        <v>85000</v>
      </c>
      <c r="O1646" s="276">
        <v>85000</v>
      </c>
      <c r="P1646" s="276">
        <v>68000</v>
      </c>
      <c r="Q1646" s="186">
        <v>68000</v>
      </c>
      <c r="R1646" s="1260" t="s">
        <v>2800</v>
      </c>
      <c r="S1646" s="276">
        <v>34000</v>
      </c>
      <c r="T1646" s="150">
        <v>45183</v>
      </c>
      <c r="U1646" s="184"/>
      <c r="V1646" s="276"/>
      <c r="W1646" s="184"/>
      <c r="X1646" s="153"/>
      <c r="Y1646" s="184" t="s">
        <v>1077</v>
      </c>
    </row>
    <row r="1647" s="80" customFormat="1" ht="37.5" customHeight="1" spans="1:25">
      <c r="A1647" s="138">
        <f t="shared" si="36"/>
        <v>1639</v>
      </c>
      <c r="B1647" s="139">
        <v>2023</v>
      </c>
      <c r="C1647" s="189" t="s">
        <v>37</v>
      </c>
      <c r="D1647" s="279" t="s">
        <v>5549</v>
      </c>
      <c r="E1647" s="190" t="s">
        <v>5564</v>
      </c>
      <c r="F1647" s="142" t="s">
        <v>3192</v>
      </c>
      <c r="G1647" s="143" t="s">
        <v>5231</v>
      </c>
      <c r="H1647" s="144">
        <v>0.8</v>
      </c>
      <c r="I1647" s="145">
        <v>120000</v>
      </c>
      <c r="J1647" s="1258" t="s">
        <v>2387</v>
      </c>
      <c r="K1647" s="1258" t="s">
        <v>5551</v>
      </c>
      <c r="L1647" s="147">
        <v>0.4</v>
      </c>
      <c r="M1647" s="280" t="s">
        <v>3726</v>
      </c>
      <c r="N1647" s="186">
        <v>85000</v>
      </c>
      <c r="O1647" s="276">
        <v>85000</v>
      </c>
      <c r="P1647" s="276">
        <v>68000</v>
      </c>
      <c r="Q1647" s="186">
        <v>68000</v>
      </c>
      <c r="R1647" s="1260" t="s">
        <v>2800</v>
      </c>
      <c r="S1647" s="276">
        <v>34000</v>
      </c>
      <c r="T1647" s="150">
        <v>45183</v>
      </c>
      <c r="U1647" s="184"/>
      <c r="V1647" s="276"/>
      <c r="W1647" s="184"/>
      <c r="X1647" s="153"/>
      <c r="Y1647" s="184" t="s">
        <v>1077</v>
      </c>
    </row>
    <row r="1648" s="80" customFormat="1" ht="37.5" customHeight="1" spans="1:25">
      <c r="A1648" s="138">
        <f t="shared" si="36"/>
        <v>1640</v>
      </c>
      <c r="B1648" s="139">
        <v>2023</v>
      </c>
      <c r="C1648" s="189" t="s">
        <v>37</v>
      </c>
      <c r="D1648" s="279" t="s">
        <v>5549</v>
      </c>
      <c r="E1648" s="190" t="s">
        <v>5565</v>
      </c>
      <c r="F1648" s="142" t="s">
        <v>3192</v>
      </c>
      <c r="G1648" s="143" t="s">
        <v>5231</v>
      </c>
      <c r="H1648" s="144">
        <v>0.8</v>
      </c>
      <c r="I1648" s="145">
        <v>120000</v>
      </c>
      <c r="J1648" s="1258" t="s">
        <v>2387</v>
      </c>
      <c r="K1648" s="1258" t="s">
        <v>5551</v>
      </c>
      <c r="L1648" s="147">
        <v>0.4</v>
      </c>
      <c r="M1648" s="280" t="s">
        <v>3726</v>
      </c>
      <c r="N1648" s="186">
        <v>85000</v>
      </c>
      <c r="O1648" s="276">
        <v>85000</v>
      </c>
      <c r="P1648" s="276">
        <v>68000</v>
      </c>
      <c r="Q1648" s="186">
        <v>68000</v>
      </c>
      <c r="R1648" s="1260" t="s">
        <v>2800</v>
      </c>
      <c r="S1648" s="276">
        <v>34000</v>
      </c>
      <c r="T1648" s="150">
        <v>45183</v>
      </c>
      <c r="U1648" s="184"/>
      <c r="V1648" s="276"/>
      <c r="W1648" s="184"/>
      <c r="X1648" s="153"/>
      <c r="Y1648" s="184" t="s">
        <v>1077</v>
      </c>
    </row>
    <row r="1649" s="80" customFormat="1" ht="37.5" customHeight="1" spans="1:25">
      <c r="A1649" s="138">
        <f t="shared" si="36"/>
        <v>1641</v>
      </c>
      <c r="B1649" s="139">
        <v>2023</v>
      </c>
      <c r="C1649" s="189" t="s">
        <v>37</v>
      </c>
      <c r="D1649" s="279" t="s">
        <v>5549</v>
      </c>
      <c r="E1649" s="190" t="s">
        <v>5566</v>
      </c>
      <c r="F1649" s="142" t="s">
        <v>3192</v>
      </c>
      <c r="G1649" s="143" t="s">
        <v>5231</v>
      </c>
      <c r="H1649" s="144">
        <v>0.8</v>
      </c>
      <c r="I1649" s="145">
        <v>120000</v>
      </c>
      <c r="J1649" s="1258" t="s">
        <v>2387</v>
      </c>
      <c r="K1649" s="1258" t="s">
        <v>5551</v>
      </c>
      <c r="L1649" s="147">
        <v>0.4</v>
      </c>
      <c r="M1649" s="280" t="s">
        <v>3726</v>
      </c>
      <c r="N1649" s="186">
        <v>85000</v>
      </c>
      <c r="O1649" s="276">
        <v>85000</v>
      </c>
      <c r="P1649" s="276">
        <v>68000</v>
      </c>
      <c r="Q1649" s="186">
        <v>68000</v>
      </c>
      <c r="R1649" s="1260" t="s">
        <v>2800</v>
      </c>
      <c r="S1649" s="276">
        <v>34000</v>
      </c>
      <c r="T1649" s="150">
        <v>45183</v>
      </c>
      <c r="U1649" s="184"/>
      <c r="V1649" s="276"/>
      <c r="W1649" s="184"/>
      <c r="X1649" s="153"/>
      <c r="Y1649" s="184" t="s">
        <v>1077</v>
      </c>
    </row>
    <row r="1650" s="80" customFormat="1" ht="37.5" customHeight="1" spans="1:25">
      <c r="A1650" s="138">
        <f t="shared" si="36"/>
        <v>1642</v>
      </c>
      <c r="B1650" s="139">
        <v>2023</v>
      </c>
      <c r="C1650" s="189" t="s">
        <v>37</v>
      </c>
      <c r="D1650" s="279" t="s">
        <v>5549</v>
      </c>
      <c r="E1650" s="190" t="s">
        <v>5567</v>
      </c>
      <c r="F1650" s="142" t="s">
        <v>3192</v>
      </c>
      <c r="G1650" s="143" t="s">
        <v>5231</v>
      </c>
      <c r="H1650" s="144">
        <v>0.8</v>
      </c>
      <c r="I1650" s="145">
        <v>120000</v>
      </c>
      <c r="J1650" s="1258" t="s">
        <v>2387</v>
      </c>
      <c r="K1650" s="1258" t="s">
        <v>5551</v>
      </c>
      <c r="L1650" s="147">
        <v>0.4</v>
      </c>
      <c r="M1650" s="280" t="s">
        <v>3726</v>
      </c>
      <c r="N1650" s="186">
        <v>85000</v>
      </c>
      <c r="O1650" s="276">
        <v>85000</v>
      </c>
      <c r="P1650" s="276">
        <v>68000</v>
      </c>
      <c r="Q1650" s="186">
        <v>68000</v>
      </c>
      <c r="R1650" s="1260" t="s">
        <v>2800</v>
      </c>
      <c r="S1650" s="276">
        <v>34000</v>
      </c>
      <c r="T1650" s="150">
        <v>45183</v>
      </c>
      <c r="U1650" s="184"/>
      <c r="V1650" s="276"/>
      <c r="W1650" s="184"/>
      <c r="X1650" s="153"/>
      <c r="Y1650" s="184" t="s">
        <v>1077</v>
      </c>
    </row>
    <row r="1651" s="80" customFormat="1" ht="37.5" customHeight="1" spans="1:25">
      <c r="A1651" s="138">
        <f t="shared" si="36"/>
        <v>1643</v>
      </c>
      <c r="B1651" s="139">
        <v>2023</v>
      </c>
      <c r="C1651" s="189" t="s">
        <v>37</v>
      </c>
      <c r="D1651" s="279" t="s">
        <v>5549</v>
      </c>
      <c r="E1651" s="190" t="s">
        <v>5568</v>
      </c>
      <c r="F1651" s="142" t="s">
        <v>3192</v>
      </c>
      <c r="G1651" s="143" t="s">
        <v>5231</v>
      </c>
      <c r="H1651" s="144">
        <v>0.8</v>
      </c>
      <c r="I1651" s="145">
        <v>120000</v>
      </c>
      <c r="J1651" s="1258" t="s">
        <v>2387</v>
      </c>
      <c r="K1651" s="1258" t="s">
        <v>5551</v>
      </c>
      <c r="L1651" s="147">
        <v>0.4</v>
      </c>
      <c r="M1651" s="280" t="s">
        <v>3726</v>
      </c>
      <c r="N1651" s="186">
        <v>22004.38</v>
      </c>
      <c r="O1651" s="276">
        <v>22004.38</v>
      </c>
      <c r="P1651" s="276">
        <v>17603.5</v>
      </c>
      <c r="Q1651" s="186">
        <v>17603.5</v>
      </c>
      <c r="R1651" s="1260" t="s">
        <v>2800</v>
      </c>
      <c r="S1651" s="276">
        <v>8801.75</v>
      </c>
      <c r="T1651" s="150">
        <v>45183</v>
      </c>
      <c r="U1651" s="184"/>
      <c r="V1651" s="276"/>
      <c r="W1651" s="184"/>
      <c r="X1651" s="153"/>
      <c r="Y1651" s="184" t="s">
        <v>1077</v>
      </c>
    </row>
    <row r="1652" s="80" customFormat="1" ht="37.5" customHeight="1" spans="1:25">
      <c r="A1652" s="138">
        <f t="shared" si="36"/>
        <v>1644</v>
      </c>
      <c r="B1652" s="139">
        <v>2023</v>
      </c>
      <c r="C1652" s="189" t="s">
        <v>37</v>
      </c>
      <c r="D1652" s="279" t="s">
        <v>5549</v>
      </c>
      <c r="E1652" s="190" t="s">
        <v>5569</v>
      </c>
      <c r="F1652" s="142" t="s">
        <v>3192</v>
      </c>
      <c r="G1652" s="143" t="s">
        <v>5231</v>
      </c>
      <c r="H1652" s="144">
        <v>0.8</v>
      </c>
      <c r="I1652" s="145">
        <v>120000</v>
      </c>
      <c r="J1652" s="1258" t="s">
        <v>2387</v>
      </c>
      <c r="K1652" s="1258" t="s">
        <v>5551</v>
      </c>
      <c r="L1652" s="147">
        <v>0.4</v>
      </c>
      <c r="M1652" s="280" t="s">
        <v>3726</v>
      </c>
      <c r="N1652" s="186">
        <v>85000</v>
      </c>
      <c r="O1652" s="276">
        <v>85000</v>
      </c>
      <c r="P1652" s="276">
        <v>68000</v>
      </c>
      <c r="Q1652" s="186">
        <v>68000</v>
      </c>
      <c r="R1652" s="1260" t="s">
        <v>2800</v>
      </c>
      <c r="S1652" s="276">
        <v>34000</v>
      </c>
      <c r="T1652" s="150">
        <v>45183</v>
      </c>
      <c r="U1652" s="184"/>
      <c r="V1652" s="276"/>
      <c r="W1652" s="184"/>
      <c r="X1652" s="153"/>
      <c r="Y1652" s="184" t="s">
        <v>1077</v>
      </c>
    </row>
    <row r="1653" s="80" customFormat="1" ht="37.5" customHeight="1" spans="1:25">
      <c r="A1653" s="138">
        <f t="shared" si="36"/>
        <v>1645</v>
      </c>
      <c r="B1653" s="139">
        <v>2023</v>
      </c>
      <c r="C1653" s="189" t="s">
        <v>37</v>
      </c>
      <c r="D1653" s="279" t="s">
        <v>5549</v>
      </c>
      <c r="E1653" s="190" t="s">
        <v>5570</v>
      </c>
      <c r="F1653" s="142" t="s">
        <v>3192</v>
      </c>
      <c r="G1653" s="143" t="s">
        <v>5231</v>
      </c>
      <c r="H1653" s="144">
        <v>0.8</v>
      </c>
      <c r="I1653" s="145">
        <v>120000</v>
      </c>
      <c r="J1653" s="1258" t="s">
        <v>2387</v>
      </c>
      <c r="K1653" s="1258" t="s">
        <v>5551</v>
      </c>
      <c r="L1653" s="147">
        <v>0.4</v>
      </c>
      <c r="M1653" s="280" t="s">
        <v>3726</v>
      </c>
      <c r="N1653" s="186">
        <v>85000</v>
      </c>
      <c r="O1653" s="276">
        <v>85000</v>
      </c>
      <c r="P1653" s="276">
        <v>68000</v>
      </c>
      <c r="Q1653" s="186">
        <v>68000</v>
      </c>
      <c r="R1653" s="1260" t="s">
        <v>2800</v>
      </c>
      <c r="S1653" s="276">
        <v>34000</v>
      </c>
      <c r="T1653" s="150">
        <v>45183</v>
      </c>
      <c r="U1653" s="184"/>
      <c r="V1653" s="276"/>
      <c r="W1653" s="184"/>
      <c r="X1653" s="153"/>
      <c r="Y1653" s="184" t="s">
        <v>1077</v>
      </c>
    </row>
    <row r="1654" s="80" customFormat="1" ht="37.5" customHeight="1" spans="1:25">
      <c r="A1654" s="138">
        <f t="shared" si="36"/>
        <v>1646</v>
      </c>
      <c r="B1654" s="139">
        <v>2023</v>
      </c>
      <c r="C1654" s="189" t="s">
        <v>37</v>
      </c>
      <c r="D1654" s="279" t="s">
        <v>5549</v>
      </c>
      <c r="E1654" s="190" t="s">
        <v>5571</v>
      </c>
      <c r="F1654" s="142" t="s">
        <v>3192</v>
      </c>
      <c r="G1654" s="143" t="s">
        <v>5231</v>
      </c>
      <c r="H1654" s="144">
        <v>0.8</v>
      </c>
      <c r="I1654" s="145">
        <v>120000</v>
      </c>
      <c r="J1654" s="1258" t="s">
        <v>2387</v>
      </c>
      <c r="K1654" s="1258" t="s">
        <v>5551</v>
      </c>
      <c r="L1654" s="147">
        <v>0.4</v>
      </c>
      <c r="M1654" s="280" t="s">
        <v>3726</v>
      </c>
      <c r="N1654" s="186">
        <v>85000</v>
      </c>
      <c r="O1654" s="276">
        <v>85000</v>
      </c>
      <c r="P1654" s="276">
        <v>68000</v>
      </c>
      <c r="Q1654" s="186">
        <v>68000</v>
      </c>
      <c r="R1654" s="1260" t="s">
        <v>2800</v>
      </c>
      <c r="S1654" s="276">
        <v>34000</v>
      </c>
      <c r="T1654" s="150">
        <v>45183</v>
      </c>
      <c r="U1654" s="184"/>
      <c r="V1654" s="276"/>
      <c r="W1654" s="184"/>
      <c r="X1654" s="153"/>
      <c r="Y1654" s="184" t="s">
        <v>1077</v>
      </c>
    </row>
    <row r="1655" s="80" customFormat="1" ht="37.5" customHeight="1" spans="1:25">
      <c r="A1655" s="138">
        <f t="shared" si="36"/>
        <v>1647</v>
      </c>
      <c r="B1655" s="139">
        <v>2023</v>
      </c>
      <c r="C1655" s="189" t="s">
        <v>37</v>
      </c>
      <c r="D1655" s="279" t="s">
        <v>5549</v>
      </c>
      <c r="E1655" s="190" t="s">
        <v>5572</v>
      </c>
      <c r="F1655" s="142" t="s">
        <v>3192</v>
      </c>
      <c r="G1655" s="143" t="s">
        <v>5231</v>
      </c>
      <c r="H1655" s="144">
        <v>0.8</v>
      </c>
      <c r="I1655" s="145">
        <v>120000</v>
      </c>
      <c r="J1655" s="1258" t="s">
        <v>2387</v>
      </c>
      <c r="K1655" s="1258" t="s">
        <v>5551</v>
      </c>
      <c r="L1655" s="147">
        <v>0.4</v>
      </c>
      <c r="M1655" s="280" t="s">
        <v>3726</v>
      </c>
      <c r="N1655" s="186">
        <v>85000</v>
      </c>
      <c r="O1655" s="276">
        <v>85000</v>
      </c>
      <c r="P1655" s="276">
        <v>68000</v>
      </c>
      <c r="Q1655" s="186">
        <v>68000</v>
      </c>
      <c r="R1655" s="1260" t="s">
        <v>2800</v>
      </c>
      <c r="S1655" s="276">
        <v>34000</v>
      </c>
      <c r="T1655" s="150">
        <v>45183</v>
      </c>
      <c r="U1655" s="184"/>
      <c r="V1655" s="276"/>
      <c r="W1655" s="184"/>
      <c r="X1655" s="153"/>
      <c r="Y1655" s="184" t="s">
        <v>1077</v>
      </c>
    </row>
    <row r="1656" s="80" customFormat="1" ht="37.5" customHeight="1" spans="1:25">
      <c r="A1656" s="138">
        <f t="shared" si="36"/>
        <v>1648</v>
      </c>
      <c r="B1656" s="139">
        <v>2023</v>
      </c>
      <c r="C1656" s="189" t="s">
        <v>37</v>
      </c>
      <c r="D1656" s="279" t="s">
        <v>5549</v>
      </c>
      <c r="E1656" s="190" t="s">
        <v>5573</v>
      </c>
      <c r="F1656" s="142" t="s">
        <v>3192</v>
      </c>
      <c r="G1656" s="143" t="s">
        <v>5231</v>
      </c>
      <c r="H1656" s="144">
        <v>0.8</v>
      </c>
      <c r="I1656" s="145">
        <v>120000</v>
      </c>
      <c r="J1656" s="1258" t="s">
        <v>2387</v>
      </c>
      <c r="K1656" s="1258" t="s">
        <v>5551</v>
      </c>
      <c r="L1656" s="147">
        <v>0.4</v>
      </c>
      <c r="M1656" s="280" t="s">
        <v>3726</v>
      </c>
      <c r="N1656" s="186">
        <v>85000</v>
      </c>
      <c r="O1656" s="276">
        <v>85000</v>
      </c>
      <c r="P1656" s="276">
        <v>68000</v>
      </c>
      <c r="Q1656" s="186">
        <v>68000</v>
      </c>
      <c r="R1656" s="1260" t="s">
        <v>2800</v>
      </c>
      <c r="S1656" s="276">
        <v>34000</v>
      </c>
      <c r="T1656" s="150">
        <v>45183</v>
      </c>
      <c r="U1656" s="184"/>
      <c r="V1656" s="276"/>
      <c r="W1656" s="184"/>
      <c r="X1656" s="153"/>
      <c r="Y1656" s="184" t="s">
        <v>1077</v>
      </c>
    </row>
    <row r="1657" s="80" customFormat="1" ht="37.5" customHeight="1" spans="1:25">
      <c r="A1657" s="138">
        <f t="shared" si="36"/>
        <v>1649</v>
      </c>
      <c r="B1657" s="139">
        <v>2023</v>
      </c>
      <c r="C1657" s="189" t="s">
        <v>37</v>
      </c>
      <c r="D1657" s="279" t="s">
        <v>5549</v>
      </c>
      <c r="E1657" s="190" t="s">
        <v>5574</v>
      </c>
      <c r="F1657" s="142" t="s">
        <v>3192</v>
      </c>
      <c r="G1657" s="143" t="s">
        <v>5231</v>
      </c>
      <c r="H1657" s="144">
        <v>0.8</v>
      </c>
      <c r="I1657" s="145">
        <v>120000</v>
      </c>
      <c r="J1657" s="1258" t="s">
        <v>2387</v>
      </c>
      <c r="K1657" s="1258" t="s">
        <v>5551</v>
      </c>
      <c r="L1657" s="147">
        <v>0.4</v>
      </c>
      <c r="M1657" s="280" t="s">
        <v>3726</v>
      </c>
      <c r="N1657" s="186">
        <v>85000</v>
      </c>
      <c r="O1657" s="276">
        <v>85000</v>
      </c>
      <c r="P1657" s="276">
        <v>68000</v>
      </c>
      <c r="Q1657" s="276">
        <v>68000</v>
      </c>
      <c r="R1657" s="1260" t="s">
        <v>2800</v>
      </c>
      <c r="S1657" s="276">
        <v>34000</v>
      </c>
      <c r="T1657" s="150">
        <v>45183</v>
      </c>
      <c r="U1657" s="184"/>
      <c r="V1657" s="276"/>
      <c r="W1657" s="184"/>
      <c r="X1657" s="153"/>
      <c r="Y1657" s="184" t="s">
        <v>1077</v>
      </c>
    </row>
    <row r="1658" ht="37.5" customHeight="1" spans="1:25">
      <c r="A1658" s="192">
        <f t="shared" si="36"/>
        <v>1650</v>
      </c>
      <c r="B1658" s="208">
        <v>2023</v>
      </c>
      <c r="C1658" s="193" t="s">
        <v>37</v>
      </c>
      <c r="D1658" s="277" t="s">
        <v>5575</v>
      </c>
      <c r="E1658" s="195" t="s">
        <v>5576</v>
      </c>
      <c r="F1658" s="196" t="s">
        <v>2073</v>
      </c>
      <c r="G1658" s="197" t="s">
        <v>3239</v>
      </c>
      <c r="H1658" s="198">
        <v>0.8</v>
      </c>
      <c r="I1658" s="199">
        <v>90020</v>
      </c>
      <c r="J1658" s="200" t="s">
        <v>2743</v>
      </c>
      <c r="K1658" s="200" t="s">
        <v>2744</v>
      </c>
      <c r="L1658" s="201">
        <v>0.4</v>
      </c>
      <c r="M1658" s="278" t="s">
        <v>4928</v>
      </c>
      <c r="N1658" s="205">
        <v>90000</v>
      </c>
      <c r="O1658" s="205">
        <v>90000</v>
      </c>
      <c r="P1658" s="254">
        <v>72000</v>
      </c>
      <c r="Q1658" s="254">
        <v>72000</v>
      </c>
      <c r="R1658" s="1262" t="s">
        <v>3866</v>
      </c>
      <c r="S1658" s="254">
        <v>36000</v>
      </c>
      <c r="T1658" s="204">
        <v>45195</v>
      </c>
      <c r="U1658" s="1262" t="s">
        <v>3109</v>
      </c>
      <c r="V1658" s="254">
        <v>18000</v>
      </c>
      <c r="W1658" s="203" t="s">
        <v>4457</v>
      </c>
      <c r="X1658" s="297">
        <v>18000</v>
      </c>
      <c r="Y1658" s="192"/>
    </row>
    <row r="1659" ht="37.5" customHeight="1" spans="1:25">
      <c r="A1659" s="192">
        <f t="shared" si="36"/>
        <v>1651</v>
      </c>
      <c r="B1659" s="208">
        <v>2023</v>
      </c>
      <c r="C1659" s="193" t="s">
        <v>37</v>
      </c>
      <c r="D1659" s="277" t="s">
        <v>5577</v>
      </c>
      <c r="E1659" s="195" t="s">
        <v>5578</v>
      </c>
      <c r="F1659" s="196" t="s">
        <v>2073</v>
      </c>
      <c r="G1659" s="197" t="s">
        <v>3239</v>
      </c>
      <c r="H1659" s="198">
        <v>0.8</v>
      </c>
      <c r="I1659" s="199">
        <v>16730.53</v>
      </c>
      <c r="J1659" s="200" t="s">
        <v>2405</v>
      </c>
      <c r="K1659" s="200" t="s">
        <v>2731</v>
      </c>
      <c r="L1659" s="201">
        <v>0.4</v>
      </c>
      <c r="M1659" s="278" t="s">
        <v>3958</v>
      </c>
      <c r="N1659" s="205">
        <v>16.74</v>
      </c>
      <c r="O1659" s="205">
        <v>16.74</v>
      </c>
      <c r="P1659" s="254">
        <v>13.39</v>
      </c>
      <c r="Q1659" s="254">
        <v>13.39</v>
      </c>
      <c r="R1659" s="1262" t="s">
        <v>3866</v>
      </c>
      <c r="S1659" s="254">
        <v>6.7</v>
      </c>
      <c r="T1659" s="204">
        <v>45195</v>
      </c>
      <c r="U1659" s="1262" t="s">
        <v>3109</v>
      </c>
      <c r="V1659" s="254">
        <v>3.35</v>
      </c>
      <c r="W1659" s="203" t="s">
        <v>4457</v>
      </c>
      <c r="X1659" s="297">
        <v>3.35</v>
      </c>
      <c r="Y1659" s="192"/>
    </row>
    <row r="1660" ht="37.5" customHeight="1" spans="1:25">
      <c r="A1660" s="192">
        <f t="shared" si="36"/>
        <v>1652</v>
      </c>
      <c r="B1660" s="208">
        <v>2023</v>
      </c>
      <c r="C1660" s="193" t="s">
        <v>37</v>
      </c>
      <c r="D1660" s="277" t="s">
        <v>5579</v>
      </c>
      <c r="E1660" s="195" t="s">
        <v>5580</v>
      </c>
      <c r="F1660" s="196" t="s">
        <v>2073</v>
      </c>
      <c r="G1660" s="197" t="s">
        <v>3239</v>
      </c>
      <c r="H1660" s="198">
        <v>0.8</v>
      </c>
      <c r="I1660" s="199">
        <v>13300</v>
      </c>
      <c r="J1660" s="200" t="s">
        <v>2405</v>
      </c>
      <c r="K1660" s="200" t="s">
        <v>2731</v>
      </c>
      <c r="L1660" s="201">
        <v>0.4</v>
      </c>
      <c r="M1660" s="278" t="s">
        <v>2850</v>
      </c>
      <c r="N1660" s="205">
        <v>1608.58</v>
      </c>
      <c r="O1660" s="205">
        <v>1608.58</v>
      </c>
      <c r="P1660" s="254">
        <v>1286.86</v>
      </c>
      <c r="Q1660" s="254">
        <v>1286.86</v>
      </c>
      <c r="R1660" s="1262" t="s">
        <v>3866</v>
      </c>
      <c r="S1660" s="254">
        <v>643.43</v>
      </c>
      <c r="T1660" s="204">
        <v>45195</v>
      </c>
      <c r="U1660" s="1262" t="s">
        <v>3109</v>
      </c>
      <c r="V1660" s="254">
        <v>321.72</v>
      </c>
      <c r="W1660" s="203" t="s">
        <v>4457</v>
      </c>
      <c r="X1660" s="297">
        <v>321.72</v>
      </c>
      <c r="Y1660" s="192"/>
    </row>
    <row r="1661" ht="37.5" customHeight="1" spans="1:25">
      <c r="A1661" s="192">
        <f t="shared" si="36"/>
        <v>1653</v>
      </c>
      <c r="B1661" s="208">
        <v>2023</v>
      </c>
      <c r="C1661" s="193" t="s">
        <v>37</v>
      </c>
      <c r="D1661" s="277" t="s">
        <v>5581</v>
      </c>
      <c r="E1661" s="195" t="s">
        <v>5582</v>
      </c>
      <c r="F1661" s="196" t="s">
        <v>2073</v>
      </c>
      <c r="G1661" s="197" t="s">
        <v>3239</v>
      </c>
      <c r="H1661" s="198">
        <v>0.8</v>
      </c>
      <c r="I1661" s="199">
        <v>23000</v>
      </c>
      <c r="J1661" s="200" t="s">
        <v>2016</v>
      </c>
      <c r="K1661" s="200" t="s">
        <v>3330</v>
      </c>
      <c r="L1661" s="201">
        <v>0.4</v>
      </c>
      <c r="M1661" s="278" t="s">
        <v>2177</v>
      </c>
      <c r="N1661" s="205">
        <v>1083.37</v>
      </c>
      <c r="O1661" s="205">
        <v>1083.37</v>
      </c>
      <c r="P1661" s="254">
        <v>866.7</v>
      </c>
      <c r="Q1661" s="254">
        <v>866.7</v>
      </c>
      <c r="R1661" s="1262" t="s">
        <v>3866</v>
      </c>
      <c r="S1661" s="254">
        <v>433.35</v>
      </c>
      <c r="T1661" s="204">
        <v>45195</v>
      </c>
      <c r="U1661" s="1262" t="s">
        <v>3109</v>
      </c>
      <c r="V1661" s="254">
        <v>216.67</v>
      </c>
      <c r="W1661" s="203" t="s">
        <v>4457</v>
      </c>
      <c r="X1661" s="297">
        <v>216.67</v>
      </c>
      <c r="Y1661" s="192"/>
    </row>
    <row r="1662" ht="37.5" customHeight="1" spans="1:25">
      <c r="A1662" s="192">
        <f t="shared" si="36"/>
        <v>1654</v>
      </c>
      <c r="B1662" s="208">
        <v>2023</v>
      </c>
      <c r="C1662" s="193" t="s">
        <v>37</v>
      </c>
      <c r="D1662" s="277" t="s">
        <v>5583</v>
      </c>
      <c r="E1662" s="195" t="s">
        <v>5584</v>
      </c>
      <c r="F1662" s="196" t="s">
        <v>2073</v>
      </c>
      <c r="G1662" s="197" t="s">
        <v>3239</v>
      </c>
      <c r="H1662" s="198">
        <v>0.8</v>
      </c>
      <c r="I1662" s="199">
        <v>16000</v>
      </c>
      <c r="J1662" s="200" t="s">
        <v>2016</v>
      </c>
      <c r="K1662" s="200" t="s">
        <v>3330</v>
      </c>
      <c r="L1662" s="201">
        <v>0.4</v>
      </c>
      <c r="M1662" s="278" t="s">
        <v>2177</v>
      </c>
      <c r="N1662" s="205">
        <v>833.37</v>
      </c>
      <c r="O1662" s="205">
        <v>833.37</v>
      </c>
      <c r="P1662" s="254">
        <v>666.7</v>
      </c>
      <c r="Q1662" s="254">
        <v>666.7</v>
      </c>
      <c r="R1662" s="1262" t="s">
        <v>3866</v>
      </c>
      <c r="S1662" s="254">
        <v>333.35</v>
      </c>
      <c r="T1662" s="204">
        <v>45195</v>
      </c>
      <c r="U1662" s="1262" t="s">
        <v>3109</v>
      </c>
      <c r="V1662" s="254">
        <v>166.67</v>
      </c>
      <c r="W1662" s="203" t="s">
        <v>4457</v>
      </c>
      <c r="X1662" s="297">
        <v>166.67</v>
      </c>
      <c r="Y1662" s="192"/>
    </row>
    <row r="1663" ht="37.5" customHeight="1" spans="1:25">
      <c r="A1663" s="192">
        <f t="shared" si="36"/>
        <v>1655</v>
      </c>
      <c r="B1663" s="208">
        <v>2023</v>
      </c>
      <c r="C1663" s="193" t="s">
        <v>37</v>
      </c>
      <c r="D1663" s="277" t="s">
        <v>5585</v>
      </c>
      <c r="E1663" s="195" t="s">
        <v>5586</v>
      </c>
      <c r="F1663" s="196" t="s">
        <v>2073</v>
      </c>
      <c r="G1663" s="197" t="s">
        <v>3239</v>
      </c>
      <c r="H1663" s="198">
        <v>0.8</v>
      </c>
      <c r="I1663" s="199">
        <v>14483.3</v>
      </c>
      <c r="J1663" s="200" t="s">
        <v>3085</v>
      </c>
      <c r="K1663" s="200" t="s">
        <v>3086</v>
      </c>
      <c r="L1663" s="201">
        <v>0.4</v>
      </c>
      <c r="M1663" s="278" t="s">
        <v>2148</v>
      </c>
      <c r="N1663" s="205">
        <v>133.37</v>
      </c>
      <c r="O1663" s="205">
        <v>133.37</v>
      </c>
      <c r="P1663" s="254">
        <v>106.7</v>
      </c>
      <c r="Q1663" s="254">
        <v>106.7</v>
      </c>
      <c r="R1663" s="1262" t="s">
        <v>3866</v>
      </c>
      <c r="S1663" s="254">
        <v>53.35</v>
      </c>
      <c r="T1663" s="204">
        <v>45195</v>
      </c>
      <c r="U1663" s="1262" t="s">
        <v>3109</v>
      </c>
      <c r="V1663" s="254">
        <v>26.67</v>
      </c>
      <c r="W1663" s="203" t="s">
        <v>4457</v>
      </c>
      <c r="X1663" s="297">
        <v>26.67</v>
      </c>
      <c r="Y1663" s="192"/>
    </row>
    <row r="1664" ht="37.5" customHeight="1" spans="1:25">
      <c r="A1664" s="192">
        <f t="shared" si="36"/>
        <v>1656</v>
      </c>
      <c r="B1664" s="208">
        <v>2023</v>
      </c>
      <c r="C1664" s="193" t="s">
        <v>37</v>
      </c>
      <c r="D1664" s="277" t="s">
        <v>5587</v>
      </c>
      <c r="E1664" s="195" t="s">
        <v>5588</v>
      </c>
      <c r="F1664" s="196" t="s">
        <v>2073</v>
      </c>
      <c r="G1664" s="197" t="s">
        <v>3239</v>
      </c>
      <c r="H1664" s="198">
        <v>0.8</v>
      </c>
      <c r="I1664" s="199">
        <v>131000</v>
      </c>
      <c r="J1664" s="200" t="s">
        <v>3516</v>
      </c>
      <c r="K1664" s="200" t="s">
        <v>3517</v>
      </c>
      <c r="L1664" s="201">
        <v>0.4</v>
      </c>
      <c r="M1664" s="278" t="s">
        <v>2364</v>
      </c>
      <c r="N1664" s="205">
        <v>105000</v>
      </c>
      <c r="O1664" s="205">
        <v>105000</v>
      </c>
      <c r="P1664" s="254">
        <v>84000</v>
      </c>
      <c r="Q1664" s="254">
        <v>84000</v>
      </c>
      <c r="R1664" s="1262" t="s">
        <v>3866</v>
      </c>
      <c r="S1664" s="254">
        <v>42000</v>
      </c>
      <c r="T1664" s="204">
        <v>45195</v>
      </c>
      <c r="U1664" s="1262" t="s">
        <v>3109</v>
      </c>
      <c r="V1664" s="254">
        <v>21000</v>
      </c>
      <c r="W1664" s="203" t="s">
        <v>4457</v>
      </c>
      <c r="X1664" s="297">
        <v>21000</v>
      </c>
      <c r="Y1664" s="192"/>
    </row>
    <row r="1665" ht="37.5" customHeight="1" spans="1:25">
      <c r="A1665" s="192">
        <f t="shared" si="36"/>
        <v>1657</v>
      </c>
      <c r="B1665" s="208">
        <v>2023</v>
      </c>
      <c r="C1665" s="193" t="s">
        <v>37</v>
      </c>
      <c r="D1665" s="277" t="s">
        <v>2343</v>
      </c>
      <c r="E1665" s="195" t="s">
        <v>5589</v>
      </c>
      <c r="F1665" s="196" t="s">
        <v>2073</v>
      </c>
      <c r="G1665" s="197" t="s">
        <v>3239</v>
      </c>
      <c r="H1665" s="198">
        <v>0.8</v>
      </c>
      <c r="I1665" s="199">
        <v>20000</v>
      </c>
      <c r="J1665" s="200" t="s">
        <v>3005</v>
      </c>
      <c r="K1665" s="200" t="s">
        <v>3006</v>
      </c>
      <c r="L1665" s="201">
        <v>0.4</v>
      </c>
      <c r="M1665" s="278" t="s">
        <v>2112</v>
      </c>
      <c r="N1665" s="205">
        <v>1182.08</v>
      </c>
      <c r="O1665" s="205">
        <v>1182.08</v>
      </c>
      <c r="P1665" s="254">
        <v>945.67</v>
      </c>
      <c r="Q1665" s="254">
        <v>945.67</v>
      </c>
      <c r="R1665" s="1262" t="s">
        <v>3866</v>
      </c>
      <c r="S1665" s="254">
        <v>472.83</v>
      </c>
      <c r="T1665" s="204">
        <v>45195</v>
      </c>
      <c r="U1665" s="1262" t="s">
        <v>3109</v>
      </c>
      <c r="V1665" s="254">
        <v>236.42</v>
      </c>
      <c r="W1665" s="203" t="s">
        <v>4457</v>
      </c>
      <c r="X1665" s="297">
        <v>236.42</v>
      </c>
      <c r="Y1665" s="192"/>
    </row>
    <row r="1666" ht="37.5" customHeight="1" spans="1:25">
      <c r="A1666" s="192">
        <f t="shared" si="36"/>
        <v>1658</v>
      </c>
      <c r="B1666" s="208">
        <v>2023</v>
      </c>
      <c r="C1666" s="193" t="s">
        <v>37</v>
      </c>
      <c r="D1666" s="277" t="s">
        <v>5590</v>
      </c>
      <c r="E1666" s="195" t="s">
        <v>5591</v>
      </c>
      <c r="F1666" s="196" t="s">
        <v>2073</v>
      </c>
      <c r="G1666" s="197" t="s">
        <v>3239</v>
      </c>
      <c r="H1666" s="198">
        <v>0.8</v>
      </c>
      <c r="I1666" s="199">
        <v>13100</v>
      </c>
      <c r="J1666" s="200" t="s">
        <v>2949</v>
      </c>
      <c r="K1666" s="200" t="s">
        <v>2950</v>
      </c>
      <c r="L1666" s="201">
        <v>0.4</v>
      </c>
      <c r="M1666" s="278" t="s">
        <v>2462</v>
      </c>
      <c r="N1666" s="205">
        <v>1091.74</v>
      </c>
      <c r="O1666" s="205">
        <v>1091.74</v>
      </c>
      <c r="P1666" s="254">
        <v>873.39</v>
      </c>
      <c r="Q1666" s="254">
        <v>873.39</v>
      </c>
      <c r="R1666" s="1262" t="s">
        <v>3866</v>
      </c>
      <c r="S1666" s="254">
        <v>436.7</v>
      </c>
      <c r="T1666" s="204">
        <v>45195</v>
      </c>
      <c r="U1666" s="1262" t="s">
        <v>3109</v>
      </c>
      <c r="V1666" s="254">
        <v>218.35</v>
      </c>
      <c r="W1666" s="203" t="s">
        <v>4457</v>
      </c>
      <c r="X1666" s="297">
        <v>218.35</v>
      </c>
      <c r="Y1666" s="192"/>
    </row>
    <row r="1667" ht="37.5" customHeight="1" spans="1:25">
      <c r="A1667" s="192">
        <f t="shared" si="36"/>
        <v>1659</v>
      </c>
      <c r="B1667" s="208">
        <v>2023</v>
      </c>
      <c r="C1667" s="193" t="s">
        <v>37</v>
      </c>
      <c r="D1667" s="277" t="s">
        <v>5592</v>
      </c>
      <c r="E1667" s="195" t="s">
        <v>5593</v>
      </c>
      <c r="F1667" s="196" t="s">
        <v>2073</v>
      </c>
      <c r="G1667" s="197" t="s">
        <v>3239</v>
      </c>
      <c r="H1667" s="198">
        <v>0.8</v>
      </c>
      <c r="I1667" s="199">
        <v>12000</v>
      </c>
      <c r="J1667" s="200" t="s">
        <v>5594</v>
      </c>
      <c r="K1667" s="200" t="s">
        <v>5265</v>
      </c>
      <c r="L1667" s="201">
        <v>0.4</v>
      </c>
      <c r="M1667" s="278" t="s">
        <v>2102</v>
      </c>
      <c r="N1667" s="205">
        <v>1000</v>
      </c>
      <c r="O1667" s="205">
        <v>1000</v>
      </c>
      <c r="P1667" s="254">
        <v>800</v>
      </c>
      <c r="Q1667" s="254">
        <v>800</v>
      </c>
      <c r="R1667" s="1262" t="s">
        <v>3866</v>
      </c>
      <c r="S1667" s="254">
        <v>400</v>
      </c>
      <c r="T1667" s="204">
        <v>45195</v>
      </c>
      <c r="U1667" s="1262" t="s">
        <v>3109</v>
      </c>
      <c r="V1667" s="254">
        <v>200</v>
      </c>
      <c r="W1667" s="203" t="s">
        <v>4457</v>
      </c>
      <c r="X1667" s="297">
        <v>200</v>
      </c>
      <c r="Y1667" s="192"/>
    </row>
    <row r="1668" ht="37.5" customHeight="1" spans="1:25">
      <c r="A1668" s="192">
        <f t="shared" si="36"/>
        <v>1660</v>
      </c>
      <c r="B1668" s="208">
        <v>2023</v>
      </c>
      <c r="C1668" s="193" t="s">
        <v>37</v>
      </c>
      <c r="D1668" s="277" t="s">
        <v>5595</v>
      </c>
      <c r="E1668" s="195" t="s">
        <v>5596</v>
      </c>
      <c r="F1668" s="196" t="s">
        <v>2073</v>
      </c>
      <c r="G1668" s="197" t="s">
        <v>3239</v>
      </c>
      <c r="H1668" s="198">
        <v>0.8</v>
      </c>
      <c r="I1668" s="199">
        <v>22000</v>
      </c>
      <c r="J1668" s="200" t="s">
        <v>2076</v>
      </c>
      <c r="K1668" s="200" t="s">
        <v>2996</v>
      </c>
      <c r="L1668" s="201">
        <v>0.4</v>
      </c>
      <c r="M1668" s="278" t="s">
        <v>2124</v>
      </c>
      <c r="N1668" s="205">
        <v>22000</v>
      </c>
      <c r="O1668" s="205">
        <v>22000</v>
      </c>
      <c r="P1668" s="254">
        <v>17600</v>
      </c>
      <c r="Q1668" s="254">
        <v>17600</v>
      </c>
      <c r="R1668" s="1262" t="s">
        <v>3866</v>
      </c>
      <c r="S1668" s="254">
        <v>8800</v>
      </c>
      <c r="T1668" s="204">
        <v>45195</v>
      </c>
      <c r="U1668" s="1262" t="s">
        <v>3109</v>
      </c>
      <c r="V1668" s="254">
        <v>4400</v>
      </c>
      <c r="W1668" s="203" t="s">
        <v>4457</v>
      </c>
      <c r="X1668" s="297">
        <v>4400</v>
      </c>
      <c r="Y1668" s="192"/>
    </row>
    <row r="1669" ht="37.5" customHeight="1" spans="1:25">
      <c r="A1669" s="192">
        <f t="shared" si="36"/>
        <v>1661</v>
      </c>
      <c r="B1669" s="208">
        <v>2023</v>
      </c>
      <c r="C1669" s="193" t="s">
        <v>37</v>
      </c>
      <c r="D1669" s="277" t="s">
        <v>5597</v>
      </c>
      <c r="E1669" s="195" t="s">
        <v>5598</v>
      </c>
      <c r="F1669" s="196" t="s">
        <v>2073</v>
      </c>
      <c r="G1669" s="197" t="s">
        <v>3239</v>
      </c>
      <c r="H1669" s="198">
        <v>0.8</v>
      </c>
      <c r="I1669" s="199">
        <v>11048.81</v>
      </c>
      <c r="J1669" s="200" t="s">
        <v>2677</v>
      </c>
      <c r="K1669" s="200" t="s">
        <v>2678</v>
      </c>
      <c r="L1669" s="201">
        <v>0.4</v>
      </c>
      <c r="M1669" s="278" t="s">
        <v>2690</v>
      </c>
      <c r="N1669" s="205">
        <v>583.48</v>
      </c>
      <c r="O1669" s="205">
        <v>583.48</v>
      </c>
      <c r="P1669" s="254">
        <v>466.78</v>
      </c>
      <c r="Q1669" s="254">
        <v>466.78</v>
      </c>
      <c r="R1669" s="1262" t="s">
        <v>3866</v>
      </c>
      <c r="S1669" s="254">
        <v>233.39</v>
      </c>
      <c r="T1669" s="204">
        <v>45195</v>
      </c>
      <c r="U1669" s="1262" t="s">
        <v>3109</v>
      </c>
      <c r="V1669" s="254">
        <v>116.7</v>
      </c>
      <c r="W1669" s="203" t="s">
        <v>4457</v>
      </c>
      <c r="X1669" s="297">
        <v>116.7</v>
      </c>
      <c r="Y1669" s="192"/>
    </row>
    <row r="1670" ht="37.5" customHeight="1" spans="1:25">
      <c r="A1670" s="192">
        <f t="shared" si="36"/>
        <v>1662</v>
      </c>
      <c r="B1670" s="208">
        <v>2023</v>
      </c>
      <c r="C1670" s="193" t="s">
        <v>37</v>
      </c>
      <c r="D1670" s="277" t="s">
        <v>5599</v>
      </c>
      <c r="E1670" s="195" t="s">
        <v>5600</v>
      </c>
      <c r="F1670" s="196" t="s">
        <v>2073</v>
      </c>
      <c r="G1670" s="197" t="s">
        <v>3239</v>
      </c>
      <c r="H1670" s="198">
        <v>0.8</v>
      </c>
      <c r="I1670" s="199">
        <v>13000</v>
      </c>
      <c r="J1670" s="200" t="s">
        <v>2677</v>
      </c>
      <c r="K1670" s="200" t="s">
        <v>2678</v>
      </c>
      <c r="L1670" s="201">
        <v>0.4</v>
      </c>
      <c r="M1670" s="278" t="s">
        <v>5601</v>
      </c>
      <c r="N1670" s="205">
        <v>916.74</v>
      </c>
      <c r="O1670" s="205">
        <v>916.74</v>
      </c>
      <c r="P1670" s="254">
        <v>733.39</v>
      </c>
      <c r="Q1670" s="254">
        <v>733.39</v>
      </c>
      <c r="R1670" s="1262" t="s">
        <v>3866</v>
      </c>
      <c r="S1670" s="254">
        <v>366.7</v>
      </c>
      <c r="T1670" s="204">
        <v>45195</v>
      </c>
      <c r="U1670" s="1262" t="s">
        <v>3109</v>
      </c>
      <c r="V1670" s="254">
        <v>183.35</v>
      </c>
      <c r="W1670" s="203" t="s">
        <v>4457</v>
      </c>
      <c r="X1670" s="297">
        <v>183.35</v>
      </c>
      <c r="Y1670" s="192"/>
    </row>
    <row r="1671" ht="37.5" customHeight="1" spans="1:25">
      <c r="A1671" s="192">
        <f t="shared" si="36"/>
        <v>1663</v>
      </c>
      <c r="B1671" s="208">
        <v>2023</v>
      </c>
      <c r="C1671" s="193" t="s">
        <v>37</v>
      </c>
      <c r="D1671" s="277" t="s">
        <v>5602</v>
      </c>
      <c r="E1671" s="195" t="s">
        <v>5603</v>
      </c>
      <c r="F1671" s="196" t="s">
        <v>2073</v>
      </c>
      <c r="G1671" s="197" t="s">
        <v>3239</v>
      </c>
      <c r="H1671" s="198">
        <v>0.8</v>
      </c>
      <c r="I1671" s="199">
        <v>17300.68</v>
      </c>
      <c r="J1671" s="200" t="s">
        <v>1950</v>
      </c>
      <c r="K1671" s="200" t="s">
        <v>2755</v>
      </c>
      <c r="L1671" s="201">
        <v>0.4</v>
      </c>
      <c r="M1671" s="278" t="s">
        <v>2107</v>
      </c>
      <c r="N1671" s="205">
        <v>1000</v>
      </c>
      <c r="O1671" s="205">
        <v>1000</v>
      </c>
      <c r="P1671" s="254">
        <v>800</v>
      </c>
      <c r="Q1671" s="254">
        <v>800</v>
      </c>
      <c r="R1671" s="1262" t="s">
        <v>3866</v>
      </c>
      <c r="S1671" s="254">
        <v>400</v>
      </c>
      <c r="T1671" s="204">
        <v>45195</v>
      </c>
      <c r="U1671" s="1262" t="s">
        <v>3109</v>
      </c>
      <c r="V1671" s="254">
        <v>200</v>
      </c>
      <c r="W1671" s="203" t="s">
        <v>4457</v>
      </c>
      <c r="X1671" s="297">
        <v>200</v>
      </c>
      <c r="Y1671" s="192"/>
    </row>
    <row r="1672" ht="37.5" customHeight="1" spans="1:25">
      <c r="A1672" s="192">
        <f t="shared" si="36"/>
        <v>1664</v>
      </c>
      <c r="B1672" s="208">
        <v>2023</v>
      </c>
      <c r="C1672" s="193" t="s">
        <v>37</v>
      </c>
      <c r="D1672" s="277" t="s">
        <v>5604</v>
      </c>
      <c r="E1672" s="195" t="s">
        <v>5605</v>
      </c>
      <c r="F1672" s="196" t="s">
        <v>2073</v>
      </c>
      <c r="G1672" s="197" t="s">
        <v>3239</v>
      </c>
      <c r="H1672" s="198">
        <v>0.8</v>
      </c>
      <c r="I1672" s="199">
        <v>110000</v>
      </c>
      <c r="J1672" s="200" t="s">
        <v>1950</v>
      </c>
      <c r="K1672" s="200" t="s">
        <v>2755</v>
      </c>
      <c r="L1672" s="201">
        <v>0.4</v>
      </c>
      <c r="M1672" s="278" t="s">
        <v>2850</v>
      </c>
      <c r="N1672" s="205">
        <v>18333.4</v>
      </c>
      <c r="O1672" s="205">
        <v>18333.4</v>
      </c>
      <c r="P1672" s="254">
        <v>14666.72</v>
      </c>
      <c r="Q1672" s="254">
        <v>14666.72</v>
      </c>
      <c r="R1672" s="1262" t="s">
        <v>3866</v>
      </c>
      <c r="S1672" s="254">
        <v>7333.36</v>
      </c>
      <c r="T1672" s="204">
        <v>45195</v>
      </c>
      <c r="U1672" s="1262" t="s">
        <v>3109</v>
      </c>
      <c r="V1672" s="254">
        <v>3666.68</v>
      </c>
      <c r="W1672" s="203" t="s">
        <v>4457</v>
      </c>
      <c r="X1672" s="297">
        <v>3666.68</v>
      </c>
      <c r="Y1672" s="192"/>
    </row>
    <row r="1673" ht="37.5" customHeight="1" spans="1:25">
      <c r="A1673" s="192">
        <f t="shared" si="36"/>
        <v>1665</v>
      </c>
      <c r="B1673" s="208">
        <v>2023</v>
      </c>
      <c r="C1673" s="193" t="s">
        <v>37</v>
      </c>
      <c r="D1673" s="277" t="s">
        <v>5606</v>
      </c>
      <c r="E1673" s="195" t="s">
        <v>5607</v>
      </c>
      <c r="F1673" s="196" t="s">
        <v>2073</v>
      </c>
      <c r="G1673" s="197" t="s">
        <v>3239</v>
      </c>
      <c r="H1673" s="198">
        <v>0.8</v>
      </c>
      <c r="I1673" s="199">
        <v>15856.62</v>
      </c>
      <c r="J1673" s="200" t="s">
        <v>1950</v>
      </c>
      <c r="K1673" s="200" t="s">
        <v>2755</v>
      </c>
      <c r="L1673" s="201">
        <v>0.4</v>
      </c>
      <c r="M1673" s="278" t="s">
        <v>2159</v>
      </c>
      <c r="N1673" s="205">
        <v>833.37</v>
      </c>
      <c r="O1673" s="205">
        <v>833.37</v>
      </c>
      <c r="P1673" s="254">
        <v>666.7</v>
      </c>
      <c r="Q1673" s="254">
        <v>666.7</v>
      </c>
      <c r="R1673" s="1262" t="s">
        <v>3866</v>
      </c>
      <c r="S1673" s="254">
        <v>333.35</v>
      </c>
      <c r="T1673" s="204">
        <v>45195</v>
      </c>
      <c r="U1673" s="1262" t="s">
        <v>3109</v>
      </c>
      <c r="V1673" s="254">
        <v>166.67</v>
      </c>
      <c r="W1673" s="203" t="s">
        <v>4457</v>
      </c>
      <c r="X1673" s="297">
        <v>166.67</v>
      </c>
      <c r="Y1673" s="192"/>
    </row>
    <row r="1674" ht="37.5" customHeight="1" spans="1:25">
      <c r="A1674" s="192">
        <f t="shared" si="36"/>
        <v>1666</v>
      </c>
      <c r="B1674" s="208">
        <v>2023</v>
      </c>
      <c r="C1674" s="193" t="s">
        <v>37</v>
      </c>
      <c r="D1674" s="277" t="s">
        <v>5608</v>
      </c>
      <c r="E1674" s="195" t="s">
        <v>5609</v>
      </c>
      <c r="F1674" s="196" t="s">
        <v>2073</v>
      </c>
      <c r="G1674" s="197" t="s">
        <v>3239</v>
      </c>
      <c r="H1674" s="198">
        <v>0.8</v>
      </c>
      <c r="I1674" s="199">
        <v>18000</v>
      </c>
      <c r="J1674" s="200" t="s">
        <v>2812</v>
      </c>
      <c r="K1674" s="200" t="s">
        <v>2813</v>
      </c>
      <c r="L1674" s="201">
        <v>0.4</v>
      </c>
      <c r="M1674" s="278" t="s">
        <v>2136</v>
      </c>
      <c r="N1674" s="205">
        <v>6083.37</v>
      </c>
      <c r="O1674" s="205">
        <v>6083.37</v>
      </c>
      <c r="P1674" s="254">
        <v>4866.7</v>
      </c>
      <c r="Q1674" s="254">
        <v>4866.7</v>
      </c>
      <c r="R1674" s="1262" t="s">
        <v>3866</v>
      </c>
      <c r="S1674" s="254">
        <v>2433.35</v>
      </c>
      <c r="T1674" s="204">
        <v>45195</v>
      </c>
      <c r="U1674" s="1262" t="s">
        <v>3109</v>
      </c>
      <c r="V1674" s="254">
        <v>1216.67</v>
      </c>
      <c r="W1674" s="203" t="s">
        <v>4457</v>
      </c>
      <c r="X1674" s="297">
        <v>1216.67</v>
      </c>
      <c r="Y1674" s="192"/>
    </row>
    <row r="1675" ht="37.5" customHeight="1" spans="1:25">
      <c r="A1675" s="192">
        <f t="shared" si="36"/>
        <v>1667</v>
      </c>
      <c r="B1675" s="208">
        <v>2023</v>
      </c>
      <c r="C1675" s="193" t="s">
        <v>37</v>
      </c>
      <c r="D1675" s="277" t="s">
        <v>5610</v>
      </c>
      <c r="E1675" s="195" t="s">
        <v>5611</v>
      </c>
      <c r="F1675" s="196" t="s">
        <v>2073</v>
      </c>
      <c r="G1675" s="197" t="s">
        <v>3239</v>
      </c>
      <c r="H1675" s="198">
        <v>0.8</v>
      </c>
      <c r="I1675" s="199">
        <v>75000</v>
      </c>
      <c r="J1675" s="200" t="s">
        <v>2125</v>
      </c>
      <c r="K1675" s="200" t="s">
        <v>2887</v>
      </c>
      <c r="L1675" s="201">
        <v>0.4</v>
      </c>
      <c r="M1675" s="278" t="s">
        <v>2364</v>
      </c>
      <c r="N1675" s="205">
        <v>75000</v>
      </c>
      <c r="O1675" s="205">
        <v>75000</v>
      </c>
      <c r="P1675" s="254">
        <v>60000</v>
      </c>
      <c r="Q1675" s="254">
        <v>60000</v>
      </c>
      <c r="R1675" s="1262" t="s">
        <v>3866</v>
      </c>
      <c r="S1675" s="254">
        <v>30000</v>
      </c>
      <c r="T1675" s="204">
        <v>45195</v>
      </c>
      <c r="U1675" s="1262" t="s">
        <v>3109</v>
      </c>
      <c r="V1675" s="254">
        <v>15000</v>
      </c>
      <c r="W1675" s="203" t="s">
        <v>4457</v>
      </c>
      <c r="X1675" s="297">
        <v>15000</v>
      </c>
      <c r="Y1675" s="192"/>
    </row>
    <row r="1676" ht="37.5" customHeight="1" spans="1:25">
      <c r="A1676" s="192">
        <f t="shared" si="36"/>
        <v>1668</v>
      </c>
      <c r="B1676" s="208">
        <v>2023</v>
      </c>
      <c r="C1676" s="193" t="s">
        <v>37</v>
      </c>
      <c r="D1676" s="277" t="s">
        <v>5612</v>
      </c>
      <c r="E1676" s="195" t="s">
        <v>5613</v>
      </c>
      <c r="F1676" s="196" t="s">
        <v>2073</v>
      </c>
      <c r="G1676" s="197" t="s">
        <v>3239</v>
      </c>
      <c r="H1676" s="198">
        <v>0.8</v>
      </c>
      <c r="I1676" s="199">
        <v>28856</v>
      </c>
      <c r="J1676" s="200" t="s">
        <v>2125</v>
      </c>
      <c r="K1676" s="200" t="s">
        <v>2887</v>
      </c>
      <c r="L1676" s="201">
        <v>0.4</v>
      </c>
      <c r="M1676" s="278" t="s">
        <v>2177</v>
      </c>
      <c r="N1676" s="205">
        <v>2404.74</v>
      </c>
      <c r="O1676" s="205">
        <v>2404.74</v>
      </c>
      <c r="P1676" s="254">
        <v>1923.8</v>
      </c>
      <c r="Q1676" s="254">
        <v>1923.8</v>
      </c>
      <c r="R1676" s="1262" t="s">
        <v>3866</v>
      </c>
      <c r="S1676" s="254">
        <v>961.9</v>
      </c>
      <c r="T1676" s="204">
        <v>45195</v>
      </c>
      <c r="U1676" s="1262" t="s">
        <v>3109</v>
      </c>
      <c r="V1676" s="254">
        <v>480.95</v>
      </c>
      <c r="W1676" s="203" t="s">
        <v>4457</v>
      </c>
      <c r="X1676" s="297">
        <v>480.95</v>
      </c>
      <c r="Y1676" s="192"/>
    </row>
    <row r="1677" ht="37.5" customHeight="1" spans="1:25">
      <c r="A1677" s="192">
        <f t="shared" si="36"/>
        <v>1669</v>
      </c>
      <c r="B1677" s="208">
        <v>2023</v>
      </c>
      <c r="C1677" s="193" t="s">
        <v>37</v>
      </c>
      <c r="D1677" s="277" t="s">
        <v>5614</v>
      </c>
      <c r="E1677" s="195" t="s">
        <v>5615</v>
      </c>
      <c r="F1677" s="196" t="s">
        <v>2073</v>
      </c>
      <c r="G1677" s="197" t="s">
        <v>3239</v>
      </c>
      <c r="H1677" s="198">
        <v>0.8</v>
      </c>
      <c r="I1677" s="199">
        <v>30000</v>
      </c>
      <c r="J1677" s="200" t="s">
        <v>2964</v>
      </c>
      <c r="K1677" s="200" t="s">
        <v>2965</v>
      </c>
      <c r="L1677" s="201">
        <v>0.4</v>
      </c>
      <c r="M1677" s="278" t="s">
        <v>2177</v>
      </c>
      <c r="N1677" s="205">
        <v>30000</v>
      </c>
      <c r="O1677" s="205">
        <v>30000</v>
      </c>
      <c r="P1677" s="254">
        <v>24000</v>
      </c>
      <c r="Q1677" s="254">
        <v>24000</v>
      </c>
      <c r="R1677" s="1262" t="s">
        <v>3866</v>
      </c>
      <c r="S1677" s="254">
        <v>12000</v>
      </c>
      <c r="T1677" s="204">
        <v>45195</v>
      </c>
      <c r="U1677" s="1262" t="s">
        <v>3109</v>
      </c>
      <c r="V1677" s="254">
        <v>6000</v>
      </c>
      <c r="W1677" s="203" t="s">
        <v>4457</v>
      </c>
      <c r="X1677" s="297">
        <v>6000</v>
      </c>
      <c r="Y1677" s="192"/>
    </row>
    <row r="1678" ht="37.5" customHeight="1" spans="1:25">
      <c r="A1678" s="192">
        <f t="shared" si="36"/>
        <v>1670</v>
      </c>
      <c r="B1678" s="208">
        <v>2023</v>
      </c>
      <c r="C1678" s="193" t="s">
        <v>37</v>
      </c>
      <c r="D1678" s="277" t="s">
        <v>4706</v>
      </c>
      <c r="E1678" s="195" t="s">
        <v>5616</v>
      </c>
      <c r="F1678" s="196" t="s">
        <v>2073</v>
      </c>
      <c r="G1678" s="197" t="s">
        <v>3239</v>
      </c>
      <c r="H1678" s="198">
        <v>0.8</v>
      </c>
      <c r="I1678" s="199">
        <v>11760.68</v>
      </c>
      <c r="J1678" s="200" t="s">
        <v>2785</v>
      </c>
      <c r="K1678" s="200" t="s">
        <v>2786</v>
      </c>
      <c r="L1678" s="201">
        <v>0.4</v>
      </c>
      <c r="M1678" s="278" t="s">
        <v>2112</v>
      </c>
      <c r="N1678" s="205">
        <v>833.37</v>
      </c>
      <c r="O1678" s="205">
        <v>833.37</v>
      </c>
      <c r="P1678" s="254">
        <v>666.7</v>
      </c>
      <c r="Q1678" s="254">
        <v>666.7</v>
      </c>
      <c r="R1678" s="1262" t="s">
        <v>3866</v>
      </c>
      <c r="S1678" s="254">
        <v>333.35</v>
      </c>
      <c r="T1678" s="204">
        <v>45195</v>
      </c>
      <c r="U1678" s="1262" t="s">
        <v>3109</v>
      </c>
      <c r="V1678" s="254">
        <v>166.67</v>
      </c>
      <c r="W1678" s="203" t="s">
        <v>4457</v>
      </c>
      <c r="X1678" s="297">
        <v>166.67</v>
      </c>
      <c r="Y1678" s="192"/>
    </row>
    <row r="1679" ht="37.5" customHeight="1" spans="1:25">
      <c r="A1679" s="192">
        <f t="shared" si="36"/>
        <v>1671</v>
      </c>
      <c r="B1679" s="208">
        <v>2023</v>
      </c>
      <c r="C1679" s="193" t="s">
        <v>37</v>
      </c>
      <c r="D1679" s="277" t="s">
        <v>5617</v>
      </c>
      <c r="E1679" s="195" t="s">
        <v>5618</v>
      </c>
      <c r="F1679" s="196" t="s">
        <v>2073</v>
      </c>
      <c r="G1679" s="197" t="s">
        <v>3239</v>
      </c>
      <c r="H1679" s="198">
        <v>0.8</v>
      </c>
      <c r="I1679" s="199">
        <v>16418.72</v>
      </c>
      <c r="J1679" s="200" t="s">
        <v>3543</v>
      </c>
      <c r="K1679" s="200" t="s">
        <v>3544</v>
      </c>
      <c r="L1679" s="201">
        <v>0.4</v>
      </c>
      <c r="M1679" s="278" t="s">
        <v>2116</v>
      </c>
      <c r="N1679" s="205">
        <v>137.5</v>
      </c>
      <c r="O1679" s="205">
        <v>137.5</v>
      </c>
      <c r="P1679" s="254">
        <v>110</v>
      </c>
      <c r="Q1679" s="254">
        <v>110</v>
      </c>
      <c r="R1679" s="1262" t="s">
        <v>3866</v>
      </c>
      <c r="S1679" s="254">
        <v>55</v>
      </c>
      <c r="T1679" s="204">
        <v>45195</v>
      </c>
      <c r="U1679" s="1262" t="s">
        <v>3109</v>
      </c>
      <c r="V1679" s="254">
        <v>27.5</v>
      </c>
      <c r="W1679" s="203" t="s">
        <v>4457</v>
      </c>
      <c r="X1679" s="297">
        <v>27.5</v>
      </c>
      <c r="Y1679" s="192"/>
    </row>
    <row r="1680" ht="37.5" customHeight="1" spans="1:25">
      <c r="A1680" s="192">
        <f t="shared" si="36"/>
        <v>1672</v>
      </c>
      <c r="B1680" s="208">
        <v>2023</v>
      </c>
      <c r="C1680" s="193" t="s">
        <v>37</v>
      </c>
      <c r="D1680" s="277" t="s">
        <v>5599</v>
      </c>
      <c r="E1680" s="195" t="s">
        <v>5619</v>
      </c>
      <c r="F1680" s="196" t="s">
        <v>2073</v>
      </c>
      <c r="G1680" s="197" t="s">
        <v>3239</v>
      </c>
      <c r="H1680" s="198">
        <v>0.8</v>
      </c>
      <c r="I1680" s="199">
        <v>15839.52</v>
      </c>
      <c r="J1680" s="200" t="s">
        <v>2103</v>
      </c>
      <c r="K1680" s="200" t="s">
        <v>2740</v>
      </c>
      <c r="L1680" s="201">
        <v>0.4</v>
      </c>
      <c r="M1680" s="278" t="s">
        <v>5601</v>
      </c>
      <c r="N1680" s="205">
        <v>1000</v>
      </c>
      <c r="O1680" s="205">
        <v>1000</v>
      </c>
      <c r="P1680" s="254">
        <v>800</v>
      </c>
      <c r="Q1680" s="254">
        <v>800</v>
      </c>
      <c r="R1680" s="1262" t="s">
        <v>3866</v>
      </c>
      <c r="S1680" s="254">
        <v>400</v>
      </c>
      <c r="T1680" s="204">
        <v>45195</v>
      </c>
      <c r="U1680" s="1262" t="s">
        <v>3109</v>
      </c>
      <c r="V1680" s="254">
        <v>200</v>
      </c>
      <c r="W1680" s="203" t="s">
        <v>4457</v>
      </c>
      <c r="X1680" s="297">
        <v>200</v>
      </c>
      <c r="Y1680" s="192"/>
    </row>
    <row r="1681" ht="37.5" customHeight="1" spans="1:25">
      <c r="A1681" s="192">
        <f t="shared" si="36"/>
        <v>1673</v>
      </c>
      <c r="B1681" s="208">
        <v>2023</v>
      </c>
      <c r="C1681" s="193" t="s">
        <v>37</v>
      </c>
      <c r="D1681" s="277" t="s">
        <v>5620</v>
      </c>
      <c r="E1681" s="195" t="s">
        <v>5621</v>
      </c>
      <c r="F1681" s="196" t="s">
        <v>2073</v>
      </c>
      <c r="G1681" s="197" t="s">
        <v>3239</v>
      </c>
      <c r="H1681" s="198">
        <v>0.8</v>
      </c>
      <c r="I1681" s="199">
        <v>20000</v>
      </c>
      <c r="J1681" s="200" t="s">
        <v>3376</v>
      </c>
      <c r="K1681" s="200" t="s">
        <v>3377</v>
      </c>
      <c r="L1681" s="201">
        <v>0.4</v>
      </c>
      <c r="M1681" s="278" t="s">
        <v>2850</v>
      </c>
      <c r="N1681" s="205">
        <v>20000</v>
      </c>
      <c r="O1681" s="205">
        <v>20000</v>
      </c>
      <c r="P1681" s="254">
        <v>16000</v>
      </c>
      <c r="Q1681" s="254">
        <v>16000</v>
      </c>
      <c r="R1681" s="1262" t="s">
        <v>3866</v>
      </c>
      <c r="S1681" s="254">
        <v>8000</v>
      </c>
      <c r="T1681" s="204">
        <v>45195</v>
      </c>
      <c r="U1681" s="1262" t="s">
        <v>3109</v>
      </c>
      <c r="V1681" s="254">
        <v>4000</v>
      </c>
      <c r="W1681" s="203" t="s">
        <v>4457</v>
      </c>
      <c r="X1681" s="297">
        <v>4000</v>
      </c>
      <c r="Y1681" s="192"/>
    </row>
    <row r="1682" ht="37.5" customHeight="1" spans="1:25">
      <c r="A1682" s="192">
        <f t="shared" si="36"/>
        <v>1674</v>
      </c>
      <c r="B1682" s="208">
        <v>2023</v>
      </c>
      <c r="C1682" s="193" t="s">
        <v>37</v>
      </c>
      <c r="D1682" s="277" t="s">
        <v>5622</v>
      </c>
      <c r="E1682" s="195" t="s">
        <v>5623</v>
      </c>
      <c r="F1682" s="196" t="s">
        <v>2073</v>
      </c>
      <c r="G1682" s="197" t="s">
        <v>3239</v>
      </c>
      <c r="H1682" s="198">
        <v>0.8</v>
      </c>
      <c r="I1682" s="199">
        <v>12348</v>
      </c>
      <c r="J1682" s="200" t="s">
        <v>1848</v>
      </c>
      <c r="K1682" s="200" t="s">
        <v>2671</v>
      </c>
      <c r="L1682" s="201">
        <v>0.4</v>
      </c>
      <c r="M1682" s="278" t="s">
        <v>3958</v>
      </c>
      <c r="N1682" s="205">
        <v>2058</v>
      </c>
      <c r="O1682" s="205">
        <v>2058</v>
      </c>
      <c r="P1682" s="254">
        <v>1646.4</v>
      </c>
      <c r="Q1682" s="254">
        <v>1646.4</v>
      </c>
      <c r="R1682" s="1262" t="s">
        <v>3866</v>
      </c>
      <c r="S1682" s="254">
        <v>823.2</v>
      </c>
      <c r="T1682" s="204">
        <v>45195</v>
      </c>
      <c r="U1682" s="1262" t="s">
        <v>3109</v>
      </c>
      <c r="V1682" s="254">
        <v>411.6</v>
      </c>
      <c r="W1682" s="203" t="s">
        <v>4457</v>
      </c>
      <c r="X1682" s="297">
        <v>411.6</v>
      </c>
      <c r="Y1682" s="192"/>
    </row>
    <row r="1683" ht="37.5" customHeight="1" spans="1:25">
      <c r="A1683" s="192">
        <f t="shared" si="36"/>
        <v>1675</v>
      </c>
      <c r="B1683" s="208">
        <v>2023</v>
      </c>
      <c r="C1683" s="193" t="s">
        <v>37</v>
      </c>
      <c r="D1683" s="277" t="s">
        <v>5608</v>
      </c>
      <c r="E1683" s="195" t="s">
        <v>5624</v>
      </c>
      <c r="F1683" s="196" t="s">
        <v>2073</v>
      </c>
      <c r="G1683" s="197" t="s">
        <v>3239</v>
      </c>
      <c r="H1683" s="198">
        <v>0.8</v>
      </c>
      <c r="I1683" s="199">
        <v>15000</v>
      </c>
      <c r="J1683" s="200" t="s">
        <v>2761</v>
      </c>
      <c r="K1683" s="200" t="s">
        <v>2762</v>
      </c>
      <c r="L1683" s="201">
        <v>0.4</v>
      </c>
      <c r="M1683" s="278" t="s">
        <v>2136</v>
      </c>
      <c r="N1683" s="205">
        <v>15000</v>
      </c>
      <c r="O1683" s="205">
        <v>15000</v>
      </c>
      <c r="P1683" s="254">
        <v>12000</v>
      </c>
      <c r="Q1683" s="254">
        <v>12000</v>
      </c>
      <c r="R1683" s="1262" t="s">
        <v>3866</v>
      </c>
      <c r="S1683" s="254">
        <v>6000</v>
      </c>
      <c r="T1683" s="204">
        <v>45195</v>
      </c>
      <c r="U1683" s="1262" t="s">
        <v>3109</v>
      </c>
      <c r="V1683" s="254">
        <v>3000</v>
      </c>
      <c r="W1683" s="203" t="s">
        <v>4457</v>
      </c>
      <c r="X1683" s="297">
        <v>3000</v>
      </c>
      <c r="Y1683" s="192"/>
    </row>
    <row r="1684" ht="37.5" customHeight="1" spans="1:25">
      <c r="A1684" s="192">
        <f t="shared" si="36"/>
        <v>1676</v>
      </c>
      <c r="B1684" s="208">
        <v>2023</v>
      </c>
      <c r="C1684" s="193" t="s">
        <v>37</v>
      </c>
      <c r="D1684" s="277" t="s">
        <v>5625</v>
      </c>
      <c r="E1684" s="195" t="s">
        <v>5626</v>
      </c>
      <c r="F1684" s="196" t="s">
        <v>2073</v>
      </c>
      <c r="G1684" s="197" t="s">
        <v>3239</v>
      </c>
      <c r="H1684" s="198">
        <v>0.8</v>
      </c>
      <c r="I1684" s="199">
        <v>15630.28</v>
      </c>
      <c r="J1684" s="200" t="s">
        <v>2961</v>
      </c>
      <c r="K1684" s="200" t="s">
        <v>2962</v>
      </c>
      <c r="L1684" s="201">
        <v>0.4</v>
      </c>
      <c r="M1684" s="278" t="s">
        <v>2102</v>
      </c>
      <c r="N1684" s="205">
        <v>1245.98</v>
      </c>
      <c r="O1684" s="205">
        <v>1245.98</v>
      </c>
      <c r="P1684" s="254">
        <v>996.78</v>
      </c>
      <c r="Q1684" s="254">
        <v>996.78</v>
      </c>
      <c r="R1684" s="1262" t="s">
        <v>3866</v>
      </c>
      <c r="S1684" s="254">
        <v>498.39</v>
      </c>
      <c r="T1684" s="204">
        <v>45195</v>
      </c>
      <c r="U1684" s="1262" t="s">
        <v>3109</v>
      </c>
      <c r="V1684" s="254">
        <v>249.2</v>
      </c>
      <c r="W1684" s="203" t="s">
        <v>4457</v>
      </c>
      <c r="X1684" s="297">
        <v>249.2</v>
      </c>
      <c r="Y1684" s="192"/>
    </row>
    <row r="1685" ht="37.5" customHeight="1" spans="1:25">
      <c r="A1685" s="192">
        <f t="shared" si="36"/>
        <v>1677</v>
      </c>
      <c r="B1685" s="208">
        <v>2023</v>
      </c>
      <c r="C1685" s="193" t="s">
        <v>37</v>
      </c>
      <c r="D1685" s="277" t="s">
        <v>5590</v>
      </c>
      <c r="E1685" s="195" t="s">
        <v>5627</v>
      </c>
      <c r="F1685" s="196" t="s">
        <v>2073</v>
      </c>
      <c r="G1685" s="197" t="s">
        <v>3239</v>
      </c>
      <c r="H1685" s="198">
        <v>0.8</v>
      </c>
      <c r="I1685" s="199">
        <v>22000</v>
      </c>
      <c r="J1685" s="200" t="s">
        <v>2912</v>
      </c>
      <c r="K1685" s="200" t="s">
        <v>2913</v>
      </c>
      <c r="L1685" s="201">
        <v>0.4</v>
      </c>
      <c r="M1685" s="278" t="s">
        <v>2462</v>
      </c>
      <c r="N1685" s="205">
        <v>2333.4</v>
      </c>
      <c r="O1685" s="205">
        <v>2333.4</v>
      </c>
      <c r="P1685" s="254">
        <v>1866.72</v>
      </c>
      <c r="Q1685" s="254">
        <v>1866.72</v>
      </c>
      <c r="R1685" s="1262" t="s">
        <v>3866</v>
      </c>
      <c r="S1685" s="254">
        <v>933.36</v>
      </c>
      <c r="T1685" s="204">
        <v>45195</v>
      </c>
      <c r="U1685" s="1262" t="s">
        <v>3109</v>
      </c>
      <c r="V1685" s="254">
        <v>466.68</v>
      </c>
      <c r="W1685" s="203" t="s">
        <v>4457</v>
      </c>
      <c r="X1685" s="297">
        <v>466.68</v>
      </c>
      <c r="Y1685" s="192"/>
    </row>
    <row r="1686" ht="37.5" customHeight="1" spans="1:25">
      <c r="A1686" s="192">
        <f t="shared" si="36"/>
        <v>1678</v>
      </c>
      <c r="B1686" s="208">
        <v>2023</v>
      </c>
      <c r="C1686" s="193" t="s">
        <v>37</v>
      </c>
      <c r="D1686" s="277" t="s">
        <v>5628</v>
      </c>
      <c r="E1686" s="195" t="s">
        <v>5629</v>
      </c>
      <c r="F1686" s="196" t="s">
        <v>2073</v>
      </c>
      <c r="G1686" s="197" t="s">
        <v>3239</v>
      </c>
      <c r="H1686" s="198">
        <v>0.8</v>
      </c>
      <c r="I1686" s="199">
        <v>35000</v>
      </c>
      <c r="J1686" s="200" t="s">
        <v>2912</v>
      </c>
      <c r="K1686" s="200" t="s">
        <v>2913</v>
      </c>
      <c r="L1686" s="201">
        <v>0.4</v>
      </c>
      <c r="M1686" s="278" t="s">
        <v>2136</v>
      </c>
      <c r="N1686" s="205">
        <v>5833.5</v>
      </c>
      <c r="O1686" s="205">
        <v>5833.5</v>
      </c>
      <c r="P1686" s="254">
        <v>4666.8</v>
      </c>
      <c r="Q1686" s="254">
        <v>4666.8</v>
      </c>
      <c r="R1686" s="1262" t="s">
        <v>3866</v>
      </c>
      <c r="S1686" s="254">
        <v>2333.4</v>
      </c>
      <c r="T1686" s="204">
        <v>45195</v>
      </c>
      <c r="U1686" s="1262" t="s">
        <v>3109</v>
      </c>
      <c r="V1686" s="254">
        <v>1166.7</v>
      </c>
      <c r="W1686" s="203" t="s">
        <v>4457</v>
      </c>
      <c r="X1686" s="297">
        <v>1166.7</v>
      </c>
      <c r="Y1686" s="192"/>
    </row>
    <row r="1687" ht="37.5" customHeight="1" spans="1:25">
      <c r="A1687" s="192">
        <f t="shared" si="36"/>
        <v>1679</v>
      </c>
      <c r="B1687" s="208">
        <v>2023</v>
      </c>
      <c r="C1687" s="193" t="s">
        <v>37</v>
      </c>
      <c r="D1687" s="277" t="s">
        <v>5630</v>
      </c>
      <c r="E1687" s="195" t="s">
        <v>5631</v>
      </c>
      <c r="F1687" s="196" t="s">
        <v>2073</v>
      </c>
      <c r="G1687" s="197" t="s">
        <v>3239</v>
      </c>
      <c r="H1687" s="198">
        <v>0.8</v>
      </c>
      <c r="I1687" s="199">
        <v>58990</v>
      </c>
      <c r="J1687" s="200" t="s">
        <v>3039</v>
      </c>
      <c r="K1687" s="200" t="s">
        <v>3040</v>
      </c>
      <c r="L1687" s="201">
        <v>0.4</v>
      </c>
      <c r="M1687" s="278" t="s">
        <v>2124</v>
      </c>
      <c r="N1687" s="205">
        <v>9642.78</v>
      </c>
      <c r="O1687" s="205">
        <v>9642.78</v>
      </c>
      <c r="P1687" s="254">
        <v>7714.22</v>
      </c>
      <c r="Q1687" s="254">
        <v>7714.22</v>
      </c>
      <c r="R1687" s="1262" t="s">
        <v>3866</v>
      </c>
      <c r="S1687" s="254">
        <v>3857.11</v>
      </c>
      <c r="T1687" s="204">
        <v>45195</v>
      </c>
      <c r="U1687" s="1262" t="s">
        <v>3109</v>
      </c>
      <c r="V1687" s="254">
        <v>1928.56</v>
      </c>
      <c r="W1687" s="203" t="s">
        <v>4457</v>
      </c>
      <c r="X1687" s="297">
        <v>1928.56</v>
      </c>
      <c r="Y1687" s="192"/>
    </row>
    <row r="1688" ht="37.5" customHeight="1" spans="1:25">
      <c r="A1688" s="192">
        <f t="shared" si="36"/>
        <v>1680</v>
      </c>
      <c r="B1688" s="208">
        <v>2023</v>
      </c>
      <c r="C1688" s="193" t="s">
        <v>37</v>
      </c>
      <c r="D1688" s="277" t="s">
        <v>5162</v>
      </c>
      <c r="E1688" s="195" t="s">
        <v>5632</v>
      </c>
      <c r="F1688" s="196" t="s">
        <v>2073</v>
      </c>
      <c r="G1688" s="197" t="s">
        <v>3239</v>
      </c>
      <c r="H1688" s="198">
        <v>0.8</v>
      </c>
      <c r="I1688" s="199">
        <v>16000</v>
      </c>
      <c r="J1688" s="200" t="s">
        <v>2919</v>
      </c>
      <c r="K1688" s="200" t="s">
        <v>2920</v>
      </c>
      <c r="L1688" s="201">
        <v>0.4</v>
      </c>
      <c r="M1688" s="278" t="s">
        <v>2169</v>
      </c>
      <c r="N1688" s="205">
        <v>3250.03</v>
      </c>
      <c r="O1688" s="205">
        <v>3250.03</v>
      </c>
      <c r="P1688" s="254">
        <v>2600.02</v>
      </c>
      <c r="Q1688" s="254">
        <v>2600.02</v>
      </c>
      <c r="R1688" s="1262" t="s">
        <v>3866</v>
      </c>
      <c r="S1688" s="254">
        <v>1300.01</v>
      </c>
      <c r="T1688" s="204">
        <v>45195</v>
      </c>
      <c r="U1688" s="1262" t="s">
        <v>3109</v>
      </c>
      <c r="V1688" s="254">
        <v>650.01</v>
      </c>
      <c r="W1688" s="203" t="s">
        <v>4457</v>
      </c>
      <c r="X1688" s="297">
        <v>650.01</v>
      </c>
      <c r="Y1688" s="192"/>
    </row>
    <row r="1689" ht="37.5" customHeight="1" spans="1:25">
      <c r="A1689" s="192">
        <f t="shared" si="36"/>
        <v>1681</v>
      </c>
      <c r="B1689" s="208">
        <v>2023</v>
      </c>
      <c r="C1689" s="193" t="s">
        <v>37</v>
      </c>
      <c r="D1689" s="277" t="s">
        <v>5608</v>
      </c>
      <c r="E1689" s="195" t="s">
        <v>5633</v>
      </c>
      <c r="F1689" s="196" t="s">
        <v>2073</v>
      </c>
      <c r="G1689" s="197" t="s">
        <v>3239</v>
      </c>
      <c r="H1689" s="198">
        <v>0.8</v>
      </c>
      <c r="I1689" s="199">
        <v>79000</v>
      </c>
      <c r="J1689" s="200" t="s">
        <v>2919</v>
      </c>
      <c r="K1689" s="200" t="s">
        <v>2920</v>
      </c>
      <c r="L1689" s="201">
        <v>0.4</v>
      </c>
      <c r="M1689" s="278" t="s">
        <v>2136</v>
      </c>
      <c r="N1689" s="205">
        <v>79000</v>
      </c>
      <c r="O1689" s="205">
        <v>79000</v>
      </c>
      <c r="P1689" s="254">
        <v>63200</v>
      </c>
      <c r="Q1689" s="254">
        <v>63200</v>
      </c>
      <c r="R1689" s="1262" t="s">
        <v>3866</v>
      </c>
      <c r="S1689" s="254">
        <v>31600</v>
      </c>
      <c r="T1689" s="204">
        <v>45195</v>
      </c>
      <c r="U1689" s="1262" t="s">
        <v>3109</v>
      </c>
      <c r="V1689" s="254">
        <v>15800</v>
      </c>
      <c r="W1689" s="203" t="s">
        <v>4457</v>
      </c>
      <c r="X1689" s="297">
        <v>15800</v>
      </c>
      <c r="Y1689" s="192"/>
    </row>
    <row r="1690" ht="37.5" customHeight="1" spans="1:25">
      <c r="A1690" s="192">
        <f t="shared" si="36"/>
        <v>1682</v>
      </c>
      <c r="B1690" s="208">
        <v>2023</v>
      </c>
      <c r="C1690" s="193" t="s">
        <v>37</v>
      </c>
      <c r="D1690" s="277" t="s">
        <v>5625</v>
      </c>
      <c r="E1690" s="195" t="s">
        <v>5634</v>
      </c>
      <c r="F1690" s="196" t="s">
        <v>2073</v>
      </c>
      <c r="G1690" s="197" t="s">
        <v>3239</v>
      </c>
      <c r="H1690" s="198">
        <v>0.8</v>
      </c>
      <c r="I1690" s="199">
        <v>15630.28</v>
      </c>
      <c r="J1690" s="200" t="s">
        <v>2919</v>
      </c>
      <c r="K1690" s="200" t="s">
        <v>2920</v>
      </c>
      <c r="L1690" s="201">
        <v>0.4</v>
      </c>
      <c r="M1690" s="278" t="s">
        <v>2102</v>
      </c>
      <c r="N1690" s="205">
        <v>900</v>
      </c>
      <c r="O1690" s="205">
        <v>900</v>
      </c>
      <c r="P1690" s="254">
        <v>720</v>
      </c>
      <c r="Q1690" s="254">
        <v>720</v>
      </c>
      <c r="R1690" s="1262" t="s">
        <v>3866</v>
      </c>
      <c r="S1690" s="254">
        <v>360</v>
      </c>
      <c r="T1690" s="204">
        <v>45195</v>
      </c>
      <c r="U1690" s="1262" t="s">
        <v>3109</v>
      </c>
      <c r="V1690" s="254">
        <v>180</v>
      </c>
      <c r="W1690" s="203" t="s">
        <v>4457</v>
      </c>
      <c r="X1690" s="297">
        <v>180</v>
      </c>
      <c r="Y1690" s="192"/>
    </row>
    <row r="1691" ht="37.5" customHeight="1" spans="1:25">
      <c r="A1691" s="192">
        <f t="shared" si="36"/>
        <v>1683</v>
      </c>
      <c r="B1691" s="208">
        <v>2023</v>
      </c>
      <c r="C1691" s="193" t="s">
        <v>37</v>
      </c>
      <c r="D1691" s="277" t="s">
        <v>5635</v>
      </c>
      <c r="E1691" s="195" t="s">
        <v>5636</v>
      </c>
      <c r="F1691" s="196" t="s">
        <v>2073</v>
      </c>
      <c r="G1691" s="197" t="s">
        <v>3239</v>
      </c>
      <c r="H1691" s="198">
        <v>0.8</v>
      </c>
      <c r="I1691" s="199">
        <v>15888</v>
      </c>
      <c r="J1691" s="200" t="s">
        <v>1987</v>
      </c>
      <c r="K1691" s="200" t="s">
        <v>2982</v>
      </c>
      <c r="L1691" s="201">
        <v>0.4</v>
      </c>
      <c r="M1691" s="278" t="s">
        <v>2196</v>
      </c>
      <c r="N1691" s="205">
        <v>7939.82</v>
      </c>
      <c r="O1691" s="205">
        <v>7939.82</v>
      </c>
      <c r="P1691" s="254">
        <v>6351.86</v>
      </c>
      <c r="Q1691" s="254">
        <v>6351.86</v>
      </c>
      <c r="R1691" s="1262" t="s">
        <v>3866</v>
      </c>
      <c r="S1691" s="254">
        <v>3175.93</v>
      </c>
      <c r="T1691" s="204">
        <v>45195</v>
      </c>
      <c r="U1691" s="1262" t="s">
        <v>3109</v>
      </c>
      <c r="V1691" s="254">
        <v>1587.96</v>
      </c>
      <c r="W1691" s="203" t="s">
        <v>4457</v>
      </c>
      <c r="X1691" s="297">
        <v>1587.96</v>
      </c>
      <c r="Y1691" s="192"/>
    </row>
    <row r="1692" ht="37.5" customHeight="1" spans="1:25">
      <c r="A1692" s="192">
        <f t="shared" si="36"/>
        <v>1684</v>
      </c>
      <c r="B1692" s="208">
        <v>2023</v>
      </c>
      <c r="C1692" s="193" t="s">
        <v>37</v>
      </c>
      <c r="D1692" s="277" t="s">
        <v>5637</v>
      </c>
      <c r="E1692" s="195" t="s">
        <v>5638</v>
      </c>
      <c r="F1692" s="196" t="s">
        <v>2073</v>
      </c>
      <c r="G1692" s="197" t="s">
        <v>3239</v>
      </c>
      <c r="H1692" s="198">
        <v>0.8</v>
      </c>
      <c r="I1692" s="199">
        <v>46700</v>
      </c>
      <c r="J1692" s="200" t="s">
        <v>2209</v>
      </c>
      <c r="K1692" s="200" t="s">
        <v>2902</v>
      </c>
      <c r="L1692" s="201">
        <v>0.4</v>
      </c>
      <c r="M1692" s="278" t="s">
        <v>5601</v>
      </c>
      <c r="N1692" s="205">
        <v>15000</v>
      </c>
      <c r="O1692" s="205">
        <v>15000</v>
      </c>
      <c r="P1692" s="254">
        <v>12000</v>
      </c>
      <c r="Q1692" s="254">
        <v>12000</v>
      </c>
      <c r="R1692" s="1262" t="s">
        <v>3866</v>
      </c>
      <c r="S1692" s="254">
        <v>6000</v>
      </c>
      <c r="T1692" s="204">
        <v>45195</v>
      </c>
      <c r="U1692" s="1262" t="s">
        <v>3109</v>
      </c>
      <c r="V1692" s="254">
        <v>3000</v>
      </c>
      <c r="W1692" s="203" t="s">
        <v>4457</v>
      </c>
      <c r="X1692" s="297">
        <v>3000</v>
      </c>
      <c r="Y1692" s="192"/>
    </row>
    <row r="1693" ht="37.5" customHeight="1" spans="1:25">
      <c r="A1693" s="192">
        <f t="shared" si="36"/>
        <v>1685</v>
      </c>
      <c r="B1693" s="208">
        <v>2023</v>
      </c>
      <c r="C1693" s="193" t="s">
        <v>37</v>
      </c>
      <c r="D1693" s="277" t="s">
        <v>5628</v>
      </c>
      <c r="E1693" s="195" t="s">
        <v>5639</v>
      </c>
      <c r="F1693" s="196" t="s">
        <v>2073</v>
      </c>
      <c r="G1693" s="197" t="s">
        <v>3239</v>
      </c>
      <c r="H1693" s="198">
        <v>0.8</v>
      </c>
      <c r="I1693" s="199">
        <v>10836.66</v>
      </c>
      <c r="J1693" s="200" t="s">
        <v>2209</v>
      </c>
      <c r="K1693" s="200" t="s">
        <v>2902</v>
      </c>
      <c r="L1693" s="201">
        <v>0.4</v>
      </c>
      <c r="M1693" s="278" t="s">
        <v>2564</v>
      </c>
      <c r="N1693" s="205">
        <v>1333.5</v>
      </c>
      <c r="O1693" s="205">
        <v>1333.5</v>
      </c>
      <c r="P1693" s="254">
        <v>1066.8</v>
      </c>
      <c r="Q1693" s="254">
        <v>1066.8</v>
      </c>
      <c r="R1693" s="1262" t="s">
        <v>3866</v>
      </c>
      <c r="S1693" s="254">
        <v>533.4</v>
      </c>
      <c r="T1693" s="204">
        <v>45195</v>
      </c>
      <c r="U1693" s="1262" t="s">
        <v>3109</v>
      </c>
      <c r="V1693" s="254">
        <v>266.7</v>
      </c>
      <c r="W1693" s="203" t="s">
        <v>4457</v>
      </c>
      <c r="X1693" s="297">
        <v>266.7</v>
      </c>
      <c r="Y1693" s="192"/>
    </row>
    <row r="1694" ht="37.5" customHeight="1" spans="1:25">
      <c r="A1694" s="192">
        <f t="shared" ref="A1694:A1757" si="37">ROW()-8</f>
        <v>1686</v>
      </c>
      <c r="B1694" s="208">
        <v>2023</v>
      </c>
      <c r="C1694" s="193" t="s">
        <v>37</v>
      </c>
      <c r="D1694" s="277" t="s">
        <v>5640</v>
      </c>
      <c r="E1694" s="195" t="s">
        <v>5641</v>
      </c>
      <c r="F1694" s="196" t="s">
        <v>2073</v>
      </c>
      <c r="G1694" s="197" t="s">
        <v>3239</v>
      </c>
      <c r="H1694" s="198">
        <v>0.8</v>
      </c>
      <c r="I1694" s="199">
        <v>18000</v>
      </c>
      <c r="J1694" s="200" t="s">
        <v>2149</v>
      </c>
      <c r="K1694" s="200" t="s">
        <v>2923</v>
      </c>
      <c r="L1694" s="201">
        <v>0.4</v>
      </c>
      <c r="M1694" s="278" t="s">
        <v>2690</v>
      </c>
      <c r="N1694" s="205">
        <v>10500.03</v>
      </c>
      <c r="O1694" s="205">
        <v>10500.03</v>
      </c>
      <c r="P1694" s="254">
        <v>8400.02</v>
      </c>
      <c r="Q1694" s="254">
        <v>8400.02</v>
      </c>
      <c r="R1694" s="1262" t="s">
        <v>3866</v>
      </c>
      <c r="S1694" s="254">
        <v>4200.01</v>
      </c>
      <c r="T1694" s="204">
        <v>45195</v>
      </c>
      <c r="U1694" s="1262" t="s">
        <v>3109</v>
      </c>
      <c r="V1694" s="254">
        <v>2100.01</v>
      </c>
      <c r="W1694" s="203" t="s">
        <v>4457</v>
      </c>
      <c r="X1694" s="297">
        <v>2100.01</v>
      </c>
      <c r="Y1694" s="192"/>
    </row>
    <row r="1695" ht="37.5" customHeight="1" spans="1:25">
      <c r="A1695" s="192">
        <f t="shared" si="37"/>
        <v>1687</v>
      </c>
      <c r="B1695" s="208">
        <v>2023</v>
      </c>
      <c r="C1695" s="193" t="s">
        <v>37</v>
      </c>
      <c r="D1695" s="277" t="s">
        <v>5606</v>
      </c>
      <c r="E1695" s="195" t="s">
        <v>5642</v>
      </c>
      <c r="F1695" s="196" t="s">
        <v>2073</v>
      </c>
      <c r="G1695" s="197" t="s">
        <v>3239</v>
      </c>
      <c r="H1695" s="198">
        <v>0.8</v>
      </c>
      <c r="I1695" s="199">
        <v>14500</v>
      </c>
      <c r="J1695" s="200" t="s">
        <v>3891</v>
      </c>
      <c r="K1695" s="200" t="s">
        <v>3892</v>
      </c>
      <c r="L1695" s="201">
        <v>0.4</v>
      </c>
      <c r="M1695" s="278" t="s">
        <v>2159</v>
      </c>
      <c r="N1695" s="205">
        <v>1125</v>
      </c>
      <c r="O1695" s="205">
        <v>1125</v>
      </c>
      <c r="P1695" s="254">
        <v>900</v>
      </c>
      <c r="Q1695" s="254">
        <v>900</v>
      </c>
      <c r="R1695" s="1262" t="s">
        <v>3866</v>
      </c>
      <c r="S1695" s="254">
        <v>450</v>
      </c>
      <c r="T1695" s="204">
        <v>45195</v>
      </c>
      <c r="U1695" s="1262" t="s">
        <v>3109</v>
      </c>
      <c r="V1695" s="254">
        <v>225</v>
      </c>
      <c r="W1695" s="203" t="s">
        <v>4457</v>
      </c>
      <c r="X1695" s="297">
        <v>225</v>
      </c>
      <c r="Y1695" s="192"/>
    </row>
    <row r="1696" ht="37.5" customHeight="1" spans="1:25">
      <c r="A1696" s="192">
        <f t="shared" si="37"/>
        <v>1688</v>
      </c>
      <c r="B1696" s="208">
        <v>2023</v>
      </c>
      <c r="C1696" s="193" t="s">
        <v>37</v>
      </c>
      <c r="D1696" s="277" t="s">
        <v>5622</v>
      </c>
      <c r="E1696" s="195" t="s">
        <v>5643</v>
      </c>
      <c r="F1696" s="196" t="s">
        <v>2073</v>
      </c>
      <c r="G1696" s="197" t="s">
        <v>3239</v>
      </c>
      <c r="H1696" s="198">
        <v>0.8</v>
      </c>
      <c r="I1696" s="199">
        <v>16253</v>
      </c>
      <c r="J1696" s="200" t="s">
        <v>2087</v>
      </c>
      <c r="K1696" s="200" t="s">
        <v>3407</v>
      </c>
      <c r="L1696" s="201">
        <v>0.4</v>
      </c>
      <c r="M1696" s="278" t="s">
        <v>3958</v>
      </c>
      <c r="N1696" s="205">
        <v>944.53</v>
      </c>
      <c r="O1696" s="205">
        <v>944.53</v>
      </c>
      <c r="P1696" s="254">
        <v>755.62</v>
      </c>
      <c r="Q1696" s="254">
        <v>755.62</v>
      </c>
      <c r="R1696" s="1262" t="s">
        <v>3866</v>
      </c>
      <c r="S1696" s="254">
        <v>377.81</v>
      </c>
      <c r="T1696" s="204">
        <v>45195</v>
      </c>
      <c r="U1696" s="1262" t="s">
        <v>3109</v>
      </c>
      <c r="V1696" s="254">
        <v>188.91</v>
      </c>
      <c r="W1696" s="203" t="s">
        <v>4457</v>
      </c>
      <c r="X1696" s="297">
        <v>188.91</v>
      </c>
      <c r="Y1696" s="192"/>
    </row>
    <row r="1697" ht="37.5" customHeight="1" spans="1:25">
      <c r="A1697" s="192">
        <f t="shared" si="37"/>
        <v>1689</v>
      </c>
      <c r="B1697" s="208">
        <v>2023</v>
      </c>
      <c r="C1697" s="193" t="s">
        <v>37</v>
      </c>
      <c r="D1697" s="277" t="s">
        <v>5644</v>
      </c>
      <c r="E1697" s="195" t="s">
        <v>5645</v>
      </c>
      <c r="F1697" s="196" t="s">
        <v>2073</v>
      </c>
      <c r="G1697" s="197" t="s">
        <v>3239</v>
      </c>
      <c r="H1697" s="198">
        <v>0.8</v>
      </c>
      <c r="I1697" s="199">
        <v>21000</v>
      </c>
      <c r="J1697" s="200" t="s">
        <v>2087</v>
      </c>
      <c r="K1697" s="200" t="s">
        <v>3407</v>
      </c>
      <c r="L1697" s="201">
        <v>0.4</v>
      </c>
      <c r="M1697" s="278" t="s">
        <v>3693</v>
      </c>
      <c r="N1697" s="205">
        <v>5250</v>
      </c>
      <c r="O1697" s="205">
        <v>5250</v>
      </c>
      <c r="P1697" s="254">
        <v>4200</v>
      </c>
      <c r="Q1697" s="254">
        <v>4200</v>
      </c>
      <c r="R1697" s="1262" t="s">
        <v>3866</v>
      </c>
      <c r="S1697" s="254">
        <v>2100</v>
      </c>
      <c r="T1697" s="204">
        <v>45195</v>
      </c>
      <c r="U1697" s="1262" t="s">
        <v>3109</v>
      </c>
      <c r="V1697" s="254">
        <v>1050</v>
      </c>
      <c r="W1697" s="203" t="s">
        <v>4457</v>
      </c>
      <c r="X1697" s="297">
        <v>1050</v>
      </c>
      <c r="Y1697" s="192"/>
    </row>
    <row r="1698" ht="37.5" customHeight="1" spans="1:25">
      <c r="A1698" s="192">
        <f t="shared" si="37"/>
        <v>1690</v>
      </c>
      <c r="B1698" s="208">
        <v>2023</v>
      </c>
      <c r="C1698" s="193" t="s">
        <v>37</v>
      </c>
      <c r="D1698" s="277" t="s">
        <v>5646</v>
      </c>
      <c r="E1698" s="195" t="s">
        <v>5647</v>
      </c>
      <c r="F1698" s="196" t="s">
        <v>2073</v>
      </c>
      <c r="G1698" s="197" t="s">
        <v>3239</v>
      </c>
      <c r="H1698" s="198">
        <v>0.8</v>
      </c>
      <c r="I1698" s="199">
        <v>100000</v>
      </c>
      <c r="J1698" s="200" t="s">
        <v>5099</v>
      </c>
      <c r="K1698" s="200" t="s">
        <v>5100</v>
      </c>
      <c r="L1698" s="201">
        <v>0.4</v>
      </c>
      <c r="M1698" s="278" t="s">
        <v>2216</v>
      </c>
      <c r="N1698" s="205">
        <v>10227.28</v>
      </c>
      <c r="O1698" s="205">
        <v>10227.28</v>
      </c>
      <c r="P1698" s="254">
        <v>8181.82</v>
      </c>
      <c r="Q1698" s="254">
        <v>8181.82</v>
      </c>
      <c r="R1698" s="1262" t="s">
        <v>3866</v>
      </c>
      <c r="S1698" s="254">
        <v>4090.91</v>
      </c>
      <c r="T1698" s="204">
        <v>45195</v>
      </c>
      <c r="U1698" s="1262" t="s">
        <v>3109</v>
      </c>
      <c r="V1698" s="254">
        <v>2045.46</v>
      </c>
      <c r="W1698" s="203" t="s">
        <v>4457</v>
      </c>
      <c r="X1698" s="297">
        <v>2045.46</v>
      </c>
      <c r="Y1698" s="192"/>
    </row>
    <row r="1699" ht="37.5" customHeight="1" spans="1:25">
      <c r="A1699" s="192">
        <f t="shared" si="37"/>
        <v>1691</v>
      </c>
      <c r="B1699" s="208">
        <v>2023</v>
      </c>
      <c r="C1699" s="193" t="s">
        <v>37</v>
      </c>
      <c r="D1699" s="277" t="s">
        <v>5322</v>
      </c>
      <c r="E1699" s="195" t="s">
        <v>5648</v>
      </c>
      <c r="F1699" s="196" t="s">
        <v>2073</v>
      </c>
      <c r="G1699" s="197" t="s">
        <v>3239</v>
      </c>
      <c r="H1699" s="198">
        <v>0.8</v>
      </c>
      <c r="I1699" s="199">
        <v>16008.33</v>
      </c>
      <c r="J1699" s="200" t="s">
        <v>1965</v>
      </c>
      <c r="K1699" s="200" t="s">
        <v>3603</v>
      </c>
      <c r="L1699" s="201">
        <v>0.4</v>
      </c>
      <c r="M1699" s="278" t="s">
        <v>2096</v>
      </c>
      <c r="N1699" s="205">
        <v>75</v>
      </c>
      <c r="O1699" s="205">
        <v>75</v>
      </c>
      <c r="P1699" s="254">
        <v>60</v>
      </c>
      <c r="Q1699" s="254">
        <v>60</v>
      </c>
      <c r="R1699" s="1262" t="s">
        <v>3866</v>
      </c>
      <c r="S1699" s="254">
        <v>30</v>
      </c>
      <c r="T1699" s="204">
        <v>45195</v>
      </c>
      <c r="U1699" s="1262" t="s">
        <v>3109</v>
      </c>
      <c r="V1699" s="254">
        <v>15</v>
      </c>
      <c r="W1699" s="203" t="s">
        <v>4457</v>
      </c>
      <c r="X1699" s="297">
        <v>15</v>
      </c>
      <c r="Y1699" s="192"/>
    </row>
    <row r="1700" ht="37.5" customHeight="1" spans="1:25">
      <c r="A1700" s="192">
        <f t="shared" si="37"/>
        <v>1692</v>
      </c>
      <c r="B1700" s="208">
        <v>2023</v>
      </c>
      <c r="C1700" s="193" t="s">
        <v>37</v>
      </c>
      <c r="D1700" s="277" t="s">
        <v>5649</v>
      </c>
      <c r="E1700" s="195" t="s">
        <v>5650</v>
      </c>
      <c r="F1700" s="196" t="s">
        <v>2073</v>
      </c>
      <c r="G1700" s="197" t="s">
        <v>3239</v>
      </c>
      <c r="H1700" s="198">
        <v>0.8</v>
      </c>
      <c r="I1700" s="199">
        <v>21000</v>
      </c>
      <c r="J1700" s="200" t="s">
        <v>2908</v>
      </c>
      <c r="K1700" s="200" t="s">
        <v>2909</v>
      </c>
      <c r="L1700" s="201">
        <v>0.4</v>
      </c>
      <c r="M1700" s="278" t="s">
        <v>3958</v>
      </c>
      <c r="N1700" s="205">
        <v>5152.04</v>
      </c>
      <c r="O1700" s="205">
        <v>5152.04</v>
      </c>
      <c r="P1700" s="254">
        <v>4121.63</v>
      </c>
      <c r="Q1700" s="254">
        <v>4121.63</v>
      </c>
      <c r="R1700" s="1262" t="s">
        <v>3866</v>
      </c>
      <c r="S1700" s="254">
        <v>2060.82</v>
      </c>
      <c r="T1700" s="204">
        <v>45195</v>
      </c>
      <c r="U1700" s="1262" t="s">
        <v>3109</v>
      </c>
      <c r="V1700" s="254">
        <v>1030.41</v>
      </c>
      <c r="W1700" s="203" t="s">
        <v>4457</v>
      </c>
      <c r="X1700" s="297">
        <v>1030.41</v>
      </c>
      <c r="Y1700" s="192"/>
    </row>
    <row r="1701" ht="37.5" customHeight="1" spans="1:25">
      <c r="A1701" s="192">
        <f t="shared" si="37"/>
        <v>1693</v>
      </c>
      <c r="B1701" s="208">
        <v>2023</v>
      </c>
      <c r="C1701" s="193" t="s">
        <v>37</v>
      </c>
      <c r="D1701" s="277" t="s">
        <v>5604</v>
      </c>
      <c r="E1701" s="195" t="s">
        <v>5651</v>
      </c>
      <c r="F1701" s="196" t="s">
        <v>2073</v>
      </c>
      <c r="G1701" s="197" t="s">
        <v>3239</v>
      </c>
      <c r="H1701" s="198">
        <v>0.8</v>
      </c>
      <c r="I1701" s="199">
        <v>60000</v>
      </c>
      <c r="J1701" s="200" t="s">
        <v>2908</v>
      </c>
      <c r="K1701" s="200" t="s">
        <v>2909</v>
      </c>
      <c r="L1701" s="201">
        <v>0.4</v>
      </c>
      <c r="M1701" s="278" t="s">
        <v>2850</v>
      </c>
      <c r="N1701" s="205">
        <v>15000</v>
      </c>
      <c r="O1701" s="205">
        <v>15000</v>
      </c>
      <c r="P1701" s="254">
        <v>12000</v>
      </c>
      <c r="Q1701" s="254">
        <v>12000</v>
      </c>
      <c r="R1701" s="1262" t="s">
        <v>3866</v>
      </c>
      <c r="S1701" s="254">
        <v>6000</v>
      </c>
      <c r="T1701" s="204">
        <v>45195</v>
      </c>
      <c r="U1701" s="1262" t="s">
        <v>3109</v>
      </c>
      <c r="V1701" s="254">
        <v>3000</v>
      </c>
      <c r="W1701" s="203" t="s">
        <v>4457</v>
      </c>
      <c r="X1701" s="297">
        <v>3000</v>
      </c>
      <c r="Y1701" s="192"/>
    </row>
    <row r="1702" ht="37.5" customHeight="1" spans="1:25">
      <c r="A1702" s="192">
        <f t="shared" si="37"/>
        <v>1694</v>
      </c>
      <c r="B1702" s="208">
        <v>2023</v>
      </c>
      <c r="C1702" s="193" t="s">
        <v>37</v>
      </c>
      <c r="D1702" s="277" t="s">
        <v>5652</v>
      </c>
      <c r="E1702" s="195" t="s">
        <v>5653</v>
      </c>
      <c r="F1702" s="196" t="s">
        <v>2073</v>
      </c>
      <c r="G1702" s="197" t="s">
        <v>3239</v>
      </c>
      <c r="H1702" s="198">
        <v>0.8</v>
      </c>
      <c r="I1702" s="199">
        <v>21380</v>
      </c>
      <c r="J1702" s="200" t="s">
        <v>2039</v>
      </c>
      <c r="K1702" s="200" t="s">
        <v>3899</v>
      </c>
      <c r="L1702" s="201">
        <v>0.4</v>
      </c>
      <c r="M1702" s="278" t="s">
        <v>2080</v>
      </c>
      <c r="N1702" s="205">
        <v>2000.06</v>
      </c>
      <c r="O1702" s="205">
        <v>2000.06</v>
      </c>
      <c r="P1702" s="254">
        <v>1600.05</v>
      </c>
      <c r="Q1702" s="254">
        <v>1600.05</v>
      </c>
      <c r="R1702" s="1262" t="s">
        <v>3866</v>
      </c>
      <c r="S1702" s="254">
        <v>800.02</v>
      </c>
      <c r="T1702" s="204">
        <v>45195</v>
      </c>
      <c r="U1702" s="1262" t="s">
        <v>3109</v>
      </c>
      <c r="V1702" s="254">
        <v>400.01</v>
      </c>
      <c r="W1702" s="203" t="s">
        <v>4457</v>
      </c>
      <c r="X1702" s="297">
        <v>400.01</v>
      </c>
      <c r="Y1702" s="192"/>
    </row>
    <row r="1703" ht="37.5" customHeight="1" spans="1:25">
      <c r="A1703" s="192">
        <f t="shared" si="37"/>
        <v>1695</v>
      </c>
      <c r="B1703" s="208">
        <v>2023</v>
      </c>
      <c r="C1703" s="193" t="s">
        <v>37</v>
      </c>
      <c r="D1703" s="277" t="s">
        <v>5654</v>
      </c>
      <c r="E1703" s="195" t="s">
        <v>5655</v>
      </c>
      <c r="F1703" s="196" t="s">
        <v>2073</v>
      </c>
      <c r="G1703" s="197" t="s">
        <v>3239</v>
      </c>
      <c r="H1703" s="198">
        <v>0.8</v>
      </c>
      <c r="I1703" s="199">
        <v>14701.06</v>
      </c>
      <c r="J1703" s="200" t="s">
        <v>1981</v>
      </c>
      <c r="K1703" s="200" t="s">
        <v>3674</v>
      </c>
      <c r="L1703" s="201">
        <v>0.4</v>
      </c>
      <c r="M1703" s="278" t="s">
        <v>2177</v>
      </c>
      <c r="N1703" s="205">
        <v>125.06</v>
      </c>
      <c r="O1703" s="205">
        <v>125.06</v>
      </c>
      <c r="P1703" s="254">
        <v>100.05</v>
      </c>
      <c r="Q1703" s="254">
        <v>100.05</v>
      </c>
      <c r="R1703" s="1262" t="s">
        <v>3866</v>
      </c>
      <c r="S1703" s="254">
        <v>50.02</v>
      </c>
      <c r="T1703" s="204">
        <v>45195</v>
      </c>
      <c r="U1703" s="1262" t="s">
        <v>3109</v>
      </c>
      <c r="V1703" s="254">
        <v>25.01</v>
      </c>
      <c r="W1703" s="203" t="s">
        <v>4457</v>
      </c>
      <c r="X1703" s="297">
        <v>25.01</v>
      </c>
      <c r="Y1703" s="192"/>
    </row>
    <row r="1704" ht="37.5" customHeight="1" spans="1:25">
      <c r="A1704" s="192">
        <f t="shared" si="37"/>
        <v>1696</v>
      </c>
      <c r="B1704" s="208">
        <v>2023</v>
      </c>
      <c r="C1704" s="193" t="s">
        <v>37</v>
      </c>
      <c r="D1704" s="277" t="s">
        <v>5617</v>
      </c>
      <c r="E1704" s="195" t="s">
        <v>5656</v>
      </c>
      <c r="F1704" s="196" t="s">
        <v>2073</v>
      </c>
      <c r="G1704" s="197" t="s">
        <v>3239</v>
      </c>
      <c r="H1704" s="198">
        <v>0.8</v>
      </c>
      <c r="I1704" s="199">
        <v>16418.72</v>
      </c>
      <c r="J1704" s="200" t="s">
        <v>2113</v>
      </c>
      <c r="K1704" s="200" t="s">
        <v>3559</v>
      </c>
      <c r="L1704" s="201">
        <v>0.4</v>
      </c>
      <c r="M1704" s="278" t="s">
        <v>2116</v>
      </c>
      <c r="N1704" s="205">
        <v>2500.03</v>
      </c>
      <c r="O1704" s="205">
        <v>2500.03</v>
      </c>
      <c r="P1704" s="254">
        <v>2000.02</v>
      </c>
      <c r="Q1704" s="254">
        <v>2000.02</v>
      </c>
      <c r="R1704" s="1262" t="s">
        <v>3866</v>
      </c>
      <c r="S1704" s="254">
        <v>1000.01</v>
      </c>
      <c r="T1704" s="204">
        <v>45195</v>
      </c>
      <c r="U1704" s="1262" t="s">
        <v>3109</v>
      </c>
      <c r="V1704" s="254">
        <v>500.01</v>
      </c>
      <c r="W1704" s="203" t="s">
        <v>4457</v>
      </c>
      <c r="X1704" s="297">
        <v>500.01</v>
      </c>
      <c r="Y1704" s="192"/>
    </row>
    <row r="1705" ht="37.5" customHeight="1" spans="1:25">
      <c r="A1705" s="192">
        <f t="shared" si="37"/>
        <v>1697</v>
      </c>
      <c r="B1705" s="208">
        <v>2023</v>
      </c>
      <c r="C1705" s="193" t="s">
        <v>37</v>
      </c>
      <c r="D1705" s="277" t="s">
        <v>5657</v>
      </c>
      <c r="E1705" s="195" t="s">
        <v>5658</v>
      </c>
      <c r="F1705" s="196" t="s">
        <v>2073</v>
      </c>
      <c r="G1705" s="197" t="s">
        <v>3239</v>
      </c>
      <c r="H1705" s="198">
        <v>0.8</v>
      </c>
      <c r="I1705" s="199">
        <v>17829.43</v>
      </c>
      <c r="J1705" s="200" t="s">
        <v>2235</v>
      </c>
      <c r="K1705" s="200" t="s">
        <v>4425</v>
      </c>
      <c r="L1705" s="201">
        <v>0.4</v>
      </c>
      <c r="M1705" s="278" t="s">
        <v>2159</v>
      </c>
      <c r="N1705" s="205">
        <v>750</v>
      </c>
      <c r="O1705" s="205">
        <v>750</v>
      </c>
      <c r="P1705" s="254">
        <v>600</v>
      </c>
      <c r="Q1705" s="254">
        <v>600</v>
      </c>
      <c r="R1705" s="1262" t="s">
        <v>3866</v>
      </c>
      <c r="S1705" s="254">
        <v>300</v>
      </c>
      <c r="T1705" s="204">
        <v>45195</v>
      </c>
      <c r="U1705" s="1262" t="s">
        <v>3109</v>
      </c>
      <c r="V1705" s="254">
        <v>150</v>
      </c>
      <c r="W1705" s="203" t="s">
        <v>4457</v>
      </c>
      <c r="X1705" s="297">
        <v>150</v>
      </c>
      <c r="Y1705" s="192"/>
    </row>
    <row r="1706" ht="37.5" customHeight="1" spans="1:25">
      <c r="A1706" s="192">
        <f t="shared" si="37"/>
        <v>1698</v>
      </c>
      <c r="B1706" s="208">
        <v>2023</v>
      </c>
      <c r="C1706" s="193" t="s">
        <v>37</v>
      </c>
      <c r="D1706" s="277" t="s">
        <v>5659</v>
      </c>
      <c r="E1706" s="195" t="s">
        <v>5660</v>
      </c>
      <c r="F1706" s="196" t="s">
        <v>2073</v>
      </c>
      <c r="G1706" s="197" t="s">
        <v>3239</v>
      </c>
      <c r="H1706" s="198">
        <v>0.8</v>
      </c>
      <c r="I1706" s="199">
        <v>200000</v>
      </c>
      <c r="J1706" s="200" t="s">
        <v>4822</v>
      </c>
      <c r="K1706" s="200" t="s">
        <v>4823</v>
      </c>
      <c r="L1706" s="201">
        <v>0.4</v>
      </c>
      <c r="M1706" s="278" t="s">
        <v>2462</v>
      </c>
      <c r="N1706" s="205">
        <v>200000</v>
      </c>
      <c r="O1706" s="205">
        <v>200000</v>
      </c>
      <c r="P1706" s="254">
        <v>160000</v>
      </c>
      <c r="Q1706" s="254">
        <v>160000</v>
      </c>
      <c r="R1706" s="1262" t="s">
        <v>3866</v>
      </c>
      <c r="S1706" s="254">
        <v>80000</v>
      </c>
      <c r="T1706" s="204">
        <v>45195</v>
      </c>
      <c r="U1706" s="1262" t="s">
        <v>3109</v>
      </c>
      <c r="V1706" s="254">
        <v>40000</v>
      </c>
      <c r="W1706" s="203" t="s">
        <v>4457</v>
      </c>
      <c r="X1706" s="297">
        <v>40000</v>
      </c>
      <c r="Y1706" s="192"/>
    </row>
    <row r="1707" ht="37.5" customHeight="1" spans="1:25">
      <c r="A1707" s="192">
        <f t="shared" si="37"/>
        <v>1699</v>
      </c>
      <c r="B1707" s="208">
        <v>2023</v>
      </c>
      <c r="C1707" s="193" t="s">
        <v>37</v>
      </c>
      <c r="D1707" s="277" t="s">
        <v>5661</v>
      </c>
      <c r="E1707" s="195" t="s">
        <v>5662</v>
      </c>
      <c r="F1707" s="196" t="s">
        <v>2073</v>
      </c>
      <c r="G1707" s="197" t="s">
        <v>3239</v>
      </c>
      <c r="H1707" s="198">
        <v>0.8</v>
      </c>
      <c r="I1707" s="199">
        <v>10316.23</v>
      </c>
      <c r="J1707" s="200" t="s">
        <v>4822</v>
      </c>
      <c r="K1707" s="200" t="s">
        <v>4823</v>
      </c>
      <c r="L1707" s="201">
        <v>0.4</v>
      </c>
      <c r="M1707" s="278" t="s">
        <v>5601</v>
      </c>
      <c r="N1707" s="205">
        <v>2500</v>
      </c>
      <c r="O1707" s="205">
        <v>2500</v>
      </c>
      <c r="P1707" s="254">
        <v>2000</v>
      </c>
      <c r="Q1707" s="254">
        <v>2000</v>
      </c>
      <c r="R1707" s="1262" t="s">
        <v>3866</v>
      </c>
      <c r="S1707" s="254">
        <v>1000</v>
      </c>
      <c r="T1707" s="204">
        <v>45195</v>
      </c>
      <c r="U1707" s="1262" t="s">
        <v>3109</v>
      </c>
      <c r="V1707" s="254">
        <v>500</v>
      </c>
      <c r="W1707" s="203" t="s">
        <v>4457</v>
      </c>
      <c r="X1707" s="297">
        <v>500</v>
      </c>
      <c r="Y1707" s="192"/>
    </row>
    <row r="1708" ht="37.5" customHeight="1" spans="1:25">
      <c r="A1708" s="192">
        <f t="shared" si="37"/>
        <v>1700</v>
      </c>
      <c r="B1708" s="208">
        <v>2023</v>
      </c>
      <c r="C1708" s="193" t="s">
        <v>37</v>
      </c>
      <c r="D1708" s="277" t="s">
        <v>5663</v>
      </c>
      <c r="E1708" s="195" t="s">
        <v>5664</v>
      </c>
      <c r="F1708" s="196" t="s">
        <v>2073</v>
      </c>
      <c r="G1708" s="197" t="s">
        <v>3239</v>
      </c>
      <c r="H1708" s="198">
        <v>0.8</v>
      </c>
      <c r="I1708" s="199">
        <v>127000</v>
      </c>
      <c r="J1708" s="200" t="s">
        <v>2197</v>
      </c>
      <c r="K1708" s="200" t="s">
        <v>3909</v>
      </c>
      <c r="L1708" s="201">
        <v>0.4</v>
      </c>
      <c r="M1708" s="278" t="s">
        <v>2096</v>
      </c>
      <c r="N1708" s="205">
        <v>95000</v>
      </c>
      <c r="O1708" s="205">
        <v>95000</v>
      </c>
      <c r="P1708" s="254">
        <v>76000</v>
      </c>
      <c r="Q1708" s="254">
        <v>76000</v>
      </c>
      <c r="R1708" s="1262" t="s">
        <v>3866</v>
      </c>
      <c r="S1708" s="254">
        <v>38000</v>
      </c>
      <c r="T1708" s="204">
        <v>45195</v>
      </c>
      <c r="U1708" s="1262" t="s">
        <v>3109</v>
      </c>
      <c r="V1708" s="254">
        <v>19000</v>
      </c>
      <c r="W1708" s="203" t="s">
        <v>4457</v>
      </c>
      <c r="X1708" s="297">
        <v>19000</v>
      </c>
      <c r="Y1708" s="192"/>
    </row>
    <row r="1709" ht="37.5" customHeight="1" spans="1:25">
      <c r="A1709" s="192">
        <f t="shared" si="37"/>
        <v>1701</v>
      </c>
      <c r="B1709" s="208">
        <v>2023</v>
      </c>
      <c r="C1709" s="193" t="s">
        <v>37</v>
      </c>
      <c r="D1709" s="277" t="s">
        <v>5665</v>
      </c>
      <c r="E1709" s="195" t="s">
        <v>5666</v>
      </c>
      <c r="F1709" s="196" t="s">
        <v>2073</v>
      </c>
      <c r="G1709" s="197" t="s">
        <v>3239</v>
      </c>
      <c r="H1709" s="198">
        <v>0.8</v>
      </c>
      <c r="I1709" s="199">
        <v>130000</v>
      </c>
      <c r="J1709" s="200" t="s">
        <v>2034</v>
      </c>
      <c r="K1709" s="200" t="s">
        <v>3546</v>
      </c>
      <c r="L1709" s="201">
        <v>0.4</v>
      </c>
      <c r="M1709" s="278" t="s">
        <v>5601</v>
      </c>
      <c r="N1709" s="205">
        <v>33333.36</v>
      </c>
      <c r="O1709" s="205">
        <v>33333.36</v>
      </c>
      <c r="P1709" s="254">
        <v>26666.69</v>
      </c>
      <c r="Q1709" s="254">
        <v>26666.69</v>
      </c>
      <c r="R1709" s="1262" t="s">
        <v>3866</v>
      </c>
      <c r="S1709" s="254">
        <v>13333.34</v>
      </c>
      <c r="T1709" s="204">
        <v>45195</v>
      </c>
      <c r="U1709" s="1262" t="s">
        <v>3109</v>
      </c>
      <c r="V1709" s="254">
        <v>6666.67</v>
      </c>
      <c r="W1709" s="203" t="s">
        <v>4457</v>
      </c>
      <c r="X1709" s="297">
        <v>6666.67</v>
      </c>
      <c r="Y1709" s="192"/>
    </row>
    <row r="1710" ht="37.5" customHeight="1" spans="1:25">
      <c r="A1710" s="192">
        <f t="shared" si="37"/>
        <v>1702</v>
      </c>
      <c r="B1710" s="208">
        <v>2023</v>
      </c>
      <c r="C1710" s="193" t="s">
        <v>37</v>
      </c>
      <c r="D1710" s="277" t="s">
        <v>5667</v>
      </c>
      <c r="E1710" s="195" t="s">
        <v>5668</v>
      </c>
      <c r="F1710" s="196" t="s">
        <v>2073</v>
      </c>
      <c r="G1710" s="197" t="s">
        <v>3239</v>
      </c>
      <c r="H1710" s="198">
        <v>0.8</v>
      </c>
      <c r="I1710" s="199">
        <v>20000</v>
      </c>
      <c r="J1710" s="200" t="s">
        <v>2034</v>
      </c>
      <c r="K1710" s="200" t="s">
        <v>3546</v>
      </c>
      <c r="L1710" s="201">
        <v>0.4</v>
      </c>
      <c r="M1710" s="278" t="s">
        <v>3958</v>
      </c>
      <c r="N1710" s="205">
        <v>6666.72</v>
      </c>
      <c r="O1710" s="205">
        <v>6666.72</v>
      </c>
      <c r="P1710" s="254">
        <v>5333.38</v>
      </c>
      <c r="Q1710" s="254">
        <v>5333.38</v>
      </c>
      <c r="R1710" s="1262" t="s">
        <v>3866</v>
      </c>
      <c r="S1710" s="254">
        <v>2666.69</v>
      </c>
      <c r="T1710" s="204">
        <v>45195</v>
      </c>
      <c r="U1710" s="1262" t="s">
        <v>3109</v>
      </c>
      <c r="V1710" s="254">
        <v>1333.34</v>
      </c>
      <c r="W1710" s="203" t="s">
        <v>4457</v>
      </c>
      <c r="X1710" s="297">
        <v>1333.34</v>
      </c>
      <c r="Y1710" s="192"/>
    </row>
    <row r="1711" ht="37.5" customHeight="1" spans="1:25">
      <c r="A1711" s="192">
        <f t="shared" si="37"/>
        <v>1703</v>
      </c>
      <c r="B1711" s="208">
        <v>2023</v>
      </c>
      <c r="C1711" s="193" t="s">
        <v>37</v>
      </c>
      <c r="D1711" s="277" t="s">
        <v>5669</v>
      </c>
      <c r="E1711" s="195" t="s">
        <v>5670</v>
      </c>
      <c r="F1711" s="196" t="s">
        <v>2073</v>
      </c>
      <c r="G1711" s="197" t="s">
        <v>3239</v>
      </c>
      <c r="H1711" s="198">
        <v>0.8</v>
      </c>
      <c r="I1711" s="199">
        <v>12280.35</v>
      </c>
      <c r="J1711" s="200" t="s">
        <v>2034</v>
      </c>
      <c r="K1711" s="200" t="s">
        <v>3546</v>
      </c>
      <c r="L1711" s="201">
        <v>0.4</v>
      </c>
      <c r="M1711" s="278" t="s">
        <v>2112</v>
      </c>
      <c r="N1711" s="205">
        <v>1000</v>
      </c>
      <c r="O1711" s="205">
        <v>1000</v>
      </c>
      <c r="P1711" s="254">
        <v>800</v>
      </c>
      <c r="Q1711" s="254">
        <v>800</v>
      </c>
      <c r="R1711" s="1262" t="s">
        <v>3866</v>
      </c>
      <c r="S1711" s="254">
        <v>400</v>
      </c>
      <c r="T1711" s="204">
        <v>45195</v>
      </c>
      <c r="U1711" s="1262" t="s">
        <v>3109</v>
      </c>
      <c r="V1711" s="254">
        <v>200</v>
      </c>
      <c r="W1711" s="203" t="s">
        <v>4457</v>
      </c>
      <c r="X1711" s="297">
        <v>200</v>
      </c>
      <c r="Y1711" s="192"/>
    </row>
    <row r="1712" ht="37.5" customHeight="1" spans="1:25">
      <c r="A1712" s="192">
        <f t="shared" si="37"/>
        <v>1704</v>
      </c>
      <c r="B1712" s="208">
        <v>2023</v>
      </c>
      <c r="C1712" s="193" t="s">
        <v>37</v>
      </c>
      <c r="D1712" s="277" t="s">
        <v>5671</v>
      </c>
      <c r="E1712" s="195" t="s">
        <v>5672</v>
      </c>
      <c r="F1712" s="196" t="s">
        <v>2073</v>
      </c>
      <c r="G1712" s="197" t="s">
        <v>3239</v>
      </c>
      <c r="H1712" s="198">
        <v>0.8</v>
      </c>
      <c r="I1712" s="199">
        <v>33000</v>
      </c>
      <c r="J1712" s="200" t="s">
        <v>2178</v>
      </c>
      <c r="K1712" s="200" t="s">
        <v>4059</v>
      </c>
      <c r="L1712" s="201">
        <v>0.4</v>
      </c>
      <c r="M1712" s="278" t="s">
        <v>2107</v>
      </c>
      <c r="N1712" s="205">
        <v>2000.06</v>
      </c>
      <c r="O1712" s="205">
        <v>2000.06</v>
      </c>
      <c r="P1712" s="254">
        <v>1600.05</v>
      </c>
      <c r="Q1712" s="254">
        <v>1600.05</v>
      </c>
      <c r="R1712" s="1262" t="s">
        <v>3866</v>
      </c>
      <c r="S1712" s="254">
        <v>800.02</v>
      </c>
      <c r="T1712" s="204">
        <v>45195</v>
      </c>
      <c r="U1712" s="1262" t="s">
        <v>3109</v>
      </c>
      <c r="V1712" s="254">
        <v>400.01</v>
      </c>
      <c r="W1712" s="203" t="s">
        <v>4457</v>
      </c>
      <c r="X1712" s="297">
        <v>400.01</v>
      </c>
      <c r="Y1712" s="192"/>
    </row>
    <row r="1713" ht="37.5" customHeight="1" spans="1:25">
      <c r="A1713" s="192">
        <f t="shared" si="37"/>
        <v>1705</v>
      </c>
      <c r="B1713" s="208">
        <v>2023</v>
      </c>
      <c r="C1713" s="193" t="s">
        <v>37</v>
      </c>
      <c r="D1713" s="277" t="s">
        <v>5612</v>
      </c>
      <c r="E1713" s="195" t="s">
        <v>5673</v>
      </c>
      <c r="F1713" s="196" t="s">
        <v>2073</v>
      </c>
      <c r="G1713" s="197" t="s">
        <v>3239</v>
      </c>
      <c r="H1713" s="198">
        <v>0.8</v>
      </c>
      <c r="I1713" s="199">
        <v>11186</v>
      </c>
      <c r="J1713" s="200" t="s">
        <v>2054</v>
      </c>
      <c r="K1713" s="200" t="s">
        <v>4433</v>
      </c>
      <c r="L1713" s="201">
        <v>0.4</v>
      </c>
      <c r="M1713" s="278" t="s">
        <v>2177</v>
      </c>
      <c r="N1713" s="205">
        <v>2796.56</v>
      </c>
      <c r="O1713" s="205">
        <v>2796.56</v>
      </c>
      <c r="P1713" s="254">
        <v>2237.25</v>
      </c>
      <c r="Q1713" s="254">
        <v>2237.25</v>
      </c>
      <c r="R1713" s="1262" t="s">
        <v>3866</v>
      </c>
      <c r="S1713" s="254">
        <v>1118.62</v>
      </c>
      <c r="T1713" s="204">
        <v>45195</v>
      </c>
      <c r="U1713" s="1262" t="s">
        <v>3109</v>
      </c>
      <c r="V1713" s="254">
        <v>559.31</v>
      </c>
      <c r="W1713" s="203" t="s">
        <v>4457</v>
      </c>
      <c r="X1713" s="297">
        <v>559.31</v>
      </c>
      <c r="Y1713" s="192"/>
    </row>
    <row r="1714" ht="37.5" customHeight="1" spans="1:25">
      <c r="A1714" s="192">
        <f t="shared" si="37"/>
        <v>1706</v>
      </c>
      <c r="B1714" s="208">
        <v>2023</v>
      </c>
      <c r="C1714" s="193" t="s">
        <v>37</v>
      </c>
      <c r="D1714" s="277" t="s">
        <v>5674</v>
      </c>
      <c r="E1714" s="195" t="s">
        <v>5675</v>
      </c>
      <c r="F1714" s="196" t="s">
        <v>2073</v>
      </c>
      <c r="G1714" s="197" t="s">
        <v>3239</v>
      </c>
      <c r="H1714" s="198">
        <v>0.8</v>
      </c>
      <c r="I1714" s="199">
        <v>13619.39</v>
      </c>
      <c r="J1714" s="200" t="s">
        <v>2097</v>
      </c>
      <c r="K1714" s="200" t="s">
        <v>5676</v>
      </c>
      <c r="L1714" s="201">
        <v>0.4</v>
      </c>
      <c r="M1714" s="278" t="s">
        <v>2364</v>
      </c>
      <c r="N1714" s="205">
        <v>437.53</v>
      </c>
      <c r="O1714" s="205">
        <v>437.53</v>
      </c>
      <c r="P1714" s="254">
        <v>350.02</v>
      </c>
      <c r="Q1714" s="254">
        <v>350.02</v>
      </c>
      <c r="R1714" s="1262" t="s">
        <v>3866</v>
      </c>
      <c r="S1714" s="254">
        <v>175.01</v>
      </c>
      <c r="T1714" s="204">
        <v>45195</v>
      </c>
      <c r="U1714" s="1262" t="s">
        <v>3109</v>
      </c>
      <c r="V1714" s="254">
        <v>87.51</v>
      </c>
      <c r="W1714" s="203" t="s">
        <v>4457</v>
      </c>
      <c r="X1714" s="297">
        <v>87.51</v>
      </c>
      <c r="Y1714" s="192"/>
    </row>
    <row r="1715" ht="37.5" customHeight="1" spans="1:25">
      <c r="A1715" s="192">
        <f t="shared" si="37"/>
        <v>1707</v>
      </c>
      <c r="B1715" s="208">
        <v>2023</v>
      </c>
      <c r="C1715" s="193" t="s">
        <v>37</v>
      </c>
      <c r="D1715" s="277" t="s">
        <v>5677</v>
      </c>
      <c r="E1715" s="195" t="s">
        <v>5678</v>
      </c>
      <c r="F1715" s="196" t="s">
        <v>2073</v>
      </c>
      <c r="G1715" s="197" t="s">
        <v>3239</v>
      </c>
      <c r="H1715" s="198">
        <v>0.8</v>
      </c>
      <c r="I1715" s="199">
        <v>14277.85</v>
      </c>
      <c r="J1715" s="200" t="s">
        <v>2011</v>
      </c>
      <c r="K1715" s="200" t="s">
        <v>4438</v>
      </c>
      <c r="L1715" s="201">
        <v>0.4</v>
      </c>
      <c r="M1715" s="278" t="s">
        <v>2124</v>
      </c>
      <c r="N1715" s="205">
        <v>3750</v>
      </c>
      <c r="O1715" s="205">
        <v>3750</v>
      </c>
      <c r="P1715" s="254">
        <v>3000</v>
      </c>
      <c r="Q1715" s="254">
        <v>3000</v>
      </c>
      <c r="R1715" s="1262" t="s">
        <v>3866</v>
      </c>
      <c r="S1715" s="254">
        <v>1500</v>
      </c>
      <c r="T1715" s="204">
        <v>45195</v>
      </c>
      <c r="U1715" s="1262" t="s">
        <v>3109</v>
      </c>
      <c r="V1715" s="254">
        <v>750</v>
      </c>
      <c r="W1715" s="203" t="s">
        <v>4457</v>
      </c>
      <c r="X1715" s="297">
        <v>750</v>
      </c>
      <c r="Y1715" s="192"/>
    </row>
    <row r="1716" ht="37.5" customHeight="1" spans="1:25">
      <c r="A1716" s="192">
        <f t="shared" si="37"/>
        <v>1708</v>
      </c>
      <c r="B1716" s="208">
        <v>2023</v>
      </c>
      <c r="C1716" s="193" t="s">
        <v>37</v>
      </c>
      <c r="D1716" s="277" t="s">
        <v>5679</v>
      </c>
      <c r="E1716" s="195" t="s">
        <v>5680</v>
      </c>
      <c r="F1716" s="196" t="s">
        <v>2073</v>
      </c>
      <c r="G1716" s="197" t="s">
        <v>3239</v>
      </c>
      <c r="H1716" s="198">
        <v>0.8</v>
      </c>
      <c r="I1716" s="199">
        <v>13000</v>
      </c>
      <c r="J1716" s="200" t="s">
        <v>2475</v>
      </c>
      <c r="K1716" s="200" t="s">
        <v>5681</v>
      </c>
      <c r="L1716" s="201">
        <v>0.4</v>
      </c>
      <c r="M1716" s="278" t="s">
        <v>2850</v>
      </c>
      <c r="N1716" s="205">
        <v>5416.69</v>
      </c>
      <c r="O1716" s="205">
        <v>5416.69</v>
      </c>
      <c r="P1716" s="254">
        <v>4333.35</v>
      </c>
      <c r="Q1716" s="254">
        <v>4333.35</v>
      </c>
      <c r="R1716" s="1262" t="s">
        <v>3866</v>
      </c>
      <c r="S1716" s="254">
        <v>2166.68</v>
      </c>
      <c r="T1716" s="204">
        <v>45195</v>
      </c>
      <c r="U1716" s="1262" t="s">
        <v>3109</v>
      </c>
      <c r="V1716" s="254">
        <v>1083.34</v>
      </c>
      <c r="W1716" s="203" t="s">
        <v>4457</v>
      </c>
      <c r="X1716" s="297">
        <v>1083.34</v>
      </c>
      <c r="Y1716" s="192"/>
    </row>
    <row r="1717" ht="37.5" customHeight="1" spans="1:25">
      <c r="A1717" s="192">
        <f t="shared" si="37"/>
        <v>1709</v>
      </c>
      <c r="B1717" s="208">
        <v>2023</v>
      </c>
      <c r="C1717" s="193" t="s">
        <v>37</v>
      </c>
      <c r="D1717" s="277" t="s">
        <v>5682</v>
      </c>
      <c r="E1717" s="195" t="s">
        <v>5683</v>
      </c>
      <c r="F1717" s="196" t="s">
        <v>2073</v>
      </c>
      <c r="G1717" s="197" t="s">
        <v>3239</v>
      </c>
      <c r="H1717" s="198">
        <v>0.8</v>
      </c>
      <c r="I1717" s="199">
        <v>40000</v>
      </c>
      <c r="J1717" s="200" t="s">
        <v>2319</v>
      </c>
      <c r="K1717" s="200" t="s">
        <v>5432</v>
      </c>
      <c r="L1717" s="201">
        <v>0.4</v>
      </c>
      <c r="M1717" s="278" t="s">
        <v>2148</v>
      </c>
      <c r="N1717" s="205">
        <v>15000</v>
      </c>
      <c r="O1717" s="205">
        <v>15000</v>
      </c>
      <c r="P1717" s="254">
        <v>12000</v>
      </c>
      <c r="Q1717" s="254">
        <v>12000</v>
      </c>
      <c r="R1717" s="1262" t="s">
        <v>3866</v>
      </c>
      <c r="S1717" s="254">
        <v>6000</v>
      </c>
      <c r="T1717" s="204">
        <v>45195</v>
      </c>
      <c r="U1717" s="1262" t="s">
        <v>3109</v>
      </c>
      <c r="V1717" s="254">
        <v>3000</v>
      </c>
      <c r="W1717" s="203" t="s">
        <v>4457</v>
      </c>
      <c r="X1717" s="297">
        <v>3000</v>
      </c>
      <c r="Y1717" s="192"/>
    </row>
    <row r="1718" ht="37.5" customHeight="1" spans="1:25">
      <c r="A1718" s="192">
        <f t="shared" si="37"/>
        <v>1710</v>
      </c>
      <c r="B1718" s="208">
        <v>2023</v>
      </c>
      <c r="C1718" s="193" t="s">
        <v>37</v>
      </c>
      <c r="D1718" s="277" t="s">
        <v>5684</v>
      </c>
      <c r="E1718" s="195" t="s">
        <v>5685</v>
      </c>
      <c r="F1718" s="196" t="s">
        <v>2073</v>
      </c>
      <c r="G1718" s="197" t="s">
        <v>3239</v>
      </c>
      <c r="H1718" s="198">
        <v>0.8</v>
      </c>
      <c r="I1718" s="199">
        <v>37000</v>
      </c>
      <c r="J1718" s="200" t="s">
        <v>2010</v>
      </c>
      <c r="K1718" s="200" t="s">
        <v>3593</v>
      </c>
      <c r="L1718" s="201">
        <v>0.4</v>
      </c>
      <c r="M1718" s="278" t="s">
        <v>2075</v>
      </c>
      <c r="N1718" s="205">
        <v>15416.69</v>
      </c>
      <c r="O1718" s="205">
        <v>15416.69</v>
      </c>
      <c r="P1718" s="254">
        <v>12333.35</v>
      </c>
      <c r="Q1718" s="254">
        <v>12333.35</v>
      </c>
      <c r="R1718" s="1262" t="s">
        <v>3866</v>
      </c>
      <c r="S1718" s="254">
        <v>6166.68</v>
      </c>
      <c r="T1718" s="204">
        <v>45195</v>
      </c>
      <c r="U1718" s="1262" t="s">
        <v>3109</v>
      </c>
      <c r="V1718" s="254">
        <v>3083.34</v>
      </c>
      <c r="W1718" s="203" t="s">
        <v>4457</v>
      </c>
      <c r="X1718" s="297">
        <v>3083.34</v>
      </c>
      <c r="Y1718" s="192"/>
    </row>
    <row r="1719" ht="37.5" customHeight="1" spans="1:25">
      <c r="A1719" s="192">
        <f t="shared" si="37"/>
        <v>1711</v>
      </c>
      <c r="B1719" s="208">
        <v>2023</v>
      </c>
      <c r="C1719" s="193" t="s">
        <v>37</v>
      </c>
      <c r="D1719" s="277" t="s">
        <v>5606</v>
      </c>
      <c r="E1719" s="195" t="s">
        <v>5686</v>
      </c>
      <c r="F1719" s="196" t="s">
        <v>2073</v>
      </c>
      <c r="G1719" s="197" t="s">
        <v>3239</v>
      </c>
      <c r="H1719" s="198">
        <v>0.8</v>
      </c>
      <c r="I1719" s="199">
        <v>20800</v>
      </c>
      <c r="J1719" s="200" t="s">
        <v>2542</v>
      </c>
      <c r="K1719" s="200" t="s">
        <v>4444</v>
      </c>
      <c r="L1719" s="201">
        <v>0.4</v>
      </c>
      <c r="M1719" s="278" t="s">
        <v>2159</v>
      </c>
      <c r="N1719" s="205">
        <v>6958.42</v>
      </c>
      <c r="O1719" s="205">
        <v>6958.42</v>
      </c>
      <c r="P1719" s="254">
        <v>5566.73</v>
      </c>
      <c r="Q1719" s="254">
        <v>5566.73</v>
      </c>
      <c r="R1719" s="1262" t="s">
        <v>3866</v>
      </c>
      <c r="S1719" s="254">
        <v>2783.37</v>
      </c>
      <c r="T1719" s="204">
        <v>45195</v>
      </c>
      <c r="U1719" s="1262" t="s">
        <v>3109</v>
      </c>
      <c r="V1719" s="254">
        <v>1391.68</v>
      </c>
      <c r="W1719" s="203" t="s">
        <v>4457</v>
      </c>
      <c r="X1719" s="297">
        <v>1391.68</v>
      </c>
      <c r="Y1719" s="192"/>
    </row>
    <row r="1720" ht="37.5" customHeight="1" spans="1:25">
      <c r="A1720" s="192">
        <f t="shared" si="37"/>
        <v>1712</v>
      </c>
      <c r="B1720" s="208">
        <v>2023</v>
      </c>
      <c r="C1720" s="193" t="s">
        <v>37</v>
      </c>
      <c r="D1720" s="277" t="s">
        <v>5659</v>
      </c>
      <c r="E1720" s="195" t="s">
        <v>5687</v>
      </c>
      <c r="F1720" s="196" t="s">
        <v>2073</v>
      </c>
      <c r="G1720" s="197" t="s">
        <v>3239</v>
      </c>
      <c r="H1720" s="198">
        <v>0.8</v>
      </c>
      <c r="I1720" s="199">
        <v>20000</v>
      </c>
      <c r="J1720" s="200" t="s">
        <v>2454</v>
      </c>
      <c r="K1720" s="200" t="s">
        <v>3918</v>
      </c>
      <c r="L1720" s="201">
        <v>0.4</v>
      </c>
      <c r="M1720" s="278" t="s">
        <v>2462</v>
      </c>
      <c r="N1720" s="205">
        <v>8333.38</v>
      </c>
      <c r="O1720" s="205">
        <v>8333.38</v>
      </c>
      <c r="P1720" s="254">
        <v>6666.7</v>
      </c>
      <c r="Q1720" s="254">
        <v>6666.7</v>
      </c>
      <c r="R1720" s="1262" t="s">
        <v>3866</v>
      </c>
      <c r="S1720" s="254">
        <v>3333.35</v>
      </c>
      <c r="T1720" s="204">
        <v>45195</v>
      </c>
      <c r="U1720" s="1262" t="s">
        <v>3109</v>
      </c>
      <c r="V1720" s="254">
        <v>1666.68</v>
      </c>
      <c r="W1720" s="203" t="s">
        <v>4457</v>
      </c>
      <c r="X1720" s="297">
        <v>1666.68</v>
      </c>
      <c r="Y1720" s="192"/>
    </row>
    <row r="1721" ht="37.5" customHeight="1" spans="1:25">
      <c r="A1721" s="192">
        <f t="shared" si="37"/>
        <v>1713</v>
      </c>
      <c r="B1721" s="208">
        <v>2023</v>
      </c>
      <c r="C1721" s="193" t="s">
        <v>37</v>
      </c>
      <c r="D1721" s="277" t="s">
        <v>5688</v>
      </c>
      <c r="E1721" s="195" t="s">
        <v>5689</v>
      </c>
      <c r="F1721" s="196" t="s">
        <v>2073</v>
      </c>
      <c r="G1721" s="197" t="s">
        <v>3239</v>
      </c>
      <c r="H1721" s="198">
        <v>0.8</v>
      </c>
      <c r="I1721" s="199">
        <v>15196.15</v>
      </c>
      <c r="J1721" s="200" t="s">
        <v>2454</v>
      </c>
      <c r="K1721" s="200" t="s">
        <v>3918</v>
      </c>
      <c r="L1721" s="201">
        <v>0.4</v>
      </c>
      <c r="M1721" s="278" t="s">
        <v>2080</v>
      </c>
      <c r="N1721" s="205">
        <v>3333.38</v>
      </c>
      <c r="O1721" s="205">
        <v>3333.38</v>
      </c>
      <c r="P1721" s="254">
        <v>2666.7</v>
      </c>
      <c r="Q1721" s="254">
        <v>2666.7</v>
      </c>
      <c r="R1721" s="1262" t="s">
        <v>3866</v>
      </c>
      <c r="S1721" s="254">
        <v>1333.35</v>
      </c>
      <c r="T1721" s="204">
        <v>45195</v>
      </c>
      <c r="U1721" s="1262" t="s">
        <v>3109</v>
      </c>
      <c r="V1721" s="254">
        <v>666.68</v>
      </c>
      <c r="W1721" s="203" t="s">
        <v>4457</v>
      </c>
      <c r="X1721" s="297">
        <v>666.68</v>
      </c>
      <c r="Y1721" s="192"/>
    </row>
    <row r="1722" ht="37.5" customHeight="1" spans="1:25">
      <c r="A1722" s="192">
        <f t="shared" si="37"/>
        <v>1714</v>
      </c>
      <c r="B1722" s="208">
        <v>2023</v>
      </c>
      <c r="C1722" s="193" t="s">
        <v>37</v>
      </c>
      <c r="D1722" s="277" t="s">
        <v>5661</v>
      </c>
      <c r="E1722" s="195" t="s">
        <v>5690</v>
      </c>
      <c r="F1722" s="196" t="s">
        <v>2073</v>
      </c>
      <c r="G1722" s="197" t="s">
        <v>3239</v>
      </c>
      <c r="H1722" s="198">
        <v>0.8</v>
      </c>
      <c r="I1722" s="199">
        <v>10316.23</v>
      </c>
      <c r="J1722" s="200" t="s">
        <v>2466</v>
      </c>
      <c r="K1722" s="200" t="s">
        <v>4067</v>
      </c>
      <c r="L1722" s="201">
        <v>0.4</v>
      </c>
      <c r="M1722" s="278" t="s">
        <v>5601</v>
      </c>
      <c r="N1722" s="205">
        <v>500</v>
      </c>
      <c r="O1722" s="205">
        <v>500</v>
      </c>
      <c r="P1722" s="254">
        <v>400</v>
      </c>
      <c r="Q1722" s="254">
        <v>400</v>
      </c>
      <c r="R1722" s="1262" t="s">
        <v>3866</v>
      </c>
      <c r="S1722" s="254">
        <v>200</v>
      </c>
      <c r="T1722" s="204">
        <v>45195</v>
      </c>
      <c r="U1722" s="1262" t="s">
        <v>3109</v>
      </c>
      <c r="V1722" s="254">
        <v>100</v>
      </c>
      <c r="W1722" s="203" t="s">
        <v>4457</v>
      </c>
      <c r="X1722" s="297">
        <v>100</v>
      </c>
      <c r="Y1722" s="192"/>
    </row>
    <row r="1723" ht="37.5" customHeight="1" spans="1:25">
      <c r="A1723" s="192">
        <f t="shared" si="37"/>
        <v>1715</v>
      </c>
      <c r="B1723" s="208">
        <v>2023</v>
      </c>
      <c r="C1723" s="193" t="s">
        <v>37</v>
      </c>
      <c r="D1723" s="277" t="s">
        <v>5667</v>
      </c>
      <c r="E1723" s="195" t="s">
        <v>5691</v>
      </c>
      <c r="F1723" s="196" t="s">
        <v>2073</v>
      </c>
      <c r="G1723" s="197" t="s">
        <v>3239</v>
      </c>
      <c r="H1723" s="198">
        <v>0.8</v>
      </c>
      <c r="I1723" s="199">
        <v>30000</v>
      </c>
      <c r="J1723" s="200" t="s">
        <v>2481</v>
      </c>
      <c r="K1723" s="200" t="s">
        <v>3924</v>
      </c>
      <c r="L1723" s="201">
        <v>0.4</v>
      </c>
      <c r="M1723" s="278" t="s">
        <v>3958</v>
      </c>
      <c r="N1723" s="205">
        <v>22500.06</v>
      </c>
      <c r="O1723" s="205">
        <v>22500.06</v>
      </c>
      <c r="P1723" s="254">
        <v>18000.05</v>
      </c>
      <c r="Q1723" s="254">
        <v>18000.05</v>
      </c>
      <c r="R1723" s="1262" t="s">
        <v>3866</v>
      </c>
      <c r="S1723" s="254">
        <v>9000.02</v>
      </c>
      <c r="T1723" s="204">
        <v>45195</v>
      </c>
      <c r="U1723" s="1262" t="s">
        <v>3109</v>
      </c>
      <c r="V1723" s="254">
        <v>4500.01</v>
      </c>
      <c r="W1723" s="203" t="s">
        <v>4457</v>
      </c>
      <c r="X1723" s="297">
        <v>4500.01</v>
      </c>
      <c r="Y1723" s="192"/>
    </row>
    <row r="1724" ht="37.5" customHeight="1" spans="1:25">
      <c r="A1724" s="192">
        <f t="shared" si="37"/>
        <v>1716</v>
      </c>
      <c r="B1724" s="208">
        <v>2023</v>
      </c>
      <c r="C1724" s="193" t="s">
        <v>37</v>
      </c>
      <c r="D1724" s="277" t="s">
        <v>5692</v>
      </c>
      <c r="E1724" s="195" t="s">
        <v>5693</v>
      </c>
      <c r="F1724" s="196" t="s">
        <v>2073</v>
      </c>
      <c r="G1724" s="197" t="s">
        <v>3239</v>
      </c>
      <c r="H1724" s="198">
        <v>0.8</v>
      </c>
      <c r="I1724" s="199">
        <v>70000</v>
      </c>
      <c r="J1724" s="200" t="s">
        <v>2578</v>
      </c>
      <c r="K1724" s="200" t="s">
        <v>4855</v>
      </c>
      <c r="L1724" s="201">
        <v>0.4</v>
      </c>
      <c r="M1724" s="278" t="s">
        <v>2102</v>
      </c>
      <c r="N1724" s="205">
        <v>29166.69</v>
      </c>
      <c r="O1724" s="205">
        <v>29166.69</v>
      </c>
      <c r="P1724" s="254">
        <v>23333.35</v>
      </c>
      <c r="Q1724" s="254">
        <v>23333.35</v>
      </c>
      <c r="R1724" s="1262" t="s">
        <v>3866</v>
      </c>
      <c r="S1724" s="254">
        <v>11666.68</v>
      </c>
      <c r="T1724" s="204">
        <v>45195</v>
      </c>
      <c r="U1724" s="1262" t="s">
        <v>3109</v>
      </c>
      <c r="V1724" s="254">
        <v>5833.34</v>
      </c>
      <c r="W1724" s="203" t="s">
        <v>4457</v>
      </c>
      <c r="X1724" s="297">
        <v>5833.34</v>
      </c>
      <c r="Y1724" s="192"/>
    </row>
    <row r="1725" ht="37.5" customHeight="1" spans="1:25">
      <c r="A1725" s="192">
        <f t="shared" si="37"/>
        <v>1717</v>
      </c>
      <c r="B1725" s="208">
        <v>2023</v>
      </c>
      <c r="C1725" s="193" t="s">
        <v>37</v>
      </c>
      <c r="D1725" s="277" t="s">
        <v>5640</v>
      </c>
      <c r="E1725" s="195" t="s">
        <v>5694</v>
      </c>
      <c r="F1725" s="196" t="s">
        <v>2073</v>
      </c>
      <c r="G1725" s="197" t="s">
        <v>3239</v>
      </c>
      <c r="H1725" s="198">
        <v>0.8</v>
      </c>
      <c r="I1725" s="199">
        <v>18666.03</v>
      </c>
      <c r="J1725" s="200" t="s">
        <v>2578</v>
      </c>
      <c r="K1725" s="200" t="s">
        <v>4855</v>
      </c>
      <c r="L1725" s="201">
        <v>0.4</v>
      </c>
      <c r="M1725" s="278" t="s">
        <v>2690</v>
      </c>
      <c r="N1725" s="205">
        <v>790.22</v>
      </c>
      <c r="O1725" s="205">
        <v>790.22</v>
      </c>
      <c r="P1725" s="254">
        <v>632.18</v>
      </c>
      <c r="Q1725" s="254">
        <v>632.18</v>
      </c>
      <c r="R1725" s="1262" t="s">
        <v>3866</v>
      </c>
      <c r="S1725" s="254">
        <v>316.09</v>
      </c>
      <c r="T1725" s="204">
        <v>45195</v>
      </c>
      <c r="U1725" s="1262" t="s">
        <v>3109</v>
      </c>
      <c r="V1725" s="254">
        <v>158.04</v>
      </c>
      <c r="W1725" s="203" t="s">
        <v>4457</v>
      </c>
      <c r="X1725" s="297">
        <v>158.04</v>
      </c>
      <c r="Y1725" s="192"/>
    </row>
    <row r="1726" ht="37.5" customHeight="1" spans="1:25">
      <c r="A1726" s="192">
        <f t="shared" si="37"/>
        <v>1718</v>
      </c>
      <c r="B1726" s="208">
        <v>2023</v>
      </c>
      <c r="C1726" s="193" t="s">
        <v>37</v>
      </c>
      <c r="D1726" s="277" t="s">
        <v>5695</v>
      </c>
      <c r="E1726" s="195" t="s">
        <v>5696</v>
      </c>
      <c r="F1726" s="196" t="s">
        <v>2073</v>
      </c>
      <c r="G1726" s="197" t="s">
        <v>3239</v>
      </c>
      <c r="H1726" s="198">
        <v>0.8</v>
      </c>
      <c r="I1726" s="199">
        <v>88900</v>
      </c>
      <c r="J1726" s="200" t="s">
        <v>2589</v>
      </c>
      <c r="K1726" s="200" t="s">
        <v>3926</v>
      </c>
      <c r="L1726" s="201">
        <v>0.4</v>
      </c>
      <c r="M1726" s="278" t="s">
        <v>2204</v>
      </c>
      <c r="N1726" s="205">
        <v>88900</v>
      </c>
      <c r="O1726" s="205">
        <v>88900</v>
      </c>
      <c r="P1726" s="254">
        <v>71120</v>
      </c>
      <c r="Q1726" s="254">
        <v>71120</v>
      </c>
      <c r="R1726" s="1262" t="s">
        <v>3866</v>
      </c>
      <c r="S1726" s="254">
        <v>35560</v>
      </c>
      <c r="T1726" s="204">
        <v>45195</v>
      </c>
      <c r="U1726" s="1262" t="s">
        <v>3109</v>
      </c>
      <c r="V1726" s="254">
        <v>17780</v>
      </c>
      <c r="W1726" s="203" t="s">
        <v>4457</v>
      </c>
      <c r="X1726" s="297">
        <v>17780</v>
      </c>
      <c r="Y1726" s="192"/>
    </row>
    <row r="1727" ht="37.5" customHeight="1" spans="1:25">
      <c r="A1727" s="192">
        <f t="shared" si="37"/>
        <v>1719</v>
      </c>
      <c r="B1727" s="208">
        <v>2023</v>
      </c>
      <c r="C1727" s="193" t="s">
        <v>37</v>
      </c>
      <c r="D1727" s="277" t="s">
        <v>5612</v>
      </c>
      <c r="E1727" s="195" t="s">
        <v>5697</v>
      </c>
      <c r="F1727" s="196" t="s">
        <v>2073</v>
      </c>
      <c r="G1727" s="197" t="s">
        <v>3239</v>
      </c>
      <c r="H1727" s="198">
        <v>0.8</v>
      </c>
      <c r="I1727" s="199">
        <v>13100</v>
      </c>
      <c r="J1727" s="200" t="s">
        <v>2200</v>
      </c>
      <c r="K1727" s="200" t="s">
        <v>3702</v>
      </c>
      <c r="L1727" s="201">
        <v>0.4</v>
      </c>
      <c r="M1727" s="278" t="s">
        <v>2177</v>
      </c>
      <c r="N1727" s="205">
        <v>5458.38</v>
      </c>
      <c r="O1727" s="205">
        <v>5458.38</v>
      </c>
      <c r="P1727" s="254">
        <v>4366.7</v>
      </c>
      <c r="Q1727" s="254">
        <v>4366.7</v>
      </c>
      <c r="R1727" s="1262" t="s">
        <v>3866</v>
      </c>
      <c r="S1727" s="254">
        <v>2183.35</v>
      </c>
      <c r="T1727" s="204">
        <v>45195</v>
      </c>
      <c r="U1727" s="1262" t="s">
        <v>3109</v>
      </c>
      <c r="V1727" s="254">
        <v>1091.68</v>
      </c>
      <c r="W1727" s="203" t="s">
        <v>4457</v>
      </c>
      <c r="X1727" s="297">
        <v>1091.68</v>
      </c>
      <c r="Y1727" s="192"/>
    </row>
    <row r="1728" ht="37.5" customHeight="1" spans="1:25">
      <c r="A1728" s="192">
        <f t="shared" si="37"/>
        <v>1720</v>
      </c>
      <c r="B1728" s="208">
        <v>2023</v>
      </c>
      <c r="C1728" s="193" t="s">
        <v>37</v>
      </c>
      <c r="D1728" s="277" t="s">
        <v>5579</v>
      </c>
      <c r="E1728" s="195" t="s">
        <v>5698</v>
      </c>
      <c r="F1728" s="196" t="s">
        <v>2073</v>
      </c>
      <c r="G1728" s="197" t="s">
        <v>3239</v>
      </c>
      <c r="H1728" s="198">
        <v>0.8</v>
      </c>
      <c r="I1728" s="199">
        <v>15009.99</v>
      </c>
      <c r="J1728" s="200" t="s">
        <v>2200</v>
      </c>
      <c r="K1728" s="200" t="s">
        <v>3702</v>
      </c>
      <c r="L1728" s="201">
        <v>0.4</v>
      </c>
      <c r="M1728" s="278" t="s">
        <v>2850</v>
      </c>
      <c r="N1728" s="205">
        <v>1000.04</v>
      </c>
      <c r="O1728" s="205">
        <v>1000.04</v>
      </c>
      <c r="P1728" s="254">
        <v>800.04</v>
      </c>
      <c r="Q1728" s="254">
        <v>800.04</v>
      </c>
      <c r="R1728" s="1262" t="s">
        <v>3866</v>
      </c>
      <c r="S1728" s="254">
        <v>400.02</v>
      </c>
      <c r="T1728" s="204">
        <v>45195</v>
      </c>
      <c r="U1728" s="1262" t="s">
        <v>3109</v>
      </c>
      <c r="V1728" s="254">
        <v>200.01</v>
      </c>
      <c r="W1728" s="203" t="s">
        <v>4457</v>
      </c>
      <c r="X1728" s="297">
        <v>200.01</v>
      </c>
      <c r="Y1728" s="192"/>
    </row>
    <row r="1729" ht="37.5" customHeight="1" spans="1:25">
      <c r="A1729" s="192">
        <f t="shared" si="37"/>
        <v>1721</v>
      </c>
      <c r="B1729" s="208">
        <v>2023</v>
      </c>
      <c r="C1729" s="193" t="s">
        <v>37</v>
      </c>
      <c r="D1729" s="277" t="s">
        <v>5617</v>
      </c>
      <c r="E1729" s="195" t="s">
        <v>5699</v>
      </c>
      <c r="F1729" s="196" t="s">
        <v>2073</v>
      </c>
      <c r="G1729" s="197" t="s">
        <v>3239</v>
      </c>
      <c r="H1729" s="198">
        <v>0.8</v>
      </c>
      <c r="I1729" s="199">
        <v>16418.72</v>
      </c>
      <c r="J1729" s="200" t="s">
        <v>2466</v>
      </c>
      <c r="K1729" s="200" t="s">
        <v>4067</v>
      </c>
      <c r="L1729" s="201">
        <v>0.4</v>
      </c>
      <c r="M1729" s="278" t="s">
        <v>2116</v>
      </c>
      <c r="N1729" s="205">
        <v>750</v>
      </c>
      <c r="O1729" s="205">
        <v>750</v>
      </c>
      <c r="P1729" s="254">
        <v>600</v>
      </c>
      <c r="Q1729" s="254">
        <v>600</v>
      </c>
      <c r="R1729" s="1262" t="s">
        <v>3866</v>
      </c>
      <c r="S1729" s="254">
        <v>300</v>
      </c>
      <c r="T1729" s="204">
        <v>45195</v>
      </c>
      <c r="U1729" s="1262" t="s">
        <v>3109</v>
      </c>
      <c r="V1729" s="254">
        <v>150</v>
      </c>
      <c r="W1729" s="203" t="s">
        <v>4457</v>
      </c>
      <c r="X1729" s="297">
        <v>150</v>
      </c>
      <c r="Y1729" s="192"/>
    </row>
    <row r="1730" ht="37.5" customHeight="1" spans="1:25">
      <c r="A1730" s="192">
        <f t="shared" si="37"/>
        <v>1722</v>
      </c>
      <c r="B1730" s="208">
        <v>2023</v>
      </c>
      <c r="C1730" s="193" t="s">
        <v>37</v>
      </c>
      <c r="D1730" s="277" t="s">
        <v>5695</v>
      </c>
      <c r="E1730" s="195" t="s">
        <v>5700</v>
      </c>
      <c r="F1730" s="196" t="s">
        <v>2073</v>
      </c>
      <c r="G1730" s="197" t="s">
        <v>3239</v>
      </c>
      <c r="H1730" s="198">
        <v>0.8</v>
      </c>
      <c r="I1730" s="199">
        <v>39100</v>
      </c>
      <c r="J1730" s="200" t="s">
        <v>2021</v>
      </c>
      <c r="K1730" s="200" t="s">
        <v>3932</v>
      </c>
      <c r="L1730" s="201">
        <v>0.4</v>
      </c>
      <c r="M1730" s="278" t="s">
        <v>5210</v>
      </c>
      <c r="N1730" s="205">
        <v>20231.71</v>
      </c>
      <c r="O1730" s="205">
        <v>20231.71</v>
      </c>
      <c r="P1730" s="254">
        <v>16185.37</v>
      </c>
      <c r="Q1730" s="254">
        <v>16185.37</v>
      </c>
      <c r="R1730" s="1262" t="s">
        <v>3866</v>
      </c>
      <c r="S1730" s="254">
        <v>8092.68</v>
      </c>
      <c r="T1730" s="204">
        <v>45195</v>
      </c>
      <c r="U1730" s="1262" t="s">
        <v>3109</v>
      </c>
      <c r="V1730" s="254">
        <v>4046.34</v>
      </c>
      <c r="W1730" s="203" t="s">
        <v>4457</v>
      </c>
      <c r="X1730" s="297">
        <v>4046.34</v>
      </c>
      <c r="Y1730" s="192"/>
    </row>
    <row r="1731" ht="37.5" customHeight="1" spans="1:25">
      <c r="A1731" s="192">
        <f t="shared" si="37"/>
        <v>1723</v>
      </c>
      <c r="B1731" s="208">
        <v>2023</v>
      </c>
      <c r="C1731" s="193" t="s">
        <v>37</v>
      </c>
      <c r="D1731" s="277" t="s">
        <v>5701</v>
      </c>
      <c r="E1731" s="195" t="s">
        <v>5702</v>
      </c>
      <c r="F1731" s="196" t="s">
        <v>2073</v>
      </c>
      <c r="G1731" s="197" t="s">
        <v>3239</v>
      </c>
      <c r="H1731" s="198">
        <v>0.8</v>
      </c>
      <c r="I1731" s="199">
        <v>44000</v>
      </c>
      <c r="J1731" s="200" t="s">
        <v>2021</v>
      </c>
      <c r="K1731" s="200" t="s">
        <v>3932</v>
      </c>
      <c r="L1731" s="201">
        <v>0.4</v>
      </c>
      <c r="M1731" s="278" t="s">
        <v>2480</v>
      </c>
      <c r="N1731" s="205">
        <v>18333.38</v>
      </c>
      <c r="O1731" s="205">
        <v>18333.38</v>
      </c>
      <c r="P1731" s="254">
        <v>14666.7</v>
      </c>
      <c r="Q1731" s="254">
        <v>14666.7</v>
      </c>
      <c r="R1731" s="1262" t="s">
        <v>3866</v>
      </c>
      <c r="S1731" s="254">
        <v>7333.35</v>
      </c>
      <c r="T1731" s="204">
        <v>45195</v>
      </c>
      <c r="U1731" s="1262" t="s">
        <v>3109</v>
      </c>
      <c r="V1731" s="254">
        <v>3666.68</v>
      </c>
      <c r="W1731" s="203" t="s">
        <v>4457</v>
      </c>
      <c r="X1731" s="297">
        <v>3666.68</v>
      </c>
      <c r="Y1731" s="192"/>
    </row>
    <row r="1732" ht="37.5" customHeight="1" spans="1:25">
      <c r="A1732" s="192">
        <f t="shared" si="37"/>
        <v>1724</v>
      </c>
      <c r="B1732" s="208">
        <v>2023</v>
      </c>
      <c r="C1732" s="193" t="s">
        <v>37</v>
      </c>
      <c r="D1732" s="277" t="s">
        <v>5667</v>
      </c>
      <c r="E1732" s="195" t="s">
        <v>5703</v>
      </c>
      <c r="F1732" s="196" t="s">
        <v>2073</v>
      </c>
      <c r="G1732" s="197" t="s">
        <v>3239</v>
      </c>
      <c r="H1732" s="198">
        <v>0.8</v>
      </c>
      <c r="I1732" s="199">
        <v>15941.38</v>
      </c>
      <c r="J1732" s="200" t="s">
        <v>2691</v>
      </c>
      <c r="K1732" s="200" t="s">
        <v>4465</v>
      </c>
      <c r="L1732" s="201">
        <v>0.4</v>
      </c>
      <c r="M1732" s="278" t="s">
        <v>3958</v>
      </c>
      <c r="N1732" s="205">
        <v>3450.04</v>
      </c>
      <c r="O1732" s="205">
        <v>3450.04</v>
      </c>
      <c r="P1732" s="254">
        <v>2760.03</v>
      </c>
      <c r="Q1732" s="254">
        <v>2760.03</v>
      </c>
      <c r="R1732" s="1262" t="s">
        <v>3866</v>
      </c>
      <c r="S1732" s="254">
        <v>1380.02</v>
      </c>
      <c r="T1732" s="204">
        <v>45195</v>
      </c>
      <c r="U1732" s="1262" t="s">
        <v>3109</v>
      </c>
      <c r="V1732" s="254">
        <v>690.01</v>
      </c>
      <c r="W1732" s="203" t="s">
        <v>4457</v>
      </c>
      <c r="X1732" s="297">
        <v>690.01</v>
      </c>
      <c r="Y1732" s="192"/>
    </row>
    <row r="1733" ht="37.5" customHeight="1" spans="1:25">
      <c r="A1733" s="192">
        <f t="shared" si="37"/>
        <v>1725</v>
      </c>
      <c r="B1733" s="208">
        <v>2023</v>
      </c>
      <c r="C1733" s="193" t="s">
        <v>37</v>
      </c>
      <c r="D1733" s="277" t="s">
        <v>5704</v>
      </c>
      <c r="E1733" s="195" t="s">
        <v>5705</v>
      </c>
      <c r="F1733" s="196" t="s">
        <v>2073</v>
      </c>
      <c r="G1733" s="197" t="s">
        <v>3239</v>
      </c>
      <c r="H1733" s="198">
        <v>0.8</v>
      </c>
      <c r="I1733" s="199">
        <v>18300.6</v>
      </c>
      <c r="J1733" s="200" t="s">
        <v>2691</v>
      </c>
      <c r="K1733" s="200" t="s">
        <v>4465</v>
      </c>
      <c r="L1733" s="201">
        <v>0.4</v>
      </c>
      <c r="M1733" s="278" t="s">
        <v>2107</v>
      </c>
      <c r="N1733" s="205">
        <v>2500</v>
      </c>
      <c r="O1733" s="205">
        <v>2500</v>
      </c>
      <c r="P1733" s="254">
        <v>2000</v>
      </c>
      <c r="Q1733" s="254">
        <v>2000</v>
      </c>
      <c r="R1733" s="1262" t="s">
        <v>3866</v>
      </c>
      <c r="S1733" s="254">
        <v>1000</v>
      </c>
      <c r="T1733" s="204">
        <v>45195</v>
      </c>
      <c r="U1733" s="1262" t="s">
        <v>3109</v>
      </c>
      <c r="V1733" s="254">
        <v>500</v>
      </c>
      <c r="W1733" s="203" t="s">
        <v>4457</v>
      </c>
      <c r="X1733" s="297">
        <v>500</v>
      </c>
      <c r="Y1733" s="192"/>
    </row>
    <row r="1734" ht="37.5" customHeight="1" spans="1:25">
      <c r="A1734" s="192">
        <f t="shared" si="37"/>
        <v>1726</v>
      </c>
      <c r="B1734" s="208">
        <v>2023</v>
      </c>
      <c r="C1734" s="193" t="s">
        <v>37</v>
      </c>
      <c r="D1734" s="277" t="s">
        <v>5581</v>
      </c>
      <c r="E1734" s="195" t="s">
        <v>5706</v>
      </c>
      <c r="F1734" s="196" t="s">
        <v>2073</v>
      </c>
      <c r="G1734" s="197" t="s">
        <v>3239</v>
      </c>
      <c r="H1734" s="198">
        <v>0.8</v>
      </c>
      <c r="I1734" s="199">
        <v>18000</v>
      </c>
      <c r="J1734" s="200" t="s">
        <v>2559</v>
      </c>
      <c r="K1734" s="200" t="s">
        <v>4076</v>
      </c>
      <c r="L1734" s="201">
        <v>0.4</v>
      </c>
      <c r="M1734" s="278" t="s">
        <v>2177</v>
      </c>
      <c r="N1734" s="205">
        <v>3750</v>
      </c>
      <c r="O1734" s="205">
        <v>3750</v>
      </c>
      <c r="P1734" s="254">
        <v>3000</v>
      </c>
      <c r="Q1734" s="254">
        <v>3000</v>
      </c>
      <c r="R1734" s="1262" t="s">
        <v>3866</v>
      </c>
      <c r="S1734" s="254">
        <v>1500</v>
      </c>
      <c r="T1734" s="204">
        <v>45195</v>
      </c>
      <c r="U1734" s="1262" t="s">
        <v>3109</v>
      </c>
      <c r="V1734" s="254">
        <v>750</v>
      </c>
      <c r="W1734" s="203" t="s">
        <v>4457</v>
      </c>
      <c r="X1734" s="297">
        <v>750</v>
      </c>
      <c r="Y1734" s="192"/>
    </row>
    <row r="1735" ht="37.5" customHeight="1" spans="1:25">
      <c r="A1735" s="192">
        <f t="shared" si="37"/>
        <v>1727</v>
      </c>
      <c r="B1735" s="208">
        <v>2023</v>
      </c>
      <c r="C1735" s="193" t="s">
        <v>37</v>
      </c>
      <c r="D1735" s="277" t="s">
        <v>5707</v>
      </c>
      <c r="E1735" s="195" t="s">
        <v>5708</v>
      </c>
      <c r="F1735" s="196" t="s">
        <v>2073</v>
      </c>
      <c r="G1735" s="197" t="s">
        <v>3239</v>
      </c>
      <c r="H1735" s="198">
        <v>0.8</v>
      </c>
      <c r="I1735" s="199">
        <v>11250</v>
      </c>
      <c r="J1735" s="200" t="s">
        <v>2672</v>
      </c>
      <c r="K1735" s="200" t="s">
        <v>3934</v>
      </c>
      <c r="L1735" s="201">
        <v>0.4</v>
      </c>
      <c r="M1735" s="278" t="s">
        <v>2169</v>
      </c>
      <c r="N1735" s="205">
        <v>11250</v>
      </c>
      <c r="O1735" s="205">
        <v>11250</v>
      </c>
      <c r="P1735" s="254">
        <v>9000</v>
      </c>
      <c r="Q1735" s="254">
        <v>9000</v>
      </c>
      <c r="R1735" s="1262" t="s">
        <v>3866</v>
      </c>
      <c r="S1735" s="254">
        <v>4500</v>
      </c>
      <c r="T1735" s="204">
        <v>45195</v>
      </c>
      <c r="U1735" s="1262" t="s">
        <v>3109</v>
      </c>
      <c r="V1735" s="254">
        <v>2250</v>
      </c>
      <c r="W1735" s="203" t="s">
        <v>4457</v>
      </c>
      <c r="X1735" s="297">
        <v>2250</v>
      </c>
      <c r="Y1735" s="192"/>
    </row>
    <row r="1736" ht="37.5" customHeight="1" spans="1:25">
      <c r="A1736" s="192">
        <f t="shared" si="37"/>
        <v>1728</v>
      </c>
      <c r="B1736" s="208">
        <v>2023</v>
      </c>
      <c r="C1736" s="193" t="s">
        <v>37</v>
      </c>
      <c r="D1736" s="277" t="s">
        <v>5640</v>
      </c>
      <c r="E1736" s="195" t="s">
        <v>5709</v>
      </c>
      <c r="F1736" s="196" t="s">
        <v>2073</v>
      </c>
      <c r="G1736" s="197" t="s">
        <v>3239</v>
      </c>
      <c r="H1736" s="198">
        <v>0.8</v>
      </c>
      <c r="I1736" s="199">
        <v>18666.03</v>
      </c>
      <c r="J1736" s="200" t="s">
        <v>3491</v>
      </c>
      <c r="K1736" s="200" t="s">
        <v>3936</v>
      </c>
      <c r="L1736" s="201">
        <v>0.4</v>
      </c>
      <c r="M1736" s="278" t="s">
        <v>2690</v>
      </c>
      <c r="N1736" s="205">
        <v>400.04</v>
      </c>
      <c r="O1736" s="205">
        <v>400.04</v>
      </c>
      <c r="P1736" s="254">
        <v>320.03</v>
      </c>
      <c r="Q1736" s="254">
        <v>320.03</v>
      </c>
      <c r="R1736" s="1262" t="s">
        <v>3866</v>
      </c>
      <c r="S1736" s="254">
        <v>160.02</v>
      </c>
      <c r="T1736" s="204">
        <v>45195</v>
      </c>
      <c r="U1736" s="1262" t="s">
        <v>3109</v>
      </c>
      <c r="V1736" s="254">
        <v>80.01</v>
      </c>
      <c r="W1736" s="203" t="s">
        <v>4457</v>
      </c>
      <c r="X1736" s="297">
        <v>80.01</v>
      </c>
      <c r="Y1736" s="192"/>
    </row>
    <row r="1737" ht="37.5" customHeight="1" spans="1:25">
      <c r="A1737" s="192">
        <f t="shared" si="37"/>
        <v>1729</v>
      </c>
      <c r="B1737" s="208">
        <v>2023</v>
      </c>
      <c r="C1737" s="193" t="s">
        <v>37</v>
      </c>
      <c r="D1737" s="277" t="s">
        <v>5710</v>
      </c>
      <c r="E1737" s="195" t="s">
        <v>5711</v>
      </c>
      <c r="F1737" s="196" t="s">
        <v>2073</v>
      </c>
      <c r="G1737" s="197" t="s">
        <v>3239</v>
      </c>
      <c r="H1737" s="198">
        <v>0.8</v>
      </c>
      <c r="I1737" s="199">
        <v>30000</v>
      </c>
      <c r="J1737" s="200" t="s">
        <v>1875</v>
      </c>
      <c r="K1737" s="200" t="s">
        <v>5712</v>
      </c>
      <c r="L1737" s="201">
        <v>0.4</v>
      </c>
      <c r="M1737" s="278" t="s">
        <v>2159</v>
      </c>
      <c r="N1737" s="205">
        <v>15000</v>
      </c>
      <c r="O1737" s="205">
        <v>15000</v>
      </c>
      <c r="P1737" s="254">
        <v>12000</v>
      </c>
      <c r="Q1737" s="254">
        <v>12000</v>
      </c>
      <c r="R1737" s="1262" t="s">
        <v>3866</v>
      </c>
      <c r="S1737" s="254">
        <v>6000</v>
      </c>
      <c r="T1737" s="204">
        <v>45195</v>
      </c>
      <c r="U1737" s="1262" t="s">
        <v>3109</v>
      </c>
      <c r="V1737" s="254">
        <v>3000</v>
      </c>
      <c r="W1737" s="203" t="s">
        <v>4457</v>
      </c>
      <c r="X1737" s="297">
        <v>3000</v>
      </c>
      <c r="Y1737" s="192"/>
    </row>
    <row r="1738" ht="37.5" customHeight="1" spans="1:25">
      <c r="A1738" s="192">
        <f t="shared" si="37"/>
        <v>1730</v>
      </c>
      <c r="B1738" s="208">
        <v>2023</v>
      </c>
      <c r="C1738" s="193" t="s">
        <v>37</v>
      </c>
      <c r="D1738" s="277" t="s">
        <v>5608</v>
      </c>
      <c r="E1738" s="195" t="s">
        <v>5713</v>
      </c>
      <c r="F1738" s="196" t="s">
        <v>2073</v>
      </c>
      <c r="G1738" s="197" t="s">
        <v>3239</v>
      </c>
      <c r="H1738" s="198">
        <v>0.8</v>
      </c>
      <c r="I1738" s="199">
        <v>62000</v>
      </c>
      <c r="J1738" s="200" t="s">
        <v>2737</v>
      </c>
      <c r="K1738" s="200" t="s">
        <v>4877</v>
      </c>
      <c r="L1738" s="201">
        <v>0.4</v>
      </c>
      <c r="M1738" s="278" t="s">
        <v>2136</v>
      </c>
      <c r="N1738" s="205">
        <v>31000.04</v>
      </c>
      <c r="O1738" s="205">
        <v>31000.04</v>
      </c>
      <c r="P1738" s="254">
        <v>24800.03</v>
      </c>
      <c r="Q1738" s="254">
        <v>24800.03</v>
      </c>
      <c r="R1738" s="1262" t="s">
        <v>3866</v>
      </c>
      <c r="S1738" s="254">
        <v>12400.02</v>
      </c>
      <c r="T1738" s="204">
        <v>45195</v>
      </c>
      <c r="U1738" s="1262" t="s">
        <v>3109</v>
      </c>
      <c r="V1738" s="254">
        <v>6200.01</v>
      </c>
      <c r="W1738" s="203" t="s">
        <v>4457</v>
      </c>
      <c r="X1738" s="297">
        <v>6200.01</v>
      </c>
      <c r="Y1738" s="192"/>
    </row>
    <row r="1739" ht="37.5" customHeight="1" spans="1:25">
      <c r="A1739" s="192">
        <f t="shared" si="37"/>
        <v>1731</v>
      </c>
      <c r="B1739" s="208">
        <v>2023</v>
      </c>
      <c r="C1739" s="193" t="s">
        <v>37</v>
      </c>
      <c r="D1739" s="277" t="s">
        <v>3138</v>
      </c>
      <c r="E1739" s="195" t="s">
        <v>5714</v>
      </c>
      <c r="F1739" s="196" t="s">
        <v>2073</v>
      </c>
      <c r="G1739" s="197" t="s">
        <v>3239</v>
      </c>
      <c r="H1739" s="198">
        <v>0.8</v>
      </c>
      <c r="I1739" s="199">
        <v>17100</v>
      </c>
      <c r="J1739" s="200" t="s">
        <v>2572</v>
      </c>
      <c r="K1739" s="200" t="s">
        <v>5715</v>
      </c>
      <c r="L1739" s="201">
        <v>0.4</v>
      </c>
      <c r="M1739" s="278" t="s">
        <v>2367</v>
      </c>
      <c r="N1739" s="205">
        <v>12011.19</v>
      </c>
      <c r="O1739" s="205">
        <v>12011.19</v>
      </c>
      <c r="P1739" s="254">
        <v>9608.95</v>
      </c>
      <c r="Q1739" s="254">
        <v>9608.95</v>
      </c>
      <c r="R1739" s="1262" t="s">
        <v>3866</v>
      </c>
      <c r="S1739" s="254">
        <v>4804.48</v>
      </c>
      <c r="T1739" s="204">
        <v>45195</v>
      </c>
      <c r="U1739" s="1262" t="s">
        <v>3109</v>
      </c>
      <c r="V1739" s="254">
        <v>2402.24</v>
      </c>
      <c r="W1739" s="203" t="s">
        <v>4457</v>
      </c>
      <c r="X1739" s="297">
        <v>2402.24</v>
      </c>
      <c r="Y1739" s="192"/>
    </row>
    <row r="1740" ht="37.5" customHeight="1" spans="1:25">
      <c r="A1740" s="192">
        <f t="shared" si="37"/>
        <v>1732</v>
      </c>
      <c r="B1740" s="208">
        <v>2023</v>
      </c>
      <c r="C1740" s="193" t="s">
        <v>37</v>
      </c>
      <c r="D1740" s="277" t="s">
        <v>5716</v>
      </c>
      <c r="E1740" s="195" t="s">
        <v>5717</v>
      </c>
      <c r="F1740" s="196" t="s">
        <v>2073</v>
      </c>
      <c r="G1740" s="197" t="s">
        <v>3239</v>
      </c>
      <c r="H1740" s="198">
        <v>0.8</v>
      </c>
      <c r="I1740" s="199">
        <v>20000</v>
      </c>
      <c r="J1740" s="200" t="s">
        <v>3495</v>
      </c>
      <c r="K1740" s="200" t="s">
        <v>4475</v>
      </c>
      <c r="L1740" s="201">
        <v>0.4</v>
      </c>
      <c r="M1740" s="278" t="s">
        <v>4928</v>
      </c>
      <c r="N1740" s="205">
        <v>10000.04</v>
      </c>
      <c r="O1740" s="205">
        <v>10000.04</v>
      </c>
      <c r="P1740" s="254">
        <v>8000.03</v>
      </c>
      <c r="Q1740" s="254">
        <v>8000.03</v>
      </c>
      <c r="R1740" s="1262" t="s">
        <v>3866</v>
      </c>
      <c r="S1740" s="254">
        <v>4000.02</v>
      </c>
      <c r="T1740" s="204">
        <v>45195</v>
      </c>
      <c r="U1740" s="1262" t="s">
        <v>3109</v>
      </c>
      <c r="V1740" s="254">
        <v>2000.01</v>
      </c>
      <c r="W1740" s="203" t="s">
        <v>4457</v>
      </c>
      <c r="X1740" s="297">
        <v>2000.01</v>
      </c>
      <c r="Y1740" s="192"/>
    </row>
    <row r="1741" ht="37.5" customHeight="1" spans="1:25">
      <c r="A1741" s="192">
        <f t="shared" si="37"/>
        <v>1733</v>
      </c>
      <c r="B1741" s="208">
        <v>2023</v>
      </c>
      <c r="C1741" s="193" t="s">
        <v>37</v>
      </c>
      <c r="D1741" s="277" t="s">
        <v>5682</v>
      </c>
      <c r="E1741" s="195" t="s">
        <v>5718</v>
      </c>
      <c r="F1741" s="196" t="s">
        <v>2073</v>
      </c>
      <c r="G1741" s="197" t="s">
        <v>3239</v>
      </c>
      <c r="H1741" s="198">
        <v>0.8</v>
      </c>
      <c r="I1741" s="199">
        <v>30000</v>
      </c>
      <c r="J1741" s="200" t="s">
        <v>2710</v>
      </c>
      <c r="K1741" s="200" t="s">
        <v>5719</v>
      </c>
      <c r="L1741" s="201">
        <v>0.4</v>
      </c>
      <c r="M1741" s="278" t="s">
        <v>2148</v>
      </c>
      <c r="N1741" s="205">
        <v>8571.43</v>
      </c>
      <c r="O1741" s="205">
        <v>8571.43</v>
      </c>
      <c r="P1741" s="254">
        <v>6857.14</v>
      </c>
      <c r="Q1741" s="254">
        <v>6857.14</v>
      </c>
      <c r="R1741" s="1262" t="s">
        <v>3866</v>
      </c>
      <c r="S1741" s="254">
        <v>3428.57</v>
      </c>
      <c r="T1741" s="204">
        <v>45195</v>
      </c>
      <c r="U1741" s="1262" t="s">
        <v>3109</v>
      </c>
      <c r="V1741" s="254">
        <v>1714.29</v>
      </c>
      <c r="W1741" s="203" t="s">
        <v>4457</v>
      </c>
      <c r="X1741" s="297">
        <v>1714.29</v>
      </c>
      <c r="Y1741" s="192"/>
    </row>
    <row r="1742" ht="37.5" customHeight="1" spans="1:25">
      <c r="A1742" s="192">
        <f t="shared" si="37"/>
        <v>1734</v>
      </c>
      <c r="B1742" s="208">
        <v>2023</v>
      </c>
      <c r="C1742" s="193" t="s">
        <v>37</v>
      </c>
      <c r="D1742" s="277" t="s">
        <v>5476</v>
      </c>
      <c r="E1742" s="195" t="s">
        <v>5720</v>
      </c>
      <c r="F1742" s="196" t="s">
        <v>2073</v>
      </c>
      <c r="G1742" s="197" t="s">
        <v>3239</v>
      </c>
      <c r="H1742" s="198">
        <v>0.8</v>
      </c>
      <c r="I1742" s="199">
        <v>50000</v>
      </c>
      <c r="J1742" s="200" t="s">
        <v>2803</v>
      </c>
      <c r="K1742" s="200" t="s">
        <v>4888</v>
      </c>
      <c r="L1742" s="201">
        <v>0.4</v>
      </c>
      <c r="M1742" s="278" t="s">
        <v>2364</v>
      </c>
      <c r="N1742" s="205">
        <v>25000.04</v>
      </c>
      <c r="O1742" s="205">
        <v>25000.04</v>
      </c>
      <c r="P1742" s="254">
        <v>20000.03</v>
      </c>
      <c r="Q1742" s="254">
        <v>20000.03</v>
      </c>
      <c r="R1742" s="1262" t="s">
        <v>3866</v>
      </c>
      <c r="S1742" s="254">
        <v>10000.02</v>
      </c>
      <c r="T1742" s="204">
        <v>45195</v>
      </c>
      <c r="U1742" s="1262" t="s">
        <v>3109</v>
      </c>
      <c r="V1742" s="254">
        <v>5000.01</v>
      </c>
      <c r="W1742" s="203" t="s">
        <v>4457</v>
      </c>
      <c r="X1742" s="297">
        <v>5000.01</v>
      </c>
      <c r="Y1742" s="192"/>
    </row>
    <row r="1743" ht="37.5" customHeight="1" spans="1:25">
      <c r="A1743" s="192">
        <f t="shared" si="37"/>
        <v>1735</v>
      </c>
      <c r="B1743" s="208">
        <v>2023</v>
      </c>
      <c r="C1743" s="193" t="s">
        <v>37</v>
      </c>
      <c r="D1743" s="277" t="s">
        <v>5721</v>
      </c>
      <c r="E1743" s="195" t="s">
        <v>5722</v>
      </c>
      <c r="F1743" s="196" t="s">
        <v>2073</v>
      </c>
      <c r="G1743" s="197" t="s">
        <v>3239</v>
      </c>
      <c r="H1743" s="198">
        <v>0.8</v>
      </c>
      <c r="I1743" s="199">
        <v>30000</v>
      </c>
      <c r="J1743" s="200" t="s">
        <v>2695</v>
      </c>
      <c r="K1743" s="200" t="s">
        <v>3938</v>
      </c>
      <c r="L1743" s="201">
        <v>0.4</v>
      </c>
      <c r="M1743" s="278" t="s">
        <v>2173</v>
      </c>
      <c r="N1743" s="205">
        <v>15000</v>
      </c>
      <c r="O1743" s="205">
        <v>15000</v>
      </c>
      <c r="P1743" s="254">
        <v>12000</v>
      </c>
      <c r="Q1743" s="254">
        <v>12000</v>
      </c>
      <c r="R1743" s="1262" t="s">
        <v>3866</v>
      </c>
      <c r="S1743" s="254">
        <v>6000</v>
      </c>
      <c r="T1743" s="204">
        <v>45195</v>
      </c>
      <c r="U1743" s="1262" t="s">
        <v>3109</v>
      </c>
      <c r="V1743" s="254">
        <v>3000</v>
      </c>
      <c r="W1743" s="203" t="s">
        <v>4457</v>
      </c>
      <c r="X1743" s="297">
        <v>3000</v>
      </c>
      <c r="Y1743" s="192"/>
    </row>
    <row r="1744" ht="37.5" customHeight="1" spans="1:25">
      <c r="A1744" s="192">
        <f t="shared" si="37"/>
        <v>1736</v>
      </c>
      <c r="B1744" s="208">
        <v>2023</v>
      </c>
      <c r="C1744" s="193" t="s">
        <v>37</v>
      </c>
      <c r="D1744" s="277" t="s">
        <v>5701</v>
      </c>
      <c r="E1744" s="1280" t="s">
        <v>5723</v>
      </c>
      <c r="F1744" s="196" t="s">
        <v>2073</v>
      </c>
      <c r="G1744" s="197" t="s">
        <v>3239</v>
      </c>
      <c r="H1744" s="198">
        <v>0.8</v>
      </c>
      <c r="I1744" s="199">
        <v>105000</v>
      </c>
      <c r="J1744" s="200" t="s">
        <v>4942</v>
      </c>
      <c r="K1744" s="200" t="s">
        <v>4943</v>
      </c>
      <c r="L1744" s="201">
        <v>0.4</v>
      </c>
      <c r="M1744" s="278" t="s">
        <v>2630</v>
      </c>
      <c r="N1744" s="205">
        <v>39583.64</v>
      </c>
      <c r="O1744" s="205">
        <v>39583.64</v>
      </c>
      <c r="P1744" s="254">
        <v>31666.9</v>
      </c>
      <c r="Q1744" s="254">
        <v>31666.9</v>
      </c>
      <c r="R1744" s="1262" t="s">
        <v>3866</v>
      </c>
      <c r="S1744" s="254">
        <v>15833.46</v>
      </c>
      <c r="T1744" s="204">
        <v>45195</v>
      </c>
      <c r="U1744" s="1262" t="s">
        <v>3109</v>
      </c>
      <c r="V1744" s="254">
        <v>7916.73</v>
      </c>
      <c r="W1744" s="203" t="s">
        <v>4457</v>
      </c>
      <c r="X1744" s="297">
        <v>7916.73</v>
      </c>
      <c r="Y1744" s="192"/>
    </row>
    <row r="1745" ht="37.5" customHeight="1" spans="1:25">
      <c r="A1745" s="192">
        <f t="shared" si="37"/>
        <v>1737</v>
      </c>
      <c r="B1745" s="208">
        <v>2023</v>
      </c>
      <c r="C1745" s="193" t="s">
        <v>37</v>
      </c>
      <c r="D1745" s="277" t="s">
        <v>5635</v>
      </c>
      <c r="E1745" s="195" t="s">
        <v>5724</v>
      </c>
      <c r="F1745" s="196" t="s">
        <v>2073</v>
      </c>
      <c r="G1745" s="197" t="s">
        <v>3239</v>
      </c>
      <c r="H1745" s="198">
        <v>0.8</v>
      </c>
      <c r="I1745" s="199">
        <v>15873.67</v>
      </c>
      <c r="J1745" s="200" t="s">
        <v>4942</v>
      </c>
      <c r="K1745" s="200" t="s">
        <v>4943</v>
      </c>
      <c r="L1745" s="201">
        <v>0.4</v>
      </c>
      <c r="M1745" s="278" t="s">
        <v>2196</v>
      </c>
      <c r="N1745" s="205">
        <v>3280.51</v>
      </c>
      <c r="O1745" s="205">
        <v>3280.51</v>
      </c>
      <c r="P1745" s="254">
        <v>2624.41</v>
      </c>
      <c r="Q1745" s="254">
        <v>2624.41</v>
      </c>
      <c r="R1745" s="1262" t="s">
        <v>3866</v>
      </c>
      <c r="S1745" s="254">
        <v>1312.2</v>
      </c>
      <c r="T1745" s="204">
        <v>45195</v>
      </c>
      <c r="U1745" s="1262" t="s">
        <v>3109</v>
      </c>
      <c r="V1745" s="254">
        <v>656.1</v>
      </c>
      <c r="W1745" s="203" t="s">
        <v>4457</v>
      </c>
      <c r="X1745" s="297">
        <v>656.1</v>
      </c>
      <c r="Y1745" s="192"/>
    </row>
    <row r="1746" ht="37.5" customHeight="1" spans="1:25">
      <c r="A1746" s="192">
        <f t="shared" si="37"/>
        <v>1738</v>
      </c>
      <c r="B1746" s="208">
        <v>2023</v>
      </c>
      <c r="C1746" s="193" t="s">
        <v>37</v>
      </c>
      <c r="D1746" s="277" t="s">
        <v>5665</v>
      </c>
      <c r="E1746" s="195" t="s">
        <v>5725</v>
      </c>
      <c r="F1746" s="196" t="s">
        <v>2073</v>
      </c>
      <c r="G1746" s="197" t="s">
        <v>3239</v>
      </c>
      <c r="H1746" s="198">
        <v>0.8</v>
      </c>
      <c r="I1746" s="199">
        <v>30000</v>
      </c>
      <c r="J1746" s="200" t="s">
        <v>2304</v>
      </c>
      <c r="K1746" s="200" t="s">
        <v>3716</v>
      </c>
      <c r="L1746" s="201">
        <v>0.4</v>
      </c>
      <c r="M1746" s="278" t="s">
        <v>5601</v>
      </c>
      <c r="N1746" s="205">
        <v>9940.18</v>
      </c>
      <c r="O1746" s="205">
        <v>9940.18</v>
      </c>
      <c r="P1746" s="254">
        <v>7952.14</v>
      </c>
      <c r="Q1746" s="254">
        <v>7952.14</v>
      </c>
      <c r="R1746" s="1262" t="s">
        <v>3866</v>
      </c>
      <c r="S1746" s="254">
        <v>3976.07</v>
      </c>
      <c r="T1746" s="204">
        <v>45195</v>
      </c>
      <c r="U1746" s="1262" t="s">
        <v>3109</v>
      </c>
      <c r="V1746" s="254">
        <v>1988.04</v>
      </c>
      <c r="W1746" s="203" t="s">
        <v>4457</v>
      </c>
      <c r="X1746" s="297">
        <v>1988.04</v>
      </c>
      <c r="Y1746" s="192"/>
    </row>
    <row r="1747" ht="37.5" customHeight="1" spans="1:25">
      <c r="A1747" s="192">
        <f t="shared" si="37"/>
        <v>1739</v>
      </c>
      <c r="B1747" s="208">
        <v>2023</v>
      </c>
      <c r="C1747" s="193" t="s">
        <v>37</v>
      </c>
      <c r="D1747" s="277" t="s">
        <v>5635</v>
      </c>
      <c r="E1747" s="195" t="s">
        <v>5726</v>
      </c>
      <c r="F1747" s="196" t="s">
        <v>2073</v>
      </c>
      <c r="G1747" s="197" t="s">
        <v>3239</v>
      </c>
      <c r="H1747" s="198">
        <v>0.8</v>
      </c>
      <c r="I1747" s="199">
        <v>10860</v>
      </c>
      <c r="J1747" s="200" t="s">
        <v>2304</v>
      </c>
      <c r="K1747" s="200" t="s">
        <v>3716</v>
      </c>
      <c r="L1747" s="201">
        <v>0.4</v>
      </c>
      <c r="M1747" s="278" t="s">
        <v>2196</v>
      </c>
      <c r="N1747" s="205">
        <v>3498.13</v>
      </c>
      <c r="O1747" s="205">
        <v>3498.13</v>
      </c>
      <c r="P1747" s="254">
        <v>2798.5</v>
      </c>
      <c r="Q1747" s="254">
        <v>2798.5</v>
      </c>
      <c r="R1747" s="1262" t="s">
        <v>3866</v>
      </c>
      <c r="S1747" s="254">
        <v>1399.25</v>
      </c>
      <c r="T1747" s="204">
        <v>45195</v>
      </c>
      <c r="U1747" s="1262" t="s">
        <v>3109</v>
      </c>
      <c r="V1747" s="254">
        <v>699.63</v>
      </c>
      <c r="W1747" s="203" t="s">
        <v>4457</v>
      </c>
      <c r="X1747" s="297">
        <v>699.63</v>
      </c>
      <c r="Y1747" s="192"/>
    </row>
    <row r="1748" ht="37.5" customHeight="1" spans="1:25">
      <c r="A1748" s="192">
        <f t="shared" si="37"/>
        <v>1740</v>
      </c>
      <c r="B1748" s="208">
        <v>2023</v>
      </c>
      <c r="C1748" s="193" t="s">
        <v>37</v>
      </c>
      <c r="D1748" s="277" t="s">
        <v>5630</v>
      </c>
      <c r="E1748" s="195" t="s">
        <v>5727</v>
      </c>
      <c r="F1748" s="196" t="s">
        <v>2073</v>
      </c>
      <c r="G1748" s="197" t="s">
        <v>3239</v>
      </c>
      <c r="H1748" s="198">
        <v>0.8</v>
      </c>
      <c r="I1748" s="199">
        <v>10707.11</v>
      </c>
      <c r="J1748" s="200" t="s">
        <v>3719</v>
      </c>
      <c r="K1748" s="200" t="s">
        <v>3720</v>
      </c>
      <c r="L1748" s="201">
        <v>0.4</v>
      </c>
      <c r="M1748" s="278" t="s">
        <v>2124</v>
      </c>
      <c r="N1748" s="205">
        <v>2034</v>
      </c>
      <c r="O1748" s="205">
        <v>2034</v>
      </c>
      <c r="P1748" s="254">
        <v>1627.2</v>
      </c>
      <c r="Q1748" s="254">
        <v>1627.2</v>
      </c>
      <c r="R1748" s="1262" t="s">
        <v>3866</v>
      </c>
      <c r="S1748" s="254">
        <v>813.6</v>
      </c>
      <c r="T1748" s="204">
        <v>45195</v>
      </c>
      <c r="U1748" s="1262" t="s">
        <v>3109</v>
      </c>
      <c r="V1748" s="254">
        <v>406.8</v>
      </c>
      <c r="W1748" s="203" t="s">
        <v>4457</v>
      </c>
      <c r="X1748" s="297">
        <v>406.8</v>
      </c>
      <c r="Y1748" s="192"/>
    </row>
    <row r="1749" ht="37.5" customHeight="1" spans="1:25">
      <c r="A1749" s="192">
        <f t="shared" si="37"/>
        <v>1741</v>
      </c>
      <c r="B1749" s="208">
        <v>2023</v>
      </c>
      <c r="C1749" s="193" t="s">
        <v>37</v>
      </c>
      <c r="D1749" s="277" t="s">
        <v>5637</v>
      </c>
      <c r="E1749" s="195" t="s">
        <v>5728</v>
      </c>
      <c r="F1749" s="196" t="s">
        <v>2073</v>
      </c>
      <c r="G1749" s="197" t="s">
        <v>3239</v>
      </c>
      <c r="H1749" s="198">
        <v>0.8</v>
      </c>
      <c r="I1749" s="199">
        <v>38500</v>
      </c>
      <c r="J1749" s="200" t="s">
        <v>2289</v>
      </c>
      <c r="K1749" s="200" t="s">
        <v>5729</v>
      </c>
      <c r="L1749" s="201">
        <v>0.4</v>
      </c>
      <c r="M1749" s="278" t="s">
        <v>5601</v>
      </c>
      <c r="N1749" s="205">
        <v>26166.68</v>
      </c>
      <c r="O1749" s="205">
        <v>26166.68</v>
      </c>
      <c r="P1749" s="254">
        <v>20933.34</v>
      </c>
      <c r="Q1749" s="254">
        <v>20933.34</v>
      </c>
      <c r="R1749" s="1262" t="s">
        <v>3866</v>
      </c>
      <c r="S1749" s="254">
        <v>10466.67</v>
      </c>
      <c r="T1749" s="204">
        <v>45195</v>
      </c>
      <c r="U1749" s="1262" t="s">
        <v>3109</v>
      </c>
      <c r="V1749" s="254">
        <v>5233.34</v>
      </c>
      <c r="W1749" s="203" t="s">
        <v>4457</v>
      </c>
      <c r="X1749" s="297">
        <v>5233.34</v>
      </c>
      <c r="Y1749" s="192"/>
    </row>
    <row r="1750" ht="37.5" customHeight="1" spans="1:25">
      <c r="A1750" s="192">
        <f t="shared" si="37"/>
        <v>1742</v>
      </c>
      <c r="B1750" s="208">
        <v>2023</v>
      </c>
      <c r="C1750" s="193" t="s">
        <v>37</v>
      </c>
      <c r="D1750" s="277" t="s">
        <v>5608</v>
      </c>
      <c r="E1750" s="195" t="s">
        <v>5730</v>
      </c>
      <c r="F1750" s="196" t="s">
        <v>2073</v>
      </c>
      <c r="G1750" s="197" t="s">
        <v>3239</v>
      </c>
      <c r="H1750" s="198">
        <v>0.8</v>
      </c>
      <c r="I1750" s="199">
        <v>50000</v>
      </c>
      <c r="J1750" s="200" t="s">
        <v>2289</v>
      </c>
      <c r="K1750" s="200" t="s">
        <v>5729</v>
      </c>
      <c r="L1750" s="201">
        <v>0.4</v>
      </c>
      <c r="M1750" s="278" t="s">
        <v>2136</v>
      </c>
      <c r="N1750" s="205">
        <v>50000</v>
      </c>
      <c r="O1750" s="205">
        <v>50000</v>
      </c>
      <c r="P1750" s="254">
        <v>40000</v>
      </c>
      <c r="Q1750" s="254">
        <v>40000</v>
      </c>
      <c r="R1750" s="1262" t="s">
        <v>3866</v>
      </c>
      <c r="S1750" s="254">
        <v>20000</v>
      </c>
      <c r="T1750" s="204">
        <v>45195</v>
      </c>
      <c r="U1750" s="1262" t="s">
        <v>3109</v>
      </c>
      <c r="V1750" s="254">
        <v>10000</v>
      </c>
      <c r="W1750" s="203" t="s">
        <v>4457</v>
      </c>
      <c r="X1750" s="297">
        <v>10000</v>
      </c>
      <c r="Y1750" s="192"/>
    </row>
    <row r="1751" ht="37.5" customHeight="1" spans="1:25">
      <c r="A1751" s="192">
        <f t="shared" si="37"/>
        <v>1743</v>
      </c>
      <c r="B1751" s="208">
        <v>2023</v>
      </c>
      <c r="C1751" s="193" t="s">
        <v>37</v>
      </c>
      <c r="D1751" s="277" t="s">
        <v>5644</v>
      </c>
      <c r="E1751" s="195" t="s">
        <v>5731</v>
      </c>
      <c r="F1751" s="196" t="s">
        <v>2073</v>
      </c>
      <c r="G1751" s="197" t="s">
        <v>3239</v>
      </c>
      <c r="H1751" s="198">
        <v>0.8</v>
      </c>
      <c r="I1751" s="199">
        <v>20000</v>
      </c>
      <c r="J1751" s="200" t="s">
        <v>2368</v>
      </c>
      <c r="K1751" s="200" t="s">
        <v>2955</v>
      </c>
      <c r="L1751" s="201">
        <v>0.4</v>
      </c>
      <c r="M1751" s="278" t="s">
        <v>3693</v>
      </c>
      <c r="N1751" s="205">
        <v>6666.72</v>
      </c>
      <c r="O1751" s="205">
        <v>6666.72</v>
      </c>
      <c r="P1751" s="254">
        <v>5333.38</v>
      </c>
      <c r="Q1751" s="254">
        <v>5333.38</v>
      </c>
      <c r="R1751" s="1262" t="s">
        <v>3866</v>
      </c>
      <c r="S1751" s="254">
        <v>2666.69</v>
      </c>
      <c r="T1751" s="204">
        <v>45195</v>
      </c>
      <c r="U1751" s="1262" t="s">
        <v>3109</v>
      </c>
      <c r="V1751" s="254">
        <v>1333.34</v>
      </c>
      <c r="W1751" s="203" t="s">
        <v>4457</v>
      </c>
      <c r="X1751" s="297">
        <v>1333.34</v>
      </c>
      <c r="Y1751" s="192"/>
    </row>
    <row r="1752" ht="37.5" customHeight="1" spans="1:25">
      <c r="A1752" s="192">
        <f t="shared" si="37"/>
        <v>1744</v>
      </c>
      <c r="B1752" s="208">
        <v>2023</v>
      </c>
      <c r="C1752" s="193" t="s">
        <v>37</v>
      </c>
      <c r="D1752" s="277" t="s">
        <v>5682</v>
      </c>
      <c r="E1752" s="195" t="s">
        <v>5732</v>
      </c>
      <c r="F1752" s="196" t="s">
        <v>2073</v>
      </c>
      <c r="G1752" s="197" t="s">
        <v>3239</v>
      </c>
      <c r="H1752" s="198">
        <v>0.8</v>
      </c>
      <c r="I1752" s="199">
        <v>19000</v>
      </c>
      <c r="J1752" s="200" t="s">
        <v>2338</v>
      </c>
      <c r="K1752" s="200" t="s">
        <v>3455</v>
      </c>
      <c r="L1752" s="201">
        <v>0.4</v>
      </c>
      <c r="M1752" s="278" t="s">
        <v>2148</v>
      </c>
      <c r="N1752" s="205">
        <v>5360</v>
      </c>
      <c r="O1752" s="205">
        <v>5360</v>
      </c>
      <c r="P1752" s="254">
        <v>4288</v>
      </c>
      <c r="Q1752" s="254">
        <v>4288</v>
      </c>
      <c r="R1752" s="1262" t="s">
        <v>3866</v>
      </c>
      <c r="S1752" s="254">
        <v>2144</v>
      </c>
      <c r="T1752" s="204">
        <v>45195</v>
      </c>
      <c r="U1752" s="1262" t="s">
        <v>3109</v>
      </c>
      <c r="V1752" s="254">
        <v>1072</v>
      </c>
      <c r="W1752" s="203" t="s">
        <v>4457</v>
      </c>
      <c r="X1752" s="297">
        <v>1072</v>
      </c>
      <c r="Y1752" s="192"/>
    </row>
    <row r="1753" ht="37.5" customHeight="1" spans="1:25">
      <c r="A1753" s="192">
        <f t="shared" si="37"/>
        <v>1745</v>
      </c>
      <c r="B1753" s="208">
        <v>2023</v>
      </c>
      <c r="C1753" s="193" t="s">
        <v>37</v>
      </c>
      <c r="D1753" s="277" t="s">
        <v>5652</v>
      </c>
      <c r="E1753" s="195" t="s">
        <v>5733</v>
      </c>
      <c r="F1753" s="196" t="s">
        <v>2073</v>
      </c>
      <c r="G1753" s="197" t="s">
        <v>3239</v>
      </c>
      <c r="H1753" s="198">
        <v>0.8</v>
      </c>
      <c r="I1753" s="199">
        <v>15039.84</v>
      </c>
      <c r="J1753" s="200" t="s">
        <v>4954</v>
      </c>
      <c r="K1753" s="200" t="s">
        <v>4955</v>
      </c>
      <c r="L1753" s="201">
        <v>0.4</v>
      </c>
      <c r="M1753" s="278" t="s">
        <v>2080</v>
      </c>
      <c r="N1753" s="205">
        <v>1000</v>
      </c>
      <c r="O1753" s="205">
        <v>1000</v>
      </c>
      <c r="P1753" s="254">
        <v>800</v>
      </c>
      <c r="Q1753" s="254">
        <v>800</v>
      </c>
      <c r="R1753" s="1262" t="s">
        <v>3866</v>
      </c>
      <c r="S1753" s="254">
        <v>400</v>
      </c>
      <c r="T1753" s="204">
        <v>45195</v>
      </c>
      <c r="U1753" s="1262" t="s">
        <v>3109</v>
      </c>
      <c r="V1753" s="254">
        <v>200</v>
      </c>
      <c r="W1753" s="203" t="s">
        <v>4457</v>
      </c>
      <c r="X1753" s="297">
        <v>200</v>
      </c>
      <c r="Y1753" s="192"/>
    </row>
    <row r="1754" ht="37.5" customHeight="1" spans="1:25">
      <c r="A1754" s="192">
        <f t="shared" si="37"/>
        <v>1746</v>
      </c>
      <c r="B1754" s="208">
        <v>2023</v>
      </c>
      <c r="C1754" s="193" t="s">
        <v>37</v>
      </c>
      <c r="D1754" s="277" t="s">
        <v>5688</v>
      </c>
      <c r="E1754" s="195" t="s">
        <v>5734</v>
      </c>
      <c r="F1754" s="196" t="s">
        <v>2073</v>
      </c>
      <c r="G1754" s="197" t="s">
        <v>3239</v>
      </c>
      <c r="H1754" s="198">
        <v>0.8</v>
      </c>
      <c r="I1754" s="199">
        <v>23000</v>
      </c>
      <c r="J1754" s="200" t="s">
        <v>2297</v>
      </c>
      <c r="K1754" s="200" t="s">
        <v>4172</v>
      </c>
      <c r="L1754" s="201">
        <v>0.4</v>
      </c>
      <c r="M1754" s="278" t="s">
        <v>2080</v>
      </c>
      <c r="N1754" s="205">
        <v>7666.72</v>
      </c>
      <c r="O1754" s="205">
        <v>7666.72</v>
      </c>
      <c r="P1754" s="254">
        <v>6133.38</v>
      </c>
      <c r="Q1754" s="254">
        <v>6133.38</v>
      </c>
      <c r="R1754" s="1262" t="s">
        <v>3866</v>
      </c>
      <c r="S1754" s="254">
        <v>3066.69</v>
      </c>
      <c r="T1754" s="204">
        <v>45195</v>
      </c>
      <c r="U1754" s="1262" t="s">
        <v>3109</v>
      </c>
      <c r="V1754" s="254">
        <v>1533.34</v>
      </c>
      <c r="W1754" s="203" t="s">
        <v>4457</v>
      </c>
      <c r="X1754" s="297">
        <v>1533.34</v>
      </c>
      <c r="Y1754" s="192"/>
    </row>
    <row r="1755" ht="37.5" customHeight="1" spans="1:25">
      <c r="A1755" s="192">
        <f t="shared" si="37"/>
        <v>1747</v>
      </c>
      <c r="B1755" s="208">
        <v>2023</v>
      </c>
      <c r="C1755" s="193" t="s">
        <v>37</v>
      </c>
      <c r="D1755" s="277" t="s">
        <v>4793</v>
      </c>
      <c r="E1755" s="195" t="s">
        <v>5735</v>
      </c>
      <c r="F1755" s="196" t="s">
        <v>2073</v>
      </c>
      <c r="G1755" s="197" t="s">
        <v>3239</v>
      </c>
      <c r="H1755" s="198">
        <v>0.8</v>
      </c>
      <c r="I1755" s="199">
        <v>17190.27</v>
      </c>
      <c r="J1755" s="200" t="s">
        <v>2413</v>
      </c>
      <c r="K1755" s="200" t="s">
        <v>4174</v>
      </c>
      <c r="L1755" s="201">
        <v>0.4</v>
      </c>
      <c r="M1755" s="278" t="s">
        <v>2462</v>
      </c>
      <c r="N1755" s="205">
        <v>1000</v>
      </c>
      <c r="O1755" s="205">
        <v>1000</v>
      </c>
      <c r="P1755" s="254">
        <v>800</v>
      </c>
      <c r="Q1755" s="254">
        <v>800</v>
      </c>
      <c r="R1755" s="1262" t="s">
        <v>3866</v>
      </c>
      <c r="S1755" s="254">
        <v>400</v>
      </c>
      <c r="T1755" s="204">
        <v>45195</v>
      </c>
      <c r="U1755" s="1262" t="s">
        <v>3109</v>
      </c>
      <c r="V1755" s="254">
        <v>200</v>
      </c>
      <c r="W1755" s="203" t="s">
        <v>4457</v>
      </c>
      <c r="X1755" s="297">
        <v>200</v>
      </c>
      <c r="Y1755" s="192"/>
    </row>
    <row r="1756" ht="37.5" customHeight="1" spans="1:25">
      <c r="A1756" s="192">
        <f t="shared" si="37"/>
        <v>1748</v>
      </c>
      <c r="B1756" s="208">
        <v>2023</v>
      </c>
      <c r="C1756" s="193" t="s">
        <v>37</v>
      </c>
      <c r="D1756" s="277" t="s">
        <v>5701</v>
      </c>
      <c r="E1756" s="195" t="s">
        <v>5736</v>
      </c>
      <c r="F1756" s="196" t="s">
        <v>2073</v>
      </c>
      <c r="G1756" s="197" t="s">
        <v>3239</v>
      </c>
      <c r="H1756" s="198">
        <v>0.8</v>
      </c>
      <c r="I1756" s="199">
        <v>158000</v>
      </c>
      <c r="J1756" s="200" t="s">
        <v>5247</v>
      </c>
      <c r="K1756" s="200" t="s">
        <v>5540</v>
      </c>
      <c r="L1756" s="201">
        <v>0.4</v>
      </c>
      <c r="M1756" s="278" t="s">
        <v>2630</v>
      </c>
      <c r="N1756" s="205">
        <v>47666.9</v>
      </c>
      <c r="O1756" s="205">
        <v>47666.9</v>
      </c>
      <c r="P1756" s="254">
        <v>38133.53</v>
      </c>
      <c r="Q1756" s="254">
        <v>38133.53</v>
      </c>
      <c r="R1756" s="1262" t="s">
        <v>3866</v>
      </c>
      <c r="S1756" s="254">
        <v>19066.76</v>
      </c>
      <c r="T1756" s="204">
        <v>45195</v>
      </c>
      <c r="U1756" s="1262" t="s">
        <v>3109</v>
      </c>
      <c r="V1756" s="254">
        <v>9533.38</v>
      </c>
      <c r="W1756" s="203" t="s">
        <v>4457</v>
      </c>
      <c r="X1756" s="297">
        <v>9533.38</v>
      </c>
      <c r="Y1756" s="192"/>
    </row>
    <row r="1757" ht="37.5" customHeight="1" spans="1:25">
      <c r="A1757" s="192">
        <f t="shared" si="37"/>
        <v>1749</v>
      </c>
      <c r="B1757" s="208">
        <v>2023</v>
      </c>
      <c r="C1757" s="193" t="s">
        <v>37</v>
      </c>
      <c r="D1757" s="277" t="s">
        <v>5612</v>
      </c>
      <c r="E1757" s="195" t="s">
        <v>5737</v>
      </c>
      <c r="F1757" s="196" t="s">
        <v>2073</v>
      </c>
      <c r="G1757" s="197" t="s">
        <v>3239</v>
      </c>
      <c r="H1757" s="198">
        <v>0.8</v>
      </c>
      <c r="I1757" s="199">
        <v>12110</v>
      </c>
      <c r="J1757" s="200" t="s">
        <v>2181</v>
      </c>
      <c r="K1757" s="200" t="s">
        <v>4967</v>
      </c>
      <c r="L1757" s="201">
        <v>0.4</v>
      </c>
      <c r="M1757" s="278" t="s">
        <v>2177</v>
      </c>
      <c r="N1757" s="205">
        <v>4036.72</v>
      </c>
      <c r="O1757" s="205">
        <v>4036.72</v>
      </c>
      <c r="P1757" s="254">
        <v>3229.38</v>
      </c>
      <c r="Q1757" s="254">
        <v>3229.38</v>
      </c>
      <c r="R1757" s="1262" t="s">
        <v>3866</v>
      </c>
      <c r="S1757" s="254">
        <v>1614.69</v>
      </c>
      <c r="T1757" s="204">
        <v>45195</v>
      </c>
      <c r="U1757" s="1262" t="s">
        <v>3109</v>
      </c>
      <c r="V1757" s="254">
        <v>807.34</v>
      </c>
      <c r="W1757" s="203" t="s">
        <v>4457</v>
      </c>
      <c r="X1757" s="297">
        <v>807.34</v>
      </c>
      <c r="Y1757" s="192"/>
    </row>
    <row r="1758" ht="37.5" customHeight="1" spans="1:25">
      <c r="A1758" s="192">
        <f t="shared" ref="A1758:A1821" si="38">ROW()-8</f>
        <v>1750</v>
      </c>
      <c r="B1758" s="208">
        <v>2023</v>
      </c>
      <c r="C1758" s="193" t="s">
        <v>37</v>
      </c>
      <c r="D1758" s="277" t="s">
        <v>5677</v>
      </c>
      <c r="E1758" s="195" t="s">
        <v>5738</v>
      </c>
      <c r="F1758" s="196" t="s">
        <v>2073</v>
      </c>
      <c r="G1758" s="197" t="s">
        <v>3239</v>
      </c>
      <c r="H1758" s="198">
        <v>0.8</v>
      </c>
      <c r="I1758" s="199">
        <v>18000</v>
      </c>
      <c r="J1758" s="200" t="s">
        <v>2642</v>
      </c>
      <c r="K1758" s="200" t="s">
        <v>4516</v>
      </c>
      <c r="L1758" s="201">
        <v>0.4</v>
      </c>
      <c r="M1758" s="278" t="s">
        <v>2124</v>
      </c>
      <c r="N1758" s="205">
        <v>10000</v>
      </c>
      <c r="O1758" s="205">
        <v>10000</v>
      </c>
      <c r="P1758" s="254">
        <v>8000</v>
      </c>
      <c r="Q1758" s="254">
        <v>8000</v>
      </c>
      <c r="R1758" s="1262" t="s">
        <v>3866</v>
      </c>
      <c r="S1758" s="254">
        <v>4000</v>
      </c>
      <c r="T1758" s="204">
        <v>45195</v>
      </c>
      <c r="U1758" s="1262" t="s">
        <v>3109</v>
      </c>
      <c r="V1758" s="254">
        <v>2000</v>
      </c>
      <c r="W1758" s="203" t="s">
        <v>4457</v>
      </c>
      <c r="X1758" s="297">
        <v>2000</v>
      </c>
      <c r="Y1758" s="192"/>
    </row>
    <row r="1759" ht="37.5" customHeight="1" spans="1:25">
      <c r="A1759" s="192">
        <f t="shared" si="38"/>
        <v>1751</v>
      </c>
      <c r="B1759" s="208">
        <v>2023</v>
      </c>
      <c r="C1759" s="193" t="s">
        <v>37</v>
      </c>
      <c r="D1759" s="277" t="s">
        <v>5682</v>
      </c>
      <c r="E1759" s="195" t="s">
        <v>5739</v>
      </c>
      <c r="F1759" s="196" t="s">
        <v>2073</v>
      </c>
      <c r="G1759" s="197" t="s">
        <v>3239</v>
      </c>
      <c r="H1759" s="198">
        <v>0.8</v>
      </c>
      <c r="I1759" s="199">
        <v>46000</v>
      </c>
      <c r="J1759" s="200" t="s">
        <v>3012</v>
      </c>
      <c r="K1759" s="200" t="s">
        <v>4901</v>
      </c>
      <c r="L1759" s="201">
        <v>0.4</v>
      </c>
      <c r="M1759" s="278" t="s">
        <v>2148</v>
      </c>
      <c r="N1759" s="205">
        <v>25200</v>
      </c>
      <c r="O1759" s="205">
        <v>25200</v>
      </c>
      <c r="P1759" s="254">
        <v>20160</v>
      </c>
      <c r="Q1759" s="254">
        <v>20160</v>
      </c>
      <c r="R1759" s="1262" t="s">
        <v>3866</v>
      </c>
      <c r="S1759" s="254">
        <v>10080</v>
      </c>
      <c r="T1759" s="204">
        <v>45195</v>
      </c>
      <c r="U1759" s="1262" t="s">
        <v>3109</v>
      </c>
      <c r="V1759" s="254">
        <v>5040</v>
      </c>
      <c r="W1759" s="203" t="s">
        <v>4457</v>
      </c>
      <c r="X1759" s="297">
        <v>5040</v>
      </c>
      <c r="Y1759" s="192"/>
    </row>
    <row r="1760" ht="37.5" customHeight="1" spans="1:25">
      <c r="A1760" s="192">
        <f t="shared" si="38"/>
        <v>1752</v>
      </c>
      <c r="B1760" s="208">
        <v>2023</v>
      </c>
      <c r="C1760" s="193" t="s">
        <v>37</v>
      </c>
      <c r="D1760" s="277" t="s">
        <v>5306</v>
      </c>
      <c r="E1760" s="195" t="s">
        <v>5740</v>
      </c>
      <c r="F1760" s="196" t="s">
        <v>2073</v>
      </c>
      <c r="G1760" s="197" t="s">
        <v>3239</v>
      </c>
      <c r="H1760" s="198">
        <v>0.8</v>
      </c>
      <c r="I1760" s="199">
        <v>16534.52</v>
      </c>
      <c r="J1760" s="200" t="s">
        <v>2916</v>
      </c>
      <c r="K1760" s="200" t="s">
        <v>5741</v>
      </c>
      <c r="L1760" s="201">
        <v>0.4</v>
      </c>
      <c r="M1760" s="278" t="s">
        <v>3946</v>
      </c>
      <c r="N1760" s="205">
        <v>58.35</v>
      </c>
      <c r="O1760" s="205">
        <v>58.35</v>
      </c>
      <c r="P1760" s="254">
        <v>46.68</v>
      </c>
      <c r="Q1760" s="254">
        <v>46.68</v>
      </c>
      <c r="R1760" s="1262" t="s">
        <v>3866</v>
      </c>
      <c r="S1760" s="254">
        <v>23.34</v>
      </c>
      <c r="T1760" s="204">
        <v>45195</v>
      </c>
      <c r="U1760" s="1262" t="s">
        <v>3109</v>
      </c>
      <c r="V1760" s="254">
        <v>11.67</v>
      </c>
      <c r="W1760" s="203" t="s">
        <v>4457</v>
      </c>
      <c r="X1760" s="297">
        <v>11.67</v>
      </c>
      <c r="Y1760" s="192"/>
    </row>
    <row r="1761" ht="37.5" customHeight="1" spans="1:25">
      <c r="A1761" s="192">
        <f t="shared" si="38"/>
        <v>1753</v>
      </c>
      <c r="B1761" s="208">
        <v>2023</v>
      </c>
      <c r="C1761" s="193" t="s">
        <v>37</v>
      </c>
      <c r="D1761" s="277" t="s">
        <v>5682</v>
      </c>
      <c r="E1761" s="195" t="s">
        <v>5742</v>
      </c>
      <c r="F1761" s="196" t="s">
        <v>2073</v>
      </c>
      <c r="G1761" s="197" t="s">
        <v>3239</v>
      </c>
      <c r="H1761" s="198">
        <v>0.8</v>
      </c>
      <c r="I1761" s="199">
        <v>137755</v>
      </c>
      <c r="J1761" s="200" t="s">
        <v>2938</v>
      </c>
      <c r="K1761" s="200" t="s">
        <v>5743</v>
      </c>
      <c r="L1761" s="201">
        <v>0.4</v>
      </c>
      <c r="M1761" s="278" t="s">
        <v>2148</v>
      </c>
      <c r="N1761" s="205">
        <v>74751.49</v>
      </c>
      <c r="O1761" s="205">
        <v>74751.49</v>
      </c>
      <c r="P1761" s="254">
        <v>59801.18</v>
      </c>
      <c r="Q1761" s="254">
        <v>59801.18</v>
      </c>
      <c r="R1761" s="1262" t="s">
        <v>3866</v>
      </c>
      <c r="S1761" s="254">
        <v>29900.6</v>
      </c>
      <c r="T1761" s="204">
        <v>45195</v>
      </c>
      <c r="U1761" s="1262" t="s">
        <v>3109</v>
      </c>
      <c r="V1761" s="254">
        <v>14950.3</v>
      </c>
      <c r="W1761" s="203" t="s">
        <v>4457</v>
      </c>
      <c r="X1761" s="297">
        <v>14950.3</v>
      </c>
      <c r="Y1761" s="192"/>
    </row>
    <row r="1762" ht="37.5" customHeight="1" spans="1:25">
      <c r="A1762" s="192">
        <f t="shared" si="38"/>
        <v>1754</v>
      </c>
      <c r="B1762" s="208">
        <v>2023</v>
      </c>
      <c r="C1762" s="193" t="s">
        <v>37</v>
      </c>
      <c r="D1762" s="277" t="s">
        <v>5744</v>
      </c>
      <c r="E1762" s="195" t="s">
        <v>5745</v>
      </c>
      <c r="F1762" s="196" t="s">
        <v>2073</v>
      </c>
      <c r="G1762" s="197" t="s">
        <v>3239</v>
      </c>
      <c r="H1762" s="198">
        <v>0.8</v>
      </c>
      <c r="I1762" s="199">
        <v>17000</v>
      </c>
      <c r="J1762" s="200" t="s">
        <v>2026</v>
      </c>
      <c r="K1762" s="200" t="s">
        <v>4539</v>
      </c>
      <c r="L1762" s="201">
        <v>0.4</v>
      </c>
      <c r="M1762" s="278" t="s">
        <v>2177</v>
      </c>
      <c r="N1762" s="205">
        <v>9907.63</v>
      </c>
      <c r="O1762" s="205">
        <v>9907.63</v>
      </c>
      <c r="P1762" s="254">
        <v>7926.1</v>
      </c>
      <c r="Q1762" s="254">
        <v>7926.1</v>
      </c>
      <c r="R1762" s="1262" t="s">
        <v>3866</v>
      </c>
      <c r="S1762" s="254">
        <v>3963.05</v>
      </c>
      <c r="T1762" s="204">
        <v>45195</v>
      </c>
      <c r="U1762" s="1262" t="s">
        <v>3109</v>
      </c>
      <c r="V1762" s="254">
        <v>1981.53</v>
      </c>
      <c r="W1762" s="203" t="s">
        <v>4457</v>
      </c>
      <c r="X1762" s="297">
        <v>1981.53</v>
      </c>
      <c r="Y1762" s="192"/>
    </row>
    <row r="1763" ht="37.5" customHeight="1" spans="1:25">
      <c r="A1763" s="192">
        <f t="shared" si="38"/>
        <v>1755</v>
      </c>
      <c r="B1763" s="208">
        <v>2023</v>
      </c>
      <c r="C1763" s="193" t="s">
        <v>37</v>
      </c>
      <c r="D1763" s="277" t="s">
        <v>5746</v>
      </c>
      <c r="E1763" s="195" t="s">
        <v>5747</v>
      </c>
      <c r="F1763" s="196" t="s">
        <v>2073</v>
      </c>
      <c r="G1763" s="197" t="s">
        <v>3239</v>
      </c>
      <c r="H1763" s="198">
        <v>0.8</v>
      </c>
      <c r="I1763" s="199">
        <v>15820</v>
      </c>
      <c r="J1763" s="200" t="s">
        <v>2968</v>
      </c>
      <c r="K1763" s="200" t="s">
        <v>4914</v>
      </c>
      <c r="L1763" s="201">
        <v>0.4</v>
      </c>
      <c r="M1763" s="278" t="s">
        <v>2177</v>
      </c>
      <c r="N1763" s="205">
        <v>10546.68</v>
      </c>
      <c r="O1763" s="205">
        <v>10546.68</v>
      </c>
      <c r="P1763" s="254">
        <v>8437.34</v>
      </c>
      <c r="Q1763" s="254">
        <v>8437.34</v>
      </c>
      <c r="R1763" s="1262" t="s">
        <v>3866</v>
      </c>
      <c r="S1763" s="254">
        <v>4218.67</v>
      </c>
      <c r="T1763" s="204">
        <v>45195</v>
      </c>
      <c r="U1763" s="1262" t="s">
        <v>3109</v>
      </c>
      <c r="V1763" s="254">
        <v>2109.34</v>
      </c>
      <c r="W1763" s="203" t="s">
        <v>4457</v>
      </c>
      <c r="X1763" s="297">
        <v>2109.34</v>
      </c>
      <c r="Y1763" s="192"/>
    </row>
    <row r="1764" ht="37.5" customHeight="1" spans="1:25">
      <c r="A1764" s="192">
        <f t="shared" si="38"/>
        <v>1756</v>
      </c>
      <c r="B1764" s="208">
        <v>2023</v>
      </c>
      <c r="C1764" s="193" t="s">
        <v>37</v>
      </c>
      <c r="D1764" s="277" t="s">
        <v>5677</v>
      </c>
      <c r="E1764" s="195" t="s">
        <v>5748</v>
      </c>
      <c r="F1764" s="196" t="s">
        <v>2073</v>
      </c>
      <c r="G1764" s="197" t="s">
        <v>3239</v>
      </c>
      <c r="H1764" s="198">
        <v>0.8</v>
      </c>
      <c r="I1764" s="199">
        <v>12800</v>
      </c>
      <c r="J1764" s="200" t="s">
        <v>2062</v>
      </c>
      <c r="K1764" s="200" t="s">
        <v>5488</v>
      </c>
      <c r="L1764" s="201">
        <v>0.4</v>
      </c>
      <c r="M1764" s="278" t="s">
        <v>2124</v>
      </c>
      <c r="N1764" s="205">
        <v>8533.36</v>
      </c>
      <c r="O1764" s="205">
        <v>8533.36</v>
      </c>
      <c r="P1764" s="254">
        <v>6826.69</v>
      </c>
      <c r="Q1764" s="254">
        <v>6826.69</v>
      </c>
      <c r="R1764" s="1262" t="s">
        <v>3866</v>
      </c>
      <c r="S1764" s="254">
        <v>3413.34</v>
      </c>
      <c r="T1764" s="204">
        <v>45195</v>
      </c>
      <c r="U1764" s="1262" t="s">
        <v>3109</v>
      </c>
      <c r="V1764" s="254">
        <v>1706.67</v>
      </c>
      <c r="W1764" s="203" t="s">
        <v>4457</v>
      </c>
      <c r="X1764" s="297">
        <v>1706.67</v>
      </c>
      <c r="Y1764" s="192"/>
    </row>
    <row r="1765" ht="37.5" customHeight="1" spans="1:25">
      <c r="A1765" s="192">
        <f t="shared" si="38"/>
        <v>1757</v>
      </c>
      <c r="B1765" s="208">
        <v>2023</v>
      </c>
      <c r="C1765" s="193" t="s">
        <v>37</v>
      </c>
      <c r="D1765" s="277" t="s">
        <v>5749</v>
      </c>
      <c r="E1765" s="195" t="s">
        <v>5750</v>
      </c>
      <c r="F1765" s="196" t="s">
        <v>2073</v>
      </c>
      <c r="G1765" s="197" t="s">
        <v>3239</v>
      </c>
      <c r="H1765" s="198">
        <v>0.8</v>
      </c>
      <c r="I1765" s="199">
        <v>80000</v>
      </c>
      <c r="J1765" s="200" t="s">
        <v>3218</v>
      </c>
      <c r="K1765" s="200" t="s">
        <v>5751</v>
      </c>
      <c r="L1765" s="201">
        <v>0.4</v>
      </c>
      <c r="M1765" s="278" t="s">
        <v>2075</v>
      </c>
      <c r="N1765" s="205">
        <v>59696.69</v>
      </c>
      <c r="O1765" s="205">
        <v>59696.69</v>
      </c>
      <c r="P1765" s="254">
        <v>47757.35</v>
      </c>
      <c r="Q1765" s="254">
        <v>47757.35</v>
      </c>
      <c r="R1765" s="1262" t="s">
        <v>3866</v>
      </c>
      <c r="S1765" s="254">
        <v>23878.68</v>
      </c>
      <c r="T1765" s="204">
        <v>45195</v>
      </c>
      <c r="U1765" s="1262" t="s">
        <v>3109</v>
      </c>
      <c r="V1765" s="254">
        <v>11939.34</v>
      </c>
      <c r="W1765" s="203" t="s">
        <v>4457</v>
      </c>
      <c r="X1765" s="297">
        <v>11939.34</v>
      </c>
      <c r="Y1765" s="192"/>
    </row>
    <row r="1766" ht="37.5" customHeight="1" spans="1:25">
      <c r="A1766" s="192">
        <f t="shared" si="38"/>
        <v>1758</v>
      </c>
      <c r="B1766" s="208">
        <v>2023</v>
      </c>
      <c r="C1766" s="193" t="s">
        <v>37</v>
      </c>
      <c r="D1766" s="277" t="s">
        <v>5162</v>
      </c>
      <c r="E1766" s="195" t="s">
        <v>5752</v>
      </c>
      <c r="F1766" s="196" t="s">
        <v>2073</v>
      </c>
      <c r="G1766" s="197" t="s">
        <v>3239</v>
      </c>
      <c r="H1766" s="198">
        <v>0.8</v>
      </c>
      <c r="I1766" s="199">
        <v>12024.85</v>
      </c>
      <c r="J1766" s="200" t="s">
        <v>3209</v>
      </c>
      <c r="K1766" s="200" t="s">
        <v>4622</v>
      </c>
      <c r="L1766" s="201">
        <v>0.4</v>
      </c>
      <c r="M1766" s="278" t="s">
        <v>2169</v>
      </c>
      <c r="N1766" s="205">
        <v>6666.68</v>
      </c>
      <c r="O1766" s="205">
        <v>6666.68</v>
      </c>
      <c r="P1766" s="254">
        <v>5333.34</v>
      </c>
      <c r="Q1766" s="254">
        <v>5333.34</v>
      </c>
      <c r="R1766" s="1262" t="s">
        <v>3866</v>
      </c>
      <c r="S1766" s="254">
        <v>2666.67</v>
      </c>
      <c r="T1766" s="204">
        <v>45195</v>
      </c>
      <c r="U1766" s="1262" t="s">
        <v>3109</v>
      </c>
      <c r="V1766" s="254">
        <v>1333.34</v>
      </c>
      <c r="W1766" s="203" t="s">
        <v>4457</v>
      </c>
      <c r="X1766" s="297">
        <v>1333.34</v>
      </c>
      <c r="Y1766" s="192"/>
    </row>
    <row r="1767" ht="37.5" customHeight="1" spans="1:25">
      <c r="A1767" s="192">
        <f t="shared" si="38"/>
        <v>1759</v>
      </c>
      <c r="B1767" s="208">
        <v>2023</v>
      </c>
      <c r="C1767" s="193" t="s">
        <v>37</v>
      </c>
      <c r="D1767" s="277" t="s">
        <v>5749</v>
      </c>
      <c r="E1767" s="195" t="s">
        <v>5753</v>
      </c>
      <c r="F1767" s="196" t="s">
        <v>2073</v>
      </c>
      <c r="G1767" s="197" t="s">
        <v>3239</v>
      </c>
      <c r="H1767" s="198">
        <v>0.8</v>
      </c>
      <c r="I1767" s="199">
        <v>57000</v>
      </c>
      <c r="J1767" s="200" t="s">
        <v>3761</v>
      </c>
      <c r="K1767" s="200" t="s">
        <v>5754</v>
      </c>
      <c r="L1767" s="201">
        <v>0.4</v>
      </c>
      <c r="M1767" s="278" t="s">
        <v>2075</v>
      </c>
      <c r="N1767" s="205">
        <v>48621</v>
      </c>
      <c r="O1767" s="205">
        <v>48621</v>
      </c>
      <c r="P1767" s="254">
        <v>38896.8</v>
      </c>
      <c r="Q1767" s="254">
        <v>38896.8</v>
      </c>
      <c r="R1767" s="1262" t="s">
        <v>3866</v>
      </c>
      <c r="S1767" s="254">
        <v>19448.4</v>
      </c>
      <c r="T1767" s="204">
        <v>45195</v>
      </c>
      <c r="U1767" s="1262" t="s">
        <v>3109</v>
      </c>
      <c r="V1767" s="254">
        <v>9724.2</v>
      </c>
      <c r="W1767" s="203" t="s">
        <v>4457</v>
      </c>
      <c r="X1767" s="297">
        <v>9724.2</v>
      </c>
      <c r="Y1767" s="192"/>
    </row>
    <row r="1768" ht="37.5" customHeight="1" spans="1:25">
      <c r="A1768" s="192">
        <f t="shared" si="38"/>
        <v>1760</v>
      </c>
      <c r="B1768" s="208">
        <v>2023</v>
      </c>
      <c r="C1768" s="193" t="s">
        <v>37</v>
      </c>
      <c r="D1768" s="277" t="s">
        <v>5755</v>
      </c>
      <c r="E1768" s="195" t="s">
        <v>5756</v>
      </c>
      <c r="F1768" s="196" t="s">
        <v>2073</v>
      </c>
      <c r="G1768" s="197" t="s">
        <v>3239</v>
      </c>
      <c r="H1768" s="198">
        <v>0.8</v>
      </c>
      <c r="I1768" s="199">
        <v>155000</v>
      </c>
      <c r="J1768" s="200" t="s">
        <v>3464</v>
      </c>
      <c r="K1768" s="200" t="s">
        <v>5757</v>
      </c>
      <c r="L1768" s="201">
        <v>0.4</v>
      </c>
      <c r="M1768" s="278" t="s">
        <v>2480</v>
      </c>
      <c r="N1768" s="205">
        <v>100151.53</v>
      </c>
      <c r="O1768" s="205">
        <v>100151.53</v>
      </c>
      <c r="P1768" s="254">
        <v>80121.23</v>
      </c>
      <c r="Q1768" s="254">
        <v>80121.23</v>
      </c>
      <c r="R1768" s="1262" t="s">
        <v>3866</v>
      </c>
      <c r="S1768" s="254">
        <v>40060.61</v>
      </c>
      <c r="T1768" s="204">
        <v>45195</v>
      </c>
      <c r="U1768" s="1262" t="s">
        <v>3109</v>
      </c>
      <c r="V1768" s="254">
        <v>20030.31</v>
      </c>
      <c r="W1768" s="203" t="s">
        <v>4457</v>
      </c>
      <c r="X1768" s="297">
        <v>20030.31</v>
      </c>
      <c r="Y1768" s="192"/>
    </row>
    <row r="1769" ht="37.5" customHeight="1" spans="1:25">
      <c r="A1769" s="192">
        <f t="shared" si="38"/>
        <v>1761</v>
      </c>
      <c r="B1769" s="208">
        <v>2023</v>
      </c>
      <c r="C1769" s="193" t="s">
        <v>37</v>
      </c>
      <c r="D1769" s="277" t="s">
        <v>5758</v>
      </c>
      <c r="E1769" s="195" t="s">
        <v>5759</v>
      </c>
      <c r="F1769" s="196" t="s">
        <v>2073</v>
      </c>
      <c r="G1769" s="197" t="s">
        <v>3239</v>
      </c>
      <c r="H1769" s="198">
        <v>0.8</v>
      </c>
      <c r="I1769" s="199">
        <v>250000</v>
      </c>
      <c r="J1769" s="200" t="s">
        <v>3804</v>
      </c>
      <c r="K1769" s="200" t="s">
        <v>4180</v>
      </c>
      <c r="L1769" s="201">
        <v>0.4</v>
      </c>
      <c r="M1769" s="278" t="s">
        <v>2148</v>
      </c>
      <c r="N1769" s="205">
        <v>181969.71</v>
      </c>
      <c r="O1769" s="205">
        <v>181969.71</v>
      </c>
      <c r="P1769" s="254">
        <v>145575.77</v>
      </c>
      <c r="Q1769" s="254">
        <v>145575.77</v>
      </c>
      <c r="R1769" s="1262" t="s">
        <v>3866</v>
      </c>
      <c r="S1769" s="254">
        <v>72787.88</v>
      </c>
      <c r="T1769" s="204">
        <v>45195</v>
      </c>
      <c r="U1769" s="1262" t="s">
        <v>3109</v>
      </c>
      <c r="V1769" s="254">
        <v>36393.94</v>
      </c>
      <c r="W1769" s="203" t="s">
        <v>4457</v>
      </c>
      <c r="X1769" s="297">
        <v>36393.94</v>
      </c>
      <c r="Y1769" s="192"/>
    </row>
    <row r="1770" ht="37.5" customHeight="1" spans="1:25">
      <c r="A1770" s="192">
        <f t="shared" si="38"/>
        <v>1762</v>
      </c>
      <c r="B1770" s="208">
        <v>2023</v>
      </c>
      <c r="C1770" s="193" t="s">
        <v>37</v>
      </c>
      <c r="D1770" s="277" t="s">
        <v>5746</v>
      </c>
      <c r="E1770" s="195" t="s">
        <v>5760</v>
      </c>
      <c r="F1770" s="196" t="s">
        <v>2073</v>
      </c>
      <c r="G1770" s="197" t="s">
        <v>3239</v>
      </c>
      <c r="H1770" s="198">
        <v>0.8</v>
      </c>
      <c r="I1770" s="199">
        <v>14328</v>
      </c>
      <c r="J1770" s="200" t="s">
        <v>3738</v>
      </c>
      <c r="K1770" s="200" t="s">
        <v>5761</v>
      </c>
      <c r="L1770" s="201">
        <v>0.4</v>
      </c>
      <c r="M1770" s="278" t="s">
        <v>2177</v>
      </c>
      <c r="N1770" s="205">
        <v>10746</v>
      </c>
      <c r="O1770" s="205">
        <v>10746</v>
      </c>
      <c r="P1770" s="254">
        <v>8596.8</v>
      </c>
      <c r="Q1770" s="254">
        <v>8596.8</v>
      </c>
      <c r="R1770" s="1262" t="s">
        <v>3866</v>
      </c>
      <c r="S1770" s="254">
        <v>4298.4</v>
      </c>
      <c r="T1770" s="204">
        <v>45195</v>
      </c>
      <c r="U1770" s="1262" t="s">
        <v>3109</v>
      </c>
      <c r="V1770" s="254">
        <v>2149.2</v>
      </c>
      <c r="W1770" s="203" t="s">
        <v>4457</v>
      </c>
      <c r="X1770" s="297">
        <v>2149.2</v>
      </c>
      <c r="Y1770" s="192"/>
    </row>
    <row r="1771" ht="37.5" customHeight="1" spans="1:25">
      <c r="A1771" s="192">
        <f t="shared" si="38"/>
        <v>1763</v>
      </c>
      <c r="B1771" s="208">
        <v>2023</v>
      </c>
      <c r="C1771" s="193" t="s">
        <v>37</v>
      </c>
      <c r="D1771" s="277" t="s">
        <v>5628</v>
      </c>
      <c r="E1771" s="195" t="s">
        <v>5762</v>
      </c>
      <c r="F1771" s="196" t="s">
        <v>2073</v>
      </c>
      <c r="G1771" s="197" t="s">
        <v>3239</v>
      </c>
      <c r="H1771" s="198">
        <v>0.8</v>
      </c>
      <c r="I1771" s="199">
        <v>20000</v>
      </c>
      <c r="J1771" s="200" t="s">
        <v>3793</v>
      </c>
      <c r="K1771" s="200" t="s">
        <v>5763</v>
      </c>
      <c r="L1771" s="201">
        <v>0.4</v>
      </c>
      <c r="M1771" s="278" t="s">
        <v>2136</v>
      </c>
      <c r="N1771" s="205">
        <v>16666.68</v>
      </c>
      <c r="O1771" s="205">
        <v>16666.68</v>
      </c>
      <c r="P1771" s="254">
        <v>13333.34</v>
      </c>
      <c r="Q1771" s="254">
        <v>13333.34</v>
      </c>
      <c r="R1771" s="1262" t="s">
        <v>3866</v>
      </c>
      <c r="S1771" s="254">
        <v>6666.67</v>
      </c>
      <c r="T1771" s="204">
        <v>45195</v>
      </c>
      <c r="U1771" s="1262" t="s">
        <v>3109</v>
      </c>
      <c r="V1771" s="254">
        <v>3333.34</v>
      </c>
      <c r="W1771" s="203" t="s">
        <v>4457</v>
      </c>
      <c r="X1771" s="297">
        <v>3333.34</v>
      </c>
      <c r="Y1771" s="192"/>
    </row>
    <row r="1772" ht="37.5" customHeight="1" spans="1:25">
      <c r="A1772" s="192">
        <f t="shared" si="38"/>
        <v>1764</v>
      </c>
      <c r="B1772" s="208">
        <v>2023</v>
      </c>
      <c r="C1772" s="193" t="s">
        <v>37</v>
      </c>
      <c r="D1772" s="277" t="s">
        <v>5764</v>
      </c>
      <c r="E1772" s="195" t="s">
        <v>5765</v>
      </c>
      <c r="F1772" s="196" t="s">
        <v>2073</v>
      </c>
      <c r="G1772" s="197" t="s">
        <v>3239</v>
      </c>
      <c r="H1772" s="198">
        <v>0.8</v>
      </c>
      <c r="I1772" s="199">
        <v>70000</v>
      </c>
      <c r="J1772" s="200" t="s">
        <v>2654</v>
      </c>
      <c r="K1772" s="200" t="s">
        <v>5766</v>
      </c>
      <c r="L1772" s="201">
        <v>0.4</v>
      </c>
      <c r="M1772" s="278" t="s">
        <v>2173</v>
      </c>
      <c r="N1772" s="205">
        <v>65833.34</v>
      </c>
      <c r="O1772" s="205">
        <v>65833.34</v>
      </c>
      <c r="P1772" s="254">
        <v>52666.68</v>
      </c>
      <c r="Q1772" s="254">
        <v>52666.68</v>
      </c>
      <c r="R1772" s="1262" t="s">
        <v>3866</v>
      </c>
      <c r="S1772" s="254">
        <v>26333.34</v>
      </c>
      <c r="T1772" s="204">
        <v>45195</v>
      </c>
      <c r="U1772" s="1262" t="s">
        <v>3109</v>
      </c>
      <c r="V1772" s="254">
        <v>13166.67</v>
      </c>
      <c r="W1772" s="203" t="s">
        <v>4457</v>
      </c>
      <c r="X1772" s="297">
        <v>13166.67</v>
      </c>
      <c r="Y1772" s="192"/>
    </row>
    <row r="1773" ht="37.5" customHeight="1" spans="1:25">
      <c r="A1773" s="192">
        <f t="shared" si="38"/>
        <v>1765</v>
      </c>
      <c r="B1773" s="208">
        <v>2023</v>
      </c>
      <c r="C1773" s="193" t="s">
        <v>37</v>
      </c>
      <c r="D1773" s="277" t="s">
        <v>5767</v>
      </c>
      <c r="E1773" s="195" t="s">
        <v>5768</v>
      </c>
      <c r="F1773" s="196" t="s">
        <v>2073</v>
      </c>
      <c r="G1773" s="197" t="s">
        <v>3239</v>
      </c>
      <c r="H1773" s="198">
        <v>0.8</v>
      </c>
      <c r="I1773" s="199">
        <v>12258.32</v>
      </c>
      <c r="J1773" s="200" t="s">
        <v>3735</v>
      </c>
      <c r="K1773" s="200" t="s">
        <v>5769</v>
      </c>
      <c r="L1773" s="201">
        <v>0.4</v>
      </c>
      <c r="M1773" s="278" t="s">
        <v>5210</v>
      </c>
      <c r="N1773" s="205">
        <v>3500</v>
      </c>
      <c r="O1773" s="205">
        <v>3500</v>
      </c>
      <c r="P1773" s="254">
        <v>2800</v>
      </c>
      <c r="Q1773" s="254">
        <v>2800</v>
      </c>
      <c r="R1773" s="1262" t="s">
        <v>3866</v>
      </c>
      <c r="S1773" s="254">
        <v>1400</v>
      </c>
      <c r="T1773" s="204">
        <v>45195</v>
      </c>
      <c r="U1773" s="1262" t="s">
        <v>3109</v>
      </c>
      <c r="V1773" s="254">
        <v>700</v>
      </c>
      <c r="W1773" s="203" t="s">
        <v>4457</v>
      </c>
      <c r="X1773" s="297">
        <v>700</v>
      </c>
      <c r="Y1773" s="192"/>
    </row>
    <row r="1774" ht="37.5" customHeight="1" spans="1:25">
      <c r="A1774" s="192">
        <f t="shared" si="38"/>
        <v>1766</v>
      </c>
      <c r="B1774" s="208">
        <v>2023</v>
      </c>
      <c r="C1774" s="193" t="s">
        <v>37</v>
      </c>
      <c r="D1774" s="277" t="s">
        <v>5469</v>
      </c>
      <c r="E1774" s="195" t="s">
        <v>5770</v>
      </c>
      <c r="F1774" s="196" t="s">
        <v>2073</v>
      </c>
      <c r="G1774" s="197" t="s">
        <v>3239</v>
      </c>
      <c r="H1774" s="198">
        <v>0.8</v>
      </c>
      <c r="I1774" s="199">
        <v>10774.6</v>
      </c>
      <c r="J1774" s="200" t="s">
        <v>2667</v>
      </c>
      <c r="K1774" s="200" t="s">
        <v>4596</v>
      </c>
      <c r="L1774" s="201">
        <v>0.4</v>
      </c>
      <c r="M1774" s="278" t="s">
        <v>2169</v>
      </c>
      <c r="N1774" s="205">
        <v>6416.67</v>
      </c>
      <c r="O1774" s="205">
        <v>6416.67</v>
      </c>
      <c r="P1774" s="254">
        <v>5133.34</v>
      </c>
      <c r="Q1774" s="254">
        <v>5133.34</v>
      </c>
      <c r="R1774" s="1262" t="s">
        <v>3866</v>
      </c>
      <c r="S1774" s="254">
        <v>2566.67</v>
      </c>
      <c r="T1774" s="204">
        <v>45195</v>
      </c>
      <c r="U1774" s="1262" t="s">
        <v>3109</v>
      </c>
      <c r="V1774" s="254">
        <v>1283.33</v>
      </c>
      <c r="W1774" s="203" t="s">
        <v>4457</v>
      </c>
      <c r="X1774" s="297">
        <v>1283.33</v>
      </c>
      <c r="Y1774" s="192"/>
    </row>
    <row r="1775" ht="37.5" customHeight="1" spans="1:25">
      <c r="A1775" s="192">
        <f t="shared" si="38"/>
        <v>1767</v>
      </c>
      <c r="B1775" s="208">
        <v>2023</v>
      </c>
      <c r="C1775" s="193" t="s">
        <v>37</v>
      </c>
      <c r="D1775" s="277" t="s">
        <v>5771</v>
      </c>
      <c r="E1775" s="195" t="s">
        <v>5772</v>
      </c>
      <c r="F1775" s="196" t="s">
        <v>2073</v>
      </c>
      <c r="G1775" s="197" t="s">
        <v>3239</v>
      </c>
      <c r="H1775" s="198">
        <v>0.8</v>
      </c>
      <c r="I1775" s="199">
        <v>19000</v>
      </c>
      <c r="J1775" s="200" t="s">
        <v>2667</v>
      </c>
      <c r="K1775" s="200" t="s">
        <v>4596</v>
      </c>
      <c r="L1775" s="201">
        <v>0.4</v>
      </c>
      <c r="M1775" s="278" t="s">
        <v>2075</v>
      </c>
      <c r="N1775" s="205">
        <v>19000</v>
      </c>
      <c r="O1775" s="205">
        <v>19000</v>
      </c>
      <c r="P1775" s="254">
        <v>15200</v>
      </c>
      <c r="Q1775" s="254">
        <v>15200</v>
      </c>
      <c r="R1775" s="1262" t="s">
        <v>3866</v>
      </c>
      <c r="S1775" s="254">
        <v>7600</v>
      </c>
      <c r="T1775" s="204">
        <v>45195</v>
      </c>
      <c r="U1775" s="203"/>
      <c r="V1775" s="254"/>
      <c r="W1775" s="203"/>
      <c r="X1775" s="206"/>
      <c r="Y1775" s="203" t="s">
        <v>1077</v>
      </c>
    </row>
    <row r="1776" ht="37.5" customHeight="1" spans="1:25">
      <c r="A1776" s="192">
        <f t="shared" si="38"/>
        <v>1768</v>
      </c>
      <c r="B1776" s="208">
        <v>2023</v>
      </c>
      <c r="C1776" s="193" t="s">
        <v>37</v>
      </c>
      <c r="D1776" s="277" t="s">
        <v>5755</v>
      </c>
      <c r="E1776" s="195" t="s">
        <v>5773</v>
      </c>
      <c r="F1776" s="196" t="s">
        <v>2073</v>
      </c>
      <c r="G1776" s="197" t="s">
        <v>3239</v>
      </c>
      <c r="H1776" s="198">
        <v>0.8</v>
      </c>
      <c r="I1776" s="199">
        <v>50000</v>
      </c>
      <c r="J1776" s="200" t="s">
        <v>3233</v>
      </c>
      <c r="K1776" s="200" t="s">
        <v>5774</v>
      </c>
      <c r="L1776" s="201">
        <v>0.4</v>
      </c>
      <c r="M1776" s="278" t="s">
        <v>2480</v>
      </c>
      <c r="N1776" s="205">
        <v>37633.34</v>
      </c>
      <c r="O1776" s="205">
        <v>37633.34</v>
      </c>
      <c r="P1776" s="254">
        <v>30106.67</v>
      </c>
      <c r="Q1776" s="254">
        <v>30106.67</v>
      </c>
      <c r="R1776" s="1262" t="s">
        <v>3866</v>
      </c>
      <c r="S1776" s="254">
        <v>15053.34</v>
      </c>
      <c r="T1776" s="204">
        <v>45195</v>
      </c>
      <c r="U1776" s="203"/>
      <c r="V1776" s="254"/>
      <c r="W1776" s="203"/>
      <c r="X1776" s="206"/>
      <c r="Y1776" s="203" t="s">
        <v>1077</v>
      </c>
    </row>
    <row r="1777" ht="37.5" customHeight="1" spans="1:25">
      <c r="A1777" s="192">
        <f t="shared" si="38"/>
        <v>1769</v>
      </c>
      <c r="B1777" s="208">
        <v>2023</v>
      </c>
      <c r="C1777" s="193" t="s">
        <v>37</v>
      </c>
      <c r="D1777" s="277" t="s">
        <v>5758</v>
      </c>
      <c r="E1777" s="195" t="s">
        <v>5775</v>
      </c>
      <c r="F1777" s="196" t="s">
        <v>2073</v>
      </c>
      <c r="G1777" s="197" t="s">
        <v>3239</v>
      </c>
      <c r="H1777" s="198">
        <v>0.8</v>
      </c>
      <c r="I1777" s="199">
        <v>210000</v>
      </c>
      <c r="J1777" s="200" t="s">
        <v>3825</v>
      </c>
      <c r="K1777" s="200" t="s">
        <v>5776</v>
      </c>
      <c r="L1777" s="201">
        <v>0.4</v>
      </c>
      <c r="M1777" s="278" t="s">
        <v>2148</v>
      </c>
      <c r="N1777" s="205">
        <v>35563.93</v>
      </c>
      <c r="O1777" s="205">
        <v>35563.93</v>
      </c>
      <c r="P1777" s="254">
        <v>28451.14</v>
      </c>
      <c r="Q1777" s="254">
        <v>28451.14</v>
      </c>
      <c r="R1777" s="1262" t="s">
        <v>3866</v>
      </c>
      <c r="S1777" s="254">
        <v>14225.57</v>
      </c>
      <c r="T1777" s="204">
        <v>45195</v>
      </c>
      <c r="U1777" s="203"/>
      <c r="V1777" s="254"/>
      <c r="W1777" s="203"/>
      <c r="X1777" s="206"/>
      <c r="Y1777" s="203" t="s">
        <v>1077</v>
      </c>
    </row>
    <row r="1778" ht="37.5" customHeight="1" spans="1:25">
      <c r="A1778" s="192">
        <f t="shared" si="38"/>
        <v>1770</v>
      </c>
      <c r="B1778" s="208">
        <v>2023</v>
      </c>
      <c r="C1778" s="193" t="s">
        <v>37</v>
      </c>
      <c r="D1778" s="277" t="s">
        <v>5746</v>
      </c>
      <c r="E1778" s="195" t="s">
        <v>5777</v>
      </c>
      <c r="F1778" s="196" t="s">
        <v>2073</v>
      </c>
      <c r="G1778" s="197" t="s">
        <v>3239</v>
      </c>
      <c r="H1778" s="198">
        <v>0.8</v>
      </c>
      <c r="I1778" s="199">
        <v>31000</v>
      </c>
      <c r="J1778" s="200" t="s">
        <v>3889</v>
      </c>
      <c r="K1778" s="200" t="s">
        <v>5778</v>
      </c>
      <c r="L1778" s="201">
        <v>0.4</v>
      </c>
      <c r="M1778" s="278" t="s">
        <v>2177</v>
      </c>
      <c r="N1778" s="205">
        <v>25833.34</v>
      </c>
      <c r="O1778" s="205">
        <v>25833.34</v>
      </c>
      <c r="P1778" s="254">
        <v>20666.67</v>
      </c>
      <c r="Q1778" s="254">
        <v>20666.67</v>
      </c>
      <c r="R1778" s="1262" t="s">
        <v>3866</v>
      </c>
      <c r="S1778" s="254">
        <v>10333.34</v>
      </c>
      <c r="T1778" s="204">
        <v>45195</v>
      </c>
      <c r="U1778" s="203"/>
      <c r="V1778" s="254"/>
      <c r="W1778" s="203"/>
      <c r="X1778" s="206"/>
      <c r="Y1778" s="203" t="s">
        <v>1077</v>
      </c>
    </row>
    <row r="1779" ht="37.5" customHeight="1" spans="1:25">
      <c r="A1779" s="192">
        <f t="shared" si="38"/>
        <v>1771</v>
      </c>
      <c r="B1779" s="208">
        <v>2023</v>
      </c>
      <c r="C1779" s="193" t="s">
        <v>37</v>
      </c>
      <c r="D1779" s="277" t="s">
        <v>5755</v>
      </c>
      <c r="E1779" s="195" t="s">
        <v>5779</v>
      </c>
      <c r="F1779" s="196" t="s">
        <v>2073</v>
      </c>
      <c r="G1779" s="197" t="s">
        <v>3239</v>
      </c>
      <c r="H1779" s="198">
        <v>0.8</v>
      </c>
      <c r="I1779" s="199">
        <v>200000</v>
      </c>
      <c r="J1779" s="200" t="s">
        <v>2883</v>
      </c>
      <c r="K1779" s="200" t="s">
        <v>5547</v>
      </c>
      <c r="L1779" s="201">
        <v>0.4</v>
      </c>
      <c r="M1779" s="278" t="s">
        <v>2480</v>
      </c>
      <c r="N1779" s="205">
        <v>183333.34</v>
      </c>
      <c r="O1779" s="205">
        <v>183333.34</v>
      </c>
      <c r="P1779" s="254">
        <v>146666.68</v>
      </c>
      <c r="Q1779" s="254">
        <v>146666.68</v>
      </c>
      <c r="R1779" s="1262" t="s">
        <v>3866</v>
      </c>
      <c r="S1779" s="254">
        <v>73333.34</v>
      </c>
      <c r="T1779" s="204">
        <v>45195</v>
      </c>
      <c r="U1779" s="203"/>
      <c r="V1779" s="254"/>
      <c r="W1779" s="203"/>
      <c r="X1779" s="206"/>
      <c r="Y1779" s="203" t="s">
        <v>1077</v>
      </c>
    </row>
    <row r="1780" ht="37.5" customHeight="1" spans="1:25">
      <c r="A1780" s="192">
        <f t="shared" si="38"/>
        <v>1772</v>
      </c>
      <c r="B1780" s="208">
        <v>2023</v>
      </c>
      <c r="C1780" s="193" t="s">
        <v>37</v>
      </c>
      <c r="D1780" s="277" t="s">
        <v>5771</v>
      </c>
      <c r="E1780" s="195" t="s">
        <v>5780</v>
      </c>
      <c r="F1780" s="196" t="s">
        <v>2073</v>
      </c>
      <c r="G1780" s="197" t="s">
        <v>3239</v>
      </c>
      <c r="H1780" s="198">
        <v>0.8</v>
      </c>
      <c r="I1780" s="199">
        <v>19224.97</v>
      </c>
      <c r="J1780" s="200" t="s">
        <v>4107</v>
      </c>
      <c r="K1780" s="200" t="s">
        <v>5781</v>
      </c>
      <c r="L1780" s="201">
        <v>0.4</v>
      </c>
      <c r="M1780" s="278" t="s">
        <v>2075</v>
      </c>
      <c r="N1780" s="205">
        <v>7500</v>
      </c>
      <c r="O1780" s="205">
        <v>7500</v>
      </c>
      <c r="P1780" s="254">
        <v>6000</v>
      </c>
      <c r="Q1780" s="254">
        <v>6000</v>
      </c>
      <c r="R1780" s="1262" t="s">
        <v>3866</v>
      </c>
      <c r="S1780" s="254">
        <v>3000</v>
      </c>
      <c r="T1780" s="204">
        <v>45195</v>
      </c>
      <c r="U1780" s="203"/>
      <c r="V1780" s="254"/>
      <c r="W1780" s="203"/>
      <c r="X1780" s="206"/>
      <c r="Y1780" s="203" t="s">
        <v>1077</v>
      </c>
    </row>
    <row r="1781" ht="37.5" customHeight="1" spans="1:25">
      <c r="A1781" s="192">
        <f t="shared" si="38"/>
        <v>1773</v>
      </c>
      <c r="B1781" s="208">
        <v>2023</v>
      </c>
      <c r="C1781" s="193" t="s">
        <v>37</v>
      </c>
      <c r="D1781" s="277" t="s">
        <v>3851</v>
      </c>
      <c r="E1781" s="195" t="s">
        <v>5782</v>
      </c>
      <c r="F1781" s="196" t="s">
        <v>2073</v>
      </c>
      <c r="G1781" s="197" t="s">
        <v>3239</v>
      </c>
      <c r="H1781" s="198">
        <v>0.8</v>
      </c>
      <c r="I1781" s="199">
        <v>13768.29</v>
      </c>
      <c r="J1781" s="200" t="s">
        <v>4296</v>
      </c>
      <c r="K1781" s="200" t="s">
        <v>5783</v>
      </c>
      <c r="L1781" s="201">
        <v>0.4</v>
      </c>
      <c r="M1781" s="278" t="s">
        <v>3958</v>
      </c>
      <c r="N1781" s="205">
        <v>1700</v>
      </c>
      <c r="O1781" s="205">
        <v>1700</v>
      </c>
      <c r="P1781" s="254">
        <v>1360</v>
      </c>
      <c r="Q1781" s="254">
        <v>1360</v>
      </c>
      <c r="R1781" s="1262" t="s">
        <v>3866</v>
      </c>
      <c r="S1781" s="254">
        <v>680</v>
      </c>
      <c r="T1781" s="204">
        <v>45195</v>
      </c>
      <c r="U1781" s="203" t="s">
        <v>3109</v>
      </c>
      <c r="V1781" s="254">
        <v>340</v>
      </c>
      <c r="W1781" s="203" t="s">
        <v>4457</v>
      </c>
      <c r="X1781" s="297">
        <v>340</v>
      </c>
      <c r="Y1781" s="203"/>
    </row>
    <row r="1782" ht="37.5" customHeight="1" spans="1:25">
      <c r="A1782" s="192">
        <f t="shared" si="38"/>
        <v>1774</v>
      </c>
      <c r="B1782" s="208">
        <v>2023</v>
      </c>
      <c r="C1782" s="193" t="s">
        <v>37</v>
      </c>
      <c r="D1782" s="277" t="s">
        <v>5767</v>
      </c>
      <c r="E1782" s="195" t="s">
        <v>5784</v>
      </c>
      <c r="F1782" s="196" t="s">
        <v>2073</v>
      </c>
      <c r="G1782" s="197" t="s">
        <v>3239</v>
      </c>
      <c r="H1782" s="198">
        <v>0.8</v>
      </c>
      <c r="I1782" s="199">
        <v>12258.32</v>
      </c>
      <c r="J1782" s="200" t="s">
        <v>3947</v>
      </c>
      <c r="K1782" s="200" t="s">
        <v>5785</v>
      </c>
      <c r="L1782" s="201">
        <v>0.4</v>
      </c>
      <c r="M1782" s="278" t="s">
        <v>5210</v>
      </c>
      <c r="N1782" s="205">
        <v>5200</v>
      </c>
      <c r="O1782" s="205">
        <v>5200</v>
      </c>
      <c r="P1782" s="254">
        <v>4160</v>
      </c>
      <c r="Q1782" s="254">
        <v>4160</v>
      </c>
      <c r="R1782" s="1262" t="s">
        <v>3866</v>
      </c>
      <c r="S1782" s="254">
        <v>2080</v>
      </c>
      <c r="T1782" s="204">
        <v>45195</v>
      </c>
      <c r="U1782" s="203"/>
      <c r="V1782" s="254"/>
      <c r="W1782" s="203"/>
      <c r="X1782" s="206"/>
      <c r="Y1782" s="203" t="s">
        <v>1077</v>
      </c>
    </row>
    <row r="1783" ht="37.5" customHeight="1" spans="1:25">
      <c r="A1783" s="192">
        <f t="shared" si="38"/>
        <v>1775</v>
      </c>
      <c r="B1783" s="208">
        <v>2023</v>
      </c>
      <c r="C1783" s="193" t="s">
        <v>37</v>
      </c>
      <c r="D1783" s="277" t="s">
        <v>5786</v>
      </c>
      <c r="E1783" s="195" t="s">
        <v>5787</v>
      </c>
      <c r="F1783" s="196" t="s">
        <v>2073</v>
      </c>
      <c r="G1783" s="197" t="s">
        <v>3239</v>
      </c>
      <c r="H1783" s="198">
        <v>0.8</v>
      </c>
      <c r="I1783" s="199">
        <v>18074.65</v>
      </c>
      <c r="J1783" s="200" t="s">
        <v>4030</v>
      </c>
      <c r="K1783" s="200" t="s">
        <v>5788</v>
      </c>
      <c r="L1783" s="201">
        <v>0.4</v>
      </c>
      <c r="M1783" s="278" t="s">
        <v>2096</v>
      </c>
      <c r="N1783" s="205">
        <v>4100</v>
      </c>
      <c r="O1783" s="205">
        <v>4100</v>
      </c>
      <c r="P1783" s="254">
        <v>3280</v>
      </c>
      <c r="Q1783" s="254">
        <v>3280</v>
      </c>
      <c r="R1783" s="1262" t="s">
        <v>3866</v>
      </c>
      <c r="S1783" s="254">
        <v>1640</v>
      </c>
      <c r="T1783" s="204">
        <v>45195</v>
      </c>
      <c r="U1783" s="203"/>
      <c r="V1783" s="254"/>
      <c r="W1783" s="203"/>
      <c r="X1783" s="206"/>
      <c r="Y1783" s="203" t="s">
        <v>1077</v>
      </c>
    </row>
    <row r="1784" ht="37.5" customHeight="1" spans="1:25">
      <c r="A1784" s="192">
        <f t="shared" si="38"/>
        <v>1776</v>
      </c>
      <c r="B1784" s="208">
        <v>2023</v>
      </c>
      <c r="C1784" s="193" t="s">
        <v>37</v>
      </c>
      <c r="D1784" s="277" t="s">
        <v>5746</v>
      </c>
      <c r="E1784" s="195" t="s">
        <v>5789</v>
      </c>
      <c r="F1784" s="196" t="s">
        <v>2073</v>
      </c>
      <c r="G1784" s="197" t="s">
        <v>3239</v>
      </c>
      <c r="H1784" s="198">
        <v>0.8</v>
      </c>
      <c r="I1784" s="199">
        <v>10316.23</v>
      </c>
      <c r="J1784" s="200" t="s">
        <v>2889</v>
      </c>
      <c r="K1784" s="200" t="s">
        <v>5790</v>
      </c>
      <c r="L1784" s="201">
        <v>0.4</v>
      </c>
      <c r="M1784" s="278" t="s">
        <v>2177</v>
      </c>
      <c r="N1784" s="205">
        <v>7388</v>
      </c>
      <c r="O1784" s="205">
        <v>7388</v>
      </c>
      <c r="P1784" s="254">
        <v>5910.4</v>
      </c>
      <c r="Q1784" s="254">
        <v>5910.4</v>
      </c>
      <c r="R1784" s="1262" t="s">
        <v>3866</v>
      </c>
      <c r="S1784" s="254">
        <v>2955.2</v>
      </c>
      <c r="T1784" s="204">
        <v>45195</v>
      </c>
      <c r="U1784" s="203"/>
      <c r="V1784" s="254"/>
      <c r="W1784" s="203"/>
      <c r="X1784" s="206"/>
      <c r="Y1784" s="203" t="s">
        <v>1077</v>
      </c>
    </row>
    <row r="1785" ht="37.5" customHeight="1" spans="1:25">
      <c r="A1785" s="192">
        <f t="shared" si="38"/>
        <v>1777</v>
      </c>
      <c r="B1785" s="208">
        <v>2023</v>
      </c>
      <c r="C1785" s="193" t="s">
        <v>37</v>
      </c>
      <c r="D1785" s="277" t="s">
        <v>5791</v>
      </c>
      <c r="E1785" s="195" t="s">
        <v>5792</v>
      </c>
      <c r="F1785" s="196" t="s">
        <v>2073</v>
      </c>
      <c r="G1785" s="197" t="s">
        <v>3239</v>
      </c>
      <c r="H1785" s="198">
        <v>0.8</v>
      </c>
      <c r="I1785" s="199">
        <v>17021.4</v>
      </c>
      <c r="J1785" s="200" t="s">
        <v>4255</v>
      </c>
      <c r="K1785" s="200" t="s">
        <v>5793</v>
      </c>
      <c r="L1785" s="201">
        <v>0.4</v>
      </c>
      <c r="M1785" s="278" t="s">
        <v>2177</v>
      </c>
      <c r="N1785" s="205">
        <v>1500</v>
      </c>
      <c r="O1785" s="205">
        <v>1500</v>
      </c>
      <c r="P1785" s="254">
        <v>1200</v>
      </c>
      <c r="Q1785" s="254">
        <v>1200</v>
      </c>
      <c r="R1785" s="1262" t="s">
        <v>3866</v>
      </c>
      <c r="S1785" s="254">
        <v>600</v>
      </c>
      <c r="T1785" s="204">
        <v>45195</v>
      </c>
      <c r="U1785" s="203"/>
      <c r="V1785" s="254"/>
      <c r="W1785" s="203"/>
      <c r="X1785" s="206"/>
      <c r="Y1785" s="203" t="s">
        <v>1077</v>
      </c>
    </row>
    <row r="1786" ht="37.5" customHeight="1" spans="1:25">
      <c r="A1786" s="192">
        <f t="shared" si="38"/>
        <v>1778</v>
      </c>
      <c r="B1786" s="208">
        <v>2023</v>
      </c>
      <c r="C1786" s="193" t="s">
        <v>37</v>
      </c>
      <c r="D1786" s="277" t="s">
        <v>5794</v>
      </c>
      <c r="E1786" s="195" t="s">
        <v>5795</v>
      </c>
      <c r="F1786" s="196" t="s">
        <v>2073</v>
      </c>
      <c r="G1786" s="197" t="s">
        <v>3239</v>
      </c>
      <c r="H1786" s="198">
        <v>0.8</v>
      </c>
      <c r="I1786" s="199">
        <v>11843.91</v>
      </c>
      <c r="J1786" s="200" t="s">
        <v>4161</v>
      </c>
      <c r="K1786" s="200" t="s">
        <v>5796</v>
      </c>
      <c r="L1786" s="201">
        <v>0.4</v>
      </c>
      <c r="M1786" s="278" t="s">
        <v>2169</v>
      </c>
      <c r="N1786" s="205">
        <v>7628</v>
      </c>
      <c r="O1786" s="205">
        <v>7628</v>
      </c>
      <c r="P1786" s="254">
        <v>6102.4</v>
      </c>
      <c r="Q1786" s="254">
        <v>6102.4</v>
      </c>
      <c r="R1786" s="1262" t="s">
        <v>3866</v>
      </c>
      <c r="S1786" s="254">
        <v>3051.2</v>
      </c>
      <c r="T1786" s="204">
        <v>45195</v>
      </c>
      <c r="U1786" s="203"/>
      <c r="V1786" s="254"/>
      <c r="W1786" s="203"/>
      <c r="X1786" s="206"/>
      <c r="Y1786" s="203" t="s">
        <v>1077</v>
      </c>
    </row>
    <row r="1787" ht="37.5" customHeight="1" spans="1:25">
      <c r="A1787" s="192">
        <f t="shared" si="38"/>
        <v>1779</v>
      </c>
      <c r="B1787" s="208">
        <v>2023</v>
      </c>
      <c r="C1787" s="193" t="s">
        <v>37</v>
      </c>
      <c r="D1787" s="277" t="s">
        <v>5797</v>
      </c>
      <c r="E1787" s="195" t="s">
        <v>5798</v>
      </c>
      <c r="F1787" s="196" t="s">
        <v>2073</v>
      </c>
      <c r="G1787" s="197" t="s">
        <v>3239</v>
      </c>
      <c r="H1787" s="198">
        <v>0.8</v>
      </c>
      <c r="I1787" s="199">
        <v>12738.61</v>
      </c>
      <c r="J1787" s="200" t="s">
        <v>5799</v>
      </c>
      <c r="K1787" s="200" t="s">
        <v>4599</v>
      </c>
      <c r="L1787" s="201">
        <v>0.4</v>
      </c>
      <c r="M1787" s="278" t="s">
        <v>2124</v>
      </c>
      <c r="N1787" s="205">
        <v>6800</v>
      </c>
      <c r="O1787" s="205">
        <v>6800</v>
      </c>
      <c r="P1787" s="254">
        <v>5440</v>
      </c>
      <c r="Q1787" s="254">
        <v>5440</v>
      </c>
      <c r="R1787" s="1262" t="s">
        <v>3866</v>
      </c>
      <c r="S1787" s="254">
        <v>2720</v>
      </c>
      <c r="T1787" s="204">
        <v>45195</v>
      </c>
      <c r="U1787" s="203"/>
      <c r="V1787" s="254"/>
      <c r="W1787" s="203"/>
      <c r="X1787" s="206"/>
      <c r="Y1787" s="203" t="s">
        <v>1077</v>
      </c>
    </row>
    <row r="1788" ht="37.5" customHeight="1" spans="1:25">
      <c r="A1788" s="192">
        <f t="shared" si="38"/>
        <v>1780</v>
      </c>
      <c r="B1788" s="208">
        <v>2023</v>
      </c>
      <c r="C1788" s="193" t="s">
        <v>37</v>
      </c>
      <c r="D1788" s="277" t="s">
        <v>5755</v>
      </c>
      <c r="E1788" s="195" t="s">
        <v>5800</v>
      </c>
      <c r="F1788" s="196" t="s">
        <v>2073</v>
      </c>
      <c r="G1788" s="197" t="s">
        <v>3239</v>
      </c>
      <c r="H1788" s="198">
        <v>0.8</v>
      </c>
      <c r="I1788" s="199">
        <v>410000</v>
      </c>
      <c r="J1788" s="200" t="s">
        <v>4341</v>
      </c>
      <c r="K1788" s="200" t="s">
        <v>5801</v>
      </c>
      <c r="L1788" s="201">
        <v>0.4</v>
      </c>
      <c r="M1788" s="278" t="s">
        <v>2480</v>
      </c>
      <c r="N1788" s="205">
        <v>408542.32</v>
      </c>
      <c r="O1788" s="205">
        <v>408542.32</v>
      </c>
      <c r="P1788" s="254">
        <v>326833.86</v>
      </c>
      <c r="Q1788" s="254">
        <v>326833.86</v>
      </c>
      <c r="R1788" s="1262" t="s">
        <v>3866</v>
      </c>
      <c r="S1788" s="254">
        <v>163416.93</v>
      </c>
      <c r="T1788" s="204">
        <v>45195</v>
      </c>
      <c r="U1788" s="203"/>
      <c r="V1788" s="254"/>
      <c r="W1788" s="203"/>
      <c r="X1788" s="206"/>
      <c r="Y1788" s="203" t="s">
        <v>1077</v>
      </c>
    </row>
    <row r="1789" s="80" customFormat="1" ht="37.5" customHeight="1" spans="1:25">
      <c r="A1789" s="138">
        <f t="shared" si="38"/>
        <v>1781</v>
      </c>
      <c r="B1789" s="139">
        <v>2023</v>
      </c>
      <c r="C1789" s="315" t="s">
        <v>15</v>
      </c>
      <c r="D1789" s="279" t="s">
        <v>5802</v>
      </c>
      <c r="E1789" s="190" t="s">
        <v>5803</v>
      </c>
      <c r="F1789" s="142" t="s">
        <v>5804</v>
      </c>
      <c r="G1789" s="143" t="s">
        <v>1137</v>
      </c>
      <c r="H1789" s="144">
        <v>0.8</v>
      </c>
      <c r="I1789" s="145">
        <v>3000000</v>
      </c>
      <c r="J1789" s="185" t="s">
        <v>3218</v>
      </c>
      <c r="K1789" s="185" t="s">
        <v>2671</v>
      </c>
      <c r="L1789" s="147">
        <v>0.4</v>
      </c>
      <c r="M1789" s="280" t="s">
        <v>2124</v>
      </c>
      <c r="N1789" s="186">
        <v>3036790.38</v>
      </c>
      <c r="O1789" s="276">
        <v>3000000</v>
      </c>
      <c r="P1789" s="276">
        <v>2400000</v>
      </c>
      <c r="Q1789" s="276">
        <v>2429432.3</v>
      </c>
      <c r="R1789" s="1260" t="s">
        <v>3394</v>
      </c>
      <c r="S1789" s="276">
        <v>1200000</v>
      </c>
      <c r="T1789" s="150">
        <v>45210</v>
      </c>
      <c r="U1789" s="1260" t="s">
        <v>4425</v>
      </c>
      <c r="V1789" s="276">
        <v>600000</v>
      </c>
      <c r="W1789" s="316" t="s">
        <v>3969</v>
      </c>
      <c r="X1789" s="317">
        <v>600000</v>
      </c>
      <c r="Y1789" s="138"/>
    </row>
    <row r="1790" s="80" customFormat="1" ht="37.5" customHeight="1" spans="1:25">
      <c r="A1790" s="138">
        <f t="shared" si="38"/>
        <v>1782</v>
      </c>
      <c r="B1790" s="139">
        <v>2023</v>
      </c>
      <c r="C1790" s="189" t="s">
        <v>75</v>
      </c>
      <c r="D1790" s="279" t="s">
        <v>5805</v>
      </c>
      <c r="E1790" s="190" t="s">
        <v>5806</v>
      </c>
      <c r="F1790" s="142" t="s">
        <v>5807</v>
      </c>
      <c r="G1790" s="143" t="s">
        <v>1137</v>
      </c>
      <c r="H1790" s="144">
        <v>0.8</v>
      </c>
      <c r="I1790" s="145">
        <v>150000</v>
      </c>
      <c r="J1790" s="1258" t="s">
        <v>2025</v>
      </c>
      <c r="K1790" s="1258" t="s">
        <v>2660</v>
      </c>
      <c r="L1790" s="147">
        <v>0.4</v>
      </c>
      <c r="M1790" s="1276" t="s">
        <v>2063</v>
      </c>
      <c r="N1790" s="186">
        <v>149117.5</v>
      </c>
      <c r="O1790" s="276">
        <v>149117.5</v>
      </c>
      <c r="P1790" s="276">
        <v>119294</v>
      </c>
      <c r="Q1790" s="276">
        <v>119294</v>
      </c>
      <c r="R1790" s="1260" t="s">
        <v>3394</v>
      </c>
      <c r="S1790" s="276">
        <v>59647</v>
      </c>
      <c r="T1790" s="150">
        <v>45210</v>
      </c>
      <c r="U1790" s="184"/>
      <c r="V1790" s="276"/>
      <c r="W1790" s="184"/>
      <c r="X1790" s="153"/>
      <c r="Y1790" s="184" t="s">
        <v>1077</v>
      </c>
    </row>
    <row r="1791" s="80" customFormat="1" ht="37.5" customHeight="1" spans="1:25">
      <c r="A1791" s="138">
        <f t="shared" si="38"/>
        <v>1783</v>
      </c>
      <c r="B1791" s="139">
        <v>2023</v>
      </c>
      <c r="C1791" s="189" t="s">
        <v>37</v>
      </c>
      <c r="D1791" s="279" t="s">
        <v>5808</v>
      </c>
      <c r="E1791" s="190" t="s">
        <v>5809</v>
      </c>
      <c r="F1791" s="142" t="s">
        <v>3192</v>
      </c>
      <c r="G1791" s="143" t="s">
        <v>5231</v>
      </c>
      <c r="H1791" s="144">
        <v>0.8</v>
      </c>
      <c r="I1791" s="145">
        <v>300000</v>
      </c>
      <c r="J1791" s="185" t="s">
        <v>2659</v>
      </c>
      <c r="K1791" s="185" t="s">
        <v>5188</v>
      </c>
      <c r="L1791" s="147">
        <v>0.4</v>
      </c>
      <c r="M1791" s="280" t="s">
        <v>2515</v>
      </c>
      <c r="N1791" s="186">
        <v>200000</v>
      </c>
      <c r="O1791" s="186">
        <v>200000</v>
      </c>
      <c r="P1791" s="276">
        <v>160000</v>
      </c>
      <c r="Q1791" s="276">
        <v>160000</v>
      </c>
      <c r="R1791" s="1260" t="s">
        <v>3914</v>
      </c>
      <c r="S1791" s="276">
        <v>80000</v>
      </c>
      <c r="T1791" s="150">
        <v>45225</v>
      </c>
      <c r="U1791" s="1260" t="s">
        <v>3722</v>
      </c>
      <c r="V1791" s="276">
        <v>40000</v>
      </c>
      <c r="W1791" s="184" t="s">
        <v>4457</v>
      </c>
      <c r="X1791" s="317">
        <v>40000</v>
      </c>
      <c r="Y1791" s="138"/>
    </row>
    <row r="1792" s="80" customFormat="1" ht="37.5" customHeight="1" spans="1:25">
      <c r="A1792" s="138">
        <f t="shared" si="38"/>
        <v>1784</v>
      </c>
      <c r="B1792" s="139">
        <v>2023</v>
      </c>
      <c r="C1792" s="189" t="s">
        <v>37</v>
      </c>
      <c r="D1792" s="279" t="s">
        <v>5810</v>
      </c>
      <c r="E1792" s="190" t="s">
        <v>5811</v>
      </c>
      <c r="F1792" s="142" t="s">
        <v>3192</v>
      </c>
      <c r="G1792" s="143" t="s">
        <v>5231</v>
      </c>
      <c r="H1792" s="144">
        <v>0.8</v>
      </c>
      <c r="I1792" s="145">
        <v>1000000</v>
      </c>
      <c r="J1792" s="185" t="s">
        <v>2589</v>
      </c>
      <c r="K1792" s="185" t="s">
        <v>5511</v>
      </c>
      <c r="L1792" s="147">
        <v>0.4</v>
      </c>
      <c r="M1792" s="280" t="s">
        <v>2515</v>
      </c>
      <c r="N1792" s="186">
        <v>708333.31</v>
      </c>
      <c r="O1792" s="186">
        <v>708333.31</v>
      </c>
      <c r="P1792" s="276">
        <v>566666.65</v>
      </c>
      <c r="Q1792" s="276">
        <v>566666.65</v>
      </c>
      <c r="R1792" s="1260" t="s">
        <v>3914</v>
      </c>
      <c r="S1792" s="276">
        <v>283333.32</v>
      </c>
      <c r="T1792" s="150">
        <v>45225</v>
      </c>
      <c r="U1792" s="1260" t="s">
        <v>3722</v>
      </c>
      <c r="V1792" s="276">
        <v>141666.66</v>
      </c>
      <c r="W1792" s="184" t="s">
        <v>4457</v>
      </c>
      <c r="X1792" s="317">
        <v>141666.66</v>
      </c>
      <c r="Y1792" s="138"/>
    </row>
    <row r="1793" s="80" customFormat="1" ht="37.5" customHeight="1" spans="1:25">
      <c r="A1793" s="138">
        <f t="shared" si="38"/>
        <v>1785</v>
      </c>
      <c r="B1793" s="139">
        <v>2023</v>
      </c>
      <c r="C1793" s="189" t="s">
        <v>37</v>
      </c>
      <c r="D1793" s="279" t="s">
        <v>5240</v>
      </c>
      <c r="E1793" s="190" t="s">
        <v>5812</v>
      </c>
      <c r="F1793" s="142" t="s">
        <v>3192</v>
      </c>
      <c r="G1793" s="143" t="s">
        <v>5231</v>
      </c>
      <c r="H1793" s="144">
        <v>0.8</v>
      </c>
      <c r="I1793" s="145">
        <v>380000</v>
      </c>
      <c r="J1793" s="185" t="s">
        <v>3495</v>
      </c>
      <c r="K1793" s="185" t="s">
        <v>5813</v>
      </c>
      <c r="L1793" s="147">
        <v>0.4</v>
      </c>
      <c r="M1793" s="280" t="s">
        <v>2515</v>
      </c>
      <c r="N1793" s="186">
        <v>285000.02</v>
      </c>
      <c r="O1793" s="186">
        <v>285000.02</v>
      </c>
      <c r="P1793" s="276">
        <v>228000.02</v>
      </c>
      <c r="Q1793" s="276">
        <v>228000.02</v>
      </c>
      <c r="R1793" s="1260" t="s">
        <v>3914</v>
      </c>
      <c r="S1793" s="276">
        <v>114000.01</v>
      </c>
      <c r="T1793" s="150">
        <v>45225</v>
      </c>
      <c r="U1793" s="1260" t="s">
        <v>3722</v>
      </c>
      <c r="V1793" s="276">
        <v>57000</v>
      </c>
      <c r="W1793" s="184" t="s">
        <v>4457</v>
      </c>
      <c r="X1793" s="317">
        <v>57000</v>
      </c>
      <c r="Y1793" s="138"/>
    </row>
    <row r="1794" s="80" customFormat="1" ht="37.5" customHeight="1" spans="1:25">
      <c r="A1794" s="138">
        <f t="shared" si="38"/>
        <v>1786</v>
      </c>
      <c r="B1794" s="139">
        <v>2023</v>
      </c>
      <c r="C1794" s="189" t="s">
        <v>37</v>
      </c>
      <c r="D1794" s="279" t="s">
        <v>5814</v>
      </c>
      <c r="E1794" s="190" t="s">
        <v>5815</v>
      </c>
      <c r="F1794" s="142" t="s">
        <v>3192</v>
      </c>
      <c r="G1794" s="143" t="s">
        <v>5231</v>
      </c>
      <c r="H1794" s="144">
        <v>0.8</v>
      </c>
      <c r="I1794" s="145">
        <v>110000</v>
      </c>
      <c r="J1794" s="185" t="s">
        <v>5463</v>
      </c>
      <c r="K1794" s="185" t="s">
        <v>5816</v>
      </c>
      <c r="L1794" s="147">
        <v>0.4</v>
      </c>
      <c r="M1794" s="280" t="s">
        <v>2515</v>
      </c>
      <c r="N1794" s="186" t="s">
        <v>5817</v>
      </c>
      <c r="O1794" s="186">
        <v>82500.02</v>
      </c>
      <c r="P1794" s="276">
        <v>66000.02</v>
      </c>
      <c r="Q1794" s="276">
        <v>66000.02</v>
      </c>
      <c r="R1794" s="1260" t="s">
        <v>3914</v>
      </c>
      <c r="S1794" s="276">
        <v>33000.01</v>
      </c>
      <c r="T1794" s="150">
        <v>45225</v>
      </c>
      <c r="U1794" s="1260" t="s">
        <v>3722</v>
      </c>
      <c r="V1794" s="276">
        <v>16500</v>
      </c>
      <c r="W1794" s="184" t="s">
        <v>4457</v>
      </c>
      <c r="X1794" s="317">
        <v>16500</v>
      </c>
      <c r="Y1794" s="138"/>
    </row>
    <row r="1795" s="80" customFormat="1" ht="37.5" customHeight="1" spans="1:25">
      <c r="A1795" s="138">
        <f t="shared" si="38"/>
        <v>1787</v>
      </c>
      <c r="B1795" s="139">
        <v>2023</v>
      </c>
      <c r="C1795" s="189" t="s">
        <v>37</v>
      </c>
      <c r="D1795" s="279" t="s">
        <v>5818</v>
      </c>
      <c r="E1795" s="190" t="s">
        <v>5819</v>
      </c>
      <c r="F1795" s="142" t="s">
        <v>3192</v>
      </c>
      <c r="G1795" s="143" t="s">
        <v>5231</v>
      </c>
      <c r="H1795" s="144">
        <v>0.8</v>
      </c>
      <c r="I1795" s="145">
        <v>40000</v>
      </c>
      <c r="J1795" s="185" t="s">
        <v>2297</v>
      </c>
      <c r="K1795" s="185" t="s">
        <v>5497</v>
      </c>
      <c r="L1795" s="147">
        <v>0.4</v>
      </c>
      <c r="M1795" s="280" t="s">
        <v>2515</v>
      </c>
      <c r="N1795" s="186" t="s">
        <v>5820</v>
      </c>
      <c r="O1795" s="186">
        <v>26666.64</v>
      </c>
      <c r="P1795" s="276">
        <v>21333.31</v>
      </c>
      <c r="Q1795" s="276">
        <v>21333.31</v>
      </c>
      <c r="R1795" s="1260" t="s">
        <v>3914</v>
      </c>
      <c r="S1795" s="276">
        <v>10666.66</v>
      </c>
      <c r="T1795" s="150">
        <v>45225</v>
      </c>
      <c r="U1795" s="184"/>
      <c r="V1795" s="276"/>
      <c r="W1795" s="184"/>
      <c r="X1795" s="153"/>
      <c r="Y1795" s="184" t="s">
        <v>1077</v>
      </c>
    </row>
    <row r="1796" s="80" customFormat="1" ht="37.5" customHeight="1" spans="1:25">
      <c r="A1796" s="138">
        <f t="shared" si="38"/>
        <v>1788</v>
      </c>
      <c r="B1796" s="139">
        <v>2023</v>
      </c>
      <c r="C1796" s="189" t="s">
        <v>37</v>
      </c>
      <c r="D1796" s="279" t="s">
        <v>5818</v>
      </c>
      <c r="E1796" s="190" t="s">
        <v>5821</v>
      </c>
      <c r="F1796" s="142" t="s">
        <v>3192</v>
      </c>
      <c r="G1796" s="143" t="s">
        <v>5231</v>
      </c>
      <c r="H1796" s="144">
        <v>0.8</v>
      </c>
      <c r="I1796" s="145">
        <v>20000</v>
      </c>
      <c r="J1796" s="185" t="s">
        <v>5822</v>
      </c>
      <c r="K1796" s="185" t="s">
        <v>5823</v>
      </c>
      <c r="L1796" s="147">
        <v>0.4</v>
      </c>
      <c r="M1796" s="280" t="s">
        <v>2515</v>
      </c>
      <c r="N1796" s="186" t="s">
        <v>5824</v>
      </c>
      <c r="O1796" s="186">
        <v>14166.69</v>
      </c>
      <c r="P1796" s="276">
        <v>11333.35</v>
      </c>
      <c r="Q1796" s="276">
        <v>11333.35</v>
      </c>
      <c r="R1796" s="1260" t="s">
        <v>3914</v>
      </c>
      <c r="S1796" s="276">
        <v>5666.68</v>
      </c>
      <c r="T1796" s="150">
        <v>45225</v>
      </c>
      <c r="U1796" s="184"/>
      <c r="V1796" s="276"/>
      <c r="W1796" s="184"/>
      <c r="X1796" s="153"/>
      <c r="Y1796" s="184" t="s">
        <v>1077</v>
      </c>
    </row>
    <row r="1797" s="80" customFormat="1" ht="37.5" customHeight="1" spans="1:25">
      <c r="A1797" s="138">
        <f t="shared" si="38"/>
        <v>1789</v>
      </c>
      <c r="B1797" s="139">
        <v>2023</v>
      </c>
      <c r="C1797" s="189" t="s">
        <v>37</v>
      </c>
      <c r="D1797" s="279" t="s">
        <v>5825</v>
      </c>
      <c r="E1797" s="190" t="s">
        <v>5826</v>
      </c>
      <c r="F1797" s="142" t="s">
        <v>3192</v>
      </c>
      <c r="G1797" s="143" t="s">
        <v>5231</v>
      </c>
      <c r="H1797" s="144">
        <v>0.8</v>
      </c>
      <c r="I1797" s="145">
        <v>40000</v>
      </c>
      <c r="J1797" s="185" t="s">
        <v>2254</v>
      </c>
      <c r="K1797" s="185" t="s">
        <v>5551</v>
      </c>
      <c r="L1797" s="147">
        <v>0.4</v>
      </c>
      <c r="M1797" s="280" t="s">
        <v>2515</v>
      </c>
      <c r="N1797" s="186" t="s">
        <v>5820</v>
      </c>
      <c r="O1797" s="186">
        <v>26666.64</v>
      </c>
      <c r="P1797" s="276">
        <v>21333.31</v>
      </c>
      <c r="Q1797" s="276">
        <v>21333.31</v>
      </c>
      <c r="R1797" s="1260" t="s">
        <v>3914</v>
      </c>
      <c r="S1797" s="276">
        <v>10666.66</v>
      </c>
      <c r="T1797" s="150">
        <v>45225</v>
      </c>
      <c r="U1797" s="184"/>
      <c r="V1797" s="276"/>
      <c r="W1797" s="184"/>
      <c r="X1797" s="153"/>
      <c r="Y1797" s="184" t="s">
        <v>1077</v>
      </c>
    </row>
    <row r="1798" s="80" customFormat="1" ht="37.5" customHeight="1" spans="1:25">
      <c r="A1798" s="138">
        <f t="shared" si="38"/>
        <v>1790</v>
      </c>
      <c r="B1798" s="139">
        <v>2023</v>
      </c>
      <c r="C1798" s="189" t="s">
        <v>37</v>
      </c>
      <c r="D1798" s="279" t="s">
        <v>5827</v>
      </c>
      <c r="E1798" s="190" t="s">
        <v>5828</v>
      </c>
      <c r="F1798" s="142" t="s">
        <v>3192</v>
      </c>
      <c r="G1798" s="143" t="s">
        <v>5231</v>
      </c>
      <c r="H1798" s="144">
        <v>0.8</v>
      </c>
      <c r="I1798" s="145">
        <v>270000</v>
      </c>
      <c r="J1798" s="185" t="s">
        <v>2217</v>
      </c>
      <c r="K1798" s="185" t="s">
        <v>5823</v>
      </c>
      <c r="L1798" s="147">
        <v>0.4</v>
      </c>
      <c r="M1798" s="280" t="s">
        <v>2515</v>
      </c>
      <c r="N1798" s="186">
        <v>180000</v>
      </c>
      <c r="O1798" s="186">
        <v>180000</v>
      </c>
      <c r="P1798" s="276">
        <v>144000</v>
      </c>
      <c r="Q1798" s="276">
        <v>144000</v>
      </c>
      <c r="R1798" s="1260" t="s">
        <v>3914</v>
      </c>
      <c r="S1798" s="276">
        <v>72000</v>
      </c>
      <c r="T1798" s="150">
        <v>45225</v>
      </c>
      <c r="U1798" s="184"/>
      <c r="V1798" s="276"/>
      <c r="W1798" s="184"/>
      <c r="X1798" s="153"/>
      <c r="Y1798" s="184" t="s">
        <v>1077</v>
      </c>
    </row>
    <row r="1799" s="80" customFormat="1" ht="37.5" customHeight="1" spans="1:25">
      <c r="A1799" s="138">
        <f t="shared" si="38"/>
        <v>1791</v>
      </c>
      <c r="B1799" s="139">
        <v>2023</v>
      </c>
      <c r="C1799" s="189" t="s">
        <v>430</v>
      </c>
      <c r="D1799" s="279" t="s">
        <v>5829</v>
      </c>
      <c r="E1799" s="190" t="s">
        <v>5830</v>
      </c>
      <c r="F1799" s="142" t="s">
        <v>5831</v>
      </c>
      <c r="G1799" s="143" t="s">
        <v>1188</v>
      </c>
      <c r="H1799" s="144">
        <v>1</v>
      </c>
      <c r="I1799" s="145">
        <v>2600000</v>
      </c>
      <c r="J1799" s="185" t="s">
        <v>2659</v>
      </c>
      <c r="K1799" s="185" t="s">
        <v>3726</v>
      </c>
      <c r="L1799" s="147">
        <v>0.4</v>
      </c>
      <c r="M1799" s="1276" t="s">
        <v>2208</v>
      </c>
      <c r="N1799" s="186">
        <v>2590000</v>
      </c>
      <c r="O1799" s="186">
        <v>2590000</v>
      </c>
      <c r="P1799" s="186">
        <v>2590000</v>
      </c>
      <c r="Q1799" s="186">
        <v>2590000</v>
      </c>
      <c r="R1799" s="1260" t="s">
        <v>3716</v>
      </c>
      <c r="S1799" s="276">
        <v>1036000</v>
      </c>
      <c r="T1799" s="150">
        <v>45237</v>
      </c>
      <c r="U1799" s="1260" t="s">
        <v>5729</v>
      </c>
      <c r="V1799" s="276">
        <v>518000</v>
      </c>
      <c r="W1799" s="314" t="s">
        <v>4885</v>
      </c>
      <c r="X1799" s="276">
        <v>518000</v>
      </c>
      <c r="Y1799" s="138"/>
    </row>
    <row r="1800" s="80" customFormat="1" ht="37.5" customHeight="1" spans="1:25">
      <c r="A1800" s="138">
        <f t="shared" si="38"/>
        <v>1792</v>
      </c>
      <c r="B1800" s="139">
        <v>2023</v>
      </c>
      <c r="C1800" s="189" t="s">
        <v>430</v>
      </c>
      <c r="D1800" s="279" t="s">
        <v>5832</v>
      </c>
      <c r="E1800" s="190" t="s">
        <v>5833</v>
      </c>
      <c r="F1800" s="142" t="s">
        <v>5834</v>
      </c>
      <c r="G1800" s="143" t="s">
        <v>1137</v>
      </c>
      <c r="H1800" s="144">
        <v>0.8</v>
      </c>
      <c r="I1800" s="145">
        <v>300000</v>
      </c>
      <c r="J1800" s="185" t="s">
        <v>2767</v>
      </c>
      <c r="K1800" s="185" t="s">
        <v>5835</v>
      </c>
      <c r="L1800" s="147">
        <v>0.4</v>
      </c>
      <c r="M1800" s="1276" t="s">
        <v>2619</v>
      </c>
      <c r="N1800" s="186">
        <v>285000</v>
      </c>
      <c r="O1800" s="186">
        <v>285000</v>
      </c>
      <c r="P1800" s="276">
        <v>228000</v>
      </c>
      <c r="Q1800" s="276">
        <v>228000</v>
      </c>
      <c r="R1800" s="1260" t="s">
        <v>3973</v>
      </c>
      <c r="S1800" s="276">
        <v>114000</v>
      </c>
      <c r="T1800" s="150">
        <v>45239</v>
      </c>
      <c r="U1800" s="1260" t="s">
        <v>5836</v>
      </c>
      <c r="V1800" s="276">
        <v>5700</v>
      </c>
      <c r="W1800" s="314" t="s">
        <v>5719</v>
      </c>
      <c r="X1800" s="276">
        <v>5700</v>
      </c>
      <c r="Y1800" s="138"/>
    </row>
    <row r="1801" s="80" customFormat="1" ht="37.5" customHeight="1" spans="1:25">
      <c r="A1801" s="138">
        <f t="shared" si="38"/>
        <v>1793</v>
      </c>
      <c r="B1801" s="139">
        <v>2023</v>
      </c>
      <c r="C1801" s="189" t="s">
        <v>25</v>
      </c>
      <c r="D1801" s="279" t="s">
        <v>5837</v>
      </c>
      <c r="E1801" s="190" t="s">
        <v>5838</v>
      </c>
      <c r="F1801" s="142" t="s">
        <v>5839</v>
      </c>
      <c r="G1801" s="143" t="s">
        <v>1103</v>
      </c>
      <c r="H1801" s="144">
        <v>0.8</v>
      </c>
      <c r="I1801" s="145">
        <v>300000</v>
      </c>
      <c r="J1801" s="1258" t="s">
        <v>2034</v>
      </c>
      <c r="K1801" s="1258" t="s">
        <v>5381</v>
      </c>
      <c r="L1801" s="147">
        <v>0.4</v>
      </c>
      <c r="M1801" s="1276" t="s">
        <v>2245</v>
      </c>
      <c r="N1801" s="186">
        <v>300000</v>
      </c>
      <c r="O1801" s="186">
        <v>300000</v>
      </c>
      <c r="P1801" s="276">
        <v>240000</v>
      </c>
      <c r="Q1801" s="276">
        <v>240000</v>
      </c>
      <c r="R1801" s="1260" t="s">
        <v>4172</v>
      </c>
      <c r="S1801" s="276">
        <v>120000</v>
      </c>
      <c r="T1801" s="150">
        <v>45245</v>
      </c>
      <c r="U1801" s="1260" t="s">
        <v>4943</v>
      </c>
      <c r="V1801" s="276">
        <v>60000</v>
      </c>
      <c r="W1801" s="314" t="s">
        <v>4877</v>
      </c>
      <c r="X1801" s="276">
        <v>60000</v>
      </c>
      <c r="Y1801" s="138"/>
    </row>
    <row r="1802" s="80" customFormat="1" ht="37.5" customHeight="1" spans="1:25">
      <c r="A1802" s="138">
        <f t="shared" si="38"/>
        <v>1794</v>
      </c>
      <c r="B1802" s="139">
        <v>2023</v>
      </c>
      <c r="C1802" s="189" t="s">
        <v>57</v>
      </c>
      <c r="D1802" s="279" t="s">
        <v>5840</v>
      </c>
      <c r="E1802" s="190" t="s">
        <v>5841</v>
      </c>
      <c r="F1802" s="142" t="s">
        <v>5842</v>
      </c>
      <c r="G1802" s="143" t="s">
        <v>1188</v>
      </c>
      <c r="H1802" s="144">
        <v>1</v>
      </c>
      <c r="I1802" s="145">
        <v>2400000</v>
      </c>
      <c r="J1802" s="1258" t="s">
        <v>5843</v>
      </c>
      <c r="K1802" s="1258" t="s">
        <v>2913</v>
      </c>
      <c r="L1802" s="147">
        <v>0.4</v>
      </c>
      <c r="M1802" s="280" t="s">
        <v>2253</v>
      </c>
      <c r="N1802" s="186">
        <v>2400000</v>
      </c>
      <c r="O1802" s="186">
        <v>2400000</v>
      </c>
      <c r="P1802" s="276">
        <v>2400000</v>
      </c>
      <c r="Q1802" s="276">
        <v>2400000</v>
      </c>
      <c r="R1802" s="1260" t="s">
        <v>3458</v>
      </c>
      <c r="S1802" s="276">
        <v>960000</v>
      </c>
      <c r="T1802" s="150">
        <v>45259</v>
      </c>
      <c r="U1802" s="1260" t="s">
        <v>4943</v>
      </c>
      <c r="V1802" s="276">
        <v>480000</v>
      </c>
      <c r="W1802" s="314" t="s">
        <v>4518</v>
      </c>
      <c r="X1802" s="276">
        <v>480000</v>
      </c>
      <c r="Y1802" s="138"/>
    </row>
    <row r="1803" s="80" customFormat="1" ht="37.5" customHeight="1" spans="1:25">
      <c r="A1803" s="138">
        <f t="shared" si="38"/>
        <v>1795</v>
      </c>
      <c r="B1803" s="139">
        <v>2023</v>
      </c>
      <c r="C1803" s="189" t="s">
        <v>31</v>
      </c>
      <c r="D1803" s="279" t="s">
        <v>5844</v>
      </c>
      <c r="E1803" s="190" t="s">
        <v>5845</v>
      </c>
      <c r="F1803" s="142" t="s">
        <v>4628</v>
      </c>
      <c r="G1803" s="143" t="s">
        <v>1137</v>
      </c>
      <c r="H1803" s="144">
        <v>0.8</v>
      </c>
      <c r="I1803" s="145">
        <v>2000000</v>
      </c>
      <c r="J1803" s="1258" t="s">
        <v>2469</v>
      </c>
      <c r="K1803" s="1258" t="s">
        <v>2515</v>
      </c>
      <c r="L1803" s="147">
        <v>0.4</v>
      </c>
      <c r="M1803" s="1276" t="s">
        <v>2241</v>
      </c>
      <c r="N1803" s="186">
        <v>2016003.32</v>
      </c>
      <c r="O1803" s="186">
        <v>2000000</v>
      </c>
      <c r="P1803" s="276">
        <v>1600000</v>
      </c>
      <c r="Q1803" s="276">
        <v>1612802.66</v>
      </c>
      <c r="R1803" s="1260" t="s">
        <v>3458</v>
      </c>
      <c r="S1803" s="276">
        <v>806401.33</v>
      </c>
      <c r="T1803" s="150">
        <v>45259</v>
      </c>
      <c r="U1803" s="1260" t="s">
        <v>4943</v>
      </c>
      <c r="V1803" s="276">
        <v>400000</v>
      </c>
      <c r="W1803" s="184" t="s">
        <v>3930</v>
      </c>
      <c r="X1803" s="317">
        <v>400000</v>
      </c>
      <c r="Y1803" s="138"/>
    </row>
    <row r="1804" s="80" customFormat="1" ht="37.5" customHeight="1" spans="1:25">
      <c r="A1804" s="138">
        <f t="shared" si="38"/>
        <v>1796</v>
      </c>
      <c r="B1804" s="139">
        <v>2023</v>
      </c>
      <c r="C1804" s="189" t="s">
        <v>37</v>
      </c>
      <c r="D1804" s="279" t="s">
        <v>5846</v>
      </c>
      <c r="E1804" s="190" t="s">
        <v>5847</v>
      </c>
      <c r="F1804" s="142" t="s">
        <v>3192</v>
      </c>
      <c r="G1804" s="143" t="s">
        <v>5231</v>
      </c>
      <c r="H1804" s="144">
        <v>0.8</v>
      </c>
      <c r="I1804" s="145">
        <v>80000</v>
      </c>
      <c r="J1804" s="185" t="s">
        <v>2888</v>
      </c>
      <c r="K1804" s="185" t="s">
        <v>5848</v>
      </c>
      <c r="L1804" s="147">
        <v>0.4</v>
      </c>
      <c r="M1804" s="280" t="s">
        <v>2619</v>
      </c>
      <c r="N1804" s="186">
        <v>56666.69</v>
      </c>
      <c r="O1804" s="186">
        <v>56666.69</v>
      </c>
      <c r="P1804" s="276">
        <v>45333.35</v>
      </c>
      <c r="Q1804" s="276">
        <v>45333.35</v>
      </c>
      <c r="R1804" s="1260" t="s">
        <v>5849</v>
      </c>
      <c r="S1804" s="276">
        <v>22666.68</v>
      </c>
      <c r="T1804" s="150">
        <v>45266</v>
      </c>
      <c r="U1804" s="1260" t="s">
        <v>4838</v>
      </c>
      <c r="V1804" s="276">
        <v>11333.34</v>
      </c>
      <c r="W1804" s="184" t="s">
        <v>3930</v>
      </c>
      <c r="X1804" s="317">
        <v>11333.34</v>
      </c>
      <c r="Y1804" s="138"/>
    </row>
    <row r="1805" s="80" customFormat="1" ht="37.5" customHeight="1" spans="1:25">
      <c r="A1805" s="138">
        <f t="shared" si="38"/>
        <v>1797</v>
      </c>
      <c r="B1805" s="139">
        <v>2023</v>
      </c>
      <c r="C1805" s="189" t="s">
        <v>37</v>
      </c>
      <c r="D1805" s="279" t="s">
        <v>5850</v>
      </c>
      <c r="E1805" s="190" t="s">
        <v>5851</v>
      </c>
      <c r="F1805" s="142" t="s">
        <v>3192</v>
      </c>
      <c r="G1805" s="143" t="s">
        <v>5231</v>
      </c>
      <c r="H1805" s="144">
        <v>0.8</v>
      </c>
      <c r="I1805" s="145">
        <v>250000</v>
      </c>
      <c r="J1805" s="185" t="s">
        <v>2691</v>
      </c>
      <c r="K1805" s="185" t="s">
        <v>5852</v>
      </c>
      <c r="L1805" s="147">
        <v>0.4</v>
      </c>
      <c r="M1805" s="280" t="s">
        <v>2619</v>
      </c>
      <c r="N1805" s="186">
        <v>156249.97</v>
      </c>
      <c r="O1805" s="186">
        <v>156249.97</v>
      </c>
      <c r="P1805" s="276">
        <v>124999.98</v>
      </c>
      <c r="Q1805" s="276">
        <v>124999.98</v>
      </c>
      <c r="R1805" s="1260" t="s">
        <v>5849</v>
      </c>
      <c r="S1805" s="276">
        <v>62499.99</v>
      </c>
      <c r="T1805" s="150">
        <v>45266</v>
      </c>
      <c r="U1805" s="1260" t="s">
        <v>4838</v>
      </c>
      <c r="V1805" s="276">
        <v>31249.99</v>
      </c>
      <c r="W1805" s="184" t="s">
        <v>3930</v>
      </c>
      <c r="X1805" s="317">
        <v>31249.99</v>
      </c>
      <c r="Y1805" s="138"/>
    </row>
    <row r="1806" s="80" customFormat="1" ht="37.5" customHeight="1" spans="1:25">
      <c r="A1806" s="138">
        <f t="shared" si="38"/>
        <v>1798</v>
      </c>
      <c r="B1806" s="139">
        <v>2023</v>
      </c>
      <c r="C1806" s="189" t="s">
        <v>37</v>
      </c>
      <c r="D1806" s="279" t="s">
        <v>5853</v>
      </c>
      <c r="E1806" s="190" t="s">
        <v>5854</v>
      </c>
      <c r="F1806" s="142" t="s">
        <v>3192</v>
      </c>
      <c r="G1806" s="143" t="s">
        <v>5231</v>
      </c>
      <c r="H1806" s="144">
        <v>0.8</v>
      </c>
      <c r="I1806" s="145">
        <v>80000</v>
      </c>
      <c r="J1806" s="185" t="s">
        <v>2695</v>
      </c>
      <c r="K1806" s="185" t="s">
        <v>5855</v>
      </c>
      <c r="L1806" s="147">
        <v>0.4</v>
      </c>
      <c r="M1806" s="280" t="s">
        <v>2619</v>
      </c>
      <c r="N1806" s="186">
        <v>53333.36</v>
      </c>
      <c r="O1806" s="186">
        <v>53333.36</v>
      </c>
      <c r="P1806" s="276">
        <v>42666.69</v>
      </c>
      <c r="Q1806" s="276">
        <v>42666.69</v>
      </c>
      <c r="R1806" s="1260" t="s">
        <v>5849</v>
      </c>
      <c r="S1806" s="276">
        <v>21333.34</v>
      </c>
      <c r="T1806" s="150">
        <v>45266</v>
      </c>
      <c r="U1806" s="1260" t="s">
        <v>4838</v>
      </c>
      <c r="V1806" s="276">
        <v>10666.67</v>
      </c>
      <c r="W1806" s="184" t="s">
        <v>3930</v>
      </c>
      <c r="X1806" s="317">
        <v>10666.67</v>
      </c>
      <c r="Y1806" s="138"/>
    </row>
    <row r="1807" s="80" customFormat="1" ht="37.5" customHeight="1" spans="1:25">
      <c r="A1807" s="138">
        <f t="shared" si="38"/>
        <v>1799</v>
      </c>
      <c r="B1807" s="139">
        <v>2023</v>
      </c>
      <c r="C1807" s="189" t="s">
        <v>37</v>
      </c>
      <c r="D1807" s="279" t="s">
        <v>5825</v>
      </c>
      <c r="E1807" s="190" t="s">
        <v>5856</v>
      </c>
      <c r="F1807" s="142" t="s">
        <v>3192</v>
      </c>
      <c r="G1807" s="143" t="s">
        <v>5231</v>
      </c>
      <c r="H1807" s="144">
        <v>0.8</v>
      </c>
      <c r="I1807" s="145">
        <v>1000000</v>
      </c>
      <c r="J1807" s="185" t="s">
        <v>3176</v>
      </c>
      <c r="K1807" s="185" t="s">
        <v>4599</v>
      </c>
      <c r="L1807" s="147">
        <v>0.4</v>
      </c>
      <c r="M1807" s="280" t="s">
        <v>2619</v>
      </c>
      <c r="N1807" s="186">
        <v>74999.98</v>
      </c>
      <c r="O1807" s="186">
        <v>74999.98</v>
      </c>
      <c r="P1807" s="276">
        <v>59999.98</v>
      </c>
      <c r="Q1807" s="276">
        <v>59999.98</v>
      </c>
      <c r="R1807" s="1260" t="s">
        <v>5849</v>
      </c>
      <c r="S1807" s="276">
        <v>29999.99</v>
      </c>
      <c r="T1807" s="150">
        <v>45266</v>
      </c>
      <c r="U1807" s="1260" t="s">
        <v>4838</v>
      </c>
      <c r="V1807" s="276">
        <v>15000</v>
      </c>
      <c r="W1807" s="184" t="s">
        <v>3930</v>
      </c>
      <c r="X1807" s="317">
        <v>15000</v>
      </c>
      <c r="Y1807" s="138"/>
    </row>
    <row r="1808" s="80" customFormat="1" ht="37.5" customHeight="1" spans="1:25">
      <c r="A1808" s="138">
        <f t="shared" si="38"/>
        <v>1800</v>
      </c>
      <c r="B1808" s="139">
        <v>2023</v>
      </c>
      <c r="C1808" s="189" t="s">
        <v>37</v>
      </c>
      <c r="D1808" s="279" t="s">
        <v>5825</v>
      </c>
      <c r="E1808" s="190" t="s">
        <v>5857</v>
      </c>
      <c r="F1808" s="142" t="s">
        <v>3192</v>
      </c>
      <c r="G1808" s="143" t="s">
        <v>5231</v>
      </c>
      <c r="H1808" s="144">
        <v>0.8</v>
      </c>
      <c r="I1808" s="145">
        <v>50000</v>
      </c>
      <c r="J1808" s="185" t="s">
        <v>2457</v>
      </c>
      <c r="K1808" s="185" t="s">
        <v>4592</v>
      </c>
      <c r="L1808" s="147">
        <v>0.4</v>
      </c>
      <c r="M1808" s="280" t="s">
        <v>2619</v>
      </c>
      <c r="N1808" s="186">
        <v>33333.36</v>
      </c>
      <c r="O1808" s="186">
        <v>33333.36</v>
      </c>
      <c r="P1808" s="276">
        <v>26666.69</v>
      </c>
      <c r="Q1808" s="276">
        <v>26666.69</v>
      </c>
      <c r="R1808" s="1260" t="s">
        <v>5849</v>
      </c>
      <c r="S1808" s="276">
        <v>13333.34</v>
      </c>
      <c r="T1808" s="150">
        <v>45266</v>
      </c>
      <c r="U1808" s="1260" t="s">
        <v>4838</v>
      </c>
      <c r="V1808" s="276">
        <v>6666.67</v>
      </c>
      <c r="W1808" s="184" t="s">
        <v>3930</v>
      </c>
      <c r="X1808" s="317">
        <v>6666.67</v>
      </c>
      <c r="Y1808" s="138"/>
    </row>
    <row r="1809" s="80" customFormat="1" ht="37.5" customHeight="1" spans="1:25">
      <c r="A1809" s="138">
        <f t="shared" si="38"/>
        <v>1801</v>
      </c>
      <c r="B1809" s="139">
        <v>2023</v>
      </c>
      <c r="C1809" s="189" t="s">
        <v>37</v>
      </c>
      <c r="D1809" s="279" t="s">
        <v>5858</v>
      </c>
      <c r="E1809" s="190" t="s">
        <v>5859</v>
      </c>
      <c r="F1809" s="142" t="s">
        <v>3192</v>
      </c>
      <c r="G1809" s="143" t="s">
        <v>5231</v>
      </c>
      <c r="H1809" s="144">
        <v>0.8</v>
      </c>
      <c r="I1809" s="145">
        <v>10000</v>
      </c>
      <c r="J1809" s="185" t="s">
        <v>2512</v>
      </c>
      <c r="K1809" s="185" t="s">
        <v>4589</v>
      </c>
      <c r="L1809" s="147">
        <v>0.4</v>
      </c>
      <c r="M1809" s="280" t="s">
        <v>2619</v>
      </c>
      <c r="N1809" s="186">
        <v>6666.64</v>
      </c>
      <c r="O1809" s="186">
        <v>6666.64</v>
      </c>
      <c r="P1809" s="276">
        <v>5333.31</v>
      </c>
      <c r="Q1809" s="276">
        <v>5333.31</v>
      </c>
      <c r="R1809" s="1260" t="s">
        <v>5849</v>
      </c>
      <c r="S1809" s="276">
        <v>2666.66</v>
      </c>
      <c r="T1809" s="150">
        <v>45266</v>
      </c>
      <c r="U1809" s="1260" t="s">
        <v>4838</v>
      </c>
      <c r="V1809" s="276">
        <v>1333.33</v>
      </c>
      <c r="W1809" s="184" t="s">
        <v>3930</v>
      </c>
      <c r="X1809" s="317">
        <v>1333.33</v>
      </c>
      <c r="Y1809" s="138"/>
    </row>
    <row r="1810" s="80" customFormat="1" ht="37.5" customHeight="1" spans="1:25">
      <c r="A1810" s="138">
        <f t="shared" si="38"/>
        <v>1802</v>
      </c>
      <c r="B1810" s="139">
        <v>2023</v>
      </c>
      <c r="C1810" s="189" t="s">
        <v>37</v>
      </c>
      <c r="D1810" s="279" t="s">
        <v>5860</v>
      </c>
      <c r="E1810" s="190" t="s">
        <v>5861</v>
      </c>
      <c r="F1810" s="142" t="s">
        <v>3192</v>
      </c>
      <c r="G1810" s="143" t="s">
        <v>5231</v>
      </c>
      <c r="H1810" s="144">
        <v>0.8</v>
      </c>
      <c r="I1810" s="145">
        <v>40000</v>
      </c>
      <c r="J1810" s="185" t="s">
        <v>2054</v>
      </c>
      <c r="K1810" s="185" t="s">
        <v>5178</v>
      </c>
      <c r="L1810" s="147">
        <v>0.4</v>
      </c>
      <c r="M1810" s="280" t="s">
        <v>2619</v>
      </c>
      <c r="N1810" s="186">
        <v>23333.3</v>
      </c>
      <c r="O1810" s="186">
        <v>23333.3</v>
      </c>
      <c r="P1810" s="276">
        <v>18666.64</v>
      </c>
      <c r="Q1810" s="276">
        <v>18666.64</v>
      </c>
      <c r="R1810" s="1260" t="s">
        <v>5849</v>
      </c>
      <c r="S1810" s="276">
        <v>9333.32</v>
      </c>
      <c r="T1810" s="150">
        <v>45266</v>
      </c>
      <c r="U1810" s="1260" t="s">
        <v>4838</v>
      </c>
      <c r="V1810" s="276">
        <v>4666.66</v>
      </c>
      <c r="W1810" s="184" t="s">
        <v>3930</v>
      </c>
      <c r="X1810" s="317">
        <v>4666.66</v>
      </c>
      <c r="Y1810" s="138"/>
    </row>
    <row r="1811" s="80" customFormat="1" ht="37.5" customHeight="1" spans="1:25">
      <c r="A1811" s="138">
        <f t="shared" si="38"/>
        <v>1803</v>
      </c>
      <c r="B1811" s="139">
        <v>2023</v>
      </c>
      <c r="C1811" s="189" t="s">
        <v>37</v>
      </c>
      <c r="D1811" s="279" t="s">
        <v>5862</v>
      </c>
      <c r="E1811" s="190" t="s">
        <v>5863</v>
      </c>
      <c r="F1811" s="142" t="s">
        <v>3192</v>
      </c>
      <c r="G1811" s="143" t="s">
        <v>5231</v>
      </c>
      <c r="H1811" s="144">
        <v>0.8</v>
      </c>
      <c r="I1811" s="145">
        <v>140000</v>
      </c>
      <c r="J1811" s="185" t="s">
        <v>2028</v>
      </c>
      <c r="K1811" s="185" t="s">
        <v>4610</v>
      </c>
      <c r="L1811" s="147">
        <v>0.4</v>
      </c>
      <c r="M1811" s="280" t="s">
        <v>2619</v>
      </c>
      <c r="N1811" s="186">
        <v>110833.35</v>
      </c>
      <c r="O1811" s="186">
        <v>110833.35</v>
      </c>
      <c r="P1811" s="276">
        <v>88666.68</v>
      </c>
      <c r="Q1811" s="276">
        <v>88666.68</v>
      </c>
      <c r="R1811" s="1260" t="s">
        <v>5849</v>
      </c>
      <c r="S1811" s="276">
        <v>44333.34</v>
      </c>
      <c r="T1811" s="150">
        <v>45266</v>
      </c>
      <c r="U1811" s="1260" t="s">
        <v>4838</v>
      </c>
      <c r="V1811" s="276">
        <v>22166.67</v>
      </c>
      <c r="W1811" s="184" t="s">
        <v>3930</v>
      </c>
      <c r="X1811" s="317">
        <v>22166.67</v>
      </c>
      <c r="Y1811" s="138"/>
    </row>
    <row r="1812" s="80" customFormat="1" ht="37.5" customHeight="1" spans="1:25">
      <c r="A1812" s="138">
        <f t="shared" si="38"/>
        <v>1804</v>
      </c>
      <c r="B1812" s="139">
        <v>2023</v>
      </c>
      <c r="C1812" s="189" t="s">
        <v>37</v>
      </c>
      <c r="D1812" s="279" t="s">
        <v>5862</v>
      </c>
      <c r="E1812" s="190" t="s">
        <v>5864</v>
      </c>
      <c r="F1812" s="142" t="s">
        <v>3192</v>
      </c>
      <c r="G1812" s="143" t="s">
        <v>5231</v>
      </c>
      <c r="H1812" s="144">
        <v>0.8</v>
      </c>
      <c r="I1812" s="145">
        <v>60000</v>
      </c>
      <c r="J1812" s="185" t="s">
        <v>2938</v>
      </c>
      <c r="K1812" s="185" t="s">
        <v>4602</v>
      </c>
      <c r="L1812" s="147">
        <v>0.4</v>
      </c>
      <c r="M1812" s="280" t="s">
        <v>2619</v>
      </c>
      <c r="N1812" s="186">
        <v>45000</v>
      </c>
      <c r="O1812" s="186">
        <v>45000</v>
      </c>
      <c r="P1812" s="276">
        <v>36000</v>
      </c>
      <c r="Q1812" s="276">
        <v>36000</v>
      </c>
      <c r="R1812" s="1260" t="s">
        <v>5849</v>
      </c>
      <c r="S1812" s="276">
        <v>18000</v>
      </c>
      <c r="T1812" s="150">
        <v>45266</v>
      </c>
      <c r="U1812" s="1260" t="s">
        <v>4838</v>
      </c>
      <c r="V1812" s="276">
        <v>9000</v>
      </c>
      <c r="W1812" s="314" t="s">
        <v>4438</v>
      </c>
      <c r="X1812" s="317">
        <v>9000</v>
      </c>
      <c r="Y1812" s="138"/>
    </row>
    <row r="1813" s="80" customFormat="1" ht="37.5" customHeight="1" spans="1:25">
      <c r="A1813" s="138">
        <f t="shared" si="38"/>
        <v>1805</v>
      </c>
      <c r="B1813" s="139">
        <v>2023</v>
      </c>
      <c r="C1813" s="189" t="s">
        <v>25</v>
      </c>
      <c r="D1813" s="279" t="s">
        <v>5865</v>
      </c>
      <c r="E1813" s="190" t="s">
        <v>5866</v>
      </c>
      <c r="F1813" s="142" t="s">
        <v>5867</v>
      </c>
      <c r="G1813" s="143" t="s">
        <v>1188</v>
      </c>
      <c r="H1813" s="144">
        <v>0.8</v>
      </c>
      <c r="I1813" s="145">
        <v>400000</v>
      </c>
      <c r="J1813" s="1258" t="s">
        <v>2039</v>
      </c>
      <c r="K1813" s="1258" t="s">
        <v>5313</v>
      </c>
      <c r="L1813" s="147">
        <v>0.4</v>
      </c>
      <c r="M1813" s="1276" t="s">
        <v>2698</v>
      </c>
      <c r="N1813" s="186">
        <v>400000</v>
      </c>
      <c r="O1813" s="186">
        <v>400000</v>
      </c>
      <c r="P1813" s="276">
        <v>320000</v>
      </c>
      <c r="Q1813" s="276">
        <v>320000</v>
      </c>
      <c r="R1813" s="1260" t="s">
        <v>3657</v>
      </c>
      <c r="S1813" s="276">
        <v>160000</v>
      </c>
      <c r="T1813" s="150">
        <v>45274</v>
      </c>
      <c r="U1813" s="184" t="s">
        <v>4855</v>
      </c>
      <c r="V1813" s="276">
        <v>80000</v>
      </c>
      <c r="W1813" s="314" t="s">
        <v>3936</v>
      </c>
      <c r="X1813" s="317">
        <v>80000</v>
      </c>
      <c r="Y1813" s="138"/>
    </row>
    <row r="1814" s="80" customFormat="1" ht="37.5" customHeight="1" spans="1:25">
      <c r="A1814" s="138">
        <f t="shared" si="38"/>
        <v>1806</v>
      </c>
      <c r="B1814" s="139">
        <v>2023</v>
      </c>
      <c r="C1814" s="189" t="s">
        <v>25</v>
      </c>
      <c r="D1814" s="279" t="s">
        <v>5868</v>
      </c>
      <c r="E1814" s="190" t="s">
        <v>5869</v>
      </c>
      <c r="F1814" s="142" t="s">
        <v>4980</v>
      </c>
      <c r="G1814" s="143" t="s">
        <v>1188</v>
      </c>
      <c r="H1814" s="144">
        <v>0.8</v>
      </c>
      <c r="I1814" s="145">
        <v>1000000</v>
      </c>
      <c r="J1814" s="1258" t="s">
        <v>2695</v>
      </c>
      <c r="K1814" s="1258" t="s">
        <v>5870</v>
      </c>
      <c r="L1814" s="147">
        <v>0.4</v>
      </c>
      <c r="M1814" s="1276" t="s">
        <v>2798</v>
      </c>
      <c r="N1814" s="186">
        <v>996651.11</v>
      </c>
      <c r="O1814" s="186">
        <v>996651.11</v>
      </c>
      <c r="P1814" s="276">
        <v>797320.88</v>
      </c>
      <c r="Q1814" s="276">
        <v>797320.88</v>
      </c>
      <c r="R1814" s="1260" t="s">
        <v>3593</v>
      </c>
      <c r="S1814" s="276">
        <v>398660.44</v>
      </c>
      <c r="T1814" s="150">
        <v>45278</v>
      </c>
      <c r="U1814" s="184" t="s">
        <v>4855</v>
      </c>
      <c r="V1814" s="276">
        <v>199330.22</v>
      </c>
      <c r="W1814" s="314" t="s">
        <v>5871</v>
      </c>
      <c r="X1814" s="317">
        <v>199330.22</v>
      </c>
      <c r="Y1814" s="138"/>
    </row>
    <row r="1815" s="80" customFormat="1" ht="37.5" customHeight="1" spans="1:25">
      <c r="A1815" s="138">
        <f t="shared" si="38"/>
        <v>1807</v>
      </c>
      <c r="B1815" s="139">
        <v>2023</v>
      </c>
      <c r="C1815" s="189" t="s">
        <v>37</v>
      </c>
      <c r="D1815" s="279" t="s">
        <v>5808</v>
      </c>
      <c r="E1815" s="190" t="s">
        <v>5872</v>
      </c>
      <c r="F1815" s="142" t="s">
        <v>3192</v>
      </c>
      <c r="G1815" s="143" t="s">
        <v>5231</v>
      </c>
      <c r="H1815" s="144">
        <v>0.8</v>
      </c>
      <c r="I1815" s="145">
        <v>50000</v>
      </c>
      <c r="J1815" s="185" t="s">
        <v>2001</v>
      </c>
      <c r="K1815" s="185" t="s">
        <v>5188</v>
      </c>
      <c r="L1815" s="147">
        <v>0.4</v>
      </c>
      <c r="M1815" s="1276" t="s">
        <v>4987</v>
      </c>
      <c r="N1815" s="186">
        <v>27083.37</v>
      </c>
      <c r="O1815" s="186">
        <v>27083.37</v>
      </c>
      <c r="P1815" s="276">
        <v>21666.7</v>
      </c>
      <c r="Q1815" s="276">
        <v>21666.7</v>
      </c>
      <c r="R1815" s="1260" t="s">
        <v>3593</v>
      </c>
      <c r="S1815" s="276">
        <v>10833.35</v>
      </c>
      <c r="T1815" s="150">
        <v>45278</v>
      </c>
      <c r="U1815" s="184" t="s">
        <v>4855</v>
      </c>
      <c r="V1815" s="276">
        <v>5416.67</v>
      </c>
      <c r="W1815" s="314" t="s">
        <v>2029</v>
      </c>
      <c r="X1815" s="317">
        <v>5416.67</v>
      </c>
      <c r="Y1815" s="138"/>
    </row>
    <row r="1816" s="80" customFormat="1" ht="37.5" customHeight="1" spans="1:25">
      <c r="A1816" s="138">
        <f t="shared" si="38"/>
        <v>1808</v>
      </c>
      <c r="B1816" s="139">
        <v>2023</v>
      </c>
      <c r="C1816" s="189" t="s">
        <v>37</v>
      </c>
      <c r="D1816" s="279" t="s">
        <v>5873</v>
      </c>
      <c r="E1816" s="190" t="s">
        <v>5874</v>
      </c>
      <c r="F1816" s="142" t="s">
        <v>3192</v>
      </c>
      <c r="G1816" s="143" t="s">
        <v>5231</v>
      </c>
      <c r="H1816" s="144">
        <v>0.8</v>
      </c>
      <c r="I1816" s="145">
        <v>10000</v>
      </c>
      <c r="J1816" s="185" t="s">
        <v>2463</v>
      </c>
      <c r="K1816" s="185" t="s">
        <v>5205</v>
      </c>
      <c r="L1816" s="147">
        <v>0.4</v>
      </c>
      <c r="M1816" s="1276" t="s">
        <v>4987</v>
      </c>
      <c r="N1816" s="186">
        <v>6249.97</v>
      </c>
      <c r="O1816" s="186">
        <v>6249.97</v>
      </c>
      <c r="P1816" s="276">
        <v>4999.98</v>
      </c>
      <c r="Q1816" s="276">
        <v>4999.98</v>
      </c>
      <c r="R1816" s="1260" t="s">
        <v>3593</v>
      </c>
      <c r="S1816" s="276">
        <v>2499.99</v>
      </c>
      <c r="T1816" s="150">
        <v>45278</v>
      </c>
      <c r="U1816" s="184" t="s">
        <v>4855</v>
      </c>
      <c r="V1816" s="276">
        <v>1249.99</v>
      </c>
      <c r="W1816" s="314" t="s">
        <v>2029</v>
      </c>
      <c r="X1816" s="317">
        <v>1249.99</v>
      </c>
      <c r="Y1816" s="138"/>
    </row>
    <row r="1817" s="80" customFormat="1" ht="37.5" customHeight="1" spans="1:25">
      <c r="A1817" s="138">
        <f t="shared" si="38"/>
        <v>1809</v>
      </c>
      <c r="B1817" s="139">
        <v>2023</v>
      </c>
      <c r="C1817" s="189" t="s">
        <v>37</v>
      </c>
      <c r="D1817" s="279" t="s">
        <v>5873</v>
      </c>
      <c r="E1817" s="190" t="s">
        <v>5875</v>
      </c>
      <c r="F1817" s="142" t="s">
        <v>3192</v>
      </c>
      <c r="G1817" s="143" t="s">
        <v>5231</v>
      </c>
      <c r="H1817" s="144">
        <v>0.8</v>
      </c>
      <c r="I1817" s="145">
        <v>30000</v>
      </c>
      <c r="J1817" s="185" t="s">
        <v>2454</v>
      </c>
      <c r="K1817" s="185" t="s">
        <v>5205</v>
      </c>
      <c r="L1817" s="147">
        <v>0.4</v>
      </c>
      <c r="M1817" s="1276" t="s">
        <v>4987</v>
      </c>
      <c r="N1817" s="186">
        <v>18750</v>
      </c>
      <c r="O1817" s="186">
        <v>18750</v>
      </c>
      <c r="P1817" s="276">
        <v>15000</v>
      </c>
      <c r="Q1817" s="276">
        <v>15000</v>
      </c>
      <c r="R1817" s="1260" t="s">
        <v>3593</v>
      </c>
      <c r="S1817" s="276">
        <v>7500</v>
      </c>
      <c r="T1817" s="150">
        <v>45278</v>
      </c>
      <c r="U1817" s="184" t="s">
        <v>4855</v>
      </c>
      <c r="V1817" s="276">
        <v>3750</v>
      </c>
      <c r="W1817" s="314" t="s">
        <v>2029</v>
      </c>
      <c r="X1817" s="317">
        <v>3750</v>
      </c>
      <c r="Y1817" s="138"/>
    </row>
    <row r="1818" s="80" customFormat="1" ht="37.5" customHeight="1" spans="1:25">
      <c r="A1818" s="138">
        <f t="shared" si="38"/>
        <v>1810</v>
      </c>
      <c r="B1818" s="139">
        <v>2023</v>
      </c>
      <c r="C1818" s="189" t="s">
        <v>37</v>
      </c>
      <c r="D1818" s="279" t="s">
        <v>5873</v>
      </c>
      <c r="E1818" s="190" t="s">
        <v>5876</v>
      </c>
      <c r="F1818" s="142" t="s">
        <v>3192</v>
      </c>
      <c r="G1818" s="143" t="s">
        <v>5231</v>
      </c>
      <c r="H1818" s="144">
        <v>0.8</v>
      </c>
      <c r="I1818" s="145">
        <v>50000</v>
      </c>
      <c r="J1818" s="185" t="s">
        <v>2893</v>
      </c>
      <c r="K1818" s="185" t="s">
        <v>5769</v>
      </c>
      <c r="L1818" s="147">
        <v>0.4</v>
      </c>
      <c r="M1818" s="1276" t="s">
        <v>4987</v>
      </c>
      <c r="N1818" s="186">
        <v>33333.36</v>
      </c>
      <c r="O1818" s="186">
        <v>33333.36</v>
      </c>
      <c r="P1818" s="276">
        <v>26666.69</v>
      </c>
      <c r="Q1818" s="276">
        <v>26666.69</v>
      </c>
      <c r="R1818" s="1260" t="s">
        <v>3593</v>
      </c>
      <c r="S1818" s="276">
        <v>13333.34</v>
      </c>
      <c r="T1818" s="150">
        <v>45278</v>
      </c>
      <c r="U1818" s="184" t="s">
        <v>4855</v>
      </c>
      <c r="V1818" s="276">
        <v>6666.67</v>
      </c>
      <c r="W1818" s="314" t="s">
        <v>2029</v>
      </c>
      <c r="X1818" s="317">
        <v>6666.67</v>
      </c>
      <c r="Y1818" s="138"/>
    </row>
    <row r="1819" s="80" customFormat="1" ht="37.5" customHeight="1" spans="1:25">
      <c r="A1819" s="138">
        <f t="shared" si="38"/>
        <v>1811</v>
      </c>
      <c r="B1819" s="139">
        <v>2023</v>
      </c>
      <c r="C1819" s="189" t="s">
        <v>37</v>
      </c>
      <c r="D1819" s="279" t="s">
        <v>5873</v>
      </c>
      <c r="E1819" s="190" t="s">
        <v>5877</v>
      </c>
      <c r="F1819" s="142" t="s">
        <v>3192</v>
      </c>
      <c r="G1819" s="143" t="s">
        <v>5231</v>
      </c>
      <c r="H1819" s="144">
        <v>0.8</v>
      </c>
      <c r="I1819" s="145">
        <v>10000</v>
      </c>
      <c r="J1819" s="185" t="s">
        <v>2893</v>
      </c>
      <c r="K1819" s="185" t="s">
        <v>5769</v>
      </c>
      <c r="L1819" s="147">
        <v>0.4</v>
      </c>
      <c r="M1819" s="1276" t="s">
        <v>4987</v>
      </c>
      <c r="N1819" s="186">
        <v>6666.64</v>
      </c>
      <c r="O1819" s="186">
        <v>6666.64</v>
      </c>
      <c r="P1819" s="276">
        <v>5333.31</v>
      </c>
      <c r="Q1819" s="276">
        <v>5333.31</v>
      </c>
      <c r="R1819" s="1260" t="s">
        <v>3593</v>
      </c>
      <c r="S1819" s="276">
        <v>2666.66</v>
      </c>
      <c r="T1819" s="150">
        <v>45278</v>
      </c>
      <c r="U1819" s="184" t="s">
        <v>4855</v>
      </c>
      <c r="V1819" s="276">
        <v>1333.33</v>
      </c>
      <c r="W1819" s="314" t="s">
        <v>2029</v>
      </c>
      <c r="X1819" s="317">
        <v>1333.33</v>
      </c>
      <c r="Y1819" s="138"/>
    </row>
    <row r="1820" s="80" customFormat="1" ht="37.5" customHeight="1" spans="1:25">
      <c r="A1820" s="138">
        <f t="shared" si="38"/>
        <v>1812</v>
      </c>
      <c r="B1820" s="139">
        <v>2023</v>
      </c>
      <c r="C1820" s="189" t="s">
        <v>37</v>
      </c>
      <c r="D1820" s="279" t="s">
        <v>5873</v>
      </c>
      <c r="E1820" s="190" t="s">
        <v>5878</v>
      </c>
      <c r="F1820" s="142" t="s">
        <v>3192</v>
      </c>
      <c r="G1820" s="143" t="s">
        <v>5231</v>
      </c>
      <c r="H1820" s="144">
        <v>0.8</v>
      </c>
      <c r="I1820" s="145">
        <v>40000</v>
      </c>
      <c r="J1820" s="185" t="s">
        <v>2823</v>
      </c>
      <c r="K1820" s="185" t="s">
        <v>5879</v>
      </c>
      <c r="L1820" s="147">
        <v>0.4</v>
      </c>
      <c r="M1820" s="1276" t="s">
        <v>4987</v>
      </c>
      <c r="N1820" s="186">
        <v>28333.31</v>
      </c>
      <c r="O1820" s="186">
        <v>28333.31</v>
      </c>
      <c r="P1820" s="276">
        <v>22666.65</v>
      </c>
      <c r="Q1820" s="276">
        <v>22666.65</v>
      </c>
      <c r="R1820" s="1260" t="s">
        <v>3593</v>
      </c>
      <c r="S1820" s="276">
        <v>11333.32</v>
      </c>
      <c r="T1820" s="150">
        <v>45278</v>
      </c>
      <c r="U1820" s="184" t="s">
        <v>4855</v>
      </c>
      <c r="V1820" s="276">
        <v>5666.66</v>
      </c>
      <c r="W1820" s="314" t="s">
        <v>2029</v>
      </c>
      <c r="X1820" s="317">
        <v>5666.66</v>
      </c>
      <c r="Y1820" s="138"/>
    </row>
    <row r="1821" s="80" customFormat="1" ht="37.5" customHeight="1" spans="1:25">
      <c r="A1821" s="138">
        <f t="shared" si="38"/>
        <v>1813</v>
      </c>
      <c r="B1821" s="139">
        <v>2023</v>
      </c>
      <c r="C1821" s="189" t="s">
        <v>37</v>
      </c>
      <c r="D1821" s="279" t="s">
        <v>5873</v>
      </c>
      <c r="E1821" s="190" t="s">
        <v>5880</v>
      </c>
      <c r="F1821" s="142" t="s">
        <v>3192</v>
      </c>
      <c r="G1821" s="143" t="s">
        <v>5231</v>
      </c>
      <c r="H1821" s="144">
        <v>0.8</v>
      </c>
      <c r="I1821" s="145">
        <v>10000</v>
      </c>
      <c r="J1821" s="185" t="s">
        <v>2027</v>
      </c>
      <c r="K1821" s="185" t="s">
        <v>5879</v>
      </c>
      <c r="L1821" s="147">
        <v>0.4</v>
      </c>
      <c r="M1821" s="1276" t="s">
        <v>4987</v>
      </c>
      <c r="N1821" s="186">
        <v>7083.31</v>
      </c>
      <c r="O1821" s="186">
        <v>7083.31</v>
      </c>
      <c r="P1821" s="276">
        <v>5666.65</v>
      </c>
      <c r="Q1821" s="276">
        <v>5666.65</v>
      </c>
      <c r="R1821" s="1260" t="s">
        <v>3593</v>
      </c>
      <c r="S1821" s="276">
        <v>2833.32</v>
      </c>
      <c r="T1821" s="150">
        <v>45278</v>
      </c>
      <c r="U1821" s="184" t="s">
        <v>4855</v>
      </c>
      <c r="V1821" s="276">
        <v>1416.66</v>
      </c>
      <c r="W1821" s="314" t="s">
        <v>2029</v>
      </c>
      <c r="X1821" s="317">
        <v>1416.66</v>
      </c>
      <c r="Y1821" s="138"/>
    </row>
    <row r="1822" s="80" customFormat="1" ht="37.5" customHeight="1" spans="1:25">
      <c r="A1822" s="138">
        <f t="shared" ref="A1822:A1843" si="39">ROW()-8</f>
        <v>1814</v>
      </c>
      <c r="B1822" s="139">
        <v>2023</v>
      </c>
      <c r="C1822" s="189" t="s">
        <v>37</v>
      </c>
      <c r="D1822" s="279" t="s">
        <v>5881</v>
      </c>
      <c r="E1822" s="190" t="s">
        <v>5882</v>
      </c>
      <c r="F1822" s="142" t="s">
        <v>3192</v>
      </c>
      <c r="G1822" s="143" t="s">
        <v>5231</v>
      </c>
      <c r="H1822" s="144">
        <v>0.8</v>
      </c>
      <c r="I1822" s="145">
        <v>90000</v>
      </c>
      <c r="J1822" s="185" t="s">
        <v>2823</v>
      </c>
      <c r="K1822" s="185" t="s">
        <v>5879</v>
      </c>
      <c r="L1822" s="147">
        <v>0.4</v>
      </c>
      <c r="M1822" s="1276" t="s">
        <v>4987</v>
      </c>
      <c r="N1822" s="186">
        <v>60000</v>
      </c>
      <c r="O1822" s="186">
        <v>60000</v>
      </c>
      <c r="P1822" s="276">
        <v>48000</v>
      </c>
      <c r="Q1822" s="276">
        <v>48000</v>
      </c>
      <c r="R1822" s="1260" t="s">
        <v>3593</v>
      </c>
      <c r="S1822" s="276">
        <v>24000</v>
      </c>
      <c r="T1822" s="150">
        <v>45278</v>
      </c>
      <c r="U1822" s="184" t="s">
        <v>4855</v>
      </c>
      <c r="V1822" s="276">
        <v>12000</v>
      </c>
      <c r="W1822" s="314" t="s">
        <v>2029</v>
      </c>
      <c r="X1822" s="317">
        <v>12000</v>
      </c>
      <c r="Y1822" s="138"/>
    </row>
    <row r="1823" s="80" customFormat="1" ht="37.5" customHeight="1" spans="1:25">
      <c r="A1823" s="138">
        <f t="shared" si="39"/>
        <v>1815</v>
      </c>
      <c r="B1823" s="139">
        <v>2023</v>
      </c>
      <c r="C1823" s="189" t="s">
        <v>37</v>
      </c>
      <c r="D1823" s="279" t="s">
        <v>5883</v>
      </c>
      <c r="E1823" s="190" t="s">
        <v>5884</v>
      </c>
      <c r="F1823" s="142" t="s">
        <v>3192</v>
      </c>
      <c r="G1823" s="143" t="s">
        <v>5231</v>
      </c>
      <c r="H1823" s="144">
        <v>0.8</v>
      </c>
      <c r="I1823" s="145">
        <v>50000</v>
      </c>
      <c r="J1823" s="185" t="s">
        <v>2710</v>
      </c>
      <c r="K1823" s="185" t="s">
        <v>5813</v>
      </c>
      <c r="L1823" s="147">
        <v>0.4</v>
      </c>
      <c r="M1823" s="1276" t="s">
        <v>4987</v>
      </c>
      <c r="N1823" s="186">
        <v>31250.03</v>
      </c>
      <c r="O1823" s="186">
        <v>31250.03</v>
      </c>
      <c r="P1823" s="276">
        <v>25000.02</v>
      </c>
      <c r="Q1823" s="276">
        <v>25000.02</v>
      </c>
      <c r="R1823" s="1260" t="s">
        <v>3593</v>
      </c>
      <c r="S1823" s="276">
        <v>12500.01</v>
      </c>
      <c r="T1823" s="150">
        <v>45278</v>
      </c>
      <c r="U1823" s="184" t="s">
        <v>4855</v>
      </c>
      <c r="V1823" s="276">
        <v>6250.01</v>
      </c>
      <c r="W1823" s="314" t="s">
        <v>2029</v>
      </c>
      <c r="X1823" s="317">
        <v>6250.01</v>
      </c>
      <c r="Y1823" s="138"/>
    </row>
    <row r="1824" s="80" customFormat="1" ht="37.5" customHeight="1" spans="1:25">
      <c r="A1824" s="138">
        <f t="shared" si="39"/>
        <v>1816</v>
      </c>
      <c r="B1824" s="139">
        <v>2023</v>
      </c>
      <c r="C1824" s="189" t="s">
        <v>37</v>
      </c>
      <c r="D1824" s="279" t="s">
        <v>5885</v>
      </c>
      <c r="E1824" s="190" t="s">
        <v>5886</v>
      </c>
      <c r="F1824" s="142" t="s">
        <v>3192</v>
      </c>
      <c r="G1824" s="143" t="s">
        <v>5231</v>
      </c>
      <c r="H1824" s="144">
        <v>0.8</v>
      </c>
      <c r="I1824" s="145">
        <v>170000</v>
      </c>
      <c r="J1824" s="185" t="s">
        <v>3140</v>
      </c>
      <c r="K1824" s="185" t="s">
        <v>4615</v>
      </c>
      <c r="L1824" s="147">
        <v>0.4</v>
      </c>
      <c r="M1824" s="1276" t="s">
        <v>4987</v>
      </c>
      <c r="N1824" s="186">
        <v>120416.69</v>
      </c>
      <c r="O1824" s="186">
        <v>120416.69</v>
      </c>
      <c r="P1824" s="276">
        <v>96333.35</v>
      </c>
      <c r="Q1824" s="276">
        <v>96333.35</v>
      </c>
      <c r="R1824" s="1260" t="s">
        <v>3593</v>
      </c>
      <c r="S1824" s="276">
        <v>48166.68</v>
      </c>
      <c r="T1824" s="150">
        <v>45278</v>
      </c>
      <c r="U1824" s="184" t="s">
        <v>4855</v>
      </c>
      <c r="V1824" s="276">
        <v>24083.34</v>
      </c>
      <c r="W1824" s="314" t="s">
        <v>2029</v>
      </c>
      <c r="X1824" s="317">
        <v>24083.34</v>
      </c>
      <c r="Y1824" s="138"/>
    </row>
    <row r="1825" s="80" customFormat="1" ht="37.5" customHeight="1" spans="1:25">
      <c r="A1825" s="138">
        <f t="shared" si="39"/>
        <v>1817</v>
      </c>
      <c r="B1825" s="139">
        <v>2023</v>
      </c>
      <c r="C1825" s="189" t="s">
        <v>37</v>
      </c>
      <c r="D1825" s="279" t="s">
        <v>5887</v>
      </c>
      <c r="E1825" s="190" t="s">
        <v>5888</v>
      </c>
      <c r="F1825" s="142" t="s">
        <v>3192</v>
      </c>
      <c r="G1825" s="143" t="s">
        <v>5231</v>
      </c>
      <c r="H1825" s="144">
        <v>0.8</v>
      </c>
      <c r="I1825" s="145">
        <v>180000</v>
      </c>
      <c r="J1825" s="185" t="s">
        <v>3327</v>
      </c>
      <c r="K1825" s="185" t="s">
        <v>5889</v>
      </c>
      <c r="L1825" s="147">
        <v>0.4</v>
      </c>
      <c r="M1825" s="1276" t="s">
        <v>4987</v>
      </c>
      <c r="N1825" s="186">
        <v>127500</v>
      </c>
      <c r="O1825" s="186">
        <v>127500</v>
      </c>
      <c r="P1825" s="276">
        <v>102000</v>
      </c>
      <c r="Q1825" s="276">
        <v>102000</v>
      </c>
      <c r="R1825" s="1260" t="s">
        <v>3593</v>
      </c>
      <c r="S1825" s="276">
        <v>51000</v>
      </c>
      <c r="T1825" s="150">
        <v>45278</v>
      </c>
      <c r="U1825" s="184" t="s">
        <v>4855</v>
      </c>
      <c r="V1825" s="276">
        <v>25500</v>
      </c>
      <c r="W1825" s="314" t="s">
        <v>2029</v>
      </c>
      <c r="X1825" s="317">
        <v>25500</v>
      </c>
      <c r="Y1825" s="138"/>
    </row>
    <row r="1826" s="80" customFormat="1" ht="37.5" customHeight="1" spans="1:25">
      <c r="A1826" s="138">
        <f t="shared" si="39"/>
        <v>1818</v>
      </c>
      <c r="B1826" s="139">
        <v>2023</v>
      </c>
      <c r="C1826" s="189" t="s">
        <v>37</v>
      </c>
      <c r="D1826" s="279" t="s">
        <v>5890</v>
      </c>
      <c r="E1826" s="190" t="s">
        <v>5891</v>
      </c>
      <c r="F1826" s="142" t="s">
        <v>3192</v>
      </c>
      <c r="G1826" s="143" t="s">
        <v>5231</v>
      </c>
      <c r="H1826" s="144">
        <v>0.8</v>
      </c>
      <c r="I1826" s="145">
        <v>70000</v>
      </c>
      <c r="J1826" s="185" t="s">
        <v>2047</v>
      </c>
      <c r="K1826" s="185" t="s">
        <v>5816</v>
      </c>
      <c r="L1826" s="147">
        <v>0.4</v>
      </c>
      <c r="M1826" s="1276" t="s">
        <v>4987</v>
      </c>
      <c r="N1826" s="186">
        <v>43749.97</v>
      </c>
      <c r="O1826" s="186">
        <v>43749.97</v>
      </c>
      <c r="P1826" s="276">
        <v>34999.98</v>
      </c>
      <c r="Q1826" s="276">
        <v>34999.98</v>
      </c>
      <c r="R1826" s="1260" t="s">
        <v>3593</v>
      </c>
      <c r="S1826" s="276">
        <v>17499.99</v>
      </c>
      <c r="T1826" s="150">
        <v>45278</v>
      </c>
      <c r="U1826" s="184" t="s">
        <v>4855</v>
      </c>
      <c r="V1826" s="276">
        <v>8749.99</v>
      </c>
      <c r="W1826" s="314" t="s">
        <v>2029</v>
      </c>
      <c r="X1826" s="317">
        <v>8749.99</v>
      </c>
      <c r="Y1826" s="138"/>
    </row>
    <row r="1827" s="80" customFormat="1" ht="37.5" customHeight="1" spans="1:25">
      <c r="A1827" s="138">
        <f t="shared" si="39"/>
        <v>1819</v>
      </c>
      <c r="B1827" s="139">
        <v>2023</v>
      </c>
      <c r="C1827" s="189" t="s">
        <v>37</v>
      </c>
      <c r="D1827" s="279" t="s">
        <v>5890</v>
      </c>
      <c r="E1827" s="190" t="s">
        <v>5892</v>
      </c>
      <c r="F1827" s="142" t="s">
        <v>3192</v>
      </c>
      <c r="G1827" s="143" t="s">
        <v>5231</v>
      </c>
      <c r="H1827" s="144">
        <v>0.8</v>
      </c>
      <c r="I1827" s="145">
        <v>300000</v>
      </c>
      <c r="J1827" s="185" t="s">
        <v>2823</v>
      </c>
      <c r="K1827" s="185" t="s">
        <v>5893</v>
      </c>
      <c r="L1827" s="147">
        <v>0.4</v>
      </c>
      <c r="M1827" s="1276" t="s">
        <v>4987</v>
      </c>
      <c r="N1827" s="186">
        <v>20000</v>
      </c>
      <c r="O1827" s="186">
        <v>20000</v>
      </c>
      <c r="P1827" s="276">
        <v>16000</v>
      </c>
      <c r="Q1827" s="276">
        <v>16000</v>
      </c>
      <c r="R1827" s="1260" t="s">
        <v>3593</v>
      </c>
      <c r="S1827" s="276">
        <v>8000</v>
      </c>
      <c r="T1827" s="150">
        <v>45278</v>
      </c>
      <c r="U1827" s="184" t="s">
        <v>4855</v>
      </c>
      <c r="V1827" s="276">
        <v>4000</v>
      </c>
      <c r="W1827" s="314" t="s">
        <v>2029</v>
      </c>
      <c r="X1827" s="317">
        <v>4000</v>
      </c>
      <c r="Y1827" s="138"/>
    </row>
    <row r="1828" s="80" customFormat="1" ht="37.5" customHeight="1" spans="1:25">
      <c r="A1828" s="138">
        <f t="shared" si="39"/>
        <v>1820</v>
      </c>
      <c r="B1828" s="139">
        <v>2023</v>
      </c>
      <c r="C1828" s="189" t="s">
        <v>37</v>
      </c>
      <c r="D1828" s="279" t="s">
        <v>5881</v>
      </c>
      <c r="E1828" s="190" t="s">
        <v>5894</v>
      </c>
      <c r="F1828" s="142" t="s">
        <v>3192</v>
      </c>
      <c r="G1828" s="143" t="s">
        <v>5231</v>
      </c>
      <c r="H1828" s="144">
        <v>0.8</v>
      </c>
      <c r="I1828" s="145">
        <v>100000</v>
      </c>
      <c r="J1828" s="185" t="s">
        <v>2773</v>
      </c>
      <c r="K1828" s="185" t="s">
        <v>5769</v>
      </c>
      <c r="L1828" s="147">
        <v>0.4</v>
      </c>
      <c r="M1828" s="1276" t="s">
        <v>4987</v>
      </c>
      <c r="N1828" s="186">
        <v>62499.97</v>
      </c>
      <c r="O1828" s="186">
        <v>62499.97</v>
      </c>
      <c r="P1828" s="276">
        <v>49999.98</v>
      </c>
      <c r="Q1828" s="276">
        <v>49999.98</v>
      </c>
      <c r="R1828" s="1260" t="s">
        <v>3593</v>
      </c>
      <c r="S1828" s="276">
        <v>24999.99</v>
      </c>
      <c r="T1828" s="150">
        <v>45278</v>
      </c>
      <c r="U1828" s="184" t="s">
        <v>4855</v>
      </c>
      <c r="V1828" s="276">
        <v>12499.99</v>
      </c>
      <c r="W1828" s="314" t="s">
        <v>2029</v>
      </c>
      <c r="X1828" s="317">
        <v>12499.99</v>
      </c>
      <c r="Y1828" s="138"/>
    </row>
    <row r="1829" s="80" customFormat="1" ht="37.5" customHeight="1" spans="1:25">
      <c r="A1829" s="138">
        <f t="shared" si="39"/>
        <v>1821</v>
      </c>
      <c r="B1829" s="139">
        <v>2023</v>
      </c>
      <c r="C1829" s="189" t="s">
        <v>37</v>
      </c>
      <c r="D1829" s="279" t="s">
        <v>5881</v>
      </c>
      <c r="E1829" s="190" t="s">
        <v>5895</v>
      </c>
      <c r="F1829" s="142" t="s">
        <v>3192</v>
      </c>
      <c r="G1829" s="143" t="s">
        <v>5231</v>
      </c>
      <c r="H1829" s="144">
        <v>0.8</v>
      </c>
      <c r="I1829" s="145">
        <v>90000</v>
      </c>
      <c r="J1829" s="185" t="s">
        <v>2686</v>
      </c>
      <c r="K1829" s="185" t="s">
        <v>5769</v>
      </c>
      <c r="L1829" s="147">
        <v>0.4</v>
      </c>
      <c r="M1829" s="1276" t="s">
        <v>4987</v>
      </c>
      <c r="N1829" s="186">
        <v>31141.52</v>
      </c>
      <c r="O1829" s="186">
        <v>31141.52</v>
      </c>
      <c r="P1829" s="276">
        <v>24913.22</v>
      </c>
      <c r="Q1829" s="276">
        <v>24913.22</v>
      </c>
      <c r="R1829" s="1260" t="s">
        <v>3593</v>
      </c>
      <c r="S1829" s="276">
        <v>12456.61</v>
      </c>
      <c r="T1829" s="150">
        <v>45278</v>
      </c>
      <c r="U1829" s="184" t="s">
        <v>4855</v>
      </c>
      <c r="V1829" s="276">
        <v>6228.3</v>
      </c>
      <c r="W1829" s="314" t="s">
        <v>2029</v>
      </c>
      <c r="X1829" s="317">
        <v>6228.3</v>
      </c>
      <c r="Y1829" s="138"/>
    </row>
    <row r="1830" s="80" customFormat="1" ht="37.5" customHeight="1" spans="1:25">
      <c r="A1830" s="138">
        <f t="shared" si="39"/>
        <v>1822</v>
      </c>
      <c r="B1830" s="139">
        <v>2023</v>
      </c>
      <c r="C1830" s="189" t="s">
        <v>37</v>
      </c>
      <c r="D1830" s="279" t="s">
        <v>5873</v>
      </c>
      <c r="E1830" s="190" t="s">
        <v>5896</v>
      </c>
      <c r="F1830" s="142" t="s">
        <v>3192</v>
      </c>
      <c r="G1830" s="143" t="s">
        <v>5231</v>
      </c>
      <c r="H1830" s="144">
        <v>0.8</v>
      </c>
      <c r="I1830" s="145">
        <v>40000</v>
      </c>
      <c r="J1830" s="185" t="s">
        <v>2060</v>
      </c>
      <c r="K1830" s="185" t="s">
        <v>5897</v>
      </c>
      <c r="L1830" s="147">
        <v>0.4</v>
      </c>
      <c r="M1830" s="1276" t="s">
        <v>4987</v>
      </c>
      <c r="N1830" s="186">
        <v>23333.3</v>
      </c>
      <c r="O1830" s="186">
        <v>23333.3</v>
      </c>
      <c r="P1830" s="276">
        <v>18666.64</v>
      </c>
      <c r="Q1830" s="276">
        <v>18666.64</v>
      </c>
      <c r="R1830" s="1260" t="s">
        <v>3593</v>
      </c>
      <c r="S1830" s="276">
        <v>9333.32</v>
      </c>
      <c r="T1830" s="150">
        <v>45278</v>
      </c>
      <c r="U1830" s="184"/>
      <c r="V1830" s="276"/>
      <c r="W1830" s="184"/>
      <c r="X1830" s="153"/>
      <c r="Y1830" s="184" t="s">
        <v>1077</v>
      </c>
    </row>
    <row r="1831" s="80" customFormat="1" ht="37.5" customHeight="1" spans="1:25">
      <c r="A1831" s="138">
        <f t="shared" si="39"/>
        <v>1823</v>
      </c>
      <c r="B1831" s="139">
        <v>2023</v>
      </c>
      <c r="C1831" s="189" t="s">
        <v>37</v>
      </c>
      <c r="D1831" s="279" t="s">
        <v>5873</v>
      </c>
      <c r="E1831" s="190" t="s">
        <v>5898</v>
      </c>
      <c r="F1831" s="142" t="s">
        <v>3192</v>
      </c>
      <c r="G1831" s="143" t="s">
        <v>5231</v>
      </c>
      <c r="H1831" s="144">
        <v>0.8</v>
      </c>
      <c r="I1831" s="145">
        <v>200000</v>
      </c>
      <c r="J1831" s="185" t="s">
        <v>4509</v>
      </c>
      <c r="K1831" s="185" t="s">
        <v>5897</v>
      </c>
      <c r="L1831" s="147">
        <v>0.4</v>
      </c>
      <c r="M1831" s="1276" t="s">
        <v>4987</v>
      </c>
      <c r="N1831" s="186">
        <v>116666.7</v>
      </c>
      <c r="O1831" s="186">
        <v>116666.7</v>
      </c>
      <c r="P1831" s="276">
        <v>93333.36</v>
      </c>
      <c r="Q1831" s="276">
        <v>93333.36</v>
      </c>
      <c r="R1831" s="1260" t="s">
        <v>3593</v>
      </c>
      <c r="S1831" s="276">
        <v>46666.68</v>
      </c>
      <c r="T1831" s="150">
        <v>45278</v>
      </c>
      <c r="U1831" s="184"/>
      <c r="V1831" s="276"/>
      <c r="W1831" s="184"/>
      <c r="X1831" s="153"/>
      <c r="Y1831" s="184" t="s">
        <v>1077</v>
      </c>
    </row>
    <row r="1832" s="80" customFormat="1" ht="37.5" customHeight="1" spans="1:25">
      <c r="A1832" s="138">
        <f t="shared" si="39"/>
        <v>1824</v>
      </c>
      <c r="B1832" s="139">
        <v>2023</v>
      </c>
      <c r="C1832" s="189" t="s">
        <v>37</v>
      </c>
      <c r="D1832" s="279" t="s">
        <v>5873</v>
      </c>
      <c r="E1832" s="190" t="s">
        <v>5899</v>
      </c>
      <c r="F1832" s="142" t="s">
        <v>3192</v>
      </c>
      <c r="G1832" s="143" t="s">
        <v>5231</v>
      </c>
      <c r="H1832" s="144">
        <v>0.8</v>
      </c>
      <c r="I1832" s="145">
        <v>20000</v>
      </c>
      <c r="J1832" s="185" t="s">
        <v>2289</v>
      </c>
      <c r="K1832" s="185" t="s">
        <v>5900</v>
      </c>
      <c r="L1832" s="147">
        <v>0.4</v>
      </c>
      <c r="M1832" s="1276" t="s">
        <v>4987</v>
      </c>
      <c r="N1832" s="186">
        <v>10833.37</v>
      </c>
      <c r="O1832" s="186">
        <v>10833.37</v>
      </c>
      <c r="P1832" s="276">
        <v>8666.7</v>
      </c>
      <c r="Q1832" s="276">
        <v>8666.7</v>
      </c>
      <c r="R1832" s="1260" t="s">
        <v>3593</v>
      </c>
      <c r="S1832" s="276">
        <v>4333.35</v>
      </c>
      <c r="T1832" s="150">
        <v>45278</v>
      </c>
      <c r="U1832" s="184"/>
      <c r="V1832" s="276"/>
      <c r="W1832" s="184"/>
      <c r="X1832" s="153"/>
      <c r="Y1832" s="184" t="s">
        <v>1077</v>
      </c>
    </row>
    <row r="1833" s="80" customFormat="1" ht="37.5" customHeight="1" spans="1:25">
      <c r="A1833" s="138">
        <f t="shared" si="39"/>
        <v>1825</v>
      </c>
      <c r="B1833" s="139">
        <v>2023</v>
      </c>
      <c r="C1833" s="189" t="s">
        <v>37</v>
      </c>
      <c r="D1833" s="279" t="s">
        <v>5873</v>
      </c>
      <c r="E1833" s="190" t="s">
        <v>5901</v>
      </c>
      <c r="F1833" s="142" t="s">
        <v>3192</v>
      </c>
      <c r="G1833" s="143" t="s">
        <v>5231</v>
      </c>
      <c r="H1833" s="144">
        <v>0.8</v>
      </c>
      <c r="I1833" s="145">
        <v>20000</v>
      </c>
      <c r="J1833" s="185" t="s">
        <v>2612</v>
      </c>
      <c r="K1833" s="185" t="s">
        <v>5897</v>
      </c>
      <c r="L1833" s="147">
        <v>0.4</v>
      </c>
      <c r="M1833" s="1276" t="s">
        <v>4987</v>
      </c>
      <c r="N1833" s="186">
        <v>11666.7</v>
      </c>
      <c r="O1833" s="186">
        <v>11666.7</v>
      </c>
      <c r="P1833" s="276">
        <v>9333.36</v>
      </c>
      <c r="Q1833" s="276">
        <v>9333.36</v>
      </c>
      <c r="R1833" s="1260" t="s">
        <v>3593</v>
      </c>
      <c r="S1833" s="276">
        <v>4666.68</v>
      </c>
      <c r="T1833" s="150">
        <v>45278</v>
      </c>
      <c r="U1833" s="184"/>
      <c r="V1833" s="276"/>
      <c r="W1833" s="184"/>
      <c r="X1833" s="153"/>
      <c r="Y1833" s="184" t="s">
        <v>1077</v>
      </c>
    </row>
    <row r="1834" s="80" customFormat="1" ht="37.5" customHeight="1" spans="1:25">
      <c r="A1834" s="138">
        <f t="shared" si="39"/>
        <v>1826</v>
      </c>
      <c r="B1834" s="139">
        <v>2023</v>
      </c>
      <c r="C1834" s="189" t="s">
        <v>37</v>
      </c>
      <c r="D1834" s="279" t="s">
        <v>5902</v>
      </c>
      <c r="E1834" s="190" t="s">
        <v>5903</v>
      </c>
      <c r="F1834" s="142" t="s">
        <v>3192</v>
      </c>
      <c r="G1834" s="143" t="s">
        <v>5231</v>
      </c>
      <c r="H1834" s="144">
        <v>0.8</v>
      </c>
      <c r="I1834" s="145">
        <v>70000</v>
      </c>
      <c r="J1834" s="185" t="s">
        <v>2217</v>
      </c>
      <c r="K1834" s="185" t="s">
        <v>5904</v>
      </c>
      <c r="L1834" s="147">
        <v>0.4</v>
      </c>
      <c r="M1834" s="1276" t="s">
        <v>4987</v>
      </c>
      <c r="N1834" s="186">
        <v>35391.23</v>
      </c>
      <c r="O1834" s="186">
        <v>35391.23</v>
      </c>
      <c r="P1834" s="276">
        <v>28312.98</v>
      </c>
      <c r="Q1834" s="276">
        <v>28312.98</v>
      </c>
      <c r="R1834" s="1260" t="s">
        <v>3593</v>
      </c>
      <c r="S1834" s="276">
        <v>14156.49</v>
      </c>
      <c r="T1834" s="150">
        <v>45278</v>
      </c>
      <c r="U1834" s="184"/>
      <c r="V1834" s="276"/>
      <c r="W1834" s="184"/>
      <c r="X1834" s="153"/>
      <c r="Y1834" s="184" t="s">
        <v>1077</v>
      </c>
    </row>
    <row r="1835" s="80" customFormat="1" ht="37.5" customHeight="1" spans="1:25">
      <c r="A1835" s="138">
        <f t="shared" si="39"/>
        <v>1827</v>
      </c>
      <c r="B1835" s="139">
        <v>2023</v>
      </c>
      <c r="C1835" s="189" t="s">
        <v>37</v>
      </c>
      <c r="D1835" s="279" t="s">
        <v>5905</v>
      </c>
      <c r="E1835" s="190" t="s">
        <v>5906</v>
      </c>
      <c r="F1835" s="142" t="s">
        <v>3192</v>
      </c>
      <c r="G1835" s="143" t="s">
        <v>5231</v>
      </c>
      <c r="H1835" s="144">
        <v>0.8</v>
      </c>
      <c r="I1835" s="145">
        <v>30000</v>
      </c>
      <c r="J1835" s="185" t="s">
        <v>1995</v>
      </c>
      <c r="K1835" s="185" t="s">
        <v>5199</v>
      </c>
      <c r="L1835" s="147">
        <v>0.4</v>
      </c>
      <c r="M1835" s="1276" t="s">
        <v>4987</v>
      </c>
      <c r="N1835" s="186">
        <v>16250</v>
      </c>
      <c r="O1835" s="186">
        <v>16250</v>
      </c>
      <c r="P1835" s="276">
        <v>13000</v>
      </c>
      <c r="Q1835" s="276">
        <v>13000</v>
      </c>
      <c r="R1835" s="1260" t="s">
        <v>3593</v>
      </c>
      <c r="S1835" s="276">
        <v>6500</v>
      </c>
      <c r="T1835" s="150">
        <v>45278</v>
      </c>
      <c r="U1835" s="184"/>
      <c r="V1835" s="276"/>
      <c r="W1835" s="184"/>
      <c r="X1835" s="153"/>
      <c r="Y1835" s="184" t="s">
        <v>1077</v>
      </c>
    </row>
    <row r="1836" s="80" customFormat="1" ht="37.5" customHeight="1" spans="1:25">
      <c r="A1836" s="138">
        <f t="shared" si="39"/>
        <v>1828</v>
      </c>
      <c r="B1836" s="139">
        <v>2023</v>
      </c>
      <c r="C1836" s="189" t="s">
        <v>41</v>
      </c>
      <c r="D1836" s="279" t="s">
        <v>5907</v>
      </c>
      <c r="E1836" s="190" t="s">
        <v>5908</v>
      </c>
      <c r="F1836" s="142" t="s">
        <v>1163</v>
      </c>
      <c r="G1836" s="143" t="s">
        <v>1188</v>
      </c>
      <c r="H1836" s="144">
        <v>1</v>
      </c>
      <c r="I1836" s="145">
        <v>3600000</v>
      </c>
      <c r="J1836" s="185" t="s">
        <v>3495</v>
      </c>
      <c r="K1836" s="185" t="s">
        <v>2619</v>
      </c>
      <c r="L1836" s="147">
        <v>0.4</v>
      </c>
      <c r="M1836" s="1276" t="s">
        <v>2937</v>
      </c>
      <c r="N1836" s="186">
        <v>3630478.1</v>
      </c>
      <c r="O1836" s="186">
        <v>3599614.58</v>
      </c>
      <c r="P1836" s="186">
        <v>3599614.58</v>
      </c>
      <c r="Q1836" s="276">
        <v>3630478.1</v>
      </c>
      <c r="R1836" s="1260" t="s">
        <v>3593</v>
      </c>
      <c r="S1836" s="276">
        <v>1439845.83</v>
      </c>
      <c r="T1836" s="150">
        <v>45286</v>
      </c>
      <c r="U1836" s="184"/>
      <c r="V1836" s="276"/>
      <c r="W1836" s="184"/>
      <c r="X1836" s="153"/>
      <c r="Y1836" s="184" t="s">
        <v>1077</v>
      </c>
    </row>
    <row r="1837" s="80" customFormat="1" ht="37.5" customHeight="1" spans="1:25">
      <c r="A1837" s="138">
        <f t="shared" si="39"/>
        <v>1829</v>
      </c>
      <c r="B1837" s="139">
        <v>2023</v>
      </c>
      <c r="C1837" s="189" t="s">
        <v>22</v>
      </c>
      <c r="D1837" s="279" t="s">
        <v>5909</v>
      </c>
      <c r="E1837" s="190" t="s">
        <v>5910</v>
      </c>
      <c r="F1837" s="142" t="s">
        <v>5911</v>
      </c>
      <c r="G1837" s="143" t="s">
        <v>1103</v>
      </c>
      <c r="H1837" s="144">
        <v>0.8</v>
      </c>
      <c r="I1837" s="145">
        <v>1350000</v>
      </c>
      <c r="J1837" s="1258" t="s">
        <v>2002</v>
      </c>
      <c r="K1837" s="1258" t="s">
        <v>2136</v>
      </c>
      <c r="L1837" s="147">
        <v>0.4</v>
      </c>
      <c r="M1837" s="1276" t="s">
        <v>2633</v>
      </c>
      <c r="N1837" s="186">
        <v>1156073</v>
      </c>
      <c r="O1837" s="186">
        <v>1156073</v>
      </c>
      <c r="P1837" s="276">
        <v>924858.4</v>
      </c>
      <c r="Q1837" s="276">
        <v>924858.4</v>
      </c>
      <c r="R1837" s="1260" t="s">
        <v>3593</v>
      </c>
      <c r="S1837" s="276">
        <v>462429.2</v>
      </c>
      <c r="T1837" s="150">
        <v>45286</v>
      </c>
      <c r="U1837" s="184"/>
      <c r="V1837" s="276"/>
      <c r="W1837" s="184"/>
      <c r="X1837" s="153"/>
      <c r="Y1837" s="184" t="s">
        <v>1077</v>
      </c>
    </row>
    <row r="1838" s="80" customFormat="1" ht="37.5" customHeight="1" spans="1:25">
      <c r="A1838" s="138">
        <f t="shared" si="39"/>
        <v>1830</v>
      </c>
      <c r="B1838" s="139">
        <v>2023</v>
      </c>
      <c r="C1838" s="189" t="s">
        <v>37</v>
      </c>
      <c r="D1838" s="279" t="s">
        <v>5912</v>
      </c>
      <c r="E1838" s="1282" t="s">
        <v>5913</v>
      </c>
      <c r="F1838" s="142" t="s">
        <v>3192</v>
      </c>
      <c r="G1838" s="143" t="s">
        <v>5231</v>
      </c>
      <c r="H1838" s="144">
        <v>0.8</v>
      </c>
      <c r="I1838" s="145">
        <v>200000</v>
      </c>
      <c r="J1838" s="185" t="s">
        <v>3140</v>
      </c>
      <c r="K1838" s="185" t="s">
        <v>5914</v>
      </c>
      <c r="L1838" s="147">
        <v>0.4</v>
      </c>
      <c r="M1838" s="1276" t="s">
        <v>2798</v>
      </c>
      <c r="N1838" s="186">
        <v>141666.69</v>
      </c>
      <c r="O1838" s="186">
        <v>141666.69</v>
      </c>
      <c r="P1838" s="276">
        <v>113333.35</v>
      </c>
      <c r="Q1838" s="276">
        <v>113333.35</v>
      </c>
      <c r="R1838" s="184" t="s">
        <v>5915</v>
      </c>
      <c r="S1838" s="276">
        <v>56666.68</v>
      </c>
      <c r="T1838" s="150">
        <v>45286</v>
      </c>
      <c r="U1838" s="1260" t="s">
        <v>4438</v>
      </c>
      <c r="V1838" s="276">
        <v>28333.34</v>
      </c>
      <c r="W1838" s="314" t="s">
        <v>4877</v>
      </c>
      <c r="X1838" s="276">
        <v>28333.34</v>
      </c>
    </row>
    <row r="1839" s="80" customFormat="1" ht="37.5" customHeight="1" spans="1:25">
      <c r="A1839" s="138">
        <f t="shared" si="39"/>
        <v>1831</v>
      </c>
      <c r="B1839" s="139">
        <v>2023</v>
      </c>
      <c r="C1839" s="189" t="s">
        <v>37</v>
      </c>
      <c r="D1839" s="279" t="s">
        <v>5916</v>
      </c>
      <c r="E1839" s="1282" t="s">
        <v>5917</v>
      </c>
      <c r="F1839" s="142" t="s">
        <v>3192</v>
      </c>
      <c r="G1839" s="143" t="s">
        <v>5231</v>
      </c>
      <c r="H1839" s="144">
        <v>0.8</v>
      </c>
      <c r="I1839" s="145">
        <v>90000</v>
      </c>
      <c r="J1839" s="185" t="s">
        <v>5918</v>
      </c>
      <c r="K1839" s="185" t="s">
        <v>5188</v>
      </c>
      <c r="L1839" s="147">
        <v>0.4</v>
      </c>
      <c r="M1839" s="1276" t="s">
        <v>2798</v>
      </c>
      <c r="N1839" s="186">
        <v>45000</v>
      </c>
      <c r="O1839" s="186">
        <v>45000</v>
      </c>
      <c r="P1839" s="276">
        <v>36000</v>
      </c>
      <c r="Q1839" s="276">
        <v>36000</v>
      </c>
      <c r="R1839" s="184" t="s">
        <v>5915</v>
      </c>
      <c r="S1839" s="276">
        <v>18000</v>
      </c>
      <c r="T1839" s="150">
        <v>45286</v>
      </c>
      <c r="U1839" s="1260" t="s">
        <v>4438</v>
      </c>
      <c r="V1839" s="276">
        <v>9000</v>
      </c>
      <c r="W1839" s="314" t="s">
        <v>4877</v>
      </c>
      <c r="X1839" s="276">
        <v>9000</v>
      </c>
    </row>
    <row r="1840" s="80" customFormat="1" ht="37.5" customHeight="1" spans="1:25">
      <c r="A1840" s="138">
        <f t="shared" si="39"/>
        <v>1832</v>
      </c>
      <c r="B1840" s="139">
        <v>2023</v>
      </c>
      <c r="C1840" s="189" t="s">
        <v>37</v>
      </c>
      <c r="D1840" s="279" t="s">
        <v>5916</v>
      </c>
      <c r="E1840" s="1282" t="s">
        <v>5919</v>
      </c>
      <c r="F1840" s="142" t="s">
        <v>3192</v>
      </c>
      <c r="G1840" s="143" t="s">
        <v>5231</v>
      </c>
      <c r="H1840" s="144">
        <v>0.8</v>
      </c>
      <c r="I1840" s="145">
        <v>50000</v>
      </c>
      <c r="J1840" s="185" t="s">
        <v>1995</v>
      </c>
      <c r="K1840" s="185" t="s">
        <v>5188</v>
      </c>
      <c r="L1840" s="147">
        <v>0.4</v>
      </c>
      <c r="M1840" s="1276" t="s">
        <v>2798</v>
      </c>
      <c r="N1840" s="186">
        <v>25000.04</v>
      </c>
      <c r="O1840" s="186">
        <v>25000.04</v>
      </c>
      <c r="P1840" s="276">
        <v>20000.03</v>
      </c>
      <c r="Q1840" s="276">
        <v>20000.03</v>
      </c>
      <c r="R1840" s="184" t="s">
        <v>5915</v>
      </c>
      <c r="S1840" s="276">
        <v>10000.02</v>
      </c>
      <c r="T1840" s="150">
        <v>45286</v>
      </c>
      <c r="U1840" s="184"/>
      <c r="V1840" s="276"/>
      <c r="W1840" s="184"/>
      <c r="X1840" s="153"/>
      <c r="Y1840" s="184" t="s">
        <v>1077</v>
      </c>
    </row>
    <row r="1841" s="80" customFormat="1" ht="37.5" customHeight="1" spans="1:25">
      <c r="A1841" s="138">
        <f t="shared" si="39"/>
        <v>1833</v>
      </c>
      <c r="B1841" s="139">
        <v>2023</v>
      </c>
      <c r="C1841" s="189" t="s">
        <v>37</v>
      </c>
      <c r="D1841" s="279" t="s">
        <v>5920</v>
      </c>
      <c r="E1841" s="1282" t="s">
        <v>5921</v>
      </c>
      <c r="F1841" s="142" t="s">
        <v>3192</v>
      </c>
      <c r="G1841" s="143" t="s">
        <v>5231</v>
      </c>
      <c r="H1841" s="144">
        <v>0.8</v>
      </c>
      <c r="I1841" s="145">
        <v>10000</v>
      </c>
      <c r="J1841" s="185" t="s">
        <v>3491</v>
      </c>
      <c r="K1841" s="185" t="s">
        <v>5922</v>
      </c>
      <c r="L1841" s="147">
        <v>0.4</v>
      </c>
      <c r="M1841" s="1276" t="s">
        <v>2798</v>
      </c>
      <c r="N1841" s="186">
        <v>5833.3</v>
      </c>
      <c r="O1841" s="186">
        <v>5833.3</v>
      </c>
      <c r="P1841" s="276">
        <v>4666.64</v>
      </c>
      <c r="Q1841" s="276">
        <v>4666.64</v>
      </c>
      <c r="R1841" s="184" t="s">
        <v>5915</v>
      </c>
      <c r="S1841" s="276">
        <v>2333.32</v>
      </c>
      <c r="T1841" s="150">
        <v>45286</v>
      </c>
      <c r="U1841" s="1260" t="s">
        <v>4438</v>
      </c>
      <c r="V1841" s="276">
        <v>1166.66</v>
      </c>
      <c r="W1841" s="314" t="s">
        <v>4877</v>
      </c>
      <c r="X1841" s="276">
        <v>1166.66</v>
      </c>
      <c r="Y1841" s="276"/>
    </row>
    <row r="1842" s="80" customFormat="1" ht="37.5" customHeight="1" spans="1:25">
      <c r="A1842" s="138">
        <f t="shared" si="39"/>
        <v>1834</v>
      </c>
      <c r="B1842" s="139">
        <v>2023</v>
      </c>
      <c r="C1842" s="189" t="s">
        <v>37</v>
      </c>
      <c r="D1842" s="279" t="s">
        <v>5923</v>
      </c>
      <c r="E1842" s="1282" t="s">
        <v>5924</v>
      </c>
      <c r="F1842" s="142" t="s">
        <v>3192</v>
      </c>
      <c r="G1842" s="143" t="s">
        <v>5231</v>
      </c>
      <c r="H1842" s="144">
        <v>0.8</v>
      </c>
      <c r="I1842" s="145">
        <v>110000</v>
      </c>
      <c r="J1842" s="185" t="s">
        <v>2851</v>
      </c>
      <c r="K1842" s="185" t="s">
        <v>5925</v>
      </c>
      <c r="L1842" s="147">
        <v>0.4</v>
      </c>
      <c r="M1842" s="1276" t="s">
        <v>2798</v>
      </c>
      <c r="N1842" s="186">
        <v>73333.36</v>
      </c>
      <c r="O1842" s="186">
        <v>73333.36</v>
      </c>
      <c r="P1842" s="276">
        <v>58666.69</v>
      </c>
      <c r="Q1842" s="276">
        <v>58666.69</v>
      </c>
      <c r="R1842" s="184" t="s">
        <v>5915</v>
      </c>
      <c r="S1842" s="276">
        <v>29333.34</v>
      </c>
      <c r="T1842" s="150">
        <v>45286</v>
      </c>
      <c r="U1842" s="1260" t="s">
        <v>4438</v>
      </c>
      <c r="V1842" s="276">
        <v>14666.67</v>
      </c>
      <c r="W1842" s="314" t="s">
        <v>4877</v>
      </c>
      <c r="X1842" s="276">
        <v>14666.67</v>
      </c>
      <c r="Y1842" s="276"/>
    </row>
    <row r="1843" s="80" customFormat="1" ht="37.5" customHeight="1" spans="1:25">
      <c r="A1843" s="138">
        <f t="shared" si="39"/>
        <v>1835</v>
      </c>
      <c r="B1843" s="139">
        <v>2023</v>
      </c>
      <c r="C1843" s="189" t="s">
        <v>37</v>
      </c>
      <c r="D1843" s="279" t="s">
        <v>5926</v>
      </c>
      <c r="E1843" s="1282" t="s">
        <v>5927</v>
      </c>
      <c r="F1843" s="142" t="s">
        <v>3192</v>
      </c>
      <c r="G1843" s="143" t="s">
        <v>5231</v>
      </c>
      <c r="H1843" s="144">
        <v>0.8</v>
      </c>
      <c r="I1843" s="145">
        <v>400000</v>
      </c>
      <c r="J1843" s="185" t="s">
        <v>2047</v>
      </c>
      <c r="K1843" s="185" t="s">
        <v>3208</v>
      </c>
      <c r="L1843" s="147">
        <v>0.4</v>
      </c>
      <c r="M1843" s="1276" t="s">
        <v>4143</v>
      </c>
      <c r="N1843" s="186">
        <v>231342.98</v>
      </c>
      <c r="O1843" s="186">
        <v>231342.98</v>
      </c>
      <c r="P1843" s="276">
        <v>185074.38</v>
      </c>
      <c r="Q1843" s="276">
        <v>185074.38</v>
      </c>
      <c r="R1843" s="184" t="s">
        <v>5915</v>
      </c>
      <c r="S1843" s="276">
        <v>92537.19</v>
      </c>
      <c r="T1843" s="150">
        <v>45286</v>
      </c>
      <c r="U1843" s="1260" t="s">
        <v>4438</v>
      </c>
      <c r="V1843" s="276">
        <v>46268.6</v>
      </c>
      <c r="W1843" s="314" t="s">
        <v>4877</v>
      </c>
      <c r="X1843" s="276">
        <v>46268.6</v>
      </c>
      <c r="Y1843" s="276"/>
    </row>
    <row r="1844" s="84" customFormat="1" ht="37.5" customHeight="1" spans="1:25">
      <c r="A1844" s="156"/>
      <c r="B1844" s="155"/>
      <c r="C1844" s="318" t="s">
        <v>1266</v>
      </c>
      <c r="D1844" s="319"/>
      <c r="E1844" s="320"/>
      <c r="F1844" s="159"/>
      <c r="G1844" s="160"/>
      <c r="H1844" s="161"/>
      <c r="I1844" s="162">
        <f>SUM(I477:I1843)</f>
        <v>143410373.74</v>
      </c>
      <c r="J1844" s="294"/>
      <c r="K1844" s="294"/>
      <c r="L1844" s="164"/>
      <c r="M1844" s="165"/>
      <c r="N1844" s="162">
        <f>SUM(N477:N1843)</f>
        <v>87537354.3700002</v>
      </c>
      <c r="O1844" s="162">
        <f>SUM(O477:O1843)</f>
        <v>86922920.6400001</v>
      </c>
      <c r="P1844" s="162">
        <f>SUM(P477:P1843)</f>
        <v>74157275.6000001</v>
      </c>
      <c r="Q1844" s="162">
        <f>SUM(Q477:Q1843)</f>
        <v>74811317.8000001</v>
      </c>
      <c r="R1844" s="182"/>
      <c r="S1844" s="162">
        <f>SUM(S477:S1843)</f>
        <v>35682819.5200001</v>
      </c>
      <c r="T1844" s="167"/>
      <c r="U1844" s="182"/>
      <c r="V1844" s="162">
        <f>SUM(V477:V1843)</f>
        <v>15806769.7219999</v>
      </c>
      <c r="W1844" s="182"/>
      <c r="X1844" s="169">
        <f>SUM(X477:X1843)</f>
        <v>15773769.7219999</v>
      </c>
      <c r="Y1844" s="156"/>
    </row>
    <row r="1845" s="80" customFormat="1" ht="37.5" customHeight="1" spans="1:25">
      <c r="A1845" s="298">
        <f t="shared" ref="A1845:A1908" si="40">ROW()-9</f>
        <v>1836</v>
      </c>
      <c r="B1845" s="321">
        <v>2024</v>
      </c>
      <c r="C1845" s="322" t="s">
        <v>37</v>
      </c>
      <c r="D1845" s="323" t="s">
        <v>290</v>
      </c>
      <c r="E1845" s="324" t="s">
        <v>5928</v>
      </c>
      <c r="F1845" s="302" t="s">
        <v>1095</v>
      </c>
      <c r="G1845" s="325" t="s">
        <v>5231</v>
      </c>
      <c r="H1845" s="304">
        <v>0.8</v>
      </c>
      <c r="I1845" s="305">
        <v>1000000</v>
      </c>
      <c r="J1845" s="326">
        <v>45054</v>
      </c>
      <c r="K1845" s="326">
        <v>45775</v>
      </c>
      <c r="L1845" s="307">
        <v>0.4</v>
      </c>
      <c r="M1845" s="326">
        <v>45429</v>
      </c>
      <c r="N1845" s="327">
        <v>809523.8</v>
      </c>
      <c r="O1845" s="305">
        <v>809523.8</v>
      </c>
      <c r="P1845" s="305">
        <v>647619.04</v>
      </c>
      <c r="Q1845" s="305">
        <v>647619.04</v>
      </c>
      <c r="R1845" s="328">
        <v>45586</v>
      </c>
      <c r="S1845" s="329">
        <v>323809.52</v>
      </c>
      <c r="T1845" s="150">
        <v>45589</v>
      </c>
      <c r="U1845" s="330" t="s">
        <v>5929</v>
      </c>
      <c r="V1845" s="305">
        <v>161904.76</v>
      </c>
      <c r="W1845" s="331" t="s">
        <v>5930</v>
      </c>
      <c r="X1845" s="305">
        <v>161904.76</v>
      </c>
      <c r="Y1845" s="332"/>
    </row>
    <row r="1846" s="80" customFormat="1" ht="37.5" customHeight="1" spans="1:25">
      <c r="A1846" s="298">
        <f t="shared" si="40"/>
        <v>1837</v>
      </c>
      <c r="B1846" s="321">
        <v>2024</v>
      </c>
      <c r="C1846" s="322" t="s">
        <v>37</v>
      </c>
      <c r="D1846" s="323" t="s">
        <v>290</v>
      </c>
      <c r="E1846" s="1283" t="s">
        <v>5931</v>
      </c>
      <c r="F1846" s="302" t="s">
        <v>1095</v>
      </c>
      <c r="G1846" s="325" t="s">
        <v>5231</v>
      </c>
      <c r="H1846" s="304">
        <v>0.8</v>
      </c>
      <c r="I1846" s="305">
        <v>500000</v>
      </c>
      <c r="J1846" s="326" t="s">
        <v>3090</v>
      </c>
      <c r="K1846" s="326" t="s">
        <v>5932</v>
      </c>
      <c r="L1846" s="307">
        <v>0.4</v>
      </c>
      <c r="M1846" s="326" t="s">
        <v>5933</v>
      </c>
      <c r="N1846" s="327">
        <v>500000</v>
      </c>
      <c r="O1846" s="327">
        <v>500000</v>
      </c>
      <c r="P1846" s="305">
        <v>400000</v>
      </c>
      <c r="Q1846" s="305">
        <v>400000</v>
      </c>
      <c r="R1846" s="328">
        <v>45588</v>
      </c>
      <c r="S1846" s="329">
        <v>200000</v>
      </c>
      <c r="T1846" s="150">
        <v>45622</v>
      </c>
      <c r="U1846" s="330" t="s">
        <v>5934</v>
      </c>
      <c r="V1846" s="305">
        <v>100000</v>
      </c>
      <c r="W1846" s="333" t="s">
        <v>5935</v>
      </c>
      <c r="X1846" s="305">
        <v>100000</v>
      </c>
      <c r="Y1846" s="332"/>
    </row>
    <row r="1847" s="80" customFormat="1" ht="37.5" customHeight="1" spans="1:25">
      <c r="A1847" s="298">
        <f t="shared" si="40"/>
        <v>1838</v>
      </c>
      <c r="B1847" s="321">
        <v>2024</v>
      </c>
      <c r="C1847" s="322" t="s">
        <v>37</v>
      </c>
      <c r="D1847" s="323" t="s">
        <v>290</v>
      </c>
      <c r="E1847" s="1283" t="s">
        <v>5936</v>
      </c>
      <c r="F1847" s="302" t="s">
        <v>1095</v>
      </c>
      <c r="G1847" s="325" t="s">
        <v>5231</v>
      </c>
      <c r="H1847" s="304">
        <v>0.8</v>
      </c>
      <c r="I1847" s="305">
        <v>800000</v>
      </c>
      <c r="J1847" s="326" t="s">
        <v>2173</v>
      </c>
      <c r="K1847" s="326" t="s">
        <v>5937</v>
      </c>
      <c r="L1847" s="307">
        <v>0.4</v>
      </c>
      <c r="M1847" s="326" t="s">
        <v>5933</v>
      </c>
      <c r="N1847" s="327">
        <v>640619.04</v>
      </c>
      <c r="O1847" s="327">
        <v>640619.04</v>
      </c>
      <c r="P1847" s="305">
        <v>512495.23</v>
      </c>
      <c r="Q1847" s="305">
        <v>512495.23</v>
      </c>
      <c r="R1847" s="328">
        <v>45588</v>
      </c>
      <c r="S1847" s="329">
        <v>256247.62</v>
      </c>
      <c r="T1847" s="150">
        <v>45622</v>
      </c>
      <c r="U1847" s="330" t="s">
        <v>5934</v>
      </c>
      <c r="V1847" s="305">
        <v>128123.81</v>
      </c>
      <c r="W1847" s="331" t="s">
        <v>5938</v>
      </c>
      <c r="X1847" s="305">
        <v>128123.81</v>
      </c>
      <c r="Y1847" s="332"/>
    </row>
    <row r="1848" s="80" customFormat="1" ht="37.5" customHeight="1" spans="1:25">
      <c r="A1848" s="298">
        <f t="shared" si="40"/>
        <v>1839</v>
      </c>
      <c r="B1848" s="321">
        <v>2024</v>
      </c>
      <c r="C1848" s="322" t="s">
        <v>37</v>
      </c>
      <c r="D1848" s="323" t="s">
        <v>290</v>
      </c>
      <c r="E1848" s="1283" t="s">
        <v>5939</v>
      </c>
      <c r="F1848" s="302" t="s">
        <v>1095</v>
      </c>
      <c r="G1848" s="325" t="s">
        <v>5231</v>
      </c>
      <c r="H1848" s="304">
        <v>0.8</v>
      </c>
      <c r="I1848" s="305">
        <v>1000000</v>
      </c>
      <c r="J1848" s="326" t="s">
        <v>2208</v>
      </c>
      <c r="K1848" s="326" t="s">
        <v>5937</v>
      </c>
      <c r="L1848" s="307">
        <v>0.4</v>
      </c>
      <c r="M1848" s="326" t="s">
        <v>5933</v>
      </c>
      <c r="N1848" s="327">
        <v>809523.8</v>
      </c>
      <c r="O1848" s="327">
        <v>809523.8</v>
      </c>
      <c r="P1848" s="305">
        <v>647619.04</v>
      </c>
      <c r="Q1848" s="305">
        <v>647619.04</v>
      </c>
      <c r="R1848" s="328">
        <v>45588</v>
      </c>
      <c r="S1848" s="329">
        <v>323809.52</v>
      </c>
      <c r="T1848" s="150">
        <v>45622</v>
      </c>
      <c r="U1848" s="330" t="s">
        <v>5934</v>
      </c>
      <c r="V1848" s="305">
        <v>161904.76</v>
      </c>
      <c r="W1848" s="331" t="s">
        <v>5938</v>
      </c>
      <c r="X1848" s="305">
        <v>161904.76</v>
      </c>
      <c r="Y1848" s="332"/>
    </row>
    <row r="1849" s="80" customFormat="1" ht="37.5" customHeight="1" spans="1:25">
      <c r="A1849" s="298">
        <f t="shared" si="40"/>
        <v>1840</v>
      </c>
      <c r="B1849" s="321">
        <v>2024</v>
      </c>
      <c r="C1849" s="322" t="s">
        <v>37</v>
      </c>
      <c r="D1849" s="323" t="s">
        <v>290</v>
      </c>
      <c r="E1849" s="1283" t="s">
        <v>5940</v>
      </c>
      <c r="F1849" s="302" t="s">
        <v>1095</v>
      </c>
      <c r="G1849" s="325" t="s">
        <v>5231</v>
      </c>
      <c r="H1849" s="304">
        <v>0.8</v>
      </c>
      <c r="I1849" s="305">
        <v>1000000</v>
      </c>
      <c r="J1849" s="326" t="s">
        <v>2208</v>
      </c>
      <c r="K1849" s="326" t="s">
        <v>5937</v>
      </c>
      <c r="L1849" s="307">
        <v>0.4</v>
      </c>
      <c r="M1849" s="326" t="s">
        <v>5933</v>
      </c>
      <c r="N1849" s="327">
        <v>809523.8</v>
      </c>
      <c r="O1849" s="327">
        <v>809523.8</v>
      </c>
      <c r="P1849" s="305">
        <v>647619.04</v>
      </c>
      <c r="Q1849" s="305">
        <v>647619.04</v>
      </c>
      <c r="R1849" s="328">
        <v>45588</v>
      </c>
      <c r="S1849" s="329">
        <v>323809.52</v>
      </c>
      <c r="T1849" s="150">
        <v>45622</v>
      </c>
      <c r="U1849" s="330" t="s">
        <v>5934</v>
      </c>
      <c r="V1849" s="305">
        <v>161904.76</v>
      </c>
      <c r="W1849" s="331" t="s">
        <v>5938</v>
      </c>
      <c r="X1849" s="334">
        <v>161904.76</v>
      </c>
      <c r="Y1849" s="332"/>
    </row>
    <row r="1850" s="80" customFormat="1" ht="37.5" customHeight="1" spans="1:25">
      <c r="A1850" s="298">
        <f t="shared" si="40"/>
        <v>1841</v>
      </c>
      <c r="B1850" s="321">
        <v>2024</v>
      </c>
      <c r="C1850" s="322" t="s">
        <v>233</v>
      </c>
      <c r="D1850" s="323" t="s">
        <v>271</v>
      </c>
      <c r="E1850" s="324" t="s">
        <v>5941</v>
      </c>
      <c r="F1850" s="335" t="s">
        <v>5942</v>
      </c>
      <c r="G1850" s="336" t="s">
        <v>5943</v>
      </c>
      <c r="H1850" s="304">
        <v>0.8</v>
      </c>
      <c r="I1850" s="305">
        <v>2000000</v>
      </c>
      <c r="J1850" s="326">
        <v>45366</v>
      </c>
      <c r="K1850" s="326">
        <v>45730</v>
      </c>
      <c r="L1850" s="307">
        <v>0.4</v>
      </c>
      <c r="M1850" s="326">
        <v>45478</v>
      </c>
      <c r="N1850" s="327">
        <v>2014055.55</v>
      </c>
      <c r="O1850" s="327">
        <v>2000000</v>
      </c>
      <c r="P1850" s="327">
        <v>1600000</v>
      </c>
      <c r="Q1850" s="305">
        <v>1611244.44</v>
      </c>
      <c r="R1850" s="337">
        <v>45593</v>
      </c>
      <c r="S1850" s="305">
        <v>800000</v>
      </c>
      <c r="T1850" s="150">
        <v>45614</v>
      </c>
      <c r="U1850" s="330" t="s">
        <v>5934</v>
      </c>
      <c r="V1850" s="305">
        <v>400000</v>
      </c>
      <c r="W1850" s="333" t="s">
        <v>5944</v>
      </c>
      <c r="X1850" s="305">
        <v>400000</v>
      </c>
      <c r="Y1850" s="332"/>
    </row>
    <row r="1851" s="80" customFormat="1" ht="37.5" customHeight="1" spans="1:25">
      <c r="A1851" s="298">
        <f t="shared" si="40"/>
        <v>1842</v>
      </c>
      <c r="B1851" s="321">
        <v>2024</v>
      </c>
      <c r="C1851" s="322" t="s">
        <v>37</v>
      </c>
      <c r="D1851" s="323" t="s">
        <v>293</v>
      </c>
      <c r="E1851" s="324" t="s">
        <v>5945</v>
      </c>
      <c r="F1851" s="338" t="s">
        <v>1142</v>
      </c>
      <c r="G1851" s="303" t="s">
        <v>5946</v>
      </c>
      <c r="H1851" s="304">
        <v>0.8</v>
      </c>
      <c r="I1851" s="305">
        <v>500000</v>
      </c>
      <c r="J1851" s="326">
        <v>45280</v>
      </c>
      <c r="K1851" s="339">
        <v>45646</v>
      </c>
      <c r="L1851" s="307">
        <v>0.4</v>
      </c>
      <c r="M1851" s="340">
        <v>45462</v>
      </c>
      <c r="N1851" s="327">
        <v>509716.57</v>
      </c>
      <c r="O1851" s="327">
        <v>500000</v>
      </c>
      <c r="P1851" s="327">
        <v>400000</v>
      </c>
      <c r="Q1851" s="305">
        <v>407773.25</v>
      </c>
      <c r="R1851" s="337">
        <v>45594</v>
      </c>
      <c r="S1851" s="305">
        <v>200000</v>
      </c>
      <c r="T1851" s="150">
        <v>45597</v>
      </c>
      <c r="U1851" s="330" t="s">
        <v>5947</v>
      </c>
      <c r="V1851" s="305">
        <v>100000</v>
      </c>
      <c r="W1851" s="333" t="s">
        <v>5934</v>
      </c>
      <c r="X1851" s="305">
        <v>100000</v>
      </c>
      <c r="Y1851" s="332"/>
    </row>
    <row r="1852" s="80" customFormat="1" ht="37.5" customHeight="1" spans="1:25">
      <c r="A1852" s="298">
        <f t="shared" si="40"/>
        <v>1843</v>
      </c>
      <c r="B1852" s="299">
        <v>2024</v>
      </c>
      <c r="C1852" s="322" t="s">
        <v>28</v>
      </c>
      <c r="D1852" s="341" t="s">
        <v>319</v>
      </c>
      <c r="E1852" s="324" t="s">
        <v>5948</v>
      </c>
      <c r="F1852" s="335" t="s">
        <v>1179</v>
      </c>
      <c r="G1852" s="303" t="s">
        <v>1103</v>
      </c>
      <c r="H1852" s="304">
        <v>0.8</v>
      </c>
      <c r="I1852" s="305">
        <v>150000</v>
      </c>
      <c r="J1852" s="339">
        <v>44927</v>
      </c>
      <c r="K1852" s="339">
        <v>45291</v>
      </c>
      <c r="L1852" s="307">
        <v>0.4</v>
      </c>
      <c r="M1852" s="326">
        <v>45468</v>
      </c>
      <c r="N1852" s="327">
        <v>150185.36</v>
      </c>
      <c r="O1852" s="327">
        <v>149999.44</v>
      </c>
      <c r="P1852" s="327">
        <v>119999.55</v>
      </c>
      <c r="Q1852" s="327">
        <v>120148.28</v>
      </c>
      <c r="R1852" s="337">
        <v>45596</v>
      </c>
      <c r="S1852" s="305">
        <v>59999.78</v>
      </c>
      <c r="T1852" s="150">
        <v>45608</v>
      </c>
      <c r="U1852" s="328">
        <v>45609</v>
      </c>
      <c r="V1852" s="305">
        <v>29999.89</v>
      </c>
      <c r="W1852" s="314" t="s">
        <v>5934</v>
      </c>
      <c r="X1852" s="305">
        <v>29999.89</v>
      </c>
      <c r="Y1852" s="332"/>
    </row>
    <row r="1853" s="80" customFormat="1" ht="37.5" customHeight="1" spans="1:25">
      <c r="A1853" s="298">
        <f t="shared" si="40"/>
        <v>1844</v>
      </c>
      <c r="B1853" s="299">
        <v>2024</v>
      </c>
      <c r="C1853" s="322" t="s">
        <v>28</v>
      </c>
      <c r="D1853" s="341" t="s">
        <v>325</v>
      </c>
      <c r="E1853" s="324" t="s">
        <v>5949</v>
      </c>
      <c r="F1853" s="335" t="s">
        <v>1179</v>
      </c>
      <c r="G1853" s="303" t="s">
        <v>1103</v>
      </c>
      <c r="H1853" s="304">
        <v>0.8</v>
      </c>
      <c r="I1853" s="305">
        <v>300000</v>
      </c>
      <c r="J1853" s="326">
        <v>44929</v>
      </c>
      <c r="K1853" s="339">
        <v>45293</v>
      </c>
      <c r="L1853" s="307">
        <v>0.4</v>
      </c>
      <c r="M1853" s="326">
        <v>45468</v>
      </c>
      <c r="N1853" s="327">
        <v>300348.64</v>
      </c>
      <c r="O1853" s="327">
        <v>299998.85</v>
      </c>
      <c r="P1853" s="327">
        <v>239999.08</v>
      </c>
      <c r="Q1853" s="327">
        <v>240278.91</v>
      </c>
      <c r="R1853" s="337">
        <v>45596</v>
      </c>
      <c r="S1853" s="305">
        <v>119999.54</v>
      </c>
      <c r="T1853" s="150">
        <v>45608</v>
      </c>
      <c r="U1853" s="328">
        <v>45609</v>
      </c>
      <c r="V1853" s="305">
        <v>59999.77</v>
      </c>
      <c r="W1853" s="328">
        <v>45609</v>
      </c>
      <c r="X1853" s="305">
        <v>59999.77</v>
      </c>
      <c r="Y1853" s="332"/>
    </row>
    <row r="1854" s="80" customFormat="1" ht="37.5" customHeight="1" spans="1:25">
      <c r="A1854" s="298">
        <f t="shared" si="40"/>
        <v>1845</v>
      </c>
      <c r="B1854" s="299">
        <v>2024</v>
      </c>
      <c r="C1854" s="322" t="s">
        <v>28</v>
      </c>
      <c r="D1854" s="341" t="s">
        <v>317</v>
      </c>
      <c r="E1854" s="324" t="s">
        <v>5950</v>
      </c>
      <c r="F1854" s="335" t="s">
        <v>1179</v>
      </c>
      <c r="G1854" s="303" t="s">
        <v>1103</v>
      </c>
      <c r="H1854" s="304">
        <v>0.8</v>
      </c>
      <c r="I1854" s="305">
        <v>300000</v>
      </c>
      <c r="J1854" s="339">
        <v>44932</v>
      </c>
      <c r="K1854" s="339">
        <v>45296</v>
      </c>
      <c r="L1854" s="307">
        <v>0.4</v>
      </c>
      <c r="M1854" s="326">
        <v>45468</v>
      </c>
      <c r="N1854" s="327">
        <v>286802.58</v>
      </c>
      <c r="O1854" s="327">
        <v>278304</v>
      </c>
      <c r="P1854" s="327">
        <v>222643.2</v>
      </c>
      <c r="Q1854" s="327">
        <v>229442.06</v>
      </c>
      <c r="R1854" s="337">
        <v>45602</v>
      </c>
      <c r="S1854" s="305">
        <v>111321.6</v>
      </c>
      <c r="T1854" s="150">
        <v>45614</v>
      </c>
      <c r="U1854" s="328">
        <v>45614</v>
      </c>
      <c r="V1854" s="305">
        <v>55660.8</v>
      </c>
      <c r="W1854" s="333" t="s">
        <v>5935</v>
      </c>
      <c r="X1854" s="305">
        <v>55660.8</v>
      </c>
      <c r="Y1854" s="332"/>
    </row>
    <row r="1855" s="80" customFormat="1" ht="37.5" customHeight="1" spans="1:25">
      <c r="A1855" s="298">
        <f t="shared" si="40"/>
        <v>1846</v>
      </c>
      <c r="B1855" s="299">
        <v>2024</v>
      </c>
      <c r="C1855" s="322" t="s">
        <v>28</v>
      </c>
      <c r="D1855" s="342" t="s">
        <v>326</v>
      </c>
      <c r="E1855" s="324" t="s">
        <v>5951</v>
      </c>
      <c r="F1855" s="338" t="s">
        <v>1179</v>
      </c>
      <c r="G1855" s="303" t="s">
        <v>1103</v>
      </c>
      <c r="H1855" s="304">
        <v>0.8</v>
      </c>
      <c r="I1855" s="305">
        <v>100000</v>
      </c>
      <c r="J1855" s="326">
        <v>44964</v>
      </c>
      <c r="K1855" s="339">
        <v>45328</v>
      </c>
      <c r="L1855" s="307">
        <v>0.4</v>
      </c>
      <c r="M1855" s="343">
        <v>45491</v>
      </c>
      <c r="N1855" s="327">
        <v>81791.42</v>
      </c>
      <c r="O1855" s="327">
        <v>79450</v>
      </c>
      <c r="P1855" s="327">
        <v>63560</v>
      </c>
      <c r="Q1855" s="327">
        <v>65433.14</v>
      </c>
      <c r="R1855" s="337">
        <v>45603</v>
      </c>
      <c r="S1855" s="305">
        <v>31780</v>
      </c>
      <c r="T1855" s="150">
        <v>45614</v>
      </c>
      <c r="U1855" s="328" t="s">
        <v>5952</v>
      </c>
      <c r="V1855" s="305">
        <v>15890</v>
      </c>
      <c r="W1855" s="333" t="s">
        <v>5953</v>
      </c>
      <c r="X1855" s="344">
        <v>15890</v>
      </c>
      <c r="Y1855" s="298"/>
    </row>
    <row r="1856" s="80" customFormat="1" ht="37.5" customHeight="1" spans="1:25">
      <c r="A1856" s="298">
        <f t="shared" si="40"/>
        <v>1847</v>
      </c>
      <c r="B1856" s="299">
        <v>2024</v>
      </c>
      <c r="C1856" s="322" t="s">
        <v>28</v>
      </c>
      <c r="D1856" s="341" t="s">
        <v>301</v>
      </c>
      <c r="E1856" s="324" t="s">
        <v>5954</v>
      </c>
      <c r="F1856" s="335" t="s">
        <v>1179</v>
      </c>
      <c r="G1856" s="303" t="s">
        <v>1103</v>
      </c>
      <c r="H1856" s="304">
        <v>0.8</v>
      </c>
      <c r="I1856" s="305">
        <v>300000</v>
      </c>
      <c r="J1856" s="326">
        <v>44981</v>
      </c>
      <c r="K1856" s="326">
        <v>45345</v>
      </c>
      <c r="L1856" s="307">
        <v>0.4</v>
      </c>
      <c r="M1856" s="326">
        <v>45468</v>
      </c>
      <c r="N1856" s="327">
        <v>285400.01</v>
      </c>
      <c r="O1856" s="327">
        <v>280255.14</v>
      </c>
      <c r="P1856" s="327">
        <v>224204.11</v>
      </c>
      <c r="Q1856" s="327">
        <v>228320.01</v>
      </c>
      <c r="R1856" s="337">
        <v>45603</v>
      </c>
      <c r="S1856" s="305">
        <v>112102.06</v>
      </c>
      <c r="T1856" s="150">
        <v>45614</v>
      </c>
      <c r="U1856" s="328" t="s">
        <v>5952</v>
      </c>
      <c r="V1856" s="305">
        <v>56051.03</v>
      </c>
      <c r="W1856" s="328">
        <v>45630</v>
      </c>
      <c r="X1856" s="276">
        <v>56051.03</v>
      </c>
      <c r="Y1856" s="332"/>
    </row>
    <row r="1857" s="80" customFormat="1" ht="37.5" customHeight="1" spans="1:25">
      <c r="A1857" s="298">
        <f t="shared" si="40"/>
        <v>1848</v>
      </c>
      <c r="B1857" s="299">
        <v>2024</v>
      </c>
      <c r="C1857" s="322" t="s">
        <v>57</v>
      </c>
      <c r="D1857" s="341" t="s">
        <v>315</v>
      </c>
      <c r="E1857" s="324" t="s">
        <v>5955</v>
      </c>
      <c r="F1857" s="335" t="s">
        <v>5956</v>
      </c>
      <c r="G1857" s="303" t="s">
        <v>1085</v>
      </c>
      <c r="H1857" s="304">
        <v>1</v>
      </c>
      <c r="I1857" s="305">
        <v>3000000</v>
      </c>
      <c r="J1857" s="326">
        <v>45092</v>
      </c>
      <c r="K1857" s="326">
        <v>45457</v>
      </c>
      <c r="L1857" s="307">
        <v>0.4</v>
      </c>
      <c r="M1857" s="326">
        <v>45511</v>
      </c>
      <c r="N1857" s="327">
        <v>2679343.47</v>
      </c>
      <c r="O1857" s="327">
        <v>2650000</v>
      </c>
      <c r="P1857" s="327">
        <v>2650000</v>
      </c>
      <c r="Q1857" s="327">
        <v>2679343.47</v>
      </c>
      <c r="R1857" s="337">
        <v>45607</v>
      </c>
      <c r="S1857" s="305">
        <v>1060000</v>
      </c>
      <c r="T1857" s="150">
        <v>45617</v>
      </c>
      <c r="U1857" s="328" t="s">
        <v>5957</v>
      </c>
      <c r="V1857" s="305">
        <v>530000</v>
      </c>
      <c r="W1857" s="328">
        <v>45786</v>
      </c>
      <c r="X1857" s="305">
        <v>530000</v>
      </c>
      <c r="Y1857" s="332"/>
    </row>
    <row r="1858" s="80" customFormat="1" ht="37.5" customHeight="1" spans="1:25">
      <c r="A1858" s="298">
        <f t="shared" si="40"/>
        <v>1849</v>
      </c>
      <c r="B1858" s="321">
        <v>2024</v>
      </c>
      <c r="C1858" s="322" t="s">
        <v>37</v>
      </c>
      <c r="D1858" s="323" t="s">
        <v>294</v>
      </c>
      <c r="E1858" s="1284" t="s">
        <v>5958</v>
      </c>
      <c r="F1858" s="302" t="s">
        <v>1095</v>
      </c>
      <c r="G1858" s="323" t="s">
        <v>1100</v>
      </c>
      <c r="H1858" s="304">
        <v>0.8</v>
      </c>
      <c r="I1858" s="345">
        <v>50000</v>
      </c>
      <c r="J1858" s="346">
        <v>45057</v>
      </c>
      <c r="K1858" s="339">
        <v>45784</v>
      </c>
      <c r="L1858" s="307">
        <v>0.4</v>
      </c>
      <c r="M1858" s="326" t="s">
        <v>5959</v>
      </c>
      <c r="N1858" s="347">
        <v>35416.69</v>
      </c>
      <c r="O1858" s="327">
        <v>35416.69</v>
      </c>
      <c r="P1858" s="327">
        <v>28333.35</v>
      </c>
      <c r="Q1858" s="327">
        <v>28333.35</v>
      </c>
      <c r="R1858" s="337">
        <v>45614</v>
      </c>
      <c r="S1858" s="305">
        <v>14166.68</v>
      </c>
      <c r="T1858" s="150">
        <v>45618</v>
      </c>
      <c r="U1858" s="328">
        <v>45632</v>
      </c>
      <c r="V1858" s="305">
        <v>7083.34</v>
      </c>
      <c r="W1858" s="314" t="s">
        <v>5957</v>
      </c>
      <c r="X1858" s="276">
        <v>7083.34</v>
      </c>
      <c r="Y1858" s="348"/>
    </row>
    <row r="1859" s="80" customFormat="1" ht="37.5" customHeight="1" spans="1:25">
      <c r="A1859" s="298">
        <f t="shared" si="40"/>
        <v>1850</v>
      </c>
      <c r="B1859" s="321">
        <v>2024</v>
      </c>
      <c r="C1859" s="322" t="s">
        <v>37</v>
      </c>
      <c r="D1859" s="323" t="s">
        <v>294</v>
      </c>
      <c r="E1859" s="1284" t="s">
        <v>5960</v>
      </c>
      <c r="F1859" s="302" t="s">
        <v>1095</v>
      </c>
      <c r="G1859" s="323" t="s">
        <v>1100</v>
      </c>
      <c r="H1859" s="304">
        <v>0.8</v>
      </c>
      <c r="I1859" s="345">
        <v>50000</v>
      </c>
      <c r="J1859" s="346">
        <v>45057</v>
      </c>
      <c r="K1859" s="339">
        <v>45784</v>
      </c>
      <c r="L1859" s="307">
        <v>0.4</v>
      </c>
      <c r="M1859" s="349" t="s">
        <v>5959</v>
      </c>
      <c r="N1859" s="347">
        <v>35416.69</v>
      </c>
      <c r="O1859" s="327">
        <v>35416.69</v>
      </c>
      <c r="P1859" s="327">
        <v>28333.35</v>
      </c>
      <c r="Q1859" s="327">
        <v>28333.35</v>
      </c>
      <c r="R1859" s="337">
        <v>45614</v>
      </c>
      <c r="S1859" s="305">
        <v>14166.68</v>
      </c>
      <c r="T1859" s="150">
        <v>45618</v>
      </c>
      <c r="U1859" s="328">
        <v>45632</v>
      </c>
      <c r="V1859" s="305">
        <v>7083.34</v>
      </c>
      <c r="W1859" s="314" t="s">
        <v>5957</v>
      </c>
      <c r="X1859" s="276">
        <v>7083.34</v>
      </c>
      <c r="Y1859" s="348"/>
    </row>
    <row r="1860" s="80" customFormat="1" ht="37.5" customHeight="1" spans="1:25">
      <c r="A1860" s="298">
        <f t="shared" si="40"/>
        <v>1851</v>
      </c>
      <c r="B1860" s="321">
        <v>2024</v>
      </c>
      <c r="C1860" s="322" t="s">
        <v>37</v>
      </c>
      <c r="D1860" s="323" t="s">
        <v>295</v>
      </c>
      <c r="E1860" s="1283" t="s">
        <v>5961</v>
      </c>
      <c r="F1860" s="335" t="s">
        <v>1095</v>
      </c>
      <c r="G1860" s="303" t="s">
        <v>1100</v>
      </c>
      <c r="H1860" s="304">
        <v>0.8</v>
      </c>
      <c r="I1860" s="305">
        <v>500000</v>
      </c>
      <c r="J1860" s="326">
        <v>45096</v>
      </c>
      <c r="K1860" s="326">
        <v>45821</v>
      </c>
      <c r="L1860" s="307">
        <v>0.4</v>
      </c>
      <c r="M1860" s="326" t="s">
        <v>5959</v>
      </c>
      <c r="N1860" s="347">
        <v>428571.44</v>
      </c>
      <c r="O1860" s="327">
        <v>428571.44</v>
      </c>
      <c r="P1860" s="327">
        <v>342857.15</v>
      </c>
      <c r="Q1860" s="327">
        <v>342857.15</v>
      </c>
      <c r="R1860" s="337">
        <v>45614</v>
      </c>
      <c r="S1860" s="305">
        <v>171428.58</v>
      </c>
      <c r="T1860" s="150">
        <v>45618</v>
      </c>
      <c r="U1860" s="328">
        <v>45632</v>
      </c>
      <c r="V1860" s="305">
        <v>85714.29</v>
      </c>
      <c r="W1860" s="333" t="s">
        <v>5957</v>
      </c>
      <c r="X1860" s="350">
        <v>85714.29</v>
      </c>
      <c r="Y1860" s="348"/>
    </row>
    <row r="1861" s="80" customFormat="1" ht="37.5" customHeight="1" spans="1:25">
      <c r="A1861" s="298">
        <f t="shared" si="40"/>
        <v>1852</v>
      </c>
      <c r="B1861" s="321">
        <v>2024</v>
      </c>
      <c r="C1861" s="322" t="s">
        <v>37</v>
      </c>
      <c r="D1861" s="351" t="s">
        <v>295</v>
      </c>
      <c r="E1861" s="1284" t="s">
        <v>5962</v>
      </c>
      <c r="F1861" s="302" t="s">
        <v>1095</v>
      </c>
      <c r="G1861" s="323" t="s">
        <v>1100</v>
      </c>
      <c r="H1861" s="304">
        <v>0.8</v>
      </c>
      <c r="I1861" s="305">
        <v>600000</v>
      </c>
      <c r="J1861" s="346">
        <v>45084</v>
      </c>
      <c r="K1861" s="326">
        <v>45821</v>
      </c>
      <c r="L1861" s="307">
        <v>0.4</v>
      </c>
      <c r="M1861" s="326" t="s">
        <v>5959</v>
      </c>
      <c r="N1861" s="347">
        <v>514285.71</v>
      </c>
      <c r="O1861" s="327">
        <v>514285.71</v>
      </c>
      <c r="P1861" s="327">
        <v>411428.57</v>
      </c>
      <c r="Q1861" s="327">
        <v>411428.57</v>
      </c>
      <c r="R1861" s="337">
        <v>45614</v>
      </c>
      <c r="S1861" s="305">
        <v>205714.28</v>
      </c>
      <c r="T1861" s="150">
        <v>45618</v>
      </c>
      <c r="U1861" s="328">
        <v>45632</v>
      </c>
      <c r="V1861" s="305">
        <v>102857.14</v>
      </c>
      <c r="W1861" s="331" t="s">
        <v>5963</v>
      </c>
      <c r="X1861" s="305">
        <v>102857.14</v>
      </c>
      <c r="Y1861" s="348"/>
    </row>
    <row r="1862" s="80" customFormat="1" ht="37.5" customHeight="1" spans="1:25">
      <c r="A1862" s="298">
        <f t="shared" si="40"/>
        <v>1853</v>
      </c>
      <c r="B1862" s="321">
        <v>2024</v>
      </c>
      <c r="C1862" s="322" t="s">
        <v>37</v>
      </c>
      <c r="D1862" s="341" t="s">
        <v>324</v>
      </c>
      <c r="E1862" s="324" t="s">
        <v>5964</v>
      </c>
      <c r="F1862" s="335" t="s">
        <v>1146</v>
      </c>
      <c r="G1862" s="303" t="s">
        <v>1188</v>
      </c>
      <c r="H1862" s="304">
        <v>1</v>
      </c>
      <c r="I1862" s="305">
        <v>2480000</v>
      </c>
      <c r="J1862" s="326">
        <v>44736</v>
      </c>
      <c r="K1862" s="326">
        <v>45463</v>
      </c>
      <c r="L1862" s="307">
        <v>0.4</v>
      </c>
      <c r="M1862" s="326">
        <v>45534</v>
      </c>
      <c r="N1862" s="327">
        <v>2086780.57</v>
      </c>
      <c r="O1862" s="327">
        <v>2030000</v>
      </c>
      <c r="P1862" s="327">
        <v>2030000</v>
      </c>
      <c r="Q1862" s="327">
        <v>2086780.57</v>
      </c>
      <c r="R1862" s="337">
        <v>45614</v>
      </c>
      <c r="S1862" s="305">
        <v>812000</v>
      </c>
      <c r="T1862" s="150">
        <v>45625</v>
      </c>
      <c r="U1862" s="328" t="s">
        <v>5957</v>
      </c>
      <c r="V1862" s="305">
        <v>406000</v>
      </c>
      <c r="W1862" s="331" t="s">
        <v>5963</v>
      </c>
      <c r="X1862" s="344">
        <v>406000</v>
      </c>
      <c r="Y1862" s="332"/>
    </row>
    <row r="1863" s="80" customFormat="1" ht="37.5" customHeight="1" spans="1:25">
      <c r="A1863" s="298">
        <f t="shared" si="40"/>
        <v>1854</v>
      </c>
      <c r="B1863" s="321">
        <v>2024</v>
      </c>
      <c r="C1863" s="322" t="s">
        <v>233</v>
      </c>
      <c r="D1863" s="341" t="s">
        <v>328</v>
      </c>
      <c r="E1863" s="324" t="s">
        <v>5965</v>
      </c>
      <c r="F1863" s="335" t="s">
        <v>5966</v>
      </c>
      <c r="G1863" s="303" t="s">
        <v>1188</v>
      </c>
      <c r="H1863" s="304">
        <v>1</v>
      </c>
      <c r="I1863" s="305">
        <v>10000000</v>
      </c>
      <c r="J1863" s="326">
        <v>44804</v>
      </c>
      <c r="K1863" s="326">
        <v>45529</v>
      </c>
      <c r="L1863" s="307">
        <v>0.4</v>
      </c>
      <c r="M1863" s="326">
        <v>45532</v>
      </c>
      <c r="N1863" s="327">
        <v>9394117.78</v>
      </c>
      <c r="O1863" s="327">
        <v>9394117.78</v>
      </c>
      <c r="P1863" s="327">
        <v>9394117.78</v>
      </c>
      <c r="Q1863" s="327">
        <v>9394117.78</v>
      </c>
      <c r="R1863" s="337">
        <v>45614</v>
      </c>
      <c r="S1863" s="305">
        <v>3757647.11</v>
      </c>
      <c r="T1863" s="150">
        <v>45625</v>
      </c>
      <c r="U1863" s="328" t="s">
        <v>5957</v>
      </c>
      <c r="V1863" s="305">
        <v>1878823.56</v>
      </c>
      <c r="W1863" s="314" t="s">
        <v>5963</v>
      </c>
      <c r="X1863" s="305">
        <v>1878823.56</v>
      </c>
      <c r="Y1863" s="332"/>
    </row>
    <row r="1864" s="80" customFormat="1" ht="37.5" customHeight="1" spans="1:25">
      <c r="A1864" s="298">
        <f t="shared" si="40"/>
        <v>1855</v>
      </c>
      <c r="B1864" s="321">
        <v>2024</v>
      </c>
      <c r="C1864" s="322" t="s">
        <v>28</v>
      </c>
      <c r="D1864" s="323" t="s">
        <v>347</v>
      </c>
      <c r="E1864" s="324" t="s">
        <v>5967</v>
      </c>
      <c r="F1864" s="338" t="s">
        <v>5968</v>
      </c>
      <c r="G1864" s="336" t="s">
        <v>1085</v>
      </c>
      <c r="H1864" s="304">
        <v>0.8</v>
      </c>
      <c r="I1864" s="305">
        <v>240000</v>
      </c>
      <c r="J1864" s="346">
        <v>44973</v>
      </c>
      <c r="K1864" s="326">
        <v>45337</v>
      </c>
      <c r="L1864" s="307">
        <v>0.4</v>
      </c>
      <c r="M1864" s="343">
        <v>45510</v>
      </c>
      <c r="N1864" s="327">
        <v>250175.27</v>
      </c>
      <c r="O1864" s="327">
        <v>240000</v>
      </c>
      <c r="P1864" s="327">
        <v>192000</v>
      </c>
      <c r="Q1864" s="347">
        <v>200140.58</v>
      </c>
      <c r="R1864" s="337">
        <v>45618</v>
      </c>
      <c r="S1864" s="305">
        <v>96000</v>
      </c>
      <c r="T1864" s="150">
        <v>45625</v>
      </c>
      <c r="U1864" s="328">
        <v>45632</v>
      </c>
      <c r="V1864" s="305">
        <v>48000</v>
      </c>
      <c r="W1864" s="333" t="s">
        <v>5957</v>
      </c>
      <c r="X1864" s="305">
        <v>48000</v>
      </c>
      <c r="Y1864" s="348"/>
    </row>
    <row r="1865" s="80" customFormat="1" ht="37.5" customHeight="1" spans="1:25">
      <c r="A1865" s="298">
        <f t="shared" si="40"/>
        <v>1856</v>
      </c>
      <c r="B1865" s="321">
        <v>2024</v>
      </c>
      <c r="C1865" s="322" t="s">
        <v>28</v>
      </c>
      <c r="D1865" s="323" t="s">
        <v>329</v>
      </c>
      <c r="E1865" s="324" t="s">
        <v>5969</v>
      </c>
      <c r="F1865" s="338" t="s">
        <v>5970</v>
      </c>
      <c r="G1865" s="336" t="s">
        <v>1085</v>
      </c>
      <c r="H1865" s="304">
        <v>0.8</v>
      </c>
      <c r="I1865" s="305">
        <v>185000</v>
      </c>
      <c r="J1865" s="326">
        <v>45033</v>
      </c>
      <c r="K1865" s="326">
        <v>45044</v>
      </c>
      <c r="L1865" s="307">
        <v>0.4</v>
      </c>
      <c r="M1865" s="343">
        <v>45477</v>
      </c>
      <c r="N1865" s="327">
        <v>185187.41</v>
      </c>
      <c r="O1865" s="327">
        <v>185000</v>
      </c>
      <c r="P1865" s="327">
        <v>148000</v>
      </c>
      <c r="Q1865" s="347">
        <v>148149.92</v>
      </c>
      <c r="R1865" s="337">
        <v>45621</v>
      </c>
      <c r="S1865" s="305">
        <v>74000</v>
      </c>
      <c r="T1865" s="150">
        <v>45625</v>
      </c>
      <c r="U1865" s="328">
        <v>45632</v>
      </c>
      <c r="V1865" s="305">
        <v>37000</v>
      </c>
      <c r="W1865" s="314" t="s">
        <v>5971</v>
      </c>
      <c r="X1865" s="305">
        <v>37000</v>
      </c>
      <c r="Y1865" s="348"/>
    </row>
    <row r="1866" s="80" customFormat="1" ht="37.5" customHeight="1" spans="1:25">
      <c r="A1866" s="298">
        <f t="shared" si="40"/>
        <v>1857</v>
      </c>
      <c r="B1866" s="321">
        <v>2024</v>
      </c>
      <c r="C1866" s="322" t="s">
        <v>28</v>
      </c>
      <c r="D1866" s="323" t="s">
        <v>341</v>
      </c>
      <c r="E1866" s="324" t="s">
        <v>5972</v>
      </c>
      <c r="F1866" s="338" t="s">
        <v>5973</v>
      </c>
      <c r="G1866" s="336" t="s">
        <v>1103</v>
      </c>
      <c r="H1866" s="304">
        <v>0.8</v>
      </c>
      <c r="I1866" s="305">
        <v>300000</v>
      </c>
      <c r="J1866" s="346">
        <v>44970</v>
      </c>
      <c r="K1866" s="339">
        <v>46065</v>
      </c>
      <c r="L1866" s="307">
        <v>0.4</v>
      </c>
      <c r="M1866" s="343">
        <v>45477</v>
      </c>
      <c r="N1866" s="327">
        <v>290339.47</v>
      </c>
      <c r="O1866" s="327">
        <v>290000</v>
      </c>
      <c r="P1866" s="352">
        <v>232000</v>
      </c>
      <c r="Q1866" s="347">
        <v>232271.58</v>
      </c>
      <c r="R1866" s="337">
        <v>45621</v>
      </c>
      <c r="S1866" s="305">
        <v>116000</v>
      </c>
      <c r="T1866" s="150">
        <v>45625</v>
      </c>
      <c r="U1866" s="328">
        <v>45632</v>
      </c>
      <c r="V1866" s="305">
        <v>58000</v>
      </c>
      <c r="W1866" s="328">
        <v>45636</v>
      </c>
      <c r="X1866" s="305">
        <v>58000</v>
      </c>
      <c r="Y1866" s="348"/>
    </row>
    <row r="1867" s="80" customFormat="1" ht="37.5" customHeight="1" spans="1:25">
      <c r="A1867" s="298">
        <f t="shared" si="40"/>
        <v>1858</v>
      </c>
      <c r="B1867" s="321">
        <v>2024</v>
      </c>
      <c r="C1867" s="322" t="s">
        <v>28</v>
      </c>
      <c r="D1867" s="323" t="s">
        <v>355</v>
      </c>
      <c r="E1867" s="1285" t="s">
        <v>5974</v>
      </c>
      <c r="F1867" s="338" t="s">
        <v>5968</v>
      </c>
      <c r="G1867" s="336" t="s">
        <v>1085</v>
      </c>
      <c r="H1867" s="304">
        <v>0.8</v>
      </c>
      <c r="I1867" s="305">
        <v>100000</v>
      </c>
      <c r="J1867" s="326">
        <v>45008</v>
      </c>
      <c r="K1867" s="326">
        <v>45373</v>
      </c>
      <c r="L1867" s="307">
        <v>0.4</v>
      </c>
      <c r="M1867" s="354">
        <v>45519</v>
      </c>
      <c r="N1867" s="355">
        <v>103174.84</v>
      </c>
      <c r="O1867" s="356">
        <v>100000</v>
      </c>
      <c r="P1867" s="352">
        <v>80000</v>
      </c>
      <c r="Q1867" s="355">
        <v>82539.87</v>
      </c>
      <c r="R1867" s="337">
        <v>45629</v>
      </c>
      <c r="S1867" s="305">
        <v>40000</v>
      </c>
      <c r="T1867" s="150">
        <v>45635</v>
      </c>
      <c r="U1867" s="328" t="s">
        <v>5975</v>
      </c>
      <c r="V1867" s="305">
        <v>20000</v>
      </c>
      <c r="W1867" s="314" t="s">
        <v>5975</v>
      </c>
      <c r="X1867" s="334">
        <v>20000</v>
      </c>
      <c r="Y1867" s="348"/>
    </row>
    <row r="1868" s="80" customFormat="1" ht="37.5" customHeight="1" spans="1:25">
      <c r="A1868" s="298">
        <f t="shared" si="40"/>
        <v>1859</v>
      </c>
      <c r="B1868" s="321">
        <v>2024</v>
      </c>
      <c r="C1868" s="322" t="s">
        <v>28</v>
      </c>
      <c r="D1868" s="323" t="s">
        <v>353</v>
      </c>
      <c r="E1868" s="324" t="s">
        <v>5976</v>
      </c>
      <c r="F1868" s="302" t="s">
        <v>5973</v>
      </c>
      <c r="G1868" s="336" t="s">
        <v>1085</v>
      </c>
      <c r="H1868" s="304">
        <v>0.8</v>
      </c>
      <c r="I1868" s="305">
        <v>300000</v>
      </c>
      <c r="J1868" s="326">
        <v>44970</v>
      </c>
      <c r="K1868" s="326">
        <v>46065</v>
      </c>
      <c r="L1868" s="307">
        <v>0.4</v>
      </c>
      <c r="M1868" s="357">
        <v>45491</v>
      </c>
      <c r="N1868" s="327">
        <v>307823.05</v>
      </c>
      <c r="O1868" s="327">
        <v>300000</v>
      </c>
      <c r="P1868" s="356">
        <v>240000</v>
      </c>
      <c r="Q1868" s="356">
        <v>246258.44</v>
      </c>
      <c r="R1868" s="337">
        <v>45629</v>
      </c>
      <c r="S1868" s="305">
        <v>120000</v>
      </c>
      <c r="T1868" s="150">
        <v>45635</v>
      </c>
      <c r="U1868" s="328" t="s">
        <v>5975</v>
      </c>
      <c r="V1868" s="305">
        <v>60000</v>
      </c>
      <c r="W1868" s="331" t="s">
        <v>5975</v>
      </c>
      <c r="X1868" s="305">
        <v>60000</v>
      </c>
      <c r="Y1868" s="348"/>
    </row>
    <row r="1869" s="80" customFormat="1" ht="37.5" customHeight="1" spans="1:25">
      <c r="A1869" s="298">
        <f t="shared" si="40"/>
        <v>1860</v>
      </c>
      <c r="B1869" s="321">
        <v>2024</v>
      </c>
      <c r="C1869" s="322" t="s">
        <v>28</v>
      </c>
      <c r="D1869" s="323" t="s">
        <v>342</v>
      </c>
      <c r="E1869" s="324" t="s">
        <v>5977</v>
      </c>
      <c r="F1869" s="338" t="s">
        <v>5978</v>
      </c>
      <c r="G1869" s="336" t="s">
        <v>1085</v>
      </c>
      <c r="H1869" s="304">
        <v>0.8</v>
      </c>
      <c r="I1869" s="305">
        <v>500000</v>
      </c>
      <c r="J1869" s="326">
        <v>45239</v>
      </c>
      <c r="K1869" s="326">
        <v>45602</v>
      </c>
      <c r="L1869" s="307">
        <v>0.4</v>
      </c>
      <c r="M1869" s="354">
        <v>45484</v>
      </c>
      <c r="N1869" s="356">
        <v>507695.27</v>
      </c>
      <c r="O1869" s="327">
        <v>500000</v>
      </c>
      <c r="P1869" s="356">
        <v>406156.22</v>
      </c>
      <c r="Q1869" s="327">
        <v>400000</v>
      </c>
      <c r="R1869" s="337">
        <v>45629</v>
      </c>
      <c r="S1869" s="305">
        <v>200000</v>
      </c>
      <c r="T1869" s="150">
        <v>45635</v>
      </c>
      <c r="U1869" s="328" t="s">
        <v>5975</v>
      </c>
      <c r="V1869" s="305">
        <v>100000</v>
      </c>
      <c r="W1869" s="331" t="s">
        <v>5975</v>
      </c>
      <c r="X1869" s="305">
        <v>100000</v>
      </c>
      <c r="Y1869" s="348"/>
    </row>
    <row r="1870" s="80" customFormat="1" ht="37.5" customHeight="1" spans="1:25">
      <c r="A1870" s="298">
        <f t="shared" si="40"/>
        <v>1861</v>
      </c>
      <c r="B1870" s="321">
        <v>2024</v>
      </c>
      <c r="C1870" s="322" t="s">
        <v>31</v>
      </c>
      <c r="D1870" s="323" t="s">
        <v>364</v>
      </c>
      <c r="E1870" s="324" t="s">
        <v>5979</v>
      </c>
      <c r="F1870" s="302" t="s">
        <v>5980</v>
      </c>
      <c r="G1870" s="336" t="s">
        <v>1140</v>
      </c>
      <c r="H1870" s="304">
        <v>0.8</v>
      </c>
      <c r="I1870" s="305">
        <v>450000</v>
      </c>
      <c r="J1870" s="326">
        <v>45162</v>
      </c>
      <c r="K1870" s="326">
        <v>45527</v>
      </c>
      <c r="L1870" s="307">
        <v>0.4</v>
      </c>
      <c r="M1870" s="354">
        <v>45534</v>
      </c>
      <c r="N1870" s="355">
        <v>452268.75</v>
      </c>
      <c r="O1870" s="352">
        <v>450000</v>
      </c>
      <c r="P1870" s="358">
        <v>360000</v>
      </c>
      <c r="Q1870" s="327">
        <v>361815</v>
      </c>
      <c r="R1870" s="337">
        <v>45630</v>
      </c>
      <c r="S1870" s="305">
        <v>180000</v>
      </c>
      <c r="T1870" s="150">
        <v>45635</v>
      </c>
      <c r="U1870" s="328" t="s">
        <v>5975</v>
      </c>
      <c r="V1870" s="305">
        <v>90000</v>
      </c>
      <c r="W1870" s="333" t="s">
        <v>5975</v>
      </c>
      <c r="X1870" s="305">
        <v>90000</v>
      </c>
      <c r="Y1870" s="348"/>
    </row>
    <row r="1871" s="80" customFormat="1" ht="37.5" customHeight="1" spans="1:25">
      <c r="A1871" s="298">
        <f t="shared" si="40"/>
        <v>1862</v>
      </c>
      <c r="B1871" s="321">
        <v>2024</v>
      </c>
      <c r="C1871" s="322" t="s">
        <v>31</v>
      </c>
      <c r="D1871" s="351" t="s">
        <v>363</v>
      </c>
      <c r="E1871" s="324" t="s">
        <v>5981</v>
      </c>
      <c r="F1871" s="302" t="s">
        <v>4637</v>
      </c>
      <c r="G1871" s="336" t="s">
        <v>5982</v>
      </c>
      <c r="H1871" s="304">
        <v>0.8</v>
      </c>
      <c r="I1871" s="305">
        <v>500000</v>
      </c>
      <c r="J1871" s="326">
        <v>45118</v>
      </c>
      <c r="K1871" s="326">
        <v>45849</v>
      </c>
      <c r="L1871" s="307">
        <v>0.4</v>
      </c>
      <c r="M1871" s="357">
        <v>45524</v>
      </c>
      <c r="N1871" s="355">
        <v>501390.17</v>
      </c>
      <c r="O1871" s="352">
        <v>500000</v>
      </c>
      <c r="P1871" s="358">
        <v>400000</v>
      </c>
      <c r="Q1871" s="347">
        <v>401112.14</v>
      </c>
      <c r="R1871" s="337">
        <v>45632</v>
      </c>
      <c r="S1871" s="305">
        <v>200556.07</v>
      </c>
      <c r="T1871" s="150">
        <v>45637</v>
      </c>
      <c r="U1871" s="328" t="s">
        <v>5975</v>
      </c>
      <c r="V1871" s="305">
        <v>100000</v>
      </c>
      <c r="W1871" s="331" t="s">
        <v>5975</v>
      </c>
      <c r="X1871" s="305">
        <v>100000</v>
      </c>
      <c r="Y1871" s="348"/>
    </row>
    <row r="1872" s="80" customFormat="1" ht="37.5" customHeight="1" spans="1:25">
      <c r="A1872" s="298">
        <f t="shared" si="40"/>
        <v>1863</v>
      </c>
      <c r="B1872" s="321">
        <v>2024</v>
      </c>
      <c r="C1872" s="322" t="s">
        <v>31</v>
      </c>
      <c r="D1872" s="323" t="s">
        <v>5983</v>
      </c>
      <c r="E1872" s="1283" t="s">
        <v>5984</v>
      </c>
      <c r="F1872" s="338" t="s">
        <v>4637</v>
      </c>
      <c r="G1872" s="336" t="s">
        <v>1137</v>
      </c>
      <c r="H1872" s="304">
        <v>0.8</v>
      </c>
      <c r="I1872" s="305">
        <v>500000</v>
      </c>
      <c r="J1872" s="326" t="s">
        <v>2932</v>
      </c>
      <c r="K1872" s="326">
        <v>45480</v>
      </c>
      <c r="L1872" s="307">
        <v>0.4</v>
      </c>
      <c r="M1872" s="354">
        <v>45513</v>
      </c>
      <c r="N1872" s="327">
        <v>501600</v>
      </c>
      <c r="O1872" s="327">
        <v>500000</v>
      </c>
      <c r="P1872" s="327">
        <v>400000</v>
      </c>
      <c r="Q1872" s="347">
        <v>401280</v>
      </c>
      <c r="R1872" s="337">
        <v>45632</v>
      </c>
      <c r="S1872" s="305">
        <v>200640</v>
      </c>
      <c r="T1872" s="150">
        <v>45637</v>
      </c>
      <c r="U1872" s="328">
        <v>45649</v>
      </c>
      <c r="V1872" s="305">
        <v>100000</v>
      </c>
      <c r="W1872" s="331" t="s">
        <v>5985</v>
      </c>
      <c r="X1872" s="305">
        <v>100000</v>
      </c>
      <c r="Y1872" s="332"/>
    </row>
    <row r="1873" s="80" customFormat="1" ht="37.5" customHeight="1" spans="1:25">
      <c r="A1873" s="298">
        <f t="shared" si="40"/>
        <v>1864</v>
      </c>
      <c r="B1873" s="321">
        <v>2024</v>
      </c>
      <c r="C1873" s="322" t="s">
        <v>31</v>
      </c>
      <c r="D1873" s="323" t="s">
        <v>5983</v>
      </c>
      <c r="E1873" s="324" t="s">
        <v>5986</v>
      </c>
      <c r="F1873" s="302" t="s">
        <v>4637</v>
      </c>
      <c r="G1873" s="303" t="s">
        <v>5982</v>
      </c>
      <c r="H1873" s="304">
        <v>0.8</v>
      </c>
      <c r="I1873" s="305">
        <v>500000</v>
      </c>
      <c r="J1873" s="326">
        <v>45128</v>
      </c>
      <c r="K1873" s="326">
        <v>45494</v>
      </c>
      <c r="L1873" s="307">
        <v>0.4</v>
      </c>
      <c r="M1873" s="357">
        <v>45513</v>
      </c>
      <c r="N1873" s="355">
        <v>510166.64</v>
      </c>
      <c r="O1873" s="352">
        <v>500000</v>
      </c>
      <c r="P1873" s="358">
        <v>400000</v>
      </c>
      <c r="Q1873" s="347">
        <v>408133.31</v>
      </c>
      <c r="R1873" s="337">
        <v>45632</v>
      </c>
      <c r="S1873" s="305">
        <v>204066.65</v>
      </c>
      <c r="T1873" s="150">
        <v>45637</v>
      </c>
      <c r="U1873" s="328" t="s">
        <v>5975</v>
      </c>
      <c r="V1873" s="305">
        <v>100000</v>
      </c>
      <c r="W1873" s="331" t="s">
        <v>5975</v>
      </c>
      <c r="X1873" s="334">
        <v>100000</v>
      </c>
      <c r="Y1873" s="348"/>
    </row>
    <row r="1874" s="80" customFormat="1" ht="37.5" customHeight="1" spans="1:25">
      <c r="A1874" s="298">
        <f t="shared" si="40"/>
        <v>1865</v>
      </c>
      <c r="B1874" s="321">
        <v>2024</v>
      </c>
      <c r="C1874" s="322" t="s">
        <v>37</v>
      </c>
      <c r="D1874" s="323" t="s">
        <v>348</v>
      </c>
      <c r="E1874" s="324" t="s">
        <v>5987</v>
      </c>
      <c r="F1874" s="338" t="s">
        <v>5988</v>
      </c>
      <c r="G1874" s="336" t="s">
        <v>1085</v>
      </c>
      <c r="H1874" s="304">
        <v>1</v>
      </c>
      <c r="I1874" s="305">
        <v>1500000</v>
      </c>
      <c r="J1874" s="326">
        <v>45132</v>
      </c>
      <c r="K1874" s="326">
        <v>45497</v>
      </c>
      <c r="L1874" s="307">
        <v>0.4</v>
      </c>
      <c r="M1874" s="357">
        <v>45519</v>
      </c>
      <c r="N1874" s="352">
        <v>1506750</v>
      </c>
      <c r="O1874" s="327">
        <v>1500000</v>
      </c>
      <c r="P1874" s="327">
        <v>1500000</v>
      </c>
      <c r="Q1874" s="352">
        <v>1506750</v>
      </c>
      <c r="R1874" s="337">
        <v>45636</v>
      </c>
      <c r="S1874" s="305">
        <v>600000</v>
      </c>
      <c r="T1874" s="150">
        <v>45649</v>
      </c>
      <c r="U1874" s="330" t="s">
        <v>5989</v>
      </c>
      <c r="V1874" s="305">
        <v>300000</v>
      </c>
      <c r="W1874" s="328">
        <v>45709</v>
      </c>
      <c r="X1874" s="305">
        <v>300000</v>
      </c>
      <c r="Y1874" s="348"/>
    </row>
    <row r="1875" s="80" customFormat="1" ht="37.5" customHeight="1" spans="1:25">
      <c r="A1875" s="298">
        <f t="shared" si="40"/>
        <v>1866</v>
      </c>
      <c r="B1875" s="321">
        <v>2024</v>
      </c>
      <c r="C1875" s="322" t="s">
        <v>25</v>
      </c>
      <c r="D1875" s="323" t="s">
        <v>331</v>
      </c>
      <c r="E1875" s="324" t="s">
        <v>5990</v>
      </c>
      <c r="F1875" s="302" t="s">
        <v>5991</v>
      </c>
      <c r="G1875" s="303" t="s">
        <v>1125</v>
      </c>
      <c r="H1875" s="304">
        <v>0.8</v>
      </c>
      <c r="I1875" s="305">
        <v>100000</v>
      </c>
      <c r="J1875" s="326">
        <v>44649</v>
      </c>
      <c r="K1875" s="326">
        <v>45379</v>
      </c>
      <c r="L1875" s="307">
        <v>0.4</v>
      </c>
      <c r="M1875" s="357">
        <v>45533</v>
      </c>
      <c r="N1875" s="359">
        <v>100001.3</v>
      </c>
      <c r="O1875" s="359">
        <v>98900</v>
      </c>
      <c r="P1875" s="359">
        <v>79120</v>
      </c>
      <c r="Q1875" s="359">
        <v>80001.04</v>
      </c>
      <c r="R1875" s="337">
        <v>45645</v>
      </c>
      <c r="S1875" s="305">
        <v>39560</v>
      </c>
      <c r="T1875" s="150">
        <v>45649</v>
      </c>
      <c r="U1875" s="360"/>
      <c r="V1875" s="305"/>
      <c r="W1875" s="328"/>
      <c r="X1875" s="344"/>
      <c r="Y1875" s="361" t="s">
        <v>4184</v>
      </c>
    </row>
    <row r="1876" s="80" customFormat="1" ht="37.5" customHeight="1" spans="1:25">
      <c r="A1876" s="298">
        <f t="shared" si="40"/>
        <v>1867</v>
      </c>
      <c r="B1876" s="321">
        <v>2024</v>
      </c>
      <c r="C1876" s="322" t="s">
        <v>25</v>
      </c>
      <c r="D1876" s="323" t="s">
        <v>332</v>
      </c>
      <c r="E1876" s="324" t="s">
        <v>5992</v>
      </c>
      <c r="F1876" s="302" t="s">
        <v>5993</v>
      </c>
      <c r="G1876" s="303" t="s">
        <v>1103</v>
      </c>
      <c r="H1876" s="304">
        <v>0.8</v>
      </c>
      <c r="I1876" s="305">
        <v>208000</v>
      </c>
      <c r="J1876" s="326">
        <v>44719</v>
      </c>
      <c r="K1876" s="326">
        <v>45449</v>
      </c>
      <c r="L1876" s="307">
        <v>0.4</v>
      </c>
      <c r="M1876" s="357">
        <v>45541</v>
      </c>
      <c r="N1876" s="327">
        <v>209778.81</v>
      </c>
      <c r="O1876" s="355">
        <v>208000</v>
      </c>
      <c r="P1876" s="347">
        <v>166400</v>
      </c>
      <c r="Q1876" s="347">
        <v>167823.05</v>
      </c>
      <c r="R1876" s="337">
        <v>45645</v>
      </c>
      <c r="S1876" s="305">
        <v>83200</v>
      </c>
      <c r="T1876" s="150">
        <v>45649</v>
      </c>
      <c r="U1876" s="330" t="s">
        <v>5994</v>
      </c>
      <c r="V1876" s="305">
        <v>41600</v>
      </c>
      <c r="W1876" s="328" t="s">
        <v>5995</v>
      </c>
      <c r="X1876" s="305">
        <v>41600</v>
      </c>
      <c r="Y1876" s="348"/>
    </row>
    <row r="1877" s="80" customFormat="1" ht="37.5" customHeight="1" spans="1:25">
      <c r="A1877" s="298">
        <f t="shared" si="40"/>
        <v>1868</v>
      </c>
      <c r="B1877" s="321">
        <v>2024</v>
      </c>
      <c r="C1877" s="322" t="s">
        <v>37</v>
      </c>
      <c r="D1877" s="323" t="s">
        <v>372</v>
      </c>
      <c r="E1877" s="324" t="s">
        <v>5996</v>
      </c>
      <c r="F1877" s="338" t="s">
        <v>1240</v>
      </c>
      <c r="G1877" s="303" t="s">
        <v>5997</v>
      </c>
      <c r="H1877" s="304">
        <v>0.8</v>
      </c>
      <c r="I1877" s="305">
        <v>300000</v>
      </c>
      <c r="J1877" s="326">
        <v>45104</v>
      </c>
      <c r="K1877" s="326">
        <v>45469</v>
      </c>
      <c r="L1877" s="307">
        <v>0.4</v>
      </c>
      <c r="M1877" s="357">
        <v>45525</v>
      </c>
      <c r="N1877" s="359">
        <v>296872.42</v>
      </c>
      <c r="O1877" s="359">
        <v>296872.42</v>
      </c>
      <c r="P1877" s="359">
        <v>237497.94</v>
      </c>
      <c r="Q1877" s="359">
        <v>237497.94</v>
      </c>
      <c r="R1877" s="337">
        <v>45646</v>
      </c>
      <c r="S1877" s="305">
        <v>118748.97</v>
      </c>
      <c r="T1877" s="150">
        <v>45652</v>
      </c>
      <c r="U1877" s="328" t="s">
        <v>5998</v>
      </c>
      <c r="V1877" s="305">
        <v>59374.48</v>
      </c>
      <c r="W1877" s="328">
        <v>45673</v>
      </c>
      <c r="X1877" s="305">
        <v>59374.48</v>
      </c>
      <c r="Y1877" s="348"/>
    </row>
    <row r="1878" s="80" customFormat="1" ht="37.5" customHeight="1" spans="1:25">
      <c r="A1878" s="298">
        <f t="shared" si="40"/>
        <v>1869</v>
      </c>
      <c r="B1878" s="321">
        <v>2024</v>
      </c>
      <c r="C1878" s="322" t="s">
        <v>28</v>
      </c>
      <c r="D1878" s="323" t="s">
        <v>379</v>
      </c>
      <c r="E1878" s="324" t="s">
        <v>5999</v>
      </c>
      <c r="F1878" s="302" t="s">
        <v>1179</v>
      </c>
      <c r="G1878" s="303" t="s">
        <v>1085</v>
      </c>
      <c r="H1878" s="304">
        <v>0.8</v>
      </c>
      <c r="I1878" s="305">
        <v>150000</v>
      </c>
      <c r="J1878" s="326">
        <v>44995</v>
      </c>
      <c r="K1878" s="326">
        <v>45360</v>
      </c>
      <c r="L1878" s="307">
        <v>0.4</v>
      </c>
      <c r="M1878" s="357">
        <v>45530</v>
      </c>
      <c r="N1878" s="355">
        <v>142124.49</v>
      </c>
      <c r="O1878" s="355">
        <v>142050.56</v>
      </c>
      <c r="P1878" s="347">
        <v>113640.45</v>
      </c>
      <c r="Q1878" s="347">
        <v>113699.59</v>
      </c>
      <c r="R1878" s="337">
        <v>45650</v>
      </c>
      <c r="S1878" s="305">
        <v>56820.22</v>
      </c>
      <c r="T1878" s="150">
        <v>45656</v>
      </c>
      <c r="U1878" s="337">
        <v>45667</v>
      </c>
      <c r="V1878" s="305">
        <v>28410.11</v>
      </c>
      <c r="W1878" s="328">
        <v>45673</v>
      </c>
      <c r="X1878" s="305">
        <v>28410.11</v>
      </c>
      <c r="Y1878" s="332"/>
    </row>
    <row r="1879" s="80" customFormat="1" ht="37.5" customHeight="1" spans="1:25">
      <c r="A1879" s="298">
        <f t="shared" si="40"/>
        <v>1870</v>
      </c>
      <c r="B1879" s="321">
        <v>2024</v>
      </c>
      <c r="C1879" s="322" t="s">
        <v>28</v>
      </c>
      <c r="D1879" s="323" t="s">
        <v>380</v>
      </c>
      <c r="E1879" s="324" t="s">
        <v>6000</v>
      </c>
      <c r="F1879" s="302" t="s">
        <v>5970</v>
      </c>
      <c r="G1879" s="303" t="s">
        <v>1085</v>
      </c>
      <c r="H1879" s="304">
        <v>0.8</v>
      </c>
      <c r="I1879" s="305">
        <v>280000</v>
      </c>
      <c r="J1879" s="326">
        <v>44992</v>
      </c>
      <c r="K1879" s="326">
        <v>45357</v>
      </c>
      <c r="L1879" s="307">
        <v>0.4</v>
      </c>
      <c r="M1879" s="357">
        <v>45534</v>
      </c>
      <c r="N1879" s="355">
        <v>282864.16</v>
      </c>
      <c r="O1879" s="362">
        <v>280000</v>
      </c>
      <c r="P1879" s="363">
        <v>224000</v>
      </c>
      <c r="Q1879" s="347">
        <v>226291.32</v>
      </c>
      <c r="R1879" s="337">
        <v>45650</v>
      </c>
      <c r="S1879" s="305">
        <v>112000</v>
      </c>
      <c r="T1879" s="150">
        <v>45649</v>
      </c>
      <c r="U1879" s="328">
        <v>45667</v>
      </c>
      <c r="V1879" s="305">
        <v>56000</v>
      </c>
      <c r="W1879" s="328">
        <v>45673</v>
      </c>
      <c r="X1879" s="305">
        <v>56000</v>
      </c>
      <c r="Y1879" s="332"/>
    </row>
    <row r="1880" s="80" customFormat="1" ht="37.5" customHeight="1" spans="1:25">
      <c r="A1880" s="298">
        <f t="shared" si="40"/>
        <v>1871</v>
      </c>
      <c r="B1880" s="321">
        <v>2024</v>
      </c>
      <c r="C1880" s="322" t="s">
        <v>57</v>
      </c>
      <c r="D1880" s="323" t="s">
        <v>356</v>
      </c>
      <c r="E1880" s="1286" t="s">
        <v>6001</v>
      </c>
      <c r="F1880" s="302" t="s">
        <v>6002</v>
      </c>
      <c r="G1880" s="364" t="s">
        <v>1085</v>
      </c>
      <c r="H1880" s="304">
        <v>1</v>
      </c>
      <c r="I1880" s="305">
        <v>500000</v>
      </c>
      <c r="J1880" s="326">
        <v>45078</v>
      </c>
      <c r="K1880" s="326">
        <v>45442</v>
      </c>
      <c r="L1880" s="307">
        <v>0.4</v>
      </c>
      <c r="M1880" s="365">
        <v>45530</v>
      </c>
      <c r="N1880" s="359">
        <v>473840.23</v>
      </c>
      <c r="O1880" s="366">
        <v>470739.62</v>
      </c>
      <c r="P1880" s="366">
        <v>470739.62</v>
      </c>
      <c r="Q1880" s="359">
        <v>473840.23</v>
      </c>
      <c r="R1880" s="337">
        <v>45650</v>
      </c>
      <c r="S1880" s="305">
        <v>188295.85</v>
      </c>
      <c r="T1880" s="150">
        <v>45649</v>
      </c>
      <c r="U1880" s="328">
        <v>45667</v>
      </c>
      <c r="V1880" s="305">
        <v>94147.92</v>
      </c>
      <c r="W1880" s="328">
        <v>45673</v>
      </c>
      <c r="X1880" s="305">
        <v>94147.92</v>
      </c>
      <c r="Y1880" s="348"/>
    </row>
    <row r="1881" s="80" customFormat="1" ht="37.5" customHeight="1" spans="1:25">
      <c r="A1881" s="298">
        <f t="shared" si="40"/>
        <v>1872</v>
      </c>
      <c r="B1881" s="321">
        <v>2024</v>
      </c>
      <c r="C1881" s="322" t="s">
        <v>57</v>
      </c>
      <c r="D1881" s="323" t="s">
        <v>356</v>
      </c>
      <c r="E1881" s="1286" t="s">
        <v>6003</v>
      </c>
      <c r="F1881" s="302" t="s">
        <v>6002</v>
      </c>
      <c r="G1881" s="364" t="s">
        <v>1085</v>
      </c>
      <c r="H1881" s="304">
        <v>1</v>
      </c>
      <c r="I1881" s="305">
        <v>1500000</v>
      </c>
      <c r="J1881" s="326">
        <v>45077</v>
      </c>
      <c r="K1881" s="326">
        <v>45442</v>
      </c>
      <c r="L1881" s="307">
        <v>0.4</v>
      </c>
      <c r="M1881" s="365">
        <v>45530</v>
      </c>
      <c r="N1881" s="327">
        <v>1421520.67</v>
      </c>
      <c r="O1881" s="366">
        <v>1412218.85</v>
      </c>
      <c r="P1881" s="366">
        <v>1412218.85</v>
      </c>
      <c r="Q1881" s="327">
        <v>1421520.67</v>
      </c>
      <c r="R1881" s="337">
        <v>45650</v>
      </c>
      <c r="S1881" s="367">
        <v>564887.54</v>
      </c>
      <c r="T1881" s="150">
        <v>45649</v>
      </c>
      <c r="U1881" s="330" t="s">
        <v>5989</v>
      </c>
      <c r="V1881" s="305">
        <v>282443.77</v>
      </c>
      <c r="W1881" s="328">
        <v>45786</v>
      </c>
      <c r="X1881" s="305">
        <v>282443.77</v>
      </c>
      <c r="Y1881" s="348"/>
    </row>
    <row r="1882" s="80" customFormat="1" ht="37.5" customHeight="1" spans="1:25">
      <c r="A1882" s="298">
        <f t="shared" si="40"/>
        <v>1873</v>
      </c>
      <c r="B1882" s="321">
        <v>2024</v>
      </c>
      <c r="C1882" s="322" t="s">
        <v>37</v>
      </c>
      <c r="D1882" s="323" t="s">
        <v>358</v>
      </c>
      <c r="E1882" s="324" t="s">
        <v>6004</v>
      </c>
      <c r="F1882" s="302" t="s">
        <v>6005</v>
      </c>
      <c r="G1882" s="303" t="s">
        <v>5946</v>
      </c>
      <c r="H1882" s="304">
        <v>1</v>
      </c>
      <c r="I1882" s="305">
        <v>1500000</v>
      </c>
      <c r="J1882" s="326">
        <v>45329</v>
      </c>
      <c r="K1882" s="326">
        <v>45694</v>
      </c>
      <c r="L1882" s="307">
        <v>0.4</v>
      </c>
      <c r="M1882" s="365">
        <v>45533</v>
      </c>
      <c r="N1882" s="327">
        <v>1500000</v>
      </c>
      <c r="O1882" s="327">
        <v>1500000</v>
      </c>
      <c r="P1882" s="327">
        <v>1500000</v>
      </c>
      <c r="Q1882" s="327">
        <v>1500000</v>
      </c>
      <c r="R1882" s="337">
        <v>45650</v>
      </c>
      <c r="S1882" s="305">
        <v>600000</v>
      </c>
      <c r="T1882" s="150">
        <v>45649</v>
      </c>
      <c r="U1882" s="330" t="s">
        <v>5989</v>
      </c>
      <c r="V1882" s="305">
        <v>300000</v>
      </c>
      <c r="W1882" s="328">
        <v>45833</v>
      </c>
      <c r="X1882" s="305">
        <v>300000</v>
      </c>
      <c r="Y1882" s="348"/>
    </row>
    <row r="1883" s="80" customFormat="1" ht="37.5" customHeight="1" spans="1:25">
      <c r="A1883" s="298">
        <f t="shared" si="40"/>
        <v>1874</v>
      </c>
      <c r="B1883" s="321">
        <v>2024</v>
      </c>
      <c r="C1883" s="322" t="s">
        <v>37</v>
      </c>
      <c r="D1883" s="323" t="s">
        <v>298</v>
      </c>
      <c r="E1883" s="1283" t="s">
        <v>6006</v>
      </c>
      <c r="F1883" s="338" t="s">
        <v>1095</v>
      </c>
      <c r="G1883" s="336" t="s">
        <v>1199</v>
      </c>
      <c r="H1883" s="304">
        <v>0.8</v>
      </c>
      <c r="I1883" s="305">
        <v>90000</v>
      </c>
      <c r="J1883" s="326">
        <v>45197</v>
      </c>
      <c r="K1883" s="326" t="s">
        <v>6007</v>
      </c>
      <c r="L1883" s="307">
        <v>0.2</v>
      </c>
      <c r="M1883" s="354" t="s">
        <v>6008</v>
      </c>
      <c r="N1883" s="327">
        <v>72857.16</v>
      </c>
      <c r="O1883" s="327">
        <v>72857.16</v>
      </c>
      <c r="P1883" s="327">
        <v>58285.73</v>
      </c>
      <c r="Q1883" s="327">
        <v>58285.73</v>
      </c>
      <c r="R1883" s="337">
        <v>45651</v>
      </c>
      <c r="S1883" s="305">
        <v>14571.432</v>
      </c>
      <c r="T1883" s="150">
        <v>45629</v>
      </c>
      <c r="U1883" s="368"/>
      <c r="V1883" s="369"/>
      <c r="W1883" s="370"/>
      <c r="X1883" s="344"/>
      <c r="Y1883" s="371" t="s">
        <v>4184</v>
      </c>
    </row>
    <row r="1884" s="80" customFormat="1" ht="37.5" customHeight="1" spans="1:25">
      <c r="A1884" s="298">
        <f t="shared" si="40"/>
        <v>1875</v>
      </c>
      <c r="B1884" s="321">
        <v>2024</v>
      </c>
      <c r="C1884" s="322" t="s">
        <v>37</v>
      </c>
      <c r="D1884" s="323" t="s">
        <v>299</v>
      </c>
      <c r="E1884" s="1283" t="s">
        <v>6009</v>
      </c>
      <c r="F1884" s="338" t="s">
        <v>1095</v>
      </c>
      <c r="G1884" s="336" t="s">
        <v>1100</v>
      </c>
      <c r="H1884" s="304">
        <v>0.8</v>
      </c>
      <c r="I1884" s="305">
        <v>260000</v>
      </c>
      <c r="J1884" s="326">
        <v>45152</v>
      </c>
      <c r="K1884" s="326" t="s">
        <v>6010</v>
      </c>
      <c r="L1884" s="307">
        <v>0.4</v>
      </c>
      <c r="M1884" s="354" t="s">
        <v>6008</v>
      </c>
      <c r="N1884" s="327">
        <v>198095.25</v>
      </c>
      <c r="O1884" s="327">
        <v>198095.25</v>
      </c>
      <c r="P1884" s="327">
        <v>158476.2</v>
      </c>
      <c r="Q1884" s="327">
        <v>158476.2</v>
      </c>
      <c r="R1884" s="337">
        <v>45651</v>
      </c>
      <c r="S1884" s="305">
        <v>79238.1</v>
      </c>
      <c r="T1884" s="150">
        <v>45629</v>
      </c>
      <c r="U1884" s="328" t="s">
        <v>5930</v>
      </c>
      <c r="V1884" s="305">
        <v>39619.05</v>
      </c>
      <c r="W1884" s="333" t="s">
        <v>5930</v>
      </c>
      <c r="X1884" s="305">
        <v>39619.05</v>
      </c>
      <c r="Y1884" s="332"/>
    </row>
    <row r="1885" s="80" customFormat="1" ht="37.5" customHeight="1" spans="1:25">
      <c r="A1885" s="298">
        <f t="shared" si="40"/>
        <v>1876</v>
      </c>
      <c r="B1885" s="321">
        <v>2024</v>
      </c>
      <c r="C1885" s="322" t="s">
        <v>37</v>
      </c>
      <c r="D1885" s="323" t="s">
        <v>297</v>
      </c>
      <c r="E1885" s="1283" t="s">
        <v>6011</v>
      </c>
      <c r="F1885" s="338" t="s">
        <v>1095</v>
      </c>
      <c r="G1885" s="336" t="s">
        <v>1199</v>
      </c>
      <c r="H1885" s="304">
        <v>0.8</v>
      </c>
      <c r="I1885" s="305">
        <v>500000</v>
      </c>
      <c r="J1885" s="326">
        <v>45206</v>
      </c>
      <c r="K1885" s="326" t="s">
        <v>6012</v>
      </c>
      <c r="L1885" s="307">
        <v>0.2</v>
      </c>
      <c r="M1885" s="354" t="s">
        <v>6008</v>
      </c>
      <c r="N1885" s="327">
        <v>428571.44</v>
      </c>
      <c r="O1885" s="327">
        <v>428571.44</v>
      </c>
      <c r="P1885" s="327">
        <v>342857.15</v>
      </c>
      <c r="Q1885" s="327">
        <v>342857.15</v>
      </c>
      <c r="R1885" s="337">
        <v>45651</v>
      </c>
      <c r="S1885" s="305">
        <v>85714.288</v>
      </c>
      <c r="T1885" s="150">
        <v>45629</v>
      </c>
      <c r="U1885" s="368"/>
      <c r="V1885" s="369"/>
      <c r="W1885" s="370"/>
      <c r="X1885" s="344"/>
      <c r="Y1885" s="371" t="s">
        <v>4184</v>
      </c>
    </row>
    <row r="1886" s="80" customFormat="1" ht="37.5" customHeight="1" spans="1:25">
      <c r="A1886" s="298">
        <f t="shared" si="40"/>
        <v>1877</v>
      </c>
      <c r="B1886" s="321">
        <v>2024</v>
      </c>
      <c r="C1886" s="322" t="s">
        <v>37</v>
      </c>
      <c r="D1886" s="323" t="s">
        <v>296</v>
      </c>
      <c r="E1886" s="1283" t="s">
        <v>6013</v>
      </c>
      <c r="F1886" s="338" t="s">
        <v>1095</v>
      </c>
      <c r="G1886" s="336" t="s">
        <v>1199</v>
      </c>
      <c r="H1886" s="304">
        <v>0.8</v>
      </c>
      <c r="I1886" s="305">
        <v>460000</v>
      </c>
      <c r="J1886" s="326">
        <v>45182</v>
      </c>
      <c r="K1886" s="326" t="s">
        <v>6014</v>
      </c>
      <c r="L1886" s="307">
        <v>0.2</v>
      </c>
      <c r="M1886" s="354" t="s">
        <v>6008</v>
      </c>
      <c r="N1886" s="327">
        <v>456007.15</v>
      </c>
      <c r="O1886" s="327">
        <v>456007.15</v>
      </c>
      <c r="P1886" s="327">
        <v>364805.72</v>
      </c>
      <c r="Q1886" s="327">
        <v>364805.72</v>
      </c>
      <c r="R1886" s="337">
        <v>45651</v>
      </c>
      <c r="S1886" s="305">
        <v>91201.43</v>
      </c>
      <c r="T1886" s="150">
        <v>45629</v>
      </c>
      <c r="U1886" s="368"/>
      <c r="V1886" s="369"/>
      <c r="W1886" s="370"/>
      <c r="X1886" s="344"/>
      <c r="Y1886" s="371" t="s">
        <v>4184</v>
      </c>
    </row>
    <row r="1887" s="80" customFormat="1" ht="37.5" customHeight="1" spans="1:25">
      <c r="A1887" s="138">
        <f t="shared" si="40"/>
        <v>1878</v>
      </c>
      <c r="B1887" s="139">
        <v>2024</v>
      </c>
      <c r="C1887" s="189" t="s">
        <v>28</v>
      </c>
      <c r="D1887" s="279" t="s">
        <v>6015</v>
      </c>
      <c r="E1887" s="190" t="s">
        <v>6016</v>
      </c>
      <c r="F1887" s="142" t="s">
        <v>6017</v>
      </c>
      <c r="G1887" s="143" t="s">
        <v>1103</v>
      </c>
      <c r="H1887" s="144">
        <v>0.8</v>
      </c>
      <c r="I1887" s="145">
        <v>256000</v>
      </c>
      <c r="J1887" s="185" t="s">
        <v>2492</v>
      </c>
      <c r="K1887" s="185" t="s">
        <v>6018</v>
      </c>
      <c r="L1887" s="147">
        <v>0.4</v>
      </c>
      <c r="M1887" s="280" t="s">
        <v>2705</v>
      </c>
      <c r="N1887" s="186">
        <v>258807.2</v>
      </c>
      <c r="O1887" s="287">
        <v>256000</v>
      </c>
      <c r="P1887" s="186">
        <v>204800</v>
      </c>
      <c r="Q1887" s="186">
        <v>207045.76</v>
      </c>
      <c r="R1887" s="184" t="s">
        <v>3924</v>
      </c>
      <c r="S1887" s="276">
        <v>102400</v>
      </c>
      <c r="T1887" s="150">
        <v>45295</v>
      </c>
      <c r="U1887" s="184" t="s">
        <v>4877</v>
      </c>
      <c r="V1887" s="276">
        <v>51200</v>
      </c>
      <c r="W1887" s="314" t="s">
        <v>5715</v>
      </c>
      <c r="X1887" s="276">
        <v>51200</v>
      </c>
      <c r="Y1887" s="184"/>
    </row>
    <row r="1888" s="80" customFormat="1" ht="37.5" customHeight="1" spans="1:25">
      <c r="A1888" s="138">
        <f t="shared" si="40"/>
        <v>1879</v>
      </c>
      <c r="B1888" s="139">
        <v>2024</v>
      </c>
      <c r="C1888" s="189" t="s">
        <v>22</v>
      </c>
      <c r="D1888" s="279" t="s">
        <v>6019</v>
      </c>
      <c r="E1888" s="190" t="s">
        <v>6020</v>
      </c>
      <c r="F1888" s="142" t="s">
        <v>6021</v>
      </c>
      <c r="G1888" s="143" t="s">
        <v>1103</v>
      </c>
      <c r="H1888" s="144">
        <v>0.8</v>
      </c>
      <c r="I1888" s="145">
        <v>1500000</v>
      </c>
      <c r="J1888" s="185" t="s">
        <v>6022</v>
      </c>
      <c r="K1888" s="185" t="s">
        <v>4156</v>
      </c>
      <c r="L1888" s="147">
        <v>0.4</v>
      </c>
      <c r="M1888" s="280" t="s">
        <v>6023</v>
      </c>
      <c r="N1888" s="186">
        <v>1660737.45</v>
      </c>
      <c r="O1888" s="186">
        <v>1500000</v>
      </c>
      <c r="P1888" s="186">
        <v>1200000</v>
      </c>
      <c r="Q1888" s="186">
        <v>1325049.12</v>
      </c>
      <c r="R1888" s="184" t="s">
        <v>4855</v>
      </c>
      <c r="S1888" s="276">
        <v>664294.98</v>
      </c>
      <c r="T1888" s="150">
        <v>45295</v>
      </c>
      <c r="U1888" s="184" t="s">
        <v>6024</v>
      </c>
      <c r="V1888" s="276">
        <v>300000</v>
      </c>
      <c r="W1888" s="314" t="s">
        <v>6025</v>
      </c>
      <c r="X1888" s="276">
        <v>300000</v>
      </c>
      <c r="Y1888" s="184"/>
    </row>
    <row r="1889" s="80" customFormat="1" ht="37.5" customHeight="1" spans="1:25">
      <c r="A1889" s="138">
        <f t="shared" si="40"/>
        <v>1880</v>
      </c>
      <c r="B1889" s="139">
        <v>2024</v>
      </c>
      <c r="C1889" s="189" t="s">
        <v>25</v>
      </c>
      <c r="D1889" s="279" t="s">
        <v>51</v>
      </c>
      <c r="E1889" s="190" t="s">
        <v>6026</v>
      </c>
      <c r="F1889" s="142" t="s">
        <v>4980</v>
      </c>
      <c r="G1889" s="143" t="s">
        <v>1103</v>
      </c>
      <c r="H1889" s="144">
        <v>0.8</v>
      </c>
      <c r="I1889" s="145">
        <v>300000</v>
      </c>
      <c r="J1889" s="185" t="s">
        <v>2512</v>
      </c>
      <c r="K1889" s="185" t="s">
        <v>6027</v>
      </c>
      <c r="L1889" s="147">
        <v>0.4</v>
      </c>
      <c r="M1889" s="280" t="s">
        <v>2798</v>
      </c>
      <c r="N1889" s="186">
        <v>166219.63</v>
      </c>
      <c r="O1889" s="186">
        <v>166219.63</v>
      </c>
      <c r="P1889" s="186">
        <v>132975.7</v>
      </c>
      <c r="Q1889" s="186">
        <v>132975.7</v>
      </c>
      <c r="R1889" s="184" t="s">
        <v>3934</v>
      </c>
      <c r="S1889" s="276">
        <v>66487.85</v>
      </c>
      <c r="T1889" s="150">
        <v>45302</v>
      </c>
      <c r="U1889" s="184" t="s">
        <v>6024</v>
      </c>
      <c r="V1889" s="276">
        <v>33253.93</v>
      </c>
      <c r="W1889" s="314" t="s">
        <v>4514</v>
      </c>
      <c r="X1889" s="276">
        <v>33253.93</v>
      </c>
      <c r="Y1889" s="184"/>
    </row>
    <row r="1890" s="80" customFormat="1" ht="37.5" customHeight="1" spans="1:25">
      <c r="A1890" s="138">
        <f t="shared" si="40"/>
        <v>1881</v>
      </c>
      <c r="B1890" s="139">
        <v>2024</v>
      </c>
      <c r="C1890" s="189" t="s">
        <v>25</v>
      </c>
      <c r="D1890" s="279" t="s">
        <v>26</v>
      </c>
      <c r="E1890" s="190" t="s">
        <v>6028</v>
      </c>
      <c r="F1890" s="142" t="s">
        <v>6029</v>
      </c>
      <c r="G1890" s="143" t="s">
        <v>1103</v>
      </c>
      <c r="H1890" s="144">
        <v>0.8</v>
      </c>
      <c r="I1890" s="145">
        <v>213000</v>
      </c>
      <c r="J1890" s="185" t="s">
        <v>2664</v>
      </c>
      <c r="K1890" s="185" t="s">
        <v>6030</v>
      </c>
      <c r="L1890" s="147">
        <v>0.4</v>
      </c>
      <c r="M1890" s="280" t="s">
        <v>4715</v>
      </c>
      <c r="N1890" s="186">
        <v>213000</v>
      </c>
      <c r="O1890" s="186">
        <v>213000</v>
      </c>
      <c r="P1890" s="186">
        <v>170400</v>
      </c>
      <c r="Q1890" s="186">
        <v>170400</v>
      </c>
      <c r="R1890" s="184" t="s">
        <v>3934</v>
      </c>
      <c r="S1890" s="276">
        <v>85200</v>
      </c>
      <c r="T1890" s="150">
        <v>45302</v>
      </c>
      <c r="U1890" s="184" t="s">
        <v>6024</v>
      </c>
      <c r="V1890" s="276">
        <v>42600</v>
      </c>
      <c r="W1890" s="314" t="s">
        <v>4514</v>
      </c>
      <c r="X1890" s="276">
        <v>42600</v>
      </c>
      <c r="Y1890" s="184"/>
    </row>
    <row r="1891" s="80" customFormat="1" ht="37.5" customHeight="1" spans="1:25">
      <c r="A1891" s="138">
        <f t="shared" si="40"/>
        <v>1882</v>
      </c>
      <c r="B1891" s="139">
        <v>2024</v>
      </c>
      <c r="C1891" s="189" t="s">
        <v>25</v>
      </c>
      <c r="D1891" s="279" t="s">
        <v>52</v>
      </c>
      <c r="E1891" s="190" t="s">
        <v>6031</v>
      </c>
      <c r="F1891" s="142" t="s">
        <v>4980</v>
      </c>
      <c r="G1891" s="143" t="s">
        <v>1103</v>
      </c>
      <c r="H1891" s="144">
        <v>0.8</v>
      </c>
      <c r="I1891" s="145">
        <v>300000</v>
      </c>
      <c r="J1891" s="185" t="s">
        <v>2351</v>
      </c>
      <c r="K1891" s="185" t="s">
        <v>6032</v>
      </c>
      <c r="L1891" s="147">
        <v>0.4</v>
      </c>
      <c r="M1891" s="280" t="s">
        <v>2798</v>
      </c>
      <c r="N1891" s="186">
        <v>300000</v>
      </c>
      <c r="O1891" s="186">
        <v>300000</v>
      </c>
      <c r="P1891" s="186">
        <v>240000</v>
      </c>
      <c r="Q1891" s="186">
        <v>240000</v>
      </c>
      <c r="R1891" s="184" t="s">
        <v>3934</v>
      </c>
      <c r="S1891" s="276">
        <v>120000</v>
      </c>
      <c r="T1891" s="150">
        <v>45302</v>
      </c>
      <c r="U1891" s="184"/>
      <c r="V1891" s="276"/>
      <c r="W1891" s="185"/>
      <c r="X1891" s="372"/>
      <c r="Y1891" s="184" t="s">
        <v>1077</v>
      </c>
    </row>
    <row r="1892" s="80" customFormat="1" ht="37.5" customHeight="1" spans="1:25">
      <c r="A1892" s="138">
        <f t="shared" si="40"/>
        <v>1883</v>
      </c>
      <c r="B1892" s="139">
        <v>2024</v>
      </c>
      <c r="C1892" s="189" t="s">
        <v>147</v>
      </c>
      <c r="D1892" s="279" t="s">
        <v>6033</v>
      </c>
      <c r="E1892" s="190" t="s">
        <v>6034</v>
      </c>
      <c r="F1892" s="142" t="s">
        <v>1903</v>
      </c>
      <c r="G1892" s="143" t="s">
        <v>1188</v>
      </c>
      <c r="H1892" s="144">
        <v>1</v>
      </c>
      <c r="I1892" s="145">
        <v>3000000</v>
      </c>
      <c r="J1892" s="185" t="s">
        <v>2803</v>
      </c>
      <c r="K1892" s="185" t="s">
        <v>2619</v>
      </c>
      <c r="L1892" s="147">
        <v>0.4</v>
      </c>
      <c r="M1892" s="280" t="s">
        <v>6035</v>
      </c>
      <c r="N1892" s="186">
        <v>3048033.75</v>
      </c>
      <c r="O1892" s="186">
        <v>3000000</v>
      </c>
      <c r="P1892" s="186">
        <v>3000000</v>
      </c>
      <c r="Q1892" s="186">
        <v>3048033.75</v>
      </c>
      <c r="R1892" s="184" t="s">
        <v>4475</v>
      </c>
      <c r="S1892" s="276">
        <v>1200000</v>
      </c>
      <c r="T1892" s="150">
        <v>45316</v>
      </c>
      <c r="U1892" s="184" t="s">
        <v>4093</v>
      </c>
      <c r="V1892" s="276">
        <v>600000</v>
      </c>
      <c r="W1892" s="314" t="s">
        <v>6036</v>
      </c>
      <c r="X1892" s="276">
        <v>600000</v>
      </c>
      <c r="Y1892" s="184"/>
    </row>
    <row r="1893" s="80" customFormat="1" ht="37.5" customHeight="1" spans="1:25">
      <c r="A1893" s="138">
        <f t="shared" si="40"/>
        <v>1884</v>
      </c>
      <c r="B1893" s="139">
        <v>2024</v>
      </c>
      <c r="C1893" s="189" t="s">
        <v>31</v>
      </c>
      <c r="D1893" s="279" t="s">
        <v>6037</v>
      </c>
      <c r="E1893" s="190" t="s">
        <v>6038</v>
      </c>
      <c r="F1893" s="373" t="s">
        <v>6039</v>
      </c>
      <c r="G1893" s="143" t="s">
        <v>1137</v>
      </c>
      <c r="H1893" s="144">
        <v>0.8</v>
      </c>
      <c r="I1893" s="145">
        <v>9200000</v>
      </c>
      <c r="J1893" s="185" t="s">
        <v>3808</v>
      </c>
      <c r="K1893" s="185" t="s">
        <v>4959</v>
      </c>
      <c r="L1893" s="147">
        <v>0.4</v>
      </c>
      <c r="M1893" s="280" t="s">
        <v>3792</v>
      </c>
      <c r="N1893" s="186">
        <v>9376803.56</v>
      </c>
      <c r="O1893" s="186">
        <v>9200000</v>
      </c>
      <c r="P1893" s="186">
        <v>7360000</v>
      </c>
      <c r="Q1893" s="186">
        <v>7501442.84</v>
      </c>
      <c r="R1893" s="184" t="s">
        <v>4475</v>
      </c>
      <c r="S1893" s="276">
        <v>3750721.42</v>
      </c>
      <c r="T1893" s="150">
        <v>45310</v>
      </c>
      <c r="U1893" s="184" t="s">
        <v>6024</v>
      </c>
      <c r="V1893" s="276">
        <v>1840000</v>
      </c>
      <c r="W1893" s="314" t="s">
        <v>4514</v>
      </c>
      <c r="X1893" s="276">
        <v>1840000</v>
      </c>
      <c r="Y1893" s="184"/>
    </row>
    <row r="1894" s="80" customFormat="1" ht="37.5" customHeight="1" spans="1:25">
      <c r="A1894" s="138">
        <f t="shared" si="40"/>
        <v>1885</v>
      </c>
      <c r="B1894" s="139">
        <v>2024</v>
      </c>
      <c r="C1894" s="189" t="s">
        <v>31</v>
      </c>
      <c r="D1894" s="279" t="s">
        <v>6040</v>
      </c>
      <c r="E1894" s="190" t="s">
        <v>6041</v>
      </c>
      <c r="F1894" s="373" t="s">
        <v>6039</v>
      </c>
      <c r="G1894" s="143" t="s">
        <v>1137</v>
      </c>
      <c r="H1894" s="144">
        <v>0.8</v>
      </c>
      <c r="I1894" s="145">
        <v>9200000</v>
      </c>
      <c r="J1894" s="185" t="s">
        <v>3501</v>
      </c>
      <c r="K1894" s="185" t="s">
        <v>4172</v>
      </c>
      <c r="L1894" s="147">
        <v>0.4</v>
      </c>
      <c r="M1894" s="280" t="s">
        <v>3792</v>
      </c>
      <c r="N1894" s="186">
        <v>9376803.56</v>
      </c>
      <c r="O1894" s="186">
        <v>9200000</v>
      </c>
      <c r="P1894" s="186">
        <v>7360000</v>
      </c>
      <c r="Q1894" s="186">
        <v>7501442.84</v>
      </c>
      <c r="R1894" s="184" t="s">
        <v>4475</v>
      </c>
      <c r="S1894" s="276">
        <v>3750721.42</v>
      </c>
      <c r="T1894" s="150">
        <v>45310</v>
      </c>
      <c r="U1894" s="184" t="s">
        <v>6024</v>
      </c>
      <c r="V1894" s="276">
        <v>1840000</v>
      </c>
      <c r="W1894" s="314" t="s">
        <v>4093</v>
      </c>
      <c r="X1894" s="276">
        <v>1840000</v>
      </c>
      <c r="Y1894" s="184"/>
    </row>
    <row r="1895" s="80" customFormat="1" ht="37.5" customHeight="1" spans="1:25">
      <c r="A1895" s="138">
        <f t="shared" si="40"/>
        <v>1886</v>
      </c>
      <c r="B1895" s="139">
        <v>2024</v>
      </c>
      <c r="C1895" s="189" t="s">
        <v>28</v>
      </c>
      <c r="D1895" s="279" t="s">
        <v>6042</v>
      </c>
      <c r="E1895" s="190" t="s">
        <v>6043</v>
      </c>
      <c r="F1895" s="142" t="s">
        <v>6044</v>
      </c>
      <c r="G1895" s="143" t="s">
        <v>1188</v>
      </c>
      <c r="H1895" s="144">
        <v>1</v>
      </c>
      <c r="I1895" s="145">
        <v>400000</v>
      </c>
      <c r="J1895" s="185" t="s">
        <v>3050</v>
      </c>
      <c r="K1895" s="185" t="s">
        <v>6045</v>
      </c>
      <c r="L1895" s="147">
        <v>0.4</v>
      </c>
      <c r="M1895" s="280" t="s">
        <v>3377</v>
      </c>
      <c r="N1895" s="186">
        <v>380444.35</v>
      </c>
      <c r="O1895" s="186">
        <v>380444.35</v>
      </c>
      <c r="P1895" s="186">
        <v>380444.35</v>
      </c>
      <c r="Q1895" s="186">
        <v>380444.35</v>
      </c>
      <c r="R1895" s="184" t="s">
        <v>4890</v>
      </c>
      <c r="S1895" s="276">
        <v>152177.74</v>
      </c>
      <c r="T1895" s="150">
        <v>45323</v>
      </c>
      <c r="U1895" s="374">
        <v>45323</v>
      </c>
      <c r="V1895" s="276">
        <v>76088.87</v>
      </c>
      <c r="W1895" s="314" t="s">
        <v>4518</v>
      </c>
      <c r="X1895" s="276">
        <v>76088.87</v>
      </c>
      <c r="Y1895" s="184"/>
    </row>
    <row r="1896" s="80" customFormat="1" ht="37.5" customHeight="1" spans="1:25">
      <c r="A1896" s="138">
        <f t="shared" si="40"/>
        <v>1887</v>
      </c>
      <c r="B1896" s="139">
        <v>2024</v>
      </c>
      <c r="C1896" s="315" t="s">
        <v>15</v>
      </c>
      <c r="D1896" s="279" t="s">
        <v>6046</v>
      </c>
      <c r="E1896" s="190" t="s">
        <v>6047</v>
      </c>
      <c r="F1896" s="142" t="s">
        <v>2892</v>
      </c>
      <c r="G1896" s="143" t="s">
        <v>1137</v>
      </c>
      <c r="H1896" s="144">
        <v>0.8</v>
      </c>
      <c r="I1896" s="145">
        <v>500000</v>
      </c>
      <c r="J1896" s="185" t="s">
        <v>2686</v>
      </c>
      <c r="K1896" s="185" t="s">
        <v>6045</v>
      </c>
      <c r="L1896" s="147">
        <v>0.4</v>
      </c>
      <c r="M1896" s="280" t="s">
        <v>3579</v>
      </c>
      <c r="N1896" s="186">
        <v>500000</v>
      </c>
      <c r="O1896" s="186">
        <v>500000</v>
      </c>
      <c r="P1896" s="186">
        <v>400000</v>
      </c>
      <c r="Q1896" s="186">
        <v>404401.08</v>
      </c>
      <c r="R1896" s="184" t="s">
        <v>4892</v>
      </c>
      <c r="S1896" s="276">
        <v>200000</v>
      </c>
      <c r="T1896" s="150">
        <v>45323</v>
      </c>
      <c r="U1896" s="374">
        <v>45323</v>
      </c>
      <c r="V1896" s="276">
        <v>100000</v>
      </c>
      <c r="W1896" s="314" t="s">
        <v>4518</v>
      </c>
      <c r="X1896" s="276">
        <v>100000</v>
      </c>
      <c r="Y1896" s="184"/>
    </row>
    <row r="1897" s="80" customFormat="1" ht="37.5" customHeight="1" spans="1:25">
      <c r="A1897" s="138">
        <f t="shared" si="40"/>
        <v>1888</v>
      </c>
      <c r="B1897" s="139">
        <v>2024</v>
      </c>
      <c r="C1897" s="189" t="s">
        <v>31</v>
      </c>
      <c r="D1897" s="279" t="s">
        <v>6048</v>
      </c>
      <c r="E1897" s="190" t="s">
        <v>6049</v>
      </c>
      <c r="F1897" s="142" t="s">
        <v>1211</v>
      </c>
      <c r="G1897" s="143" t="s">
        <v>1137</v>
      </c>
      <c r="H1897" s="144">
        <v>0.8</v>
      </c>
      <c r="I1897" s="145">
        <v>100000</v>
      </c>
      <c r="J1897" s="185" t="s">
        <v>2851</v>
      </c>
      <c r="K1897" s="185" t="s">
        <v>3033</v>
      </c>
      <c r="L1897" s="147">
        <v>0.4</v>
      </c>
      <c r="M1897" s="280" t="s">
        <v>2913</v>
      </c>
      <c r="N1897" s="186">
        <v>101177.78</v>
      </c>
      <c r="O1897" s="186">
        <v>100000</v>
      </c>
      <c r="P1897" s="186">
        <v>80000</v>
      </c>
      <c r="Q1897" s="186">
        <v>80942.23</v>
      </c>
      <c r="R1897" s="184" t="s">
        <v>4531</v>
      </c>
      <c r="S1897" s="276">
        <v>40471.12</v>
      </c>
      <c r="T1897" s="150">
        <v>45345</v>
      </c>
      <c r="U1897" s="184" t="s">
        <v>5482</v>
      </c>
      <c r="V1897" s="276">
        <v>20000</v>
      </c>
      <c r="W1897" s="314" t="s">
        <v>4537</v>
      </c>
      <c r="X1897" s="276">
        <v>200000</v>
      </c>
      <c r="Y1897" s="184"/>
    </row>
    <row r="1898" s="80" customFormat="1" ht="37.5" customHeight="1" spans="1:25">
      <c r="A1898" s="138">
        <f t="shared" si="40"/>
        <v>1889</v>
      </c>
      <c r="B1898" s="139">
        <v>2024</v>
      </c>
      <c r="C1898" s="189" t="s">
        <v>28</v>
      </c>
      <c r="D1898" s="279" t="s">
        <v>6050</v>
      </c>
      <c r="E1898" s="190" t="s">
        <v>6051</v>
      </c>
      <c r="F1898" s="142" t="s">
        <v>6052</v>
      </c>
      <c r="G1898" s="143" t="s">
        <v>1188</v>
      </c>
      <c r="H1898" s="144">
        <v>1</v>
      </c>
      <c r="I1898" s="145">
        <v>300000</v>
      </c>
      <c r="J1898" s="185" t="s">
        <v>2968</v>
      </c>
      <c r="K1898" s="185" t="s">
        <v>3006</v>
      </c>
      <c r="L1898" s="147">
        <v>0.4</v>
      </c>
      <c r="M1898" s="280" t="s">
        <v>2978</v>
      </c>
      <c r="N1898" s="186">
        <v>301245.61</v>
      </c>
      <c r="O1898" s="186">
        <v>298817.72</v>
      </c>
      <c r="P1898" s="186">
        <v>298817.72</v>
      </c>
      <c r="Q1898" s="186">
        <v>301245.61</v>
      </c>
      <c r="R1898" s="184" t="s">
        <v>4531</v>
      </c>
      <c r="S1898" s="276">
        <v>119527.09</v>
      </c>
      <c r="T1898" s="150">
        <v>45345</v>
      </c>
      <c r="U1898" s="184" t="s">
        <v>5871</v>
      </c>
      <c r="V1898" s="276">
        <v>59763.54</v>
      </c>
      <c r="W1898" s="314" t="s">
        <v>4537</v>
      </c>
      <c r="X1898" s="276">
        <v>59763.54</v>
      </c>
      <c r="Y1898" s="184"/>
    </row>
    <row r="1899" s="80" customFormat="1" ht="37.5" customHeight="1" spans="1:25">
      <c r="A1899" s="138">
        <f t="shared" si="40"/>
        <v>1890</v>
      </c>
      <c r="B1899" s="139">
        <v>2024</v>
      </c>
      <c r="C1899" s="189" t="s">
        <v>31</v>
      </c>
      <c r="D1899" s="266" t="s">
        <v>6053</v>
      </c>
      <c r="E1899" s="190" t="s">
        <v>6054</v>
      </c>
      <c r="F1899" s="373" t="s">
        <v>1211</v>
      </c>
      <c r="G1899" s="143" t="s">
        <v>1137</v>
      </c>
      <c r="H1899" s="144">
        <v>0.8</v>
      </c>
      <c r="I1899" s="145">
        <v>250000</v>
      </c>
      <c r="J1899" s="185" t="s">
        <v>4604</v>
      </c>
      <c r="K1899" s="185" t="s">
        <v>2880</v>
      </c>
      <c r="L1899" s="147">
        <v>0.4</v>
      </c>
      <c r="M1899" s="280" t="s">
        <v>3090</v>
      </c>
      <c r="N1899" s="186">
        <v>257085.29</v>
      </c>
      <c r="O1899" s="186">
        <v>250000</v>
      </c>
      <c r="P1899" s="186">
        <v>200000</v>
      </c>
      <c r="Q1899" s="186">
        <v>205668.23</v>
      </c>
      <c r="R1899" s="184" t="s">
        <v>5478</v>
      </c>
      <c r="S1899" s="276">
        <v>102834.12</v>
      </c>
      <c r="T1899" s="150">
        <v>45345</v>
      </c>
      <c r="U1899" s="184" t="s">
        <v>5871</v>
      </c>
      <c r="V1899" s="276">
        <v>50000</v>
      </c>
      <c r="W1899" s="314" t="s">
        <v>4537</v>
      </c>
      <c r="X1899" s="276">
        <v>500000</v>
      </c>
      <c r="Y1899" s="184"/>
    </row>
    <row r="1900" s="80" customFormat="1" ht="37.5" customHeight="1" spans="1:25">
      <c r="A1900" s="138">
        <f t="shared" si="40"/>
        <v>1891</v>
      </c>
      <c r="B1900" s="139">
        <v>2024</v>
      </c>
      <c r="C1900" s="189" t="s">
        <v>22</v>
      </c>
      <c r="D1900" s="279" t="s">
        <v>6055</v>
      </c>
      <c r="E1900" s="190" t="s">
        <v>6056</v>
      </c>
      <c r="F1900" s="142" t="s">
        <v>1641</v>
      </c>
      <c r="G1900" s="143" t="s">
        <v>1188</v>
      </c>
      <c r="H1900" s="144">
        <v>1</v>
      </c>
      <c r="I1900" s="145">
        <v>1900000</v>
      </c>
      <c r="J1900" s="185" t="s">
        <v>2054</v>
      </c>
      <c r="K1900" s="185" t="s">
        <v>2178</v>
      </c>
      <c r="L1900" s="147">
        <v>0.4</v>
      </c>
      <c r="M1900" s="280" t="s">
        <v>2913</v>
      </c>
      <c r="N1900" s="186">
        <v>1995283.71</v>
      </c>
      <c r="O1900" s="186">
        <v>1898640</v>
      </c>
      <c r="P1900" s="186">
        <v>1898640</v>
      </c>
      <c r="Q1900" s="186">
        <v>1995283.71</v>
      </c>
      <c r="R1900" s="184" t="s">
        <v>4909</v>
      </c>
      <c r="S1900" s="276">
        <v>759456</v>
      </c>
      <c r="T1900" s="150">
        <v>45358</v>
      </c>
      <c r="U1900" s="184" t="s">
        <v>4914</v>
      </c>
      <c r="V1900" s="276">
        <v>379728</v>
      </c>
      <c r="W1900" s="314" t="s">
        <v>6057</v>
      </c>
      <c r="X1900" s="276">
        <v>379728</v>
      </c>
      <c r="Y1900" s="184"/>
    </row>
    <row r="1901" s="80" customFormat="1" ht="37.5" customHeight="1" spans="1:25">
      <c r="A1901" s="138">
        <f t="shared" si="40"/>
        <v>1892</v>
      </c>
      <c r="B1901" s="139">
        <v>2024</v>
      </c>
      <c r="C1901" s="315" t="s">
        <v>15</v>
      </c>
      <c r="D1901" s="279" t="s">
        <v>50</v>
      </c>
      <c r="E1901" s="190" t="s">
        <v>6058</v>
      </c>
      <c r="F1901" s="142" t="s">
        <v>5804</v>
      </c>
      <c r="G1901" s="143" t="s">
        <v>1137</v>
      </c>
      <c r="H1901" s="144">
        <v>0.8</v>
      </c>
      <c r="I1901" s="145">
        <v>3000000</v>
      </c>
      <c r="J1901" s="185" t="s">
        <v>3044</v>
      </c>
      <c r="K1901" s="185" t="s">
        <v>2862</v>
      </c>
      <c r="L1901" s="147">
        <v>0.4</v>
      </c>
      <c r="M1901" s="280" t="s">
        <v>2990</v>
      </c>
      <c r="N1901" s="186">
        <v>3051500</v>
      </c>
      <c r="O1901" s="186">
        <v>3000000</v>
      </c>
      <c r="P1901" s="186">
        <v>2400000</v>
      </c>
      <c r="Q1901" s="186">
        <v>2441200</v>
      </c>
      <c r="R1901" s="184" t="s">
        <v>5185</v>
      </c>
      <c r="S1901" s="276">
        <v>1200000</v>
      </c>
      <c r="T1901" s="150">
        <v>45363</v>
      </c>
      <c r="U1901" s="184" t="s">
        <v>5488</v>
      </c>
      <c r="V1901" s="276">
        <v>600000</v>
      </c>
      <c r="W1901" s="314" t="s">
        <v>6059</v>
      </c>
      <c r="X1901" s="276">
        <v>600000</v>
      </c>
      <c r="Y1901" s="184"/>
    </row>
    <row r="1902" s="80" customFormat="1" ht="37.5" customHeight="1" spans="1:25">
      <c r="A1902" s="138">
        <f t="shared" si="40"/>
        <v>1893</v>
      </c>
      <c r="B1902" s="139">
        <v>2024</v>
      </c>
      <c r="C1902" s="189" t="s">
        <v>57</v>
      </c>
      <c r="D1902" s="279" t="s">
        <v>58</v>
      </c>
      <c r="E1902" s="190" t="s">
        <v>6060</v>
      </c>
      <c r="F1902" s="142" t="s">
        <v>6061</v>
      </c>
      <c r="G1902" s="143" t="s">
        <v>1188</v>
      </c>
      <c r="H1902" s="144">
        <v>1</v>
      </c>
      <c r="I1902" s="145">
        <v>4000000</v>
      </c>
      <c r="J1902" s="185" t="s">
        <v>3480</v>
      </c>
      <c r="K1902" s="185" t="s">
        <v>3040</v>
      </c>
      <c r="L1902" s="147">
        <v>0.4</v>
      </c>
      <c r="M1902" s="280" t="s">
        <v>3040</v>
      </c>
      <c r="N1902" s="186">
        <v>4053375.92</v>
      </c>
      <c r="O1902" s="186">
        <v>4000000</v>
      </c>
      <c r="P1902" s="186">
        <v>4000000</v>
      </c>
      <c r="Q1902" s="186">
        <v>4053375.92</v>
      </c>
      <c r="R1902" s="184" t="s">
        <v>5185</v>
      </c>
      <c r="S1902" s="276">
        <v>1600000</v>
      </c>
      <c r="T1902" s="150">
        <v>45363</v>
      </c>
      <c r="U1902" s="184" t="s">
        <v>5488</v>
      </c>
      <c r="V1902" s="276">
        <v>800000</v>
      </c>
      <c r="W1902" s="314" t="s">
        <v>5250</v>
      </c>
      <c r="X1902" s="276">
        <v>800000</v>
      </c>
      <c r="Y1902" s="184"/>
    </row>
    <row r="1903" s="80" customFormat="1" ht="37.5" customHeight="1" spans="1:25">
      <c r="A1903" s="138">
        <f t="shared" si="40"/>
        <v>1894</v>
      </c>
      <c r="B1903" s="139">
        <v>2024</v>
      </c>
      <c r="C1903" s="189" t="s">
        <v>31</v>
      </c>
      <c r="D1903" s="375" t="s">
        <v>53</v>
      </c>
      <c r="E1903" s="190" t="s">
        <v>6062</v>
      </c>
      <c r="F1903" s="142" t="s">
        <v>6063</v>
      </c>
      <c r="G1903" s="143" t="s">
        <v>1610</v>
      </c>
      <c r="H1903" s="144">
        <v>1</v>
      </c>
      <c r="I1903" s="145">
        <v>5000000</v>
      </c>
      <c r="J1903" s="185" t="s">
        <v>2285</v>
      </c>
      <c r="K1903" s="185" t="s">
        <v>2990</v>
      </c>
      <c r="L1903" s="147">
        <v>0.4</v>
      </c>
      <c r="M1903" s="280" t="s">
        <v>3040</v>
      </c>
      <c r="N1903" s="186">
        <v>5393224.58</v>
      </c>
      <c r="O1903" s="186">
        <v>5000000</v>
      </c>
      <c r="P1903" s="186">
        <v>5000000</v>
      </c>
      <c r="Q1903" s="186">
        <v>5393224.58</v>
      </c>
      <c r="R1903" s="184" t="s">
        <v>6064</v>
      </c>
      <c r="S1903" s="276">
        <v>2000000</v>
      </c>
      <c r="T1903" s="150">
        <v>45373</v>
      </c>
      <c r="U1903" s="374">
        <v>45373</v>
      </c>
      <c r="V1903" s="276">
        <v>1000000</v>
      </c>
      <c r="W1903" s="314" t="s">
        <v>6065</v>
      </c>
      <c r="X1903" s="276">
        <v>1000000</v>
      </c>
      <c r="Y1903" s="184"/>
    </row>
    <row r="1904" s="80" customFormat="1" ht="37.5" customHeight="1" spans="1:25">
      <c r="A1904" s="138">
        <f t="shared" si="40"/>
        <v>1895</v>
      </c>
      <c r="B1904" s="139">
        <v>2024</v>
      </c>
      <c r="C1904" s="315" t="s">
        <v>15</v>
      </c>
      <c r="D1904" s="279" t="s">
        <v>20</v>
      </c>
      <c r="E1904" s="324" t="s">
        <v>6066</v>
      </c>
      <c r="F1904" s="142" t="s">
        <v>6067</v>
      </c>
      <c r="G1904" s="143" t="s">
        <v>1137</v>
      </c>
      <c r="H1904" s="144">
        <v>0.8</v>
      </c>
      <c r="I1904" s="145">
        <v>5000000</v>
      </c>
      <c r="J1904" s="185" t="s">
        <v>2968</v>
      </c>
      <c r="K1904" s="185" t="s">
        <v>3006</v>
      </c>
      <c r="L1904" s="147">
        <v>0.4</v>
      </c>
      <c r="M1904" s="280" t="s">
        <v>3109</v>
      </c>
      <c r="N1904" s="186">
        <v>5046730.4</v>
      </c>
      <c r="O1904" s="186">
        <v>5000000</v>
      </c>
      <c r="P1904" s="186">
        <v>4000000</v>
      </c>
      <c r="Q1904" s="186">
        <v>4037384.32</v>
      </c>
      <c r="R1904" s="184" t="s">
        <v>6064</v>
      </c>
      <c r="S1904" s="276">
        <v>2000000</v>
      </c>
      <c r="T1904" s="150">
        <v>45373</v>
      </c>
      <c r="U1904" s="374">
        <v>45373</v>
      </c>
      <c r="V1904" s="276">
        <v>1000000</v>
      </c>
      <c r="W1904" s="314" t="s">
        <v>6065</v>
      </c>
      <c r="X1904" s="276">
        <v>1000000</v>
      </c>
      <c r="Y1904" s="184"/>
    </row>
    <row r="1905" s="80" customFormat="1" ht="37.5" customHeight="1" spans="1:25">
      <c r="A1905" s="138">
        <f t="shared" si="40"/>
        <v>1896</v>
      </c>
      <c r="B1905" s="139">
        <v>2024</v>
      </c>
      <c r="C1905" s="189" t="s">
        <v>37</v>
      </c>
      <c r="D1905" s="279" t="s">
        <v>82</v>
      </c>
      <c r="E1905" s="190" t="s">
        <v>6068</v>
      </c>
      <c r="F1905" s="142" t="s">
        <v>1909</v>
      </c>
      <c r="G1905" s="143" t="s">
        <v>1610</v>
      </c>
      <c r="H1905" s="144">
        <v>1</v>
      </c>
      <c r="I1905" s="145">
        <v>5000000</v>
      </c>
      <c r="J1905" s="185" t="s">
        <v>2938</v>
      </c>
      <c r="K1905" s="185" t="s">
        <v>6069</v>
      </c>
      <c r="L1905" s="147">
        <v>0.4</v>
      </c>
      <c r="M1905" s="280" t="s">
        <v>2994</v>
      </c>
      <c r="N1905" s="186">
        <v>5000000</v>
      </c>
      <c r="O1905" s="186">
        <v>5000000</v>
      </c>
      <c r="P1905" s="186">
        <v>5000000</v>
      </c>
      <c r="Q1905" s="186">
        <v>5000000</v>
      </c>
      <c r="R1905" s="184" t="s">
        <v>6064</v>
      </c>
      <c r="S1905" s="276">
        <v>2000000</v>
      </c>
      <c r="T1905" s="150">
        <v>45373</v>
      </c>
      <c r="U1905" s="374">
        <v>45373</v>
      </c>
      <c r="V1905" s="276">
        <v>1000000</v>
      </c>
      <c r="W1905" s="314" t="s">
        <v>6057</v>
      </c>
      <c r="X1905" s="276">
        <v>1000000</v>
      </c>
      <c r="Y1905" s="184"/>
    </row>
    <row r="1906" s="80" customFormat="1" ht="37.5" customHeight="1" spans="1:25">
      <c r="A1906" s="138">
        <f t="shared" si="40"/>
        <v>1897</v>
      </c>
      <c r="B1906" s="139">
        <v>2024</v>
      </c>
      <c r="C1906" s="189" t="s">
        <v>37</v>
      </c>
      <c r="D1906" s="279" t="s">
        <v>60</v>
      </c>
      <c r="E1906" s="190" t="s">
        <v>6070</v>
      </c>
      <c r="F1906" s="142" t="s">
        <v>6071</v>
      </c>
      <c r="G1906" s="143" t="s">
        <v>1610</v>
      </c>
      <c r="H1906" s="144">
        <v>1</v>
      </c>
      <c r="I1906" s="145">
        <v>4000000</v>
      </c>
      <c r="J1906" s="185" t="s">
        <v>2291</v>
      </c>
      <c r="K1906" s="185" t="s">
        <v>3109</v>
      </c>
      <c r="L1906" s="147">
        <v>0.4</v>
      </c>
      <c r="M1906" s="280" t="s">
        <v>4823</v>
      </c>
      <c r="N1906" s="186">
        <v>4037039.33</v>
      </c>
      <c r="O1906" s="186">
        <v>4000000</v>
      </c>
      <c r="P1906" s="186">
        <v>4000000</v>
      </c>
      <c r="Q1906" s="186">
        <v>4037039.33</v>
      </c>
      <c r="R1906" s="184" t="s">
        <v>4920</v>
      </c>
      <c r="S1906" s="276">
        <v>1600000</v>
      </c>
      <c r="T1906" s="150">
        <v>45397</v>
      </c>
      <c r="U1906" s="184" t="s">
        <v>4187</v>
      </c>
      <c r="V1906" s="276">
        <v>800000</v>
      </c>
      <c r="W1906" s="314" t="s">
        <v>5551</v>
      </c>
      <c r="X1906" s="376">
        <v>800000</v>
      </c>
      <c r="Y1906" s="184"/>
    </row>
    <row r="1907" s="80" customFormat="1" ht="37.5" customHeight="1" spans="1:25">
      <c r="A1907" s="138">
        <f t="shared" si="40"/>
        <v>1898</v>
      </c>
      <c r="B1907" s="139">
        <v>2024</v>
      </c>
      <c r="C1907" s="189" t="s">
        <v>31</v>
      </c>
      <c r="D1907" s="279" t="s">
        <v>32</v>
      </c>
      <c r="E1907" s="190" t="s">
        <v>6072</v>
      </c>
      <c r="F1907" s="142" t="s">
        <v>6073</v>
      </c>
      <c r="G1907" s="143" t="s">
        <v>1137</v>
      </c>
      <c r="H1907" s="144">
        <v>0.8</v>
      </c>
      <c r="I1907" s="145">
        <v>100000</v>
      </c>
      <c r="J1907" s="185" t="s">
        <v>4358</v>
      </c>
      <c r="K1907" s="185" t="s">
        <v>6074</v>
      </c>
      <c r="L1907" s="147">
        <v>0.4</v>
      </c>
      <c r="M1907" s="280" t="s">
        <v>2909</v>
      </c>
      <c r="N1907" s="186">
        <v>101680</v>
      </c>
      <c r="O1907" s="186">
        <v>100000</v>
      </c>
      <c r="P1907" s="186">
        <v>800000</v>
      </c>
      <c r="Q1907" s="186">
        <v>81344</v>
      </c>
      <c r="R1907" s="184" t="s">
        <v>6075</v>
      </c>
      <c r="S1907" s="276">
        <v>40672</v>
      </c>
      <c r="T1907" s="150">
        <v>45391</v>
      </c>
      <c r="U1907" s="184" t="s">
        <v>4622</v>
      </c>
      <c r="V1907" s="276">
        <v>20000</v>
      </c>
      <c r="W1907" s="314" t="s">
        <v>6076</v>
      </c>
      <c r="X1907" s="376">
        <v>20000</v>
      </c>
      <c r="Y1907" s="184"/>
    </row>
    <row r="1908" s="80" customFormat="1" ht="37.5" customHeight="1" spans="1:25">
      <c r="A1908" s="138">
        <f t="shared" si="40"/>
        <v>1899</v>
      </c>
      <c r="B1908" s="139">
        <v>2024</v>
      </c>
      <c r="C1908" s="189" t="s">
        <v>28</v>
      </c>
      <c r="D1908" s="266" t="s">
        <v>59</v>
      </c>
      <c r="E1908" s="190" t="s">
        <v>6077</v>
      </c>
      <c r="F1908" s="142" t="s">
        <v>6078</v>
      </c>
      <c r="G1908" s="143" t="s">
        <v>1103</v>
      </c>
      <c r="H1908" s="144">
        <v>0.8</v>
      </c>
      <c r="I1908" s="145">
        <v>150000</v>
      </c>
      <c r="J1908" s="185" t="s">
        <v>2466</v>
      </c>
      <c r="K1908" s="185" t="s">
        <v>6079</v>
      </c>
      <c r="L1908" s="147">
        <v>0.4</v>
      </c>
      <c r="M1908" s="280" t="s">
        <v>4823</v>
      </c>
      <c r="N1908" s="186">
        <v>148978.46</v>
      </c>
      <c r="O1908" s="186">
        <v>148978.46</v>
      </c>
      <c r="P1908" s="186">
        <v>119182.77</v>
      </c>
      <c r="Q1908" s="186">
        <v>119182.77</v>
      </c>
      <c r="R1908" s="184" t="s">
        <v>5502</v>
      </c>
      <c r="S1908" s="276">
        <v>59591.38</v>
      </c>
      <c r="T1908" s="150">
        <v>45397</v>
      </c>
      <c r="U1908" s="184" t="s">
        <v>4187</v>
      </c>
      <c r="V1908" s="276">
        <v>29795.69</v>
      </c>
      <c r="W1908" s="314" t="s">
        <v>6080</v>
      </c>
      <c r="X1908" s="376">
        <v>29795.69</v>
      </c>
      <c r="Y1908" s="184"/>
    </row>
    <row r="1909" s="80" customFormat="1" ht="37.5" customHeight="1" spans="1:25">
      <c r="A1909" s="138">
        <f t="shared" ref="A1909:A1972" si="41">ROW()-9</f>
        <v>1900</v>
      </c>
      <c r="B1909" s="139">
        <v>2024</v>
      </c>
      <c r="C1909" s="189" t="s">
        <v>62</v>
      </c>
      <c r="D1909" s="279" t="s">
        <v>63</v>
      </c>
      <c r="E1909" s="190" t="s">
        <v>6081</v>
      </c>
      <c r="F1909" s="142" t="s">
        <v>5261</v>
      </c>
      <c r="G1909" s="143" t="s">
        <v>1137</v>
      </c>
      <c r="H1909" s="144">
        <v>0.8</v>
      </c>
      <c r="I1909" s="145">
        <v>80000</v>
      </c>
      <c r="J1909" s="185" t="s">
        <v>2001</v>
      </c>
      <c r="K1909" s="185" t="s">
        <v>6082</v>
      </c>
      <c r="L1909" s="147">
        <v>0.4</v>
      </c>
      <c r="M1909" s="280" t="s">
        <v>3866</v>
      </c>
      <c r="N1909" s="186">
        <v>79468.37</v>
      </c>
      <c r="O1909" s="186">
        <v>79468.37</v>
      </c>
      <c r="P1909" s="186">
        <v>63574.7</v>
      </c>
      <c r="Q1909" s="186">
        <v>63574.7</v>
      </c>
      <c r="R1909" s="184" t="s">
        <v>6036</v>
      </c>
      <c r="S1909" s="276">
        <v>31787.35</v>
      </c>
      <c r="T1909" s="150">
        <v>45405</v>
      </c>
      <c r="U1909" s="184"/>
      <c r="V1909" s="276"/>
      <c r="W1909" s="185"/>
      <c r="X1909" s="153"/>
      <c r="Y1909" s="184" t="s">
        <v>1077</v>
      </c>
    </row>
    <row r="1910" s="80" customFormat="1" ht="37.5" customHeight="1" spans="1:25">
      <c r="A1910" s="138">
        <f t="shared" si="41"/>
        <v>1901</v>
      </c>
      <c r="B1910" s="139">
        <v>2024</v>
      </c>
      <c r="C1910" s="189" t="s">
        <v>22</v>
      </c>
      <c r="D1910" s="279" t="s">
        <v>44</v>
      </c>
      <c r="E1910" s="190" t="s">
        <v>6083</v>
      </c>
      <c r="F1910" s="142" t="s">
        <v>3477</v>
      </c>
      <c r="G1910" s="143" t="s">
        <v>1137</v>
      </c>
      <c r="H1910" s="144">
        <v>0.8</v>
      </c>
      <c r="I1910" s="145">
        <v>1000000</v>
      </c>
      <c r="J1910" s="185" t="s">
        <v>4161</v>
      </c>
      <c r="K1910" s="185" t="s">
        <v>5935</v>
      </c>
      <c r="L1910" s="147">
        <v>0.4</v>
      </c>
      <c r="M1910" s="280" t="s">
        <v>5676</v>
      </c>
      <c r="N1910" s="186">
        <v>1018279.33</v>
      </c>
      <c r="O1910" s="186">
        <v>1000000</v>
      </c>
      <c r="P1910" s="186">
        <v>800000</v>
      </c>
      <c r="Q1910" s="186">
        <v>814623.47</v>
      </c>
      <c r="R1910" s="184" t="s">
        <v>5904</v>
      </c>
      <c r="S1910" s="276">
        <v>400000</v>
      </c>
      <c r="T1910" s="150">
        <v>45405</v>
      </c>
      <c r="U1910" s="184" t="s">
        <v>5250</v>
      </c>
      <c r="V1910" s="276">
        <v>200000</v>
      </c>
      <c r="W1910" s="314" t="s">
        <v>5852</v>
      </c>
      <c r="X1910" s="376">
        <v>200000</v>
      </c>
      <c r="Y1910" s="184"/>
    </row>
    <row r="1911" s="80" customFormat="1" ht="37.5" customHeight="1" spans="1:25">
      <c r="A1911" s="138">
        <f t="shared" si="41"/>
        <v>1902</v>
      </c>
      <c r="B1911" s="139">
        <v>2024</v>
      </c>
      <c r="C1911" s="189" t="s">
        <v>28</v>
      </c>
      <c r="D1911" s="279" t="s">
        <v>93</v>
      </c>
      <c r="E1911" s="190" t="s">
        <v>6084</v>
      </c>
      <c r="F1911" s="142" t="s">
        <v>6085</v>
      </c>
      <c r="G1911" s="143" t="s">
        <v>1610</v>
      </c>
      <c r="H1911" s="144">
        <v>0.8</v>
      </c>
      <c r="I1911" s="145">
        <v>100000</v>
      </c>
      <c r="J1911" s="185" t="s">
        <v>5270</v>
      </c>
      <c r="K1911" s="185" t="s">
        <v>6086</v>
      </c>
      <c r="L1911" s="147">
        <v>0.4</v>
      </c>
      <c r="M1911" s="280" t="s">
        <v>4510</v>
      </c>
      <c r="N1911" s="186">
        <v>101814.38</v>
      </c>
      <c r="O1911" s="186">
        <v>100000</v>
      </c>
      <c r="P1911" s="186">
        <v>80000</v>
      </c>
      <c r="Q1911" s="186">
        <v>81451.5</v>
      </c>
      <c r="R1911" s="184" t="s">
        <v>6087</v>
      </c>
      <c r="S1911" s="276">
        <v>40000</v>
      </c>
      <c r="T1911" s="150">
        <v>45427</v>
      </c>
      <c r="U1911" s="184" t="s">
        <v>6088</v>
      </c>
      <c r="V1911" s="276">
        <v>20000</v>
      </c>
      <c r="W1911" s="314" t="s">
        <v>6089</v>
      </c>
      <c r="X1911" s="376">
        <v>20000</v>
      </c>
      <c r="Y1911" s="184"/>
    </row>
    <row r="1912" s="80" customFormat="1" ht="37.5" customHeight="1" spans="1:25">
      <c r="A1912" s="138">
        <f t="shared" si="41"/>
        <v>1903</v>
      </c>
      <c r="B1912" s="139">
        <v>2024</v>
      </c>
      <c r="C1912" s="189" t="s">
        <v>37</v>
      </c>
      <c r="D1912" s="279" t="s">
        <v>6090</v>
      </c>
      <c r="E1912" s="190" t="s">
        <v>6091</v>
      </c>
      <c r="F1912" s="142" t="s">
        <v>3192</v>
      </c>
      <c r="G1912" s="143" t="s">
        <v>5231</v>
      </c>
      <c r="H1912" s="144">
        <v>0.8</v>
      </c>
      <c r="I1912" s="145">
        <v>10000</v>
      </c>
      <c r="J1912" s="185" t="s">
        <v>2589</v>
      </c>
      <c r="K1912" s="185" t="s">
        <v>4180</v>
      </c>
      <c r="L1912" s="147">
        <v>0.4</v>
      </c>
      <c r="M1912" s="280" t="s">
        <v>6092</v>
      </c>
      <c r="N1912" s="186">
        <v>3749.95</v>
      </c>
      <c r="O1912" s="186">
        <v>3749.95</v>
      </c>
      <c r="P1912" s="186">
        <v>2999.96</v>
      </c>
      <c r="Q1912" s="186">
        <v>2999.96</v>
      </c>
      <c r="R1912" s="184" t="s">
        <v>6093</v>
      </c>
      <c r="S1912" s="276">
        <v>1499.98</v>
      </c>
      <c r="T1912" s="150">
        <v>45428</v>
      </c>
      <c r="U1912" s="184" t="s">
        <v>6089</v>
      </c>
      <c r="V1912" s="276">
        <v>749.99</v>
      </c>
      <c r="W1912" s="314" t="s">
        <v>5852</v>
      </c>
      <c r="X1912" s="376">
        <v>749.99</v>
      </c>
      <c r="Y1912" s="184"/>
    </row>
    <row r="1913" s="80" customFormat="1" ht="37.5" customHeight="1" spans="1:25">
      <c r="A1913" s="138">
        <f t="shared" si="41"/>
        <v>1904</v>
      </c>
      <c r="B1913" s="139">
        <v>2024</v>
      </c>
      <c r="C1913" s="189" t="s">
        <v>37</v>
      </c>
      <c r="D1913" s="279" t="s">
        <v>6094</v>
      </c>
      <c r="E1913" s="190" t="s">
        <v>6095</v>
      </c>
      <c r="F1913" s="142" t="s">
        <v>3192</v>
      </c>
      <c r="G1913" s="143" t="s">
        <v>5231</v>
      </c>
      <c r="H1913" s="144">
        <v>0.8</v>
      </c>
      <c r="I1913" s="145">
        <v>20000</v>
      </c>
      <c r="J1913" s="185" t="s">
        <v>2803</v>
      </c>
      <c r="K1913" s="185" t="s">
        <v>6096</v>
      </c>
      <c r="L1913" s="147">
        <v>0.4</v>
      </c>
      <c r="M1913" s="280" t="s">
        <v>6092</v>
      </c>
      <c r="N1913" s="186">
        <v>9972.66</v>
      </c>
      <c r="O1913" s="186">
        <v>9972.66</v>
      </c>
      <c r="P1913" s="186">
        <v>7978.13</v>
      </c>
      <c r="Q1913" s="186">
        <v>7978.13</v>
      </c>
      <c r="R1913" s="184" t="s">
        <v>6093</v>
      </c>
      <c r="S1913" s="276">
        <v>3989.06</v>
      </c>
      <c r="T1913" s="150">
        <v>45428</v>
      </c>
      <c r="U1913" s="184" t="s">
        <v>6089</v>
      </c>
      <c r="V1913" s="276">
        <v>1994.53</v>
      </c>
      <c r="W1913" s="314" t="s">
        <v>5852</v>
      </c>
      <c r="X1913" s="376">
        <v>1994.53</v>
      </c>
      <c r="Y1913" s="184"/>
    </row>
    <row r="1914" s="80" customFormat="1" ht="37.5" customHeight="1" spans="1:25">
      <c r="A1914" s="138">
        <f t="shared" si="41"/>
        <v>1905</v>
      </c>
      <c r="B1914" s="139">
        <v>2024</v>
      </c>
      <c r="C1914" s="189" t="s">
        <v>37</v>
      </c>
      <c r="D1914" s="279" t="s">
        <v>6090</v>
      </c>
      <c r="E1914" s="190" t="s">
        <v>6097</v>
      </c>
      <c r="F1914" s="142" t="s">
        <v>3192</v>
      </c>
      <c r="G1914" s="143" t="s">
        <v>5231</v>
      </c>
      <c r="H1914" s="144">
        <v>0.8</v>
      </c>
      <c r="I1914" s="145">
        <v>30000</v>
      </c>
      <c r="J1914" s="185" t="s">
        <v>2197</v>
      </c>
      <c r="K1914" s="185" t="s">
        <v>6098</v>
      </c>
      <c r="L1914" s="147">
        <v>0.4</v>
      </c>
      <c r="M1914" s="280" t="s">
        <v>6092</v>
      </c>
      <c r="N1914" s="186">
        <v>10663.22</v>
      </c>
      <c r="O1914" s="186">
        <v>10663.22</v>
      </c>
      <c r="P1914" s="186">
        <v>8530.58</v>
      </c>
      <c r="Q1914" s="186">
        <v>8530.58</v>
      </c>
      <c r="R1914" s="184" t="s">
        <v>6093</v>
      </c>
      <c r="S1914" s="276">
        <v>4265.29</v>
      </c>
      <c r="T1914" s="150">
        <v>45428</v>
      </c>
      <c r="U1914" s="184" t="s">
        <v>6089</v>
      </c>
      <c r="V1914" s="276">
        <v>2132.64</v>
      </c>
      <c r="W1914" s="314" t="s">
        <v>5852</v>
      </c>
      <c r="X1914" s="376">
        <v>2132.64</v>
      </c>
      <c r="Y1914" s="184"/>
    </row>
    <row r="1915" s="80" customFormat="1" ht="37.5" customHeight="1" spans="1:25">
      <c r="A1915" s="138">
        <f t="shared" si="41"/>
        <v>1906</v>
      </c>
      <c r="B1915" s="139">
        <v>2024</v>
      </c>
      <c r="C1915" s="189" t="s">
        <v>37</v>
      </c>
      <c r="D1915" s="279" t="s">
        <v>6099</v>
      </c>
      <c r="E1915" s="190" t="s">
        <v>6100</v>
      </c>
      <c r="F1915" s="142" t="s">
        <v>3192</v>
      </c>
      <c r="G1915" s="143" t="s">
        <v>5231</v>
      </c>
      <c r="H1915" s="144">
        <v>0.8</v>
      </c>
      <c r="I1915" s="145">
        <v>40000</v>
      </c>
      <c r="J1915" s="185" t="s">
        <v>2803</v>
      </c>
      <c r="K1915" s="185" t="s">
        <v>5933</v>
      </c>
      <c r="L1915" s="147">
        <v>0.4</v>
      </c>
      <c r="M1915" s="280" t="s">
        <v>6092</v>
      </c>
      <c r="N1915" s="186">
        <v>12500</v>
      </c>
      <c r="O1915" s="186">
        <v>12500</v>
      </c>
      <c r="P1915" s="186">
        <v>10000</v>
      </c>
      <c r="Q1915" s="186">
        <v>10000</v>
      </c>
      <c r="R1915" s="184" t="s">
        <v>6093</v>
      </c>
      <c r="S1915" s="276">
        <v>5000</v>
      </c>
      <c r="T1915" s="150">
        <v>45428</v>
      </c>
      <c r="U1915" s="184" t="s">
        <v>6089</v>
      </c>
      <c r="V1915" s="276">
        <v>2500</v>
      </c>
      <c r="W1915" s="314" t="s">
        <v>5852</v>
      </c>
      <c r="X1915" s="276">
        <v>2500</v>
      </c>
      <c r="Y1915" s="184"/>
    </row>
    <row r="1916" s="80" customFormat="1" ht="37.5" customHeight="1" spans="1:25">
      <c r="A1916" s="138">
        <f t="shared" si="41"/>
        <v>1907</v>
      </c>
      <c r="B1916" s="139">
        <v>2024</v>
      </c>
      <c r="C1916" s="189" t="s">
        <v>37</v>
      </c>
      <c r="D1916" s="279" t="s">
        <v>6101</v>
      </c>
      <c r="E1916" s="190" t="s">
        <v>6102</v>
      </c>
      <c r="F1916" s="142" t="s">
        <v>3192</v>
      </c>
      <c r="G1916" s="143" t="s">
        <v>5231</v>
      </c>
      <c r="H1916" s="144">
        <v>0.8</v>
      </c>
      <c r="I1916" s="145">
        <v>30000</v>
      </c>
      <c r="J1916" s="185" t="s">
        <v>2454</v>
      </c>
      <c r="K1916" s="185" t="s">
        <v>6103</v>
      </c>
      <c r="L1916" s="147">
        <v>0.4</v>
      </c>
      <c r="M1916" s="280" t="s">
        <v>6092</v>
      </c>
      <c r="N1916" s="186">
        <v>13750</v>
      </c>
      <c r="O1916" s="186">
        <v>13750</v>
      </c>
      <c r="P1916" s="186">
        <v>11000</v>
      </c>
      <c r="Q1916" s="186">
        <v>11000</v>
      </c>
      <c r="R1916" s="184" t="s">
        <v>6093</v>
      </c>
      <c r="S1916" s="276">
        <v>5500</v>
      </c>
      <c r="T1916" s="150">
        <v>45428</v>
      </c>
      <c r="U1916" s="184" t="s">
        <v>6089</v>
      </c>
      <c r="V1916" s="276">
        <v>2750</v>
      </c>
      <c r="W1916" s="314" t="s">
        <v>5852</v>
      </c>
      <c r="X1916" s="276">
        <v>2750</v>
      </c>
      <c r="Y1916" s="184"/>
    </row>
    <row r="1917" s="80" customFormat="1" ht="37.5" customHeight="1" spans="1:25">
      <c r="A1917" s="138">
        <f t="shared" si="41"/>
        <v>1908</v>
      </c>
      <c r="B1917" s="139">
        <v>2024</v>
      </c>
      <c r="C1917" s="189" t="s">
        <v>37</v>
      </c>
      <c r="D1917" s="279" t="s">
        <v>6099</v>
      </c>
      <c r="E1917" s="190" t="s">
        <v>6104</v>
      </c>
      <c r="F1917" s="142" t="s">
        <v>3192</v>
      </c>
      <c r="G1917" s="143" t="s">
        <v>5231</v>
      </c>
      <c r="H1917" s="144">
        <v>0.8</v>
      </c>
      <c r="I1917" s="145">
        <v>30000</v>
      </c>
      <c r="J1917" s="185" t="s">
        <v>2423</v>
      </c>
      <c r="K1917" s="185" t="s">
        <v>5933</v>
      </c>
      <c r="L1917" s="147">
        <v>0.4</v>
      </c>
      <c r="M1917" s="280" t="s">
        <v>6092</v>
      </c>
      <c r="N1917" s="186">
        <v>16666.62</v>
      </c>
      <c r="O1917" s="186">
        <v>16666.62</v>
      </c>
      <c r="P1917" s="186">
        <v>13333.3</v>
      </c>
      <c r="Q1917" s="186">
        <v>13333.3</v>
      </c>
      <c r="R1917" s="184" t="s">
        <v>6093</v>
      </c>
      <c r="S1917" s="276">
        <v>6666.65</v>
      </c>
      <c r="T1917" s="150">
        <v>45428</v>
      </c>
      <c r="U1917" s="184" t="s">
        <v>6089</v>
      </c>
      <c r="V1917" s="276">
        <v>3333.32</v>
      </c>
      <c r="W1917" s="314" t="s">
        <v>5852</v>
      </c>
      <c r="X1917" s="276">
        <v>3333.32</v>
      </c>
      <c r="Y1917" s="184"/>
    </row>
    <row r="1918" s="80" customFormat="1" ht="37.5" customHeight="1" spans="1:25">
      <c r="A1918" s="138">
        <f t="shared" si="41"/>
        <v>1909</v>
      </c>
      <c r="B1918" s="139">
        <v>2024</v>
      </c>
      <c r="C1918" s="189" t="s">
        <v>37</v>
      </c>
      <c r="D1918" s="279" t="s">
        <v>6105</v>
      </c>
      <c r="E1918" s="190" t="s">
        <v>6106</v>
      </c>
      <c r="F1918" s="142" t="s">
        <v>3192</v>
      </c>
      <c r="G1918" s="143" t="s">
        <v>5231</v>
      </c>
      <c r="H1918" s="144">
        <v>0.8</v>
      </c>
      <c r="I1918" s="145">
        <v>50000</v>
      </c>
      <c r="J1918" s="185" t="s">
        <v>2181</v>
      </c>
      <c r="K1918" s="185" t="s">
        <v>4617</v>
      </c>
      <c r="L1918" s="147">
        <v>0.4</v>
      </c>
      <c r="M1918" s="280" t="s">
        <v>6092</v>
      </c>
      <c r="N1918" s="186">
        <v>20833.38</v>
      </c>
      <c r="O1918" s="186">
        <v>20833.38</v>
      </c>
      <c r="P1918" s="186">
        <v>16666.7</v>
      </c>
      <c r="Q1918" s="186">
        <v>16666.7</v>
      </c>
      <c r="R1918" s="184" t="s">
        <v>6093</v>
      </c>
      <c r="S1918" s="276">
        <v>8333.35</v>
      </c>
      <c r="T1918" s="150">
        <v>45428</v>
      </c>
      <c r="U1918" s="184"/>
      <c r="V1918" s="276"/>
      <c r="W1918" s="185"/>
      <c r="X1918" s="372"/>
      <c r="Y1918" s="184" t="s">
        <v>1077</v>
      </c>
    </row>
    <row r="1919" s="80" customFormat="1" ht="37.5" customHeight="1" spans="1:25">
      <c r="A1919" s="138">
        <f t="shared" si="41"/>
        <v>1910</v>
      </c>
      <c r="B1919" s="139">
        <v>2024</v>
      </c>
      <c r="C1919" s="189" t="s">
        <v>37</v>
      </c>
      <c r="D1919" s="279" t="s">
        <v>6107</v>
      </c>
      <c r="E1919" s="190" t="s">
        <v>6108</v>
      </c>
      <c r="F1919" s="142" t="s">
        <v>3192</v>
      </c>
      <c r="G1919" s="143" t="s">
        <v>5231</v>
      </c>
      <c r="H1919" s="144">
        <v>0.8</v>
      </c>
      <c r="I1919" s="145">
        <v>50000</v>
      </c>
      <c r="J1919" s="185" t="s">
        <v>2297</v>
      </c>
      <c r="K1919" s="185" t="s">
        <v>5248</v>
      </c>
      <c r="L1919" s="147">
        <v>0.4</v>
      </c>
      <c r="M1919" s="280" t="s">
        <v>6092</v>
      </c>
      <c r="N1919" s="186">
        <v>22916.71</v>
      </c>
      <c r="O1919" s="186">
        <v>22916.71</v>
      </c>
      <c r="P1919" s="186">
        <v>18333.37</v>
      </c>
      <c r="Q1919" s="186">
        <v>18333.37</v>
      </c>
      <c r="R1919" s="184" t="s">
        <v>6093</v>
      </c>
      <c r="S1919" s="276">
        <v>9166.68</v>
      </c>
      <c r="T1919" s="150">
        <v>45428</v>
      </c>
      <c r="U1919" s="184"/>
      <c r="V1919" s="276"/>
      <c r="W1919" s="185"/>
      <c r="X1919" s="372"/>
      <c r="Y1919" s="377" t="s">
        <v>1077</v>
      </c>
    </row>
    <row r="1920" s="80" customFormat="1" ht="37.5" customHeight="1" spans="1:25">
      <c r="A1920" s="138">
        <f t="shared" si="41"/>
        <v>1911</v>
      </c>
      <c r="B1920" s="139">
        <v>2024</v>
      </c>
      <c r="C1920" s="189" t="s">
        <v>37</v>
      </c>
      <c r="D1920" s="279" t="s">
        <v>6107</v>
      </c>
      <c r="E1920" s="190" t="s">
        <v>6109</v>
      </c>
      <c r="F1920" s="142" t="s">
        <v>3192</v>
      </c>
      <c r="G1920" s="143" t="s">
        <v>5231</v>
      </c>
      <c r="H1920" s="144">
        <v>0.8</v>
      </c>
      <c r="I1920" s="145">
        <v>50000</v>
      </c>
      <c r="J1920" s="185" t="s">
        <v>2481</v>
      </c>
      <c r="K1920" s="185" t="s">
        <v>5852</v>
      </c>
      <c r="L1920" s="147">
        <v>0.4</v>
      </c>
      <c r="M1920" s="280" t="s">
        <v>6092</v>
      </c>
      <c r="N1920" s="186">
        <v>25000.04</v>
      </c>
      <c r="O1920" s="186">
        <v>25000.04</v>
      </c>
      <c r="P1920" s="186">
        <v>20000.03</v>
      </c>
      <c r="Q1920" s="186">
        <v>20000.03</v>
      </c>
      <c r="R1920" s="184" t="s">
        <v>6093</v>
      </c>
      <c r="S1920" s="276">
        <v>10000.02</v>
      </c>
      <c r="T1920" s="150">
        <v>45428</v>
      </c>
      <c r="U1920" s="184" t="s">
        <v>6089</v>
      </c>
      <c r="V1920" s="276">
        <v>5000.01</v>
      </c>
      <c r="W1920" s="314" t="s">
        <v>5852</v>
      </c>
      <c r="X1920" s="276">
        <v>5000.01</v>
      </c>
      <c r="Y1920" s="184"/>
    </row>
    <row r="1921" s="80" customFormat="1" ht="37.5" customHeight="1" spans="1:25">
      <c r="A1921" s="138">
        <f t="shared" si="41"/>
        <v>1912</v>
      </c>
      <c r="B1921" s="139">
        <v>2024</v>
      </c>
      <c r="C1921" s="189" t="s">
        <v>37</v>
      </c>
      <c r="D1921" s="279" t="s">
        <v>6110</v>
      </c>
      <c r="E1921" s="190" t="s">
        <v>6111</v>
      </c>
      <c r="F1921" s="142" t="s">
        <v>3192</v>
      </c>
      <c r="G1921" s="143" t="s">
        <v>5231</v>
      </c>
      <c r="H1921" s="144">
        <v>0.8</v>
      </c>
      <c r="I1921" s="145">
        <v>50000</v>
      </c>
      <c r="J1921" s="185" t="s">
        <v>3044</v>
      </c>
      <c r="K1921" s="185" t="s">
        <v>5769</v>
      </c>
      <c r="L1921" s="147">
        <v>0.4</v>
      </c>
      <c r="M1921" s="280" t="s">
        <v>6092</v>
      </c>
      <c r="N1921" s="186">
        <v>25000.04</v>
      </c>
      <c r="O1921" s="186">
        <v>25000.04</v>
      </c>
      <c r="P1921" s="186">
        <v>20000.03</v>
      </c>
      <c r="Q1921" s="186">
        <v>20000.03</v>
      </c>
      <c r="R1921" s="184" t="s">
        <v>6093</v>
      </c>
      <c r="S1921" s="276">
        <v>10000.02</v>
      </c>
      <c r="T1921" s="150">
        <v>45428</v>
      </c>
      <c r="U1921" s="184" t="s">
        <v>6089</v>
      </c>
      <c r="V1921" s="276">
        <v>5000.01</v>
      </c>
      <c r="W1921" s="314" t="s">
        <v>5852</v>
      </c>
      <c r="X1921" s="276">
        <v>5000.01</v>
      </c>
      <c r="Y1921" s="184"/>
    </row>
    <row r="1922" s="80" customFormat="1" ht="37.5" customHeight="1" spans="1:25">
      <c r="A1922" s="138">
        <f t="shared" si="41"/>
        <v>1913</v>
      </c>
      <c r="B1922" s="139">
        <v>2024</v>
      </c>
      <c r="C1922" s="189" t="s">
        <v>37</v>
      </c>
      <c r="D1922" s="279" t="s">
        <v>6107</v>
      </c>
      <c r="E1922" s="190" t="s">
        <v>6112</v>
      </c>
      <c r="F1922" s="142" t="s">
        <v>3192</v>
      </c>
      <c r="G1922" s="143" t="s">
        <v>5231</v>
      </c>
      <c r="H1922" s="144">
        <v>0.8</v>
      </c>
      <c r="I1922" s="145">
        <v>70000</v>
      </c>
      <c r="J1922" s="185" t="s">
        <v>2235</v>
      </c>
      <c r="K1922" s="185" t="s">
        <v>5178</v>
      </c>
      <c r="L1922" s="147">
        <v>0.4</v>
      </c>
      <c r="M1922" s="280" t="s">
        <v>6092</v>
      </c>
      <c r="N1922" s="186">
        <v>29166.62</v>
      </c>
      <c r="O1922" s="186">
        <v>29166.62</v>
      </c>
      <c r="P1922" s="186">
        <v>23333.3</v>
      </c>
      <c r="Q1922" s="186">
        <v>23333.3</v>
      </c>
      <c r="R1922" s="184" t="s">
        <v>6093</v>
      </c>
      <c r="S1922" s="276">
        <v>11666.65</v>
      </c>
      <c r="T1922" s="150">
        <v>45428</v>
      </c>
      <c r="U1922" s="184" t="s">
        <v>6089</v>
      </c>
      <c r="V1922" s="276">
        <v>5833.32</v>
      </c>
      <c r="W1922" s="314" t="s">
        <v>5852</v>
      </c>
      <c r="X1922" s="276">
        <v>5833.32</v>
      </c>
      <c r="Y1922" s="184"/>
    </row>
    <row r="1923" s="80" customFormat="1" ht="37.5" customHeight="1" spans="1:25">
      <c r="A1923" s="138">
        <f t="shared" si="41"/>
        <v>1914</v>
      </c>
      <c r="B1923" s="139">
        <v>2024</v>
      </c>
      <c r="C1923" s="189" t="s">
        <v>37</v>
      </c>
      <c r="D1923" s="279" t="s">
        <v>6110</v>
      </c>
      <c r="E1923" s="190" t="s">
        <v>6113</v>
      </c>
      <c r="F1923" s="142" t="s">
        <v>3192</v>
      </c>
      <c r="G1923" s="143" t="s">
        <v>5231</v>
      </c>
      <c r="H1923" s="144">
        <v>0.8</v>
      </c>
      <c r="I1923" s="145">
        <v>70000</v>
      </c>
      <c r="J1923" s="185" t="s">
        <v>2351</v>
      </c>
      <c r="K1923" s="185" t="s">
        <v>5897</v>
      </c>
      <c r="L1923" s="147">
        <v>0.4</v>
      </c>
      <c r="M1923" s="280" t="s">
        <v>6092</v>
      </c>
      <c r="N1923" s="186">
        <v>29166.62</v>
      </c>
      <c r="O1923" s="186">
        <v>29166.62</v>
      </c>
      <c r="P1923" s="186">
        <v>23333.3</v>
      </c>
      <c r="Q1923" s="186">
        <v>23333.3</v>
      </c>
      <c r="R1923" s="184" t="s">
        <v>6093</v>
      </c>
      <c r="S1923" s="276">
        <v>11666.65</v>
      </c>
      <c r="T1923" s="150">
        <v>45428</v>
      </c>
      <c r="U1923" s="184"/>
      <c r="V1923" s="276"/>
      <c r="W1923" s="185"/>
      <c r="X1923" s="372"/>
      <c r="Y1923" s="184" t="s">
        <v>1077</v>
      </c>
    </row>
    <row r="1924" s="80" customFormat="1" ht="37.5" customHeight="1" spans="1:25">
      <c r="A1924" s="138">
        <f t="shared" si="41"/>
        <v>1915</v>
      </c>
      <c r="B1924" s="139">
        <v>2024</v>
      </c>
      <c r="C1924" s="189" t="s">
        <v>37</v>
      </c>
      <c r="D1924" s="279" t="s">
        <v>6101</v>
      </c>
      <c r="E1924" s="190" t="s">
        <v>6114</v>
      </c>
      <c r="F1924" s="142" t="s">
        <v>3192</v>
      </c>
      <c r="G1924" s="143" t="s">
        <v>5231</v>
      </c>
      <c r="H1924" s="144">
        <v>0.8</v>
      </c>
      <c r="I1924" s="145">
        <v>70000</v>
      </c>
      <c r="J1924" s="185" t="s">
        <v>2530</v>
      </c>
      <c r="K1924" s="185" t="s">
        <v>6103</v>
      </c>
      <c r="L1924" s="147">
        <v>0.4</v>
      </c>
      <c r="M1924" s="280" t="s">
        <v>6092</v>
      </c>
      <c r="N1924" s="186">
        <v>32083.29</v>
      </c>
      <c r="O1924" s="186">
        <v>32083.29</v>
      </c>
      <c r="P1924" s="186">
        <v>25666.63</v>
      </c>
      <c r="Q1924" s="186">
        <v>25666.63</v>
      </c>
      <c r="R1924" s="184" t="s">
        <v>6093</v>
      </c>
      <c r="S1924" s="276">
        <v>12833.32</v>
      </c>
      <c r="T1924" s="150">
        <v>45428</v>
      </c>
      <c r="U1924" s="184" t="s">
        <v>6089</v>
      </c>
      <c r="V1924" s="276">
        <v>6416.66</v>
      </c>
      <c r="W1924" s="314" t="s">
        <v>5852</v>
      </c>
      <c r="X1924" s="276">
        <v>6416.66</v>
      </c>
      <c r="Y1924" s="184"/>
    </row>
    <row r="1925" s="80" customFormat="1" ht="37.5" customHeight="1" spans="1:25">
      <c r="A1925" s="138">
        <f t="shared" si="41"/>
        <v>1916</v>
      </c>
      <c r="B1925" s="139">
        <v>2024</v>
      </c>
      <c r="C1925" s="189" t="s">
        <v>37</v>
      </c>
      <c r="D1925" s="279" t="s">
        <v>6107</v>
      </c>
      <c r="E1925" s="190" t="s">
        <v>6115</v>
      </c>
      <c r="F1925" s="142" t="s">
        <v>3192</v>
      </c>
      <c r="G1925" s="143" t="s">
        <v>5231</v>
      </c>
      <c r="H1925" s="144">
        <v>0.8</v>
      </c>
      <c r="I1925" s="145">
        <v>80000</v>
      </c>
      <c r="J1925" s="185" t="s">
        <v>2054</v>
      </c>
      <c r="K1925" s="185" t="s">
        <v>5178</v>
      </c>
      <c r="L1925" s="147">
        <v>0.4</v>
      </c>
      <c r="M1925" s="280" t="s">
        <v>6092</v>
      </c>
      <c r="N1925" s="186">
        <v>33333.38</v>
      </c>
      <c r="O1925" s="186">
        <v>33333.38</v>
      </c>
      <c r="P1925" s="186">
        <v>26666.7</v>
      </c>
      <c r="Q1925" s="186">
        <v>26666.7</v>
      </c>
      <c r="R1925" s="184" t="s">
        <v>6093</v>
      </c>
      <c r="S1925" s="276">
        <v>13333.35</v>
      </c>
      <c r="T1925" s="150">
        <v>45428</v>
      </c>
      <c r="U1925" s="184" t="s">
        <v>6089</v>
      </c>
      <c r="V1925" s="276">
        <v>6666.68</v>
      </c>
      <c r="W1925" s="314" t="s">
        <v>5852</v>
      </c>
      <c r="X1925" s="276">
        <v>6666.68</v>
      </c>
      <c r="Y1925" s="184"/>
    </row>
    <row r="1926" s="80" customFormat="1" ht="37.5" customHeight="1" spans="1:25">
      <c r="A1926" s="138">
        <f t="shared" si="41"/>
        <v>1917</v>
      </c>
      <c r="B1926" s="139">
        <v>2024</v>
      </c>
      <c r="C1926" s="189" t="s">
        <v>37</v>
      </c>
      <c r="D1926" s="279" t="s">
        <v>6110</v>
      </c>
      <c r="E1926" s="190" t="s">
        <v>6116</v>
      </c>
      <c r="F1926" s="142" t="s">
        <v>3192</v>
      </c>
      <c r="G1926" s="143" t="s">
        <v>5231</v>
      </c>
      <c r="H1926" s="144">
        <v>0.8</v>
      </c>
      <c r="I1926" s="145">
        <v>100000</v>
      </c>
      <c r="J1926" s="185" t="s">
        <v>5918</v>
      </c>
      <c r="K1926" s="185" t="s">
        <v>5900</v>
      </c>
      <c r="L1926" s="147">
        <v>0.4</v>
      </c>
      <c r="M1926" s="280" t="s">
        <v>6092</v>
      </c>
      <c r="N1926" s="186">
        <v>37499.95</v>
      </c>
      <c r="O1926" s="186">
        <v>37499.95</v>
      </c>
      <c r="P1926" s="186">
        <v>29999.96</v>
      </c>
      <c r="Q1926" s="186">
        <v>29999.96</v>
      </c>
      <c r="R1926" s="184" t="s">
        <v>6093</v>
      </c>
      <c r="S1926" s="276">
        <v>14999.98</v>
      </c>
      <c r="T1926" s="150">
        <v>45428</v>
      </c>
      <c r="U1926" s="184" t="s">
        <v>6089</v>
      </c>
      <c r="V1926" s="276">
        <v>7499.99</v>
      </c>
      <c r="W1926" s="314" t="s">
        <v>5852</v>
      </c>
      <c r="X1926" s="276">
        <v>7499.99</v>
      </c>
      <c r="Y1926" s="377"/>
    </row>
    <row r="1927" s="80" customFormat="1" ht="37.5" customHeight="1" spans="1:25">
      <c r="A1927" s="138">
        <f t="shared" si="41"/>
        <v>1918</v>
      </c>
      <c r="B1927" s="139">
        <v>2024</v>
      </c>
      <c r="C1927" s="189" t="s">
        <v>37</v>
      </c>
      <c r="D1927" s="279" t="s">
        <v>6117</v>
      </c>
      <c r="E1927" s="190" t="s">
        <v>6118</v>
      </c>
      <c r="F1927" s="142" t="s">
        <v>3192</v>
      </c>
      <c r="G1927" s="143" t="s">
        <v>5231</v>
      </c>
      <c r="H1927" s="144">
        <v>0.8</v>
      </c>
      <c r="I1927" s="145">
        <v>100000</v>
      </c>
      <c r="J1927" s="185" t="s">
        <v>2224</v>
      </c>
      <c r="K1927" s="185" t="s">
        <v>4925</v>
      </c>
      <c r="L1927" s="147">
        <v>0.4</v>
      </c>
      <c r="M1927" s="280" t="s">
        <v>6092</v>
      </c>
      <c r="N1927" s="186">
        <v>37499.95</v>
      </c>
      <c r="O1927" s="186">
        <v>37499.95</v>
      </c>
      <c r="P1927" s="186">
        <v>29999.96</v>
      </c>
      <c r="Q1927" s="186">
        <v>29999.96</v>
      </c>
      <c r="R1927" s="184" t="s">
        <v>6093</v>
      </c>
      <c r="S1927" s="276">
        <v>14999.98</v>
      </c>
      <c r="T1927" s="150">
        <v>45428</v>
      </c>
      <c r="U1927" s="184"/>
      <c r="V1927" s="276"/>
      <c r="W1927" s="185"/>
      <c r="X1927" s="372"/>
      <c r="Y1927" s="184" t="s">
        <v>1077</v>
      </c>
    </row>
    <row r="1928" s="80" customFormat="1" ht="37.5" customHeight="1" spans="1:25">
      <c r="A1928" s="138">
        <f t="shared" si="41"/>
        <v>1919</v>
      </c>
      <c r="B1928" s="139">
        <v>2024</v>
      </c>
      <c r="C1928" s="189" t="s">
        <v>37</v>
      </c>
      <c r="D1928" s="279" t="s">
        <v>6107</v>
      </c>
      <c r="E1928" s="190" t="s">
        <v>6119</v>
      </c>
      <c r="F1928" s="142" t="s">
        <v>3192</v>
      </c>
      <c r="G1928" s="143" t="s">
        <v>5231</v>
      </c>
      <c r="H1928" s="144">
        <v>0.8</v>
      </c>
      <c r="I1928" s="145">
        <v>80000</v>
      </c>
      <c r="J1928" s="185" t="s">
        <v>2402</v>
      </c>
      <c r="K1928" s="185" t="s">
        <v>5852</v>
      </c>
      <c r="L1928" s="147">
        <v>0.4</v>
      </c>
      <c r="M1928" s="280" t="s">
        <v>6092</v>
      </c>
      <c r="N1928" s="186">
        <v>40000.04</v>
      </c>
      <c r="O1928" s="186">
        <v>40000.04</v>
      </c>
      <c r="P1928" s="186">
        <v>32000.03</v>
      </c>
      <c r="Q1928" s="186">
        <v>32000.03</v>
      </c>
      <c r="R1928" s="184" t="s">
        <v>6093</v>
      </c>
      <c r="S1928" s="276">
        <v>16000.02</v>
      </c>
      <c r="T1928" s="150">
        <v>45428</v>
      </c>
      <c r="U1928" s="184" t="s">
        <v>6089</v>
      </c>
      <c r="V1928" s="276">
        <v>8000.01</v>
      </c>
      <c r="W1928" s="314" t="s">
        <v>5852</v>
      </c>
      <c r="X1928" s="276">
        <v>8000.01</v>
      </c>
      <c r="Y1928" s="184"/>
    </row>
    <row r="1929" s="80" customFormat="1" ht="37.5" customHeight="1" spans="1:25">
      <c r="A1929" s="138">
        <f t="shared" si="41"/>
        <v>1920</v>
      </c>
      <c r="B1929" s="139">
        <v>2024</v>
      </c>
      <c r="C1929" s="189" t="s">
        <v>31</v>
      </c>
      <c r="D1929" s="279" t="s">
        <v>86</v>
      </c>
      <c r="E1929" s="190" t="s">
        <v>6120</v>
      </c>
      <c r="F1929" s="142" t="s">
        <v>4637</v>
      </c>
      <c r="G1929" s="143" t="s">
        <v>1137</v>
      </c>
      <c r="H1929" s="144">
        <v>0.8</v>
      </c>
      <c r="I1929" s="145">
        <v>40000</v>
      </c>
      <c r="J1929" s="185" t="s">
        <v>3801</v>
      </c>
      <c r="K1929" s="185" t="s">
        <v>6121</v>
      </c>
      <c r="L1929" s="147">
        <v>0.4</v>
      </c>
      <c r="M1929" s="280" t="s">
        <v>3916</v>
      </c>
      <c r="N1929" s="186">
        <v>40186.11</v>
      </c>
      <c r="O1929" s="186">
        <v>40000</v>
      </c>
      <c r="P1929" s="186">
        <v>32000</v>
      </c>
      <c r="Q1929" s="186">
        <v>32148.89</v>
      </c>
      <c r="R1929" s="184" t="s">
        <v>6093</v>
      </c>
      <c r="S1929" s="276">
        <v>16074.44</v>
      </c>
      <c r="T1929" s="150">
        <v>45428</v>
      </c>
      <c r="U1929" s="184" t="s">
        <v>6089</v>
      </c>
      <c r="V1929" s="276">
        <v>8000</v>
      </c>
      <c r="W1929" s="314" t="s">
        <v>5852</v>
      </c>
      <c r="X1929" s="376">
        <v>8000</v>
      </c>
      <c r="Y1929" s="184"/>
    </row>
    <row r="1930" s="80" customFormat="1" ht="37.5" customHeight="1" spans="1:25">
      <c r="A1930" s="138">
        <f t="shared" si="41"/>
        <v>1921</v>
      </c>
      <c r="B1930" s="139">
        <v>2024</v>
      </c>
      <c r="C1930" s="189" t="s">
        <v>37</v>
      </c>
      <c r="D1930" s="279" t="s">
        <v>6122</v>
      </c>
      <c r="E1930" s="190" t="s">
        <v>6123</v>
      </c>
      <c r="F1930" s="142" t="s">
        <v>3192</v>
      </c>
      <c r="G1930" s="143" t="s">
        <v>5231</v>
      </c>
      <c r="H1930" s="144">
        <v>0.8</v>
      </c>
      <c r="I1930" s="145">
        <v>50000</v>
      </c>
      <c r="J1930" s="185" t="s">
        <v>3958</v>
      </c>
      <c r="K1930" s="185" t="s">
        <v>6124</v>
      </c>
      <c r="L1930" s="147">
        <v>0.4</v>
      </c>
      <c r="M1930" s="280" t="s">
        <v>6092</v>
      </c>
      <c r="N1930" s="186">
        <v>45833.34</v>
      </c>
      <c r="O1930" s="186">
        <v>45833.34</v>
      </c>
      <c r="P1930" s="186">
        <v>36666.67</v>
      </c>
      <c r="Q1930" s="186">
        <v>36666.67</v>
      </c>
      <c r="R1930" s="184" t="s">
        <v>6093</v>
      </c>
      <c r="S1930" s="276">
        <v>18333.34</v>
      </c>
      <c r="T1930" s="150">
        <v>45428</v>
      </c>
      <c r="U1930" s="184" t="s">
        <v>6089</v>
      </c>
      <c r="V1930" s="276">
        <v>9166.67</v>
      </c>
      <c r="W1930" s="314" t="s">
        <v>5852</v>
      </c>
      <c r="X1930" s="276">
        <v>9166.67</v>
      </c>
      <c r="Y1930" s="184"/>
    </row>
    <row r="1931" s="80" customFormat="1" ht="37.5" customHeight="1" spans="1:25">
      <c r="A1931" s="138">
        <f t="shared" si="41"/>
        <v>1922</v>
      </c>
      <c r="B1931" s="139">
        <v>2024</v>
      </c>
      <c r="C1931" s="189" t="s">
        <v>37</v>
      </c>
      <c r="D1931" s="279" t="s">
        <v>6125</v>
      </c>
      <c r="E1931" s="190" t="s">
        <v>6126</v>
      </c>
      <c r="F1931" s="142" t="s">
        <v>3192</v>
      </c>
      <c r="G1931" s="143" t="s">
        <v>5231</v>
      </c>
      <c r="H1931" s="144">
        <v>0.8</v>
      </c>
      <c r="I1931" s="145">
        <v>50000</v>
      </c>
      <c r="J1931" s="185" t="s">
        <v>2594</v>
      </c>
      <c r="K1931" s="185" t="s">
        <v>6127</v>
      </c>
      <c r="L1931" s="147">
        <v>0.4</v>
      </c>
      <c r="M1931" s="280" t="s">
        <v>6092</v>
      </c>
      <c r="N1931" s="186">
        <v>47916.67</v>
      </c>
      <c r="O1931" s="186">
        <v>47916.67</v>
      </c>
      <c r="P1931" s="186">
        <v>38333.34</v>
      </c>
      <c r="Q1931" s="186">
        <v>38333.34</v>
      </c>
      <c r="R1931" s="184" t="s">
        <v>6093</v>
      </c>
      <c r="S1931" s="276">
        <v>19166.67</v>
      </c>
      <c r="T1931" s="150">
        <v>45428</v>
      </c>
      <c r="U1931" s="184" t="s">
        <v>6089</v>
      </c>
      <c r="V1931" s="276">
        <v>9583.33</v>
      </c>
      <c r="W1931" s="314" t="s">
        <v>5852</v>
      </c>
      <c r="X1931" s="276">
        <v>9583.33</v>
      </c>
      <c r="Y1931" s="184"/>
    </row>
    <row r="1932" s="80" customFormat="1" ht="37.5" customHeight="1" spans="1:25">
      <c r="A1932" s="138">
        <f t="shared" si="41"/>
        <v>1923</v>
      </c>
      <c r="B1932" s="139">
        <v>2024</v>
      </c>
      <c r="C1932" s="189" t="s">
        <v>37</v>
      </c>
      <c r="D1932" s="279" t="s">
        <v>6128</v>
      </c>
      <c r="E1932" s="190" t="s">
        <v>6129</v>
      </c>
      <c r="F1932" s="142" t="s">
        <v>3192</v>
      </c>
      <c r="G1932" s="143" t="s">
        <v>5231</v>
      </c>
      <c r="H1932" s="144">
        <v>0.8</v>
      </c>
      <c r="I1932" s="145">
        <v>100000</v>
      </c>
      <c r="J1932" s="185" t="s">
        <v>2927</v>
      </c>
      <c r="K1932" s="185" t="s">
        <v>6130</v>
      </c>
      <c r="L1932" s="147">
        <v>0.4</v>
      </c>
      <c r="M1932" s="280" t="s">
        <v>6092</v>
      </c>
      <c r="N1932" s="186">
        <v>58333.3</v>
      </c>
      <c r="O1932" s="186">
        <v>58333.3</v>
      </c>
      <c r="P1932" s="186">
        <v>46666.64</v>
      </c>
      <c r="Q1932" s="186">
        <v>46666.64</v>
      </c>
      <c r="R1932" s="184" t="s">
        <v>6093</v>
      </c>
      <c r="S1932" s="276">
        <v>23333.32</v>
      </c>
      <c r="T1932" s="150">
        <v>45428</v>
      </c>
      <c r="U1932" s="184" t="s">
        <v>6089</v>
      </c>
      <c r="V1932" s="276">
        <v>11666.66</v>
      </c>
      <c r="W1932" s="314" t="s">
        <v>5852</v>
      </c>
      <c r="X1932" s="276">
        <v>11666.66</v>
      </c>
      <c r="Y1932" s="184"/>
    </row>
    <row r="1933" s="80" customFormat="1" ht="37.5" customHeight="1" spans="1:25">
      <c r="A1933" s="138">
        <f t="shared" si="41"/>
        <v>1924</v>
      </c>
      <c r="B1933" s="139">
        <v>2024</v>
      </c>
      <c r="C1933" s="189" t="s">
        <v>37</v>
      </c>
      <c r="D1933" s="279" t="s">
        <v>6128</v>
      </c>
      <c r="E1933" s="190" t="s">
        <v>6131</v>
      </c>
      <c r="F1933" s="142" t="s">
        <v>3192</v>
      </c>
      <c r="G1933" s="143" t="s">
        <v>5231</v>
      </c>
      <c r="H1933" s="144">
        <v>0.8</v>
      </c>
      <c r="I1933" s="145">
        <v>100000</v>
      </c>
      <c r="J1933" s="185" t="s">
        <v>2144</v>
      </c>
      <c r="K1933" s="185" t="s">
        <v>6130</v>
      </c>
      <c r="L1933" s="147">
        <v>0.4</v>
      </c>
      <c r="M1933" s="280" t="s">
        <v>6092</v>
      </c>
      <c r="N1933" s="186">
        <v>58333.3</v>
      </c>
      <c r="O1933" s="186">
        <v>58333.3</v>
      </c>
      <c r="P1933" s="186">
        <v>46666.64</v>
      </c>
      <c r="Q1933" s="186">
        <v>46666.64</v>
      </c>
      <c r="R1933" s="184" t="s">
        <v>6093</v>
      </c>
      <c r="S1933" s="276">
        <v>23333.32</v>
      </c>
      <c r="T1933" s="150">
        <v>45428</v>
      </c>
      <c r="U1933" s="184" t="s">
        <v>6089</v>
      </c>
      <c r="V1933" s="276">
        <v>11666.66</v>
      </c>
      <c r="W1933" s="314" t="s">
        <v>5852</v>
      </c>
      <c r="X1933" s="276">
        <v>11666.66</v>
      </c>
      <c r="Y1933" s="184"/>
    </row>
    <row r="1934" s="80" customFormat="1" ht="37.5" customHeight="1" spans="1:25">
      <c r="A1934" s="138">
        <f t="shared" si="41"/>
        <v>1925</v>
      </c>
      <c r="B1934" s="139">
        <v>2024</v>
      </c>
      <c r="C1934" s="189" t="s">
        <v>37</v>
      </c>
      <c r="D1934" s="279" t="s">
        <v>6107</v>
      </c>
      <c r="E1934" s="190" t="s">
        <v>6132</v>
      </c>
      <c r="F1934" s="142" t="s">
        <v>3192</v>
      </c>
      <c r="G1934" s="143" t="s">
        <v>5231</v>
      </c>
      <c r="H1934" s="144">
        <v>0.8</v>
      </c>
      <c r="I1934" s="145">
        <v>140000</v>
      </c>
      <c r="J1934" s="185" t="s">
        <v>2025</v>
      </c>
      <c r="K1934" s="185" t="s">
        <v>5178</v>
      </c>
      <c r="L1934" s="147">
        <v>0.4</v>
      </c>
      <c r="M1934" s="280" t="s">
        <v>6092</v>
      </c>
      <c r="N1934" s="186">
        <v>58333.38</v>
      </c>
      <c r="O1934" s="186">
        <v>58333.38</v>
      </c>
      <c r="P1934" s="186">
        <v>46666.7</v>
      </c>
      <c r="Q1934" s="186">
        <v>46666.7</v>
      </c>
      <c r="R1934" s="184" t="s">
        <v>6093</v>
      </c>
      <c r="S1934" s="276">
        <v>23333.35</v>
      </c>
      <c r="T1934" s="150">
        <v>45428</v>
      </c>
      <c r="U1934" s="184" t="s">
        <v>6089</v>
      </c>
      <c r="V1934" s="276">
        <v>11666.68</v>
      </c>
      <c r="W1934" s="314" t="s">
        <v>5852</v>
      </c>
      <c r="X1934" s="376">
        <v>11666.68</v>
      </c>
      <c r="Y1934" s="184"/>
    </row>
    <row r="1935" s="90" customFormat="1" ht="37.5" customHeight="1" spans="1:25">
      <c r="A1935" s="138">
        <f t="shared" si="41"/>
        <v>1926</v>
      </c>
      <c r="B1935" s="139">
        <v>2024</v>
      </c>
      <c r="C1935" s="189" t="s">
        <v>37</v>
      </c>
      <c r="D1935" s="279" t="s">
        <v>6107</v>
      </c>
      <c r="E1935" s="190" t="s">
        <v>6133</v>
      </c>
      <c r="F1935" s="142" t="s">
        <v>3192</v>
      </c>
      <c r="G1935" s="143" t="s">
        <v>5231</v>
      </c>
      <c r="H1935" s="144">
        <v>0.8</v>
      </c>
      <c r="I1935" s="145">
        <v>150000</v>
      </c>
      <c r="J1935" s="185" t="s">
        <v>2025</v>
      </c>
      <c r="K1935" s="185" t="s">
        <v>5178</v>
      </c>
      <c r="L1935" s="147">
        <v>0.4</v>
      </c>
      <c r="M1935" s="280" t="s">
        <v>6092</v>
      </c>
      <c r="N1935" s="186">
        <v>62500</v>
      </c>
      <c r="O1935" s="186">
        <v>62500</v>
      </c>
      <c r="P1935" s="186">
        <v>50000</v>
      </c>
      <c r="Q1935" s="186">
        <v>50000</v>
      </c>
      <c r="R1935" s="184" t="s">
        <v>6093</v>
      </c>
      <c r="S1935" s="276">
        <v>25000</v>
      </c>
      <c r="T1935" s="150">
        <v>45428</v>
      </c>
      <c r="U1935" s="184" t="s">
        <v>6089</v>
      </c>
      <c r="V1935" s="276">
        <v>12500</v>
      </c>
      <c r="W1935" s="314" t="s">
        <v>5852</v>
      </c>
      <c r="X1935" s="276">
        <v>12500</v>
      </c>
      <c r="Y1935" s="184"/>
    </row>
    <row r="1936" s="90" customFormat="1" ht="37.5" customHeight="1" spans="1:25">
      <c r="A1936" s="138">
        <f t="shared" si="41"/>
        <v>1927</v>
      </c>
      <c r="B1936" s="139">
        <v>2024</v>
      </c>
      <c r="C1936" s="189" t="s">
        <v>37</v>
      </c>
      <c r="D1936" s="279" t="s">
        <v>6101</v>
      </c>
      <c r="E1936" s="190" t="s">
        <v>6134</v>
      </c>
      <c r="F1936" s="142" t="s">
        <v>3192</v>
      </c>
      <c r="G1936" s="143" t="s">
        <v>5231</v>
      </c>
      <c r="H1936" s="144">
        <v>0.8</v>
      </c>
      <c r="I1936" s="145">
        <v>140000</v>
      </c>
      <c r="J1936" s="185" t="s">
        <v>4164</v>
      </c>
      <c r="K1936" s="185" t="s">
        <v>6103</v>
      </c>
      <c r="L1936" s="147">
        <v>0.4</v>
      </c>
      <c r="M1936" s="280" t="s">
        <v>6092</v>
      </c>
      <c r="N1936" s="186">
        <v>64166.71</v>
      </c>
      <c r="O1936" s="186">
        <v>64166.71</v>
      </c>
      <c r="P1936" s="186">
        <v>51333.37</v>
      </c>
      <c r="Q1936" s="186">
        <v>51333.37</v>
      </c>
      <c r="R1936" s="184" t="s">
        <v>6093</v>
      </c>
      <c r="S1936" s="276">
        <v>25666.68</v>
      </c>
      <c r="T1936" s="150">
        <v>45428</v>
      </c>
      <c r="U1936" s="184"/>
      <c r="V1936" s="276"/>
      <c r="W1936" s="185"/>
      <c r="X1936" s="372"/>
      <c r="Y1936" s="184" t="s">
        <v>1077</v>
      </c>
    </row>
    <row r="1937" s="90" customFormat="1" ht="37.5" customHeight="1" spans="1:25">
      <c r="A1937" s="138">
        <f t="shared" si="41"/>
        <v>1928</v>
      </c>
      <c r="B1937" s="139">
        <v>2024</v>
      </c>
      <c r="C1937" s="189" t="s">
        <v>37</v>
      </c>
      <c r="D1937" s="279" t="s">
        <v>6107</v>
      </c>
      <c r="E1937" s="190" t="s">
        <v>6135</v>
      </c>
      <c r="F1937" s="142" t="s">
        <v>3192</v>
      </c>
      <c r="G1937" s="143" t="s">
        <v>5231</v>
      </c>
      <c r="H1937" s="144">
        <v>0.8</v>
      </c>
      <c r="I1937" s="145">
        <v>170000</v>
      </c>
      <c r="J1937" s="185" t="s">
        <v>2025</v>
      </c>
      <c r="K1937" s="185" t="s">
        <v>5178</v>
      </c>
      <c r="L1937" s="147">
        <v>0.4</v>
      </c>
      <c r="M1937" s="280" t="s">
        <v>6092</v>
      </c>
      <c r="N1937" s="186">
        <v>70833.38</v>
      </c>
      <c r="O1937" s="186">
        <v>70833.38</v>
      </c>
      <c r="P1937" s="186">
        <v>56666.7</v>
      </c>
      <c r="Q1937" s="186">
        <v>56666.7</v>
      </c>
      <c r="R1937" s="184" t="s">
        <v>6093</v>
      </c>
      <c r="S1937" s="276">
        <v>28333.35</v>
      </c>
      <c r="T1937" s="150">
        <v>45428</v>
      </c>
      <c r="U1937" s="184" t="s">
        <v>6089</v>
      </c>
      <c r="V1937" s="276">
        <v>14166.68</v>
      </c>
      <c r="W1937" s="314" t="s">
        <v>5852</v>
      </c>
      <c r="X1937" s="276">
        <v>14166.68</v>
      </c>
      <c r="Y1937" s="184"/>
    </row>
    <row r="1938" s="90" customFormat="1" ht="37.5" customHeight="1" spans="1:25">
      <c r="A1938" s="138">
        <f t="shared" si="41"/>
        <v>1929</v>
      </c>
      <c r="B1938" s="139">
        <v>2024</v>
      </c>
      <c r="C1938" s="189" t="s">
        <v>37</v>
      </c>
      <c r="D1938" s="279" t="s">
        <v>6094</v>
      </c>
      <c r="E1938" s="190" t="s">
        <v>6136</v>
      </c>
      <c r="F1938" s="142" t="s">
        <v>3192</v>
      </c>
      <c r="G1938" s="143" t="s">
        <v>5231</v>
      </c>
      <c r="H1938" s="144">
        <v>0.8</v>
      </c>
      <c r="I1938" s="145">
        <v>1500000</v>
      </c>
      <c r="J1938" s="185" t="s">
        <v>3495</v>
      </c>
      <c r="K1938" s="185" t="s">
        <v>6096</v>
      </c>
      <c r="L1938" s="147">
        <v>0.4</v>
      </c>
      <c r="M1938" s="280" t="s">
        <v>6092</v>
      </c>
      <c r="N1938" s="186">
        <v>75000</v>
      </c>
      <c r="O1938" s="186">
        <v>75000</v>
      </c>
      <c r="P1938" s="186">
        <v>60000</v>
      </c>
      <c r="Q1938" s="186">
        <v>60000</v>
      </c>
      <c r="R1938" s="184" t="s">
        <v>6093</v>
      </c>
      <c r="S1938" s="276">
        <v>30000</v>
      </c>
      <c r="T1938" s="150">
        <v>45428</v>
      </c>
      <c r="U1938" s="184" t="s">
        <v>6089</v>
      </c>
      <c r="V1938" s="276">
        <v>15000</v>
      </c>
      <c r="W1938" s="314" t="s">
        <v>5852</v>
      </c>
      <c r="X1938" s="276">
        <v>15000</v>
      </c>
      <c r="Y1938" s="184"/>
    </row>
    <row r="1939" s="90" customFormat="1" ht="37.5" customHeight="1" spans="1:25">
      <c r="A1939" s="138">
        <f t="shared" si="41"/>
        <v>1930</v>
      </c>
      <c r="B1939" s="139">
        <v>2024</v>
      </c>
      <c r="C1939" s="189" t="s">
        <v>37</v>
      </c>
      <c r="D1939" s="279" t="s">
        <v>6117</v>
      </c>
      <c r="E1939" s="190" t="s">
        <v>6137</v>
      </c>
      <c r="F1939" s="142" t="s">
        <v>3192</v>
      </c>
      <c r="G1939" s="143" t="s">
        <v>5231</v>
      </c>
      <c r="H1939" s="144">
        <v>0.8</v>
      </c>
      <c r="I1939" s="145">
        <v>200000</v>
      </c>
      <c r="J1939" s="185" t="s">
        <v>2311</v>
      </c>
      <c r="K1939" s="185" t="s">
        <v>4925</v>
      </c>
      <c r="L1939" s="147">
        <v>0.4</v>
      </c>
      <c r="M1939" s="280" t="s">
        <v>6092</v>
      </c>
      <c r="N1939" s="186">
        <v>75000.05</v>
      </c>
      <c r="O1939" s="186">
        <v>75000.05</v>
      </c>
      <c r="P1939" s="186">
        <v>60000.04</v>
      </c>
      <c r="Q1939" s="186">
        <v>60000.04</v>
      </c>
      <c r="R1939" s="184" t="s">
        <v>6093</v>
      </c>
      <c r="S1939" s="276">
        <v>30000.02</v>
      </c>
      <c r="T1939" s="150">
        <v>45428</v>
      </c>
      <c r="U1939" s="184"/>
      <c r="V1939" s="276"/>
      <c r="W1939" s="185"/>
      <c r="X1939" s="372"/>
      <c r="Y1939" s="184" t="s">
        <v>1077</v>
      </c>
    </row>
    <row r="1940" s="90" customFormat="1" ht="37.5" customHeight="1" spans="1:25">
      <c r="A1940" s="138">
        <f t="shared" si="41"/>
        <v>1931</v>
      </c>
      <c r="B1940" s="139">
        <v>2024</v>
      </c>
      <c r="C1940" s="189" t="s">
        <v>37</v>
      </c>
      <c r="D1940" s="279" t="s">
        <v>6138</v>
      </c>
      <c r="E1940" s="190" t="s">
        <v>6139</v>
      </c>
      <c r="F1940" s="142" t="s">
        <v>3192</v>
      </c>
      <c r="G1940" s="143" t="s">
        <v>5231</v>
      </c>
      <c r="H1940" s="144">
        <v>0.8</v>
      </c>
      <c r="I1940" s="145">
        <v>80000</v>
      </c>
      <c r="J1940" s="185" t="s">
        <v>2228</v>
      </c>
      <c r="K1940" s="185" t="s">
        <v>6140</v>
      </c>
      <c r="L1940" s="147">
        <v>0.4</v>
      </c>
      <c r="M1940" s="280" t="s">
        <v>6092</v>
      </c>
      <c r="N1940" s="186">
        <v>80000</v>
      </c>
      <c r="O1940" s="186">
        <v>80000</v>
      </c>
      <c r="P1940" s="186">
        <v>64000</v>
      </c>
      <c r="Q1940" s="186">
        <v>64000</v>
      </c>
      <c r="R1940" s="184" t="s">
        <v>6093</v>
      </c>
      <c r="S1940" s="276">
        <v>32000</v>
      </c>
      <c r="T1940" s="150">
        <v>45428</v>
      </c>
      <c r="U1940" s="184" t="s">
        <v>6089</v>
      </c>
      <c r="V1940" s="276">
        <v>16000</v>
      </c>
      <c r="W1940" s="314" t="s">
        <v>5852</v>
      </c>
      <c r="X1940" s="276">
        <v>16000</v>
      </c>
      <c r="Y1940" s="184"/>
    </row>
    <row r="1941" s="90" customFormat="1" ht="37.5" customHeight="1" spans="1:25">
      <c r="A1941" s="138">
        <f t="shared" si="41"/>
        <v>1932</v>
      </c>
      <c r="B1941" s="139">
        <v>2024</v>
      </c>
      <c r="C1941" s="189" t="s">
        <v>37</v>
      </c>
      <c r="D1941" s="279" t="s">
        <v>6141</v>
      </c>
      <c r="E1941" s="190" t="s">
        <v>6142</v>
      </c>
      <c r="F1941" s="142" t="s">
        <v>3192</v>
      </c>
      <c r="G1941" s="143" t="s">
        <v>5231</v>
      </c>
      <c r="H1941" s="144">
        <v>0.8</v>
      </c>
      <c r="I1941" s="145">
        <v>170000</v>
      </c>
      <c r="J1941" s="185" t="s">
        <v>2533</v>
      </c>
      <c r="K1941" s="185" t="s">
        <v>5239</v>
      </c>
      <c r="L1941" s="147">
        <v>0.4</v>
      </c>
      <c r="M1941" s="280" t="s">
        <v>6092</v>
      </c>
      <c r="N1941" s="186">
        <v>85000.04</v>
      </c>
      <c r="O1941" s="186">
        <v>85000.04</v>
      </c>
      <c r="P1941" s="186">
        <v>68000.03</v>
      </c>
      <c r="Q1941" s="186">
        <v>68000.03</v>
      </c>
      <c r="R1941" s="184" t="s">
        <v>6093</v>
      </c>
      <c r="S1941" s="276">
        <v>34000.02</v>
      </c>
      <c r="T1941" s="150">
        <v>45428</v>
      </c>
      <c r="U1941" s="184" t="s">
        <v>6089</v>
      </c>
      <c r="V1941" s="276">
        <v>17000.01</v>
      </c>
      <c r="W1941" s="314" t="s">
        <v>5852</v>
      </c>
      <c r="X1941" s="276">
        <v>17000.01</v>
      </c>
      <c r="Y1941" s="184"/>
    </row>
    <row r="1942" s="90" customFormat="1" ht="37.5" customHeight="1" spans="1:25">
      <c r="A1942" s="138">
        <f t="shared" si="41"/>
        <v>1933</v>
      </c>
      <c r="B1942" s="139">
        <v>2024</v>
      </c>
      <c r="C1942" s="189" t="s">
        <v>37</v>
      </c>
      <c r="D1942" s="279" t="s">
        <v>6143</v>
      </c>
      <c r="E1942" s="190" t="s">
        <v>6144</v>
      </c>
      <c r="F1942" s="142" t="s">
        <v>3192</v>
      </c>
      <c r="G1942" s="143" t="s">
        <v>5231</v>
      </c>
      <c r="H1942" s="144">
        <v>0.8</v>
      </c>
      <c r="I1942" s="145">
        <v>200000</v>
      </c>
      <c r="J1942" s="185" t="s">
        <v>2572</v>
      </c>
      <c r="K1942" s="185" t="s">
        <v>3208</v>
      </c>
      <c r="L1942" s="147">
        <v>0.4</v>
      </c>
      <c r="M1942" s="280" t="s">
        <v>6092</v>
      </c>
      <c r="N1942" s="186">
        <v>91666.71</v>
      </c>
      <c r="O1942" s="186">
        <v>91666.71</v>
      </c>
      <c r="P1942" s="186">
        <v>73333.37</v>
      </c>
      <c r="Q1942" s="186">
        <v>73333.37</v>
      </c>
      <c r="R1942" s="184" t="s">
        <v>6093</v>
      </c>
      <c r="S1942" s="276">
        <v>36666.68</v>
      </c>
      <c r="T1942" s="150">
        <v>45428</v>
      </c>
      <c r="U1942" s="184" t="s">
        <v>6089</v>
      </c>
      <c r="V1942" s="276">
        <v>18333.34</v>
      </c>
      <c r="W1942" s="314" t="s">
        <v>5852</v>
      </c>
      <c r="X1942" s="276">
        <v>18333.34</v>
      </c>
      <c r="Y1942" s="184"/>
    </row>
    <row r="1943" s="90" customFormat="1" ht="37.5" customHeight="1" spans="1:25">
      <c r="A1943" s="138">
        <f t="shared" si="41"/>
        <v>1934</v>
      </c>
      <c r="B1943" s="139">
        <v>2024</v>
      </c>
      <c r="C1943" s="189" t="s">
        <v>37</v>
      </c>
      <c r="D1943" s="279" t="s">
        <v>6143</v>
      </c>
      <c r="E1943" s="190" t="s">
        <v>6145</v>
      </c>
      <c r="F1943" s="142" t="s">
        <v>3192</v>
      </c>
      <c r="G1943" s="143" t="s">
        <v>5231</v>
      </c>
      <c r="H1943" s="144">
        <v>0.8</v>
      </c>
      <c r="I1943" s="145">
        <v>200000</v>
      </c>
      <c r="J1943" s="185" t="s">
        <v>2686</v>
      </c>
      <c r="K1943" s="185" t="s">
        <v>3208</v>
      </c>
      <c r="L1943" s="147">
        <v>0.4</v>
      </c>
      <c r="M1943" s="280" t="s">
        <v>6092</v>
      </c>
      <c r="N1943" s="186">
        <v>91666.71</v>
      </c>
      <c r="O1943" s="186">
        <v>91666.71</v>
      </c>
      <c r="P1943" s="186">
        <v>73333.37</v>
      </c>
      <c r="Q1943" s="186">
        <v>73333.37</v>
      </c>
      <c r="R1943" s="184" t="s">
        <v>6093</v>
      </c>
      <c r="S1943" s="276">
        <v>36666.68</v>
      </c>
      <c r="T1943" s="150">
        <v>45428</v>
      </c>
      <c r="U1943" s="184" t="s">
        <v>6089</v>
      </c>
      <c r="V1943" s="276">
        <v>18333.34</v>
      </c>
      <c r="W1943" s="314" t="s">
        <v>5852</v>
      </c>
      <c r="X1943" s="276">
        <v>18333.34</v>
      </c>
      <c r="Y1943" s="184"/>
    </row>
    <row r="1944" s="90" customFormat="1" ht="37.5" customHeight="1" spans="1:25">
      <c r="A1944" s="138">
        <f t="shared" si="41"/>
        <v>1935</v>
      </c>
      <c r="B1944" s="139">
        <v>2024</v>
      </c>
      <c r="C1944" s="189" t="s">
        <v>37</v>
      </c>
      <c r="D1944" s="279" t="s">
        <v>6146</v>
      </c>
      <c r="E1944" s="190" t="s">
        <v>6147</v>
      </c>
      <c r="F1944" s="142" t="s">
        <v>3192</v>
      </c>
      <c r="G1944" s="143" t="s">
        <v>5231</v>
      </c>
      <c r="H1944" s="144">
        <v>0.8</v>
      </c>
      <c r="I1944" s="145">
        <v>200000</v>
      </c>
      <c r="J1944" s="185" t="s">
        <v>2181</v>
      </c>
      <c r="K1944" s="185" t="s">
        <v>5248</v>
      </c>
      <c r="L1944" s="147">
        <v>0.4</v>
      </c>
      <c r="M1944" s="280" t="s">
        <v>6092</v>
      </c>
      <c r="N1944" s="186">
        <v>91666.71</v>
      </c>
      <c r="O1944" s="186">
        <v>91666.71</v>
      </c>
      <c r="P1944" s="186">
        <v>73333.37</v>
      </c>
      <c r="Q1944" s="186">
        <v>73333.37</v>
      </c>
      <c r="R1944" s="184" t="s">
        <v>6093</v>
      </c>
      <c r="S1944" s="276">
        <v>36666.68</v>
      </c>
      <c r="T1944" s="150">
        <v>45428</v>
      </c>
      <c r="U1944" s="184"/>
      <c r="V1944" s="276"/>
      <c r="W1944" s="185"/>
      <c r="X1944" s="372"/>
      <c r="Y1944" s="184" t="s">
        <v>1077</v>
      </c>
    </row>
    <row r="1945" s="90" customFormat="1" ht="37.5" customHeight="1" spans="1:25">
      <c r="A1945" s="138">
        <f t="shared" si="41"/>
        <v>1936</v>
      </c>
      <c r="B1945" s="139">
        <v>2024</v>
      </c>
      <c r="C1945" s="189" t="s">
        <v>37</v>
      </c>
      <c r="D1945" s="279" t="s">
        <v>6122</v>
      </c>
      <c r="E1945" s="190" t="s">
        <v>6148</v>
      </c>
      <c r="F1945" s="142" t="s">
        <v>3192</v>
      </c>
      <c r="G1945" s="143" t="s">
        <v>5231</v>
      </c>
      <c r="H1945" s="144">
        <v>0.8</v>
      </c>
      <c r="I1945" s="145">
        <v>100000</v>
      </c>
      <c r="J1945" s="185" t="s">
        <v>2177</v>
      </c>
      <c r="K1945" s="185" t="s">
        <v>6149</v>
      </c>
      <c r="L1945" s="147">
        <v>0.4</v>
      </c>
      <c r="M1945" s="280" t="s">
        <v>6092</v>
      </c>
      <c r="N1945" s="186">
        <v>100000</v>
      </c>
      <c r="O1945" s="186">
        <v>100000</v>
      </c>
      <c r="P1945" s="186">
        <v>80000</v>
      </c>
      <c r="Q1945" s="186">
        <v>80000</v>
      </c>
      <c r="R1945" s="184" t="s">
        <v>6093</v>
      </c>
      <c r="S1945" s="276">
        <v>40000</v>
      </c>
      <c r="T1945" s="150">
        <v>45428</v>
      </c>
      <c r="U1945" s="184" t="s">
        <v>6089</v>
      </c>
      <c r="V1945" s="276">
        <v>20000</v>
      </c>
      <c r="W1945" s="314" t="s">
        <v>5852</v>
      </c>
      <c r="X1945" s="276">
        <v>20000</v>
      </c>
      <c r="Y1945" s="184"/>
    </row>
    <row r="1946" s="90" customFormat="1" ht="37.5" customHeight="1" spans="1:25">
      <c r="A1946" s="138">
        <f t="shared" si="41"/>
        <v>1937</v>
      </c>
      <c r="B1946" s="139">
        <v>2024</v>
      </c>
      <c r="C1946" s="189" t="s">
        <v>37</v>
      </c>
      <c r="D1946" s="279" t="s">
        <v>6146</v>
      </c>
      <c r="E1946" s="190" t="s">
        <v>6150</v>
      </c>
      <c r="F1946" s="142" t="s">
        <v>3192</v>
      </c>
      <c r="G1946" s="143" t="s">
        <v>5231</v>
      </c>
      <c r="H1946" s="144">
        <v>0.8</v>
      </c>
      <c r="I1946" s="145">
        <v>200000</v>
      </c>
      <c r="J1946" s="185" t="s">
        <v>2402</v>
      </c>
      <c r="K1946" s="185" t="s">
        <v>5852</v>
      </c>
      <c r="L1946" s="147">
        <v>0.4</v>
      </c>
      <c r="M1946" s="280" t="s">
        <v>6092</v>
      </c>
      <c r="N1946" s="186">
        <v>100000.04</v>
      </c>
      <c r="O1946" s="186">
        <v>100000.04</v>
      </c>
      <c r="P1946" s="186">
        <v>80000.03</v>
      </c>
      <c r="Q1946" s="186">
        <v>80000.03</v>
      </c>
      <c r="R1946" s="184" t="s">
        <v>6093</v>
      </c>
      <c r="S1946" s="276">
        <v>40000.02</v>
      </c>
      <c r="T1946" s="150">
        <v>45428</v>
      </c>
      <c r="U1946" s="184" t="s">
        <v>6089</v>
      </c>
      <c r="V1946" s="276">
        <v>20000.01</v>
      </c>
      <c r="W1946" s="314" t="s">
        <v>5852</v>
      </c>
      <c r="X1946" s="276">
        <v>20000.01</v>
      </c>
      <c r="Y1946" s="184"/>
    </row>
    <row r="1947" s="90" customFormat="1" ht="37.5" customHeight="1" spans="1:25">
      <c r="A1947" s="138">
        <f t="shared" si="41"/>
        <v>1938</v>
      </c>
      <c r="B1947" s="139">
        <v>2024</v>
      </c>
      <c r="C1947" s="189" t="s">
        <v>37</v>
      </c>
      <c r="D1947" s="279" t="s">
        <v>6146</v>
      </c>
      <c r="E1947" s="190" t="s">
        <v>6151</v>
      </c>
      <c r="F1947" s="142" t="s">
        <v>3192</v>
      </c>
      <c r="G1947" s="143" t="s">
        <v>5231</v>
      </c>
      <c r="H1947" s="144">
        <v>0.8</v>
      </c>
      <c r="I1947" s="145">
        <v>20</v>
      </c>
      <c r="J1947" s="185" t="s">
        <v>2463</v>
      </c>
      <c r="K1947" s="185" t="s">
        <v>5852</v>
      </c>
      <c r="L1947" s="147">
        <v>0.4</v>
      </c>
      <c r="M1947" s="280" t="s">
        <v>6092</v>
      </c>
      <c r="N1947" s="186">
        <v>100000.04</v>
      </c>
      <c r="O1947" s="186">
        <v>100000.04</v>
      </c>
      <c r="P1947" s="186">
        <v>80000.03</v>
      </c>
      <c r="Q1947" s="186">
        <v>80000.03</v>
      </c>
      <c r="R1947" s="184" t="s">
        <v>6093</v>
      </c>
      <c r="S1947" s="276">
        <v>40000.02</v>
      </c>
      <c r="T1947" s="150">
        <v>45428</v>
      </c>
      <c r="U1947" s="184" t="s">
        <v>6089</v>
      </c>
      <c r="V1947" s="276">
        <v>20000.01</v>
      </c>
      <c r="W1947" s="314" t="s">
        <v>5852</v>
      </c>
      <c r="X1947" s="276">
        <v>20000.01</v>
      </c>
      <c r="Y1947" s="184"/>
    </row>
    <row r="1948" s="90" customFormat="1" ht="37.5" customHeight="1" spans="1:25">
      <c r="A1948" s="138">
        <f t="shared" si="41"/>
        <v>1939</v>
      </c>
      <c r="B1948" s="139">
        <v>2024</v>
      </c>
      <c r="C1948" s="189" t="s">
        <v>37</v>
      </c>
      <c r="D1948" s="279" t="s">
        <v>6152</v>
      </c>
      <c r="E1948" s="190" t="s">
        <v>6153</v>
      </c>
      <c r="F1948" s="142" t="s">
        <v>3192</v>
      </c>
      <c r="G1948" s="143" t="s">
        <v>5231</v>
      </c>
      <c r="H1948" s="144">
        <v>0.8</v>
      </c>
      <c r="I1948" s="145">
        <v>200000</v>
      </c>
      <c r="J1948" s="185" t="s">
        <v>1875</v>
      </c>
      <c r="K1948" s="185" t="s">
        <v>6154</v>
      </c>
      <c r="L1948" s="147">
        <v>0.4</v>
      </c>
      <c r="M1948" s="280" t="s">
        <v>6092</v>
      </c>
      <c r="N1948" s="186">
        <v>100000.04</v>
      </c>
      <c r="O1948" s="186">
        <v>100000.04</v>
      </c>
      <c r="P1948" s="186">
        <v>80000.03</v>
      </c>
      <c r="Q1948" s="186">
        <v>80000.03</v>
      </c>
      <c r="R1948" s="184" t="s">
        <v>6093</v>
      </c>
      <c r="S1948" s="276">
        <v>40000.02</v>
      </c>
      <c r="T1948" s="150">
        <v>45428</v>
      </c>
      <c r="U1948" s="184" t="s">
        <v>6089</v>
      </c>
      <c r="V1948" s="276">
        <v>20000.01</v>
      </c>
      <c r="W1948" s="314" t="s">
        <v>5852</v>
      </c>
      <c r="X1948" s="276">
        <v>20000.01</v>
      </c>
      <c r="Y1948" s="184"/>
    </row>
    <row r="1949" s="90" customFormat="1" ht="37.5" customHeight="1" spans="1:25">
      <c r="A1949" s="138">
        <f t="shared" si="41"/>
        <v>1940</v>
      </c>
      <c r="B1949" s="139">
        <v>2024</v>
      </c>
      <c r="C1949" s="189" t="s">
        <v>37</v>
      </c>
      <c r="D1949" s="279" t="s">
        <v>6155</v>
      </c>
      <c r="E1949" s="190" t="s">
        <v>6156</v>
      </c>
      <c r="F1949" s="142" t="s">
        <v>3192</v>
      </c>
      <c r="G1949" s="143" t="s">
        <v>5231</v>
      </c>
      <c r="H1949" s="144">
        <v>0.8</v>
      </c>
      <c r="I1949" s="145">
        <v>220000</v>
      </c>
      <c r="J1949" s="185" t="s">
        <v>2803</v>
      </c>
      <c r="K1949" s="185" t="s">
        <v>6157</v>
      </c>
      <c r="L1949" s="147">
        <v>0.4</v>
      </c>
      <c r="M1949" s="280" t="s">
        <v>6092</v>
      </c>
      <c r="N1949" s="186">
        <v>118886.63</v>
      </c>
      <c r="O1949" s="186">
        <v>118886.63</v>
      </c>
      <c r="P1949" s="186">
        <v>95109.3</v>
      </c>
      <c r="Q1949" s="186">
        <v>95109.3</v>
      </c>
      <c r="R1949" s="184" t="s">
        <v>6093</v>
      </c>
      <c r="S1949" s="276">
        <v>47554.65</v>
      </c>
      <c r="T1949" s="150">
        <v>45428</v>
      </c>
      <c r="U1949" s="184" t="s">
        <v>6089</v>
      </c>
      <c r="V1949" s="276">
        <v>23777.33</v>
      </c>
      <c r="W1949" s="314" t="s">
        <v>5852</v>
      </c>
      <c r="X1949" s="276">
        <v>23777.33</v>
      </c>
      <c r="Y1949" s="184"/>
    </row>
    <row r="1950" s="90" customFormat="1" ht="37.5" customHeight="1" spans="1:25">
      <c r="A1950" s="138">
        <f t="shared" si="41"/>
        <v>1941</v>
      </c>
      <c r="B1950" s="139">
        <v>2024</v>
      </c>
      <c r="C1950" s="189" t="s">
        <v>37</v>
      </c>
      <c r="D1950" s="279" t="s">
        <v>6146</v>
      </c>
      <c r="E1950" s="190" t="s">
        <v>6158</v>
      </c>
      <c r="F1950" s="142" t="s">
        <v>3192</v>
      </c>
      <c r="G1950" s="143" t="s">
        <v>5231</v>
      </c>
      <c r="H1950" s="144">
        <v>0.8</v>
      </c>
      <c r="I1950" s="145">
        <v>200000</v>
      </c>
      <c r="J1950" s="185" t="s">
        <v>2062</v>
      </c>
      <c r="K1950" s="185" t="s">
        <v>5889</v>
      </c>
      <c r="L1950" s="147">
        <v>0.4</v>
      </c>
      <c r="M1950" s="280" t="s">
        <v>6092</v>
      </c>
      <c r="N1950" s="186">
        <v>125000.03</v>
      </c>
      <c r="O1950" s="186">
        <v>125000.03</v>
      </c>
      <c r="P1950" s="186">
        <v>100000.02</v>
      </c>
      <c r="Q1950" s="186">
        <v>100000.02</v>
      </c>
      <c r="R1950" s="184" t="s">
        <v>6093</v>
      </c>
      <c r="S1950" s="276">
        <v>50000.01</v>
      </c>
      <c r="T1950" s="150">
        <v>45428</v>
      </c>
      <c r="U1950" s="184" t="s">
        <v>6089</v>
      </c>
      <c r="V1950" s="276">
        <v>25000.01</v>
      </c>
      <c r="W1950" s="314" t="s">
        <v>5852</v>
      </c>
      <c r="X1950" s="276">
        <v>25000.01</v>
      </c>
      <c r="Y1950" s="184"/>
    </row>
    <row r="1951" s="90" customFormat="1" ht="37.5" customHeight="1" spans="1:25">
      <c r="A1951" s="138">
        <f t="shared" si="41"/>
        <v>1942</v>
      </c>
      <c r="B1951" s="139">
        <v>2024</v>
      </c>
      <c r="C1951" s="189" t="s">
        <v>37</v>
      </c>
      <c r="D1951" s="279" t="s">
        <v>6159</v>
      </c>
      <c r="E1951" s="190" t="s">
        <v>6160</v>
      </c>
      <c r="F1951" s="142" t="s">
        <v>3192</v>
      </c>
      <c r="G1951" s="143" t="s">
        <v>5231</v>
      </c>
      <c r="H1951" s="144">
        <v>0.8</v>
      </c>
      <c r="I1951" s="145">
        <v>300000</v>
      </c>
      <c r="J1951" s="185" t="s">
        <v>2823</v>
      </c>
      <c r="K1951" s="185" t="s">
        <v>6161</v>
      </c>
      <c r="L1951" s="147">
        <v>0.4</v>
      </c>
      <c r="M1951" s="280" t="s">
        <v>6092</v>
      </c>
      <c r="N1951" s="186">
        <v>175000</v>
      </c>
      <c r="O1951" s="186">
        <v>175000</v>
      </c>
      <c r="P1951" s="186">
        <v>140000</v>
      </c>
      <c r="Q1951" s="186">
        <v>140000</v>
      </c>
      <c r="R1951" s="184" t="s">
        <v>6093</v>
      </c>
      <c r="S1951" s="276">
        <v>70000</v>
      </c>
      <c r="T1951" s="150">
        <v>45428</v>
      </c>
      <c r="U1951" s="184" t="s">
        <v>6089</v>
      </c>
      <c r="V1951" s="276">
        <v>35000</v>
      </c>
      <c r="W1951" s="314" t="s">
        <v>5852</v>
      </c>
      <c r="X1951" s="276">
        <v>35000</v>
      </c>
      <c r="Y1951" s="184"/>
    </row>
    <row r="1952" s="90" customFormat="1" ht="37.5" customHeight="1" spans="1:25">
      <c r="A1952" s="138">
        <f t="shared" si="41"/>
        <v>1943</v>
      </c>
      <c r="B1952" s="139">
        <v>2024</v>
      </c>
      <c r="C1952" s="189" t="s">
        <v>37</v>
      </c>
      <c r="D1952" s="279" t="s">
        <v>6162</v>
      </c>
      <c r="E1952" s="190" t="s">
        <v>6163</v>
      </c>
      <c r="F1952" s="142" t="s">
        <v>3192</v>
      </c>
      <c r="G1952" s="143" t="s">
        <v>5231</v>
      </c>
      <c r="H1952" s="144">
        <v>0.8</v>
      </c>
      <c r="I1952" s="145">
        <v>300000</v>
      </c>
      <c r="J1952" s="185" t="s">
        <v>3286</v>
      </c>
      <c r="K1952" s="185" t="s">
        <v>5879</v>
      </c>
      <c r="L1952" s="147">
        <v>0.4</v>
      </c>
      <c r="M1952" s="280" t="s">
        <v>6092</v>
      </c>
      <c r="N1952" s="186">
        <v>175000</v>
      </c>
      <c r="O1952" s="186">
        <v>175000</v>
      </c>
      <c r="P1952" s="186">
        <v>140000</v>
      </c>
      <c r="Q1952" s="186">
        <v>140000</v>
      </c>
      <c r="R1952" s="184" t="s">
        <v>6093</v>
      </c>
      <c r="S1952" s="276">
        <v>70000</v>
      </c>
      <c r="T1952" s="150">
        <v>45428</v>
      </c>
      <c r="U1952" s="184" t="s">
        <v>6089</v>
      </c>
      <c r="V1952" s="276">
        <v>35000</v>
      </c>
      <c r="W1952" s="314" t="s">
        <v>5852</v>
      </c>
      <c r="X1952" s="276">
        <v>35000</v>
      </c>
      <c r="Y1952" s="184"/>
    </row>
    <row r="1953" s="90" customFormat="1" ht="37.5" customHeight="1" spans="1:25">
      <c r="A1953" s="138">
        <f t="shared" si="41"/>
        <v>1944</v>
      </c>
      <c r="B1953" s="139">
        <v>2024</v>
      </c>
      <c r="C1953" s="189" t="s">
        <v>37</v>
      </c>
      <c r="D1953" s="279" t="s">
        <v>6138</v>
      </c>
      <c r="E1953" s="190" t="s">
        <v>6164</v>
      </c>
      <c r="F1953" s="142" t="s">
        <v>3192</v>
      </c>
      <c r="G1953" s="143" t="s">
        <v>5231</v>
      </c>
      <c r="H1953" s="144">
        <v>0.8</v>
      </c>
      <c r="I1953" s="145">
        <v>400000</v>
      </c>
      <c r="J1953" s="185" t="s">
        <v>2695</v>
      </c>
      <c r="K1953" s="185" t="s">
        <v>4596</v>
      </c>
      <c r="L1953" s="147">
        <v>0.4</v>
      </c>
      <c r="M1953" s="280" t="s">
        <v>6092</v>
      </c>
      <c r="N1953" s="186">
        <v>216666.63</v>
      </c>
      <c r="O1953" s="186">
        <v>216666.63</v>
      </c>
      <c r="P1953" s="186">
        <v>173333.3</v>
      </c>
      <c r="Q1953" s="186">
        <v>173333.3</v>
      </c>
      <c r="R1953" s="184" t="s">
        <v>6093</v>
      </c>
      <c r="S1953" s="276">
        <v>86666.65</v>
      </c>
      <c r="T1953" s="150">
        <v>45428</v>
      </c>
      <c r="U1953" s="184" t="s">
        <v>6089</v>
      </c>
      <c r="V1953" s="276">
        <v>43333.33</v>
      </c>
      <c r="W1953" s="314" t="s">
        <v>5852</v>
      </c>
      <c r="X1953" s="376">
        <v>43333.33</v>
      </c>
      <c r="Y1953" s="184"/>
    </row>
    <row r="1954" s="90" customFormat="1" ht="37.5" customHeight="1" spans="1:25">
      <c r="A1954" s="138">
        <f t="shared" si="41"/>
        <v>1945</v>
      </c>
      <c r="B1954" s="139">
        <v>2024</v>
      </c>
      <c r="C1954" s="189" t="s">
        <v>37</v>
      </c>
      <c r="D1954" s="279" t="s">
        <v>6117</v>
      </c>
      <c r="E1954" s="190" t="s">
        <v>6165</v>
      </c>
      <c r="F1954" s="142" t="s">
        <v>3192</v>
      </c>
      <c r="G1954" s="143" t="s">
        <v>5231</v>
      </c>
      <c r="H1954" s="144">
        <v>0.8</v>
      </c>
      <c r="I1954" s="145">
        <v>770000</v>
      </c>
      <c r="J1954" s="185" t="s">
        <v>4509</v>
      </c>
      <c r="K1954" s="185" t="s">
        <v>4925</v>
      </c>
      <c r="L1954" s="147">
        <v>0.4</v>
      </c>
      <c r="M1954" s="280" t="s">
        <v>6092</v>
      </c>
      <c r="N1954" s="186">
        <v>288750.05</v>
      </c>
      <c r="O1954" s="186">
        <v>288750.05</v>
      </c>
      <c r="P1954" s="186">
        <v>231000.04</v>
      </c>
      <c r="Q1954" s="186">
        <v>231000.04</v>
      </c>
      <c r="R1954" s="184" t="s">
        <v>6093</v>
      </c>
      <c r="S1954" s="276">
        <v>115500.02</v>
      </c>
      <c r="T1954" s="150">
        <v>45428</v>
      </c>
      <c r="U1954" s="184"/>
      <c r="V1954" s="276"/>
      <c r="W1954" s="185"/>
      <c r="X1954" s="153"/>
      <c r="Y1954" s="184" t="s">
        <v>1077</v>
      </c>
    </row>
    <row r="1955" s="90" customFormat="1" ht="37.5" customHeight="1" spans="1:25">
      <c r="A1955" s="138">
        <f t="shared" si="41"/>
        <v>1946</v>
      </c>
      <c r="B1955" s="139">
        <v>2024</v>
      </c>
      <c r="C1955" s="189" t="s">
        <v>37</v>
      </c>
      <c r="D1955" s="378" t="s">
        <v>6162</v>
      </c>
      <c r="E1955" s="190" t="s">
        <v>6166</v>
      </c>
      <c r="F1955" s="142" t="s">
        <v>3192</v>
      </c>
      <c r="G1955" s="143" t="s">
        <v>5231</v>
      </c>
      <c r="H1955" s="144">
        <v>0.8</v>
      </c>
      <c r="I1955" s="145">
        <v>600000</v>
      </c>
      <c r="J1955" s="185" t="s">
        <v>6092</v>
      </c>
      <c r="K1955" s="185" t="s">
        <v>6167</v>
      </c>
      <c r="L1955" s="147">
        <v>0.4</v>
      </c>
      <c r="M1955" s="280" t="s">
        <v>6092</v>
      </c>
      <c r="N1955" s="186">
        <v>300000</v>
      </c>
      <c r="O1955" s="186">
        <v>300000</v>
      </c>
      <c r="P1955" s="186">
        <v>240000</v>
      </c>
      <c r="Q1955" s="186">
        <v>240000</v>
      </c>
      <c r="R1955" s="184" t="s">
        <v>6093</v>
      </c>
      <c r="S1955" s="276">
        <v>120000</v>
      </c>
      <c r="T1955" s="150">
        <v>45428</v>
      </c>
      <c r="U1955" s="184" t="s">
        <v>6089</v>
      </c>
      <c r="V1955" s="276">
        <v>60000</v>
      </c>
      <c r="W1955" s="314" t="s">
        <v>6168</v>
      </c>
      <c r="X1955" s="376">
        <v>60000</v>
      </c>
      <c r="Y1955" s="184"/>
    </row>
    <row r="1956" s="90" customFormat="1" ht="37.5" customHeight="1" spans="1:25">
      <c r="A1956" s="138">
        <f t="shared" si="41"/>
        <v>1947</v>
      </c>
      <c r="B1956" s="139">
        <v>2024</v>
      </c>
      <c r="C1956" s="189" t="s">
        <v>37</v>
      </c>
      <c r="D1956" s="279" t="s">
        <v>6169</v>
      </c>
      <c r="E1956" s="190" t="s">
        <v>6170</v>
      </c>
      <c r="F1956" s="142" t="s">
        <v>3192</v>
      </c>
      <c r="G1956" s="143" t="s">
        <v>5231</v>
      </c>
      <c r="H1956" s="144">
        <v>0.8</v>
      </c>
      <c r="I1956" s="145">
        <v>820000</v>
      </c>
      <c r="J1956" s="185" t="s">
        <v>2070</v>
      </c>
      <c r="K1956" s="185" t="s">
        <v>5897</v>
      </c>
      <c r="L1956" s="147">
        <v>0.4</v>
      </c>
      <c r="M1956" s="280" t="s">
        <v>6092</v>
      </c>
      <c r="N1956" s="186">
        <v>307499.95</v>
      </c>
      <c r="O1956" s="186">
        <v>307499.95</v>
      </c>
      <c r="P1956" s="186">
        <v>245999.96</v>
      </c>
      <c r="Q1956" s="186">
        <v>245999.96</v>
      </c>
      <c r="R1956" s="184" t="s">
        <v>6093</v>
      </c>
      <c r="S1956" s="276">
        <v>122999.98</v>
      </c>
      <c r="T1956" s="150">
        <v>45428</v>
      </c>
      <c r="U1956" s="184"/>
      <c r="V1956" s="276"/>
      <c r="W1956" s="185"/>
      <c r="X1956" s="372"/>
      <c r="Y1956" s="184" t="s">
        <v>1077</v>
      </c>
    </row>
    <row r="1957" s="91" customFormat="1" ht="37.5" customHeight="1" spans="1:25">
      <c r="A1957" s="138">
        <f t="shared" si="41"/>
        <v>1948</v>
      </c>
      <c r="B1957" s="139">
        <v>2024</v>
      </c>
      <c r="C1957" s="189" t="s">
        <v>37</v>
      </c>
      <c r="D1957" s="279" t="s">
        <v>6171</v>
      </c>
      <c r="E1957" s="190" t="s">
        <v>6172</v>
      </c>
      <c r="F1957" s="142" t="s">
        <v>3192</v>
      </c>
      <c r="G1957" s="143" t="s">
        <v>5231</v>
      </c>
      <c r="H1957" s="144">
        <v>0.8</v>
      </c>
      <c r="I1957" s="145">
        <v>30000</v>
      </c>
      <c r="J1957" s="185" t="s">
        <v>2609</v>
      </c>
      <c r="K1957" s="288" t="s">
        <v>6173</v>
      </c>
      <c r="L1957" s="147">
        <v>0.4</v>
      </c>
      <c r="M1957" s="280" t="s">
        <v>3570</v>
      </c>
      <c r="N1957" s="186">
        <v>28750</v>
      </c>
      <c r="O1957" s="186">
        <v>28750</v>
      </c>
      <c r="P1957" s="186">
        <v>23000</v>
      </c>
      <c r="Q1957" s="186">
        <v>23000</v>
      </c>
      <c r="R1957" s="184" t="s">
        <v>4183</v>
      </c>
      <c r="S1957" s="276">
        <v>11500</v>
      </c>
      <c r="T1957" s="150">
        <v>45435</v>
      </c>
      <c r="U1957" s="374">
        <v>45435</v>
      </c>
      <c r="V1957" s="276">
        <v>5750</v>
      </c>
      <c r="W1957" s="314" t="s">
        <v>6174</v>
      </c>
      <c r="X1957" s="276">
        <v>5750</v>
      </c>
      <c r="Y1957" s="184"/>
    </row>
    <row r="1958" s="91" customFormat="1" ht="37.5" customHeight="1" spans="1:25">
      <c r="A1958" s="138">
        <f t="shared" si="41"/>
        <v>1949</v>
      </c>
      <c r="B1958" s="139">
        <v>2024</v>
      </c>
      <c r="C1958" s="189" t="s">
        <v>37</v>
      </c>
      <c r="D1958" s="279" t="s">
        <v>6171</v>
      </c>
      <c r="E1958" s="190" t="s">
        <v>6175</v>
      </c>
      <c r="F1958" s="142" t="s">
        <v>3192</v>
      </c>
      <c r="G1958" s="143" t="s">
        <v>5231</v>
      </c>
      <c r="H1958" s="144">
        <v>0.8</v>
      </c>
      <c r="I1958" s="145">
        <v>30000</v>
      </c>
      <c r="J1958" s="379" t="s">
        <v>2241</v>
      </c>
      <c r="K1958" s="380" t="s">
        <v>6173</v>
      </c>
      <c r="L1958" s="381">
        <v>0.4</v>
      </c>
      <c r="M1958" s="382" t="s">
        <v>3570</v>
      </c>
      <c r="N1958" s="186">
        <v>28750</v>
      </c>
      <c r="O1958" s="186">
        <v>28750</v>
      </c>
      <c r="P1958" s="186">
        <v>23000</v>
      </c>
      <c r="Q1958" s="186">
        <v>23000</v>
      </c>
      <c r="R1958" s="184" t="s">
        <v>4183</v>
      </c>
      <c r="S1958" s="276">
        <v>11500</v>
      </c>
      <c r="T1958" s="150">
        <v>45435</v>
      </c>
      <c r="U1958" s="374">
        <v>45435</v>
      </c>
      <c r="V1958" s="276">
        <v>5750</v>
      </c>
      <c r="W1958" s="314" t="s">
        <v>6174</v>
      </c>
      <c r="X1958" s="276">
        <v>5750</v>
      </c>
      <c r="Y1958" s="184"/>
    </row>
    <row r="1959" s="80" customFormat="1" ht="37.5" customHeight="1" spans="1:25">
      <c r="A1959" s="138">
        <f t="shared" si="41"/>
        <v>1950</v>
      </c>
      <c r="B1959" s="139">
        <v>2024</v>
      </c>
      <c r="C1959" s="189" t="s">
        <v>37</v>
      </c>
      <c r="D1959" s="279" t="s">
        <v>6171</v>
      </c>
      <c r="E1959" s="190" t="s">
        <v>6176</v>
      </c>
      <c r="F1959" s="142" t="s">
        <v>3192</v>
      </c>
      <c r="G1959" s="143" t="s">
        <v>5231</v>
      </c>
      <c r="H1959" s="144">
        <v>0.8</v>
      </c>
      <c r="I1959" s="145">
        <v>30000</v>
      </c>
      <c r="J1959" s="185" t="s">
        <v>2382</v>
      </c>
      <c r="K1959" s="383" t="s">
        <v>6173</v>
      </c>
      <c r="L1959" s="147">
        <v>0.4</v>
      </c>
      <c r="M1959" s="280" t="s">
        <v>3570</v>
      </c>
      <c r="N1959" s="186">
        <v>28750</v>
      </c>
      <c r="O1959" s="186">
        <v>28750</v>
      </c>
      <c r="P1959" s="186">
        <v>23000</v>
      </c>
      <c r="Q1959" s="186">
        <v>23000</v>
      </c>
      <c r="R1959" s="184" t="s">
        <v>4183</v>
      </c>
      <c r="S1959" s="276">
        <v>11500</v>
      </c>
      <c r="T1959" s="150">
        <v>45435</v>
      </c>
      <c r="U1959" s="374">
        <v>45435</v>
      </c>
      <c r="V1959" s="276">
        <v>5750</v>
      </c>
      <c r="W1959" s="314" t="s">
        <v>6174</v>
      </c>
      <c r="X1959" s="276">
        <v>5750</v>
      </c>
      <c r="Y1959" s="184"/>
    </row>
    <row r="1960" s="80" customFormat="1" ht="37.5" customHeight="1" spans="1:25">
      <c r="A1960" s="138">
        <f t="shared" si="41"/>
        <v>1951</v>
      </c>
      <c r="B1960" s="139">
        <v>2024</v>
      </c>
      <c r="C1960" s="189" t="s">
        <v>37</v>
      </c>
      <c r="D1960" s="279" t="s">
        <v>6171</v>
      </c>
      <c r="E1960" s="190" t="s">
        <v>6177</v>
      </c>
      <c r="F1960" s="142" t="s">
        <v>3192</v>
      </c>
      <c r="G1960" s="143" t="s">
        <v>5231</v>
      </c>
      <c r="H1960" s="144">
        <v>0.8</v>
      </c>
      <c r="I1960" s="145">
        <v>40000</v>
      </c>
      <c r="J1960" s="185" t="s">
        <v>2253</v>
      </c>
      <c r="K1960" s="185" t="s">
        <v>6173</v>
      </c>
      <c r="L1960" s="147">
        <v>0.4</v>
      </c>
      <c r="M1960" s="280" t="s">
        <v>3570</v>
      </c>
      <c r="N1960" s="186">
        <v>38333.33</v>
      </c>
      <c r="O1960" s="186">
        <v>38333.33</v>
      </c>
      <c r="P1960" s="186">
        <v>30666.66</v>
      </c>
      <c r="Q1960" s="186">
        <v>30666.66</v>
      </c>
      <c r="R1960" s="184" t="s">
        <v>4183</v>
      </c>
      <c r="S1960" s="276">
        <v>15333.33</v>
      </c>
      <c r="T1960" s="150">
        <v>45435</v>
      </c>
      <c r="U1960" s="374">
        <v>45435</v>
      </c>
      <c r="V1960" s="276">
        <v>7666.67</v>
      </c>
      <c r="W1960" s="314" t="s">
        <v>6174</v>
      </c>
      <c r="X1960" s="276">
        <v>7666.67</v>
      </c>
      <c r="Y1960" s="184"/>
    </row>
    <row r="1961" s="80" customFormat="1" ht="37.5" customHeight="1" spans="1:25">
      <c r="A1961" s="138">
        <f t="shared" si="41"/>
        <v>1952</v>
      </c>
      <c r="B1961" s="139">
        <v>2024</v>
      </c>
      <c r="C1961" s="189" t="s">
        <v>31</v>
      </c>
      <c r="D1961" s="279" t="s">
        <v>88</v>
      </c>
      <c r="E1961" s="190" t="s">
        <v>6178</v>
      </c>
      <c r="F1961" s="142" t="s">
        <v>4637</v>
      </c>
      <c r="G1961" s="143" t="s">
        <v>1137</v>
      </c>
      <c r="H1961" s="144">
        <v>0.8</v>
      </c>
      <c r="I1961" s="145">
        <v>320000</v>
      </c>
      <c r="J1961" s="185" t="s">
        <v>3372</v>
      </c>
      <c r="K1961" s="185" t="s">
        <v>6121</v>
      </c>
      <c r="L1961" s="147">
        <v>0.4</v>
      </c>
      <c r="M1961" s="280" t="s">
        <v>5432</v>
      </c>
      <c r="N1961" s="186">
        <v>59955.23</v>
      </c>
      <c r="O1961" s="186">
        <v>59955.23</v>
      </c>
      <c r="P1961" s="186">
        <v>47964.18</v>
      </c>
      <c r="Q1961" s="186">
        <v>47964.18</v>
      </c>
      <c r="R1961" s="184" t="s">
        <v>4183</v>
      </c>
      <c r="S1961" s="276">
        <v>23982.09</v>
      </c>
      <c r="T1961" s="150">
        <v>45440</v>
      </c>
      <c r="U1961" s="184" t="s">
        <v>6179</v>
      </c>
      <c r="V1961" s="276">
        <v>11991.05</v>
      </c>
      <c r="W1961" s="314" t="s">
        <v>5239</v>
      </c>
      <c r="X1961" s="276">
        <v>11991.05</v>
      </c>
      <c r="Y1961" s="184"/>
    </row>
    <row r="1962" s="80" customFormat="1" ht="37.5" customHeight="1" spans="1:25">
      <c r="A1962" s="138">
        <f t="shared" si="41"/>
        <v>1953</v>
      </c>
      <c r="B1962" s="139">
        <v>2024</v>
      </c>
      <c r="C1962" s="189" t="s">
        <v>37</v>
      </c>
      <c r="D1962" s="279" t="s">
        <v>6180</v>
      </c>
      <c r="E1962" s="190" t="s">
        <v>6181</v>
      </c>
      <c r="F1962" s="142" t="s">
        <v>3192</v>
      </c>
      <c r="G1962" s="143" t="s">
        <v>5231</v>
      </c>
      <c r="H1962" s="144">
        <v>0.8</v>
      </c>
      <c r="I1962" s="145">
        <v>200000</v>
      </c>
      <c r="J1962" s="185" t="s">
        <v>2144</v>
      </c>
      <c r="K1962" s="185" t="s">
        <v>6182</v>
      </c>
      <c r="L1962" s="147">
        <v>0.4</v>
      </c>
      <c r="M1962" s="280" t="s">
        <v>3570</v>
      </c>
      <c r="N1962" s="186">
        <v>116666.7</v>
      </c>
      <c r="O1962" s="186">
        <v>116666.7</v>
      </c>
      <c r="P1962" s="186">
        <v>93333.36</v>
      </c>
      <c r="Q1962" s="186">
        <v>93333.36</v>
      </c>
      <c r="R1962" s="184" t="s">
        <v>4183</v>
      </c>
      <c r="S1962" s="276">
        <v>46666.68</v>
      </c>
      <c r="T1962" s="150">
        <v>45435</v>
      </c>
      <c r="U1962" s="374">
        <v>45435</v>
      </c>
      <c r="V1962" s="276">
        <v>23333.34</v>
      </c>
      <c r="W1962" s="314" t="s">
        <v>6174</v>
      </c>
      <c r="X1962" s="276">
        <v>23333.34</v>
      </c>
      <c r="Y1962" s="372"/>
    </row>
    <row r="1963" s="80" customFormat="1" ht="37.5" customHeight="1" spans="1:25">
      <c r="A1963" s="138">
        <f t="shared" si="41"/>
        <v>1954</v>
      </c>
      <c r="B1963" s="139">
        <v>2024</v>
      </c>
      <c r="C1963" s="189" t="s">
        <v>37</v>
      </c>
      <c r="D1963" s="279" t="s">
        <v>6180</v>
      </c>
      <c r="E1963" s="190" t="s">
        <v>6183</v>
      </c>
      <c r="F1963" s="142" t="s">
        <v>3192</v>
      </c>
      <c r="G1963" s="143" t="s">
        <v>5231</v>
      </c>
      <c r="H1963" s="144">
        <v>0.8</v>
      </c>
      <c r="I1963" s="145">
        <v>350000</v>
      </c>
      <c r="J1963" s="185" t="s">
        <v>2011</v>
      </c>
      <c r="K1963" s="185" t="s">
        <v>5922</v>
      </c>
      <c r="L1963" s="147">
        <v>0.4</v>
      </c>
      <c r="M1963" s="280" t="s">
        <v>3570</v>
      </c>
      <c r="N1963" s="186">
        <v>175000.04</v>
      </c>
      <c r="O1963" s="186">
        <v>175000.04</v>
      </c>
      <c r="P1963" s="186">
        <v>140000.03</v>
      </c>
      <c r="Q1963" s="186">
        <v>140000.03</v>
      </c>
      <c r="R1963" s="184" t="s">
        <v>4183</v>
      </c>
      <c r="S1963" s="276">
        <v>70000.02</v>
      </c>
      <c r="T1963" s="150">
        <v>45435</v>
      </c>
      <c r="U1963" s="374">
        <v>45435</v>
      </c>
      <c r="V1963" s="276">
        <v>35000.01</v>
      </c>
      <c r="W1963" s="314" t="s">
        <v>6174</v>
      </c>
      <c r="X1963" s="276">
        <v>35000.01</v>
      </c>
      <c r="Y1963" s="184"/>
    </row>
    <row r="1964" s="80" customFormat="1" ht="37.5" customHeight="1" spans="1:25">
      <c r="A1964" s="138">
        <f t="shared" si="41"/>
        <v>1955</v>
      </c>
      <c r="B1964" s="139">
        <v>2024</v>
      </c>
      <c r="C1964" s="189" t="s">
        <v>37</v>
      </c>
      <c r="D1964" s="279" t="s">
        <v>6184</v>
      </c>
      <c r="E1964" s="190" t="s">
        <v>6185</v>
      </c>
      <c r="F1964" s="142" t="s">
        <v>3192</v>
      </c>
      <c r="G1964" s="143" t="s">
        <v>5231</v>
      </c>
      <c r="H1964" s="144">
        <v>0.8</v>
      </c>
      <c r="I1964" s="145">
        <v>300000</v>
      </c>
      <c r="J1964" s="185" t="s">
        <v>5325</v>
      </c>
      <c r="K1964" s="185" t="s">
        <v>6186</v>
      </c>
      <c r="L1964" s="147">
        <v>0.4</v>
      </c>
      <c r="M1964" s="280" t="s">
        <v>3570</v>
      </c>
      <c r="N1964" s="186">
        <v>285714.29</v>
      </c>
      <c r="O1964" s="186">
        <v>285714.29</v>
      </c>
      <c r="P1964" s="186">
        <v>228571.43</v>
      </c>
      <c r="Q1964" s="186">
        <v>228571.43</v>
      </c>
      <c r="R1964" s="184" t="s">
        <v>4183</v>
      </c>
      <c r="S1964" s="276">
        <v>114285.72</v>
      </c>
      <c r="T1964" s="150">
        <v>45435</v>
      </c>
      <c r="U1964" s="374">
        <v>45435</v>
      </c>
      <c r="V1964" s="276">
        <v>57142.86</v>
      </c>
      <c r="W1964" s="314" t="s">
        <v>6174</v>
      </c>
      <c r="X1964" s="276">
        <v>57142.86</v>
      </c>
      <c r="Y1964" s="184"/>
    </row>
    <row r="1965" s="80" customFormat="1" ht="37.5" customHeight="1" spans="1:25">
      <c r="A1965" s="138">
        <f t="shared" si="41"/>
        <v>1956</v>
      </c>
      <c r="B1965" s="139">
        <v>2024</v>
      </c>
      <c r="C1965" s="189" t="s">
        <v>37</v>
      </c>
      <c r="D1965" s="279" t="s">
        <v>6187</v>
      </c>
      <c r="E1965" s="190" t="s">
        <v>6188</v>
      </c>
      <c r="F1965" s="142" t="s">
        <v>3192</v>
      </c>
      <c r="G1965" s="143" t="s">
        <v>5231</v>
      </c>
      <c r="H1965" s="144">
        <v>0.8</v>
      </c>
      <c r="I1965" s="145">
        <v>600000</v>
      </c>
      <c r="J1965" s="185" t="s">
        <v>2048</v>
      </c>
      <c r="K1965" s="185" t="s">
        <v>5783</v>
      </c>
      <c r="L1965" s="147">
        <v>0.4</v>
      </c>
      <c r="M1965" s="280" t="s">
        <v>3570</v>
      </c>
      <c r="N1965" s="186">
        <v>371428.56</v>
      </c>
      <c r="O1965" s="186">
        <v>371428.56</v>
      </c>
      <c r="P1965" s="186">
        <v>297142.85</v>
      </c>
      <c r="Q1965" s="186">
        <v>297142.85</v>
      </c>
      <c r="R1965" s="184" t="s">
        <v>4183</v>
      </c>
      <c r="S1965" s="276">
        <v>148571.42</v>
      </c>
      <c r="T1965" s="150">
        <v>45435</v>
      </c>
      <c r="U1965" s="374">
        <v>45435</v>
      </c>
      <c r="V1965" s="276">
        <v>74285.71</v>
      </c>
      <c r="W1965" s="314" t="s">
        <v>6168</v>
      </c>
      <c r="X1965" s="276">
        <v>74285.71</v>
      </c>
      <c r="Y1965" s="184"/>
    </row>
    <row r="1966" s="80" customFormat="1" ht="37.5" customHeight="1" spans="1:25">
      <c r="A1966" s="138">
        <f t="shared" si="41"/>
        <v>1957</v>
      </c>
      <c r="B1966" s="139">
        <v>2024</v>
      </c>
      <c r="C1966" s="189" t="s">
        <v>37</v>
      </c>
      <c r="D1966" s="279" t="s">
        <v>6180</v>
      </c>
      <c r="E1966" s="190" t="s">
        <v>6189</v>
      </c>
      <c r="F1966" s="142" t="s">
        <v>3192</v>
      </c>
      <c r="G1966" s="143" t="s">
        <v>5231</v>
      </c>
      <c r="H1966" s="144">
        <v>0.8</v>
      </c>
      <c r="I1966" s="145">
        <v>1000000</v>
      </c>
      <c r="J1966" s="185" t="s">
        <v>2867</v>
      </c>
      <c r="K1966" s="185" t="s">
        <v>5922</v>
      </c>
      <c r="L1966" s="147">
        <v>0.4</v>
      </c>
      <c r="M1966" s="280" t="s">
        <v>3570</v>
      </c>
      <c r="N1966" s="186">
        <v>499999.96</v>
      </c>
      <c r="O1966" s="186">
        <v>499999.96</v>
      </c>
      <c r="P1966" s="186">
        <v>399999.97</v>
      </c>
      <c r="Q1966" s="186">
        <v>399999.97</v>
      </c>
      <c r="R1966" s="184" t="s">
        <v>4183</v>
      </c>
      <c r="S1966" s="276">
        <v>199999.98</v>
      </c>
      <c r="T1966" s="150">
        <v>45435</v>
      </c>
      <c r="U1966" s="374">
        <v>45435</v>
      </c>
      <c r="V1966" s="276">
        <v>99999.99</v>
      </c>
      <c r="W1966" s="314" t="s">
        <v>6168</v>
      </c>
      <c r="X1966" s="276">
        <v>99999.99</v>
      </c>
      <c r="Y1966" s="184"/>
    </row>
    <row r="1967" s="80" customFormat="1" ht="37.5" customHeight="1" spans="1:25">
      <c r="A1967" s="138">
        <f t="shared" si="41"/>
        <v>1958</v>
      </c>
      <c r="B1967" s="139">
        <v>2024</v>
      </c>
      <c r="C1967" s="189" t="s">
        <v>28</v>
      </c>
      <c r="D1967" s="279" t="s">
        <v>113</v>
      </c>
      <c r="E1967" s="1282" t="s">
        <v>6190</v>
      </c>
      <c r="F1967" s="142" t="s">
        <v>1179</v>
      </c>
      <c r="G1967" s="143" t="s">
        <v>1103</v>
      </c>
      <c r="H1967" s="144">
        <v>0.8</v>
      </c>
      <c r="I1967" s="145">
        <v>300000</v>
      </c>
      <c r="J1967" s="185" t="s">
        <v>6191</v>
      </c>
      <c r="K1967" s="185" t="s">
        <v>5676</v>
      </c>
      <c r="L1967" s="147">
        <v>0.4</v>
      </c>
      <c r="M1967" s="280" t="s">
        <v>3918</v>
      </c>
      <c r="N1967" s="186">
        <v>303343.34</v>
      </c>
      <c r="O1967" s="186">
        <v>300000</v>
      </c>
      <c r="P1967" s="186">
        <v>240000</v>
      </c>
      <c r="Q1967" s="186">
        <v>242674.67</v>
      </c>
      <c r="R1967" s="184" t="s">
        <v>6192</v>
      </c>
      <c r="S1967" s="276">
        <v>120000</v>
      </c>
      <c r="T1967" s="150">
        <v>45440</v>
      </c>
      <c r="U1967" s="184" t="s">
        <v>4592</v>
      </c>
      <c r="V1967" s="276">
        <v>60000</v>
      </c>
      <c r="W1967" s="314" t="s">
        <v>6154</v>
      </c>
      <c r="X1967" s="276">
        <v>60000</v>
      </c>
      <c r="Y1967" s="184"/>
    </row>
    <row r="1968" s="80" customFormat="1" ht="37.5" customHeight="1" spans="1:25">
      <c r="A1968" s="138">
        <f t="shared" si="41"/>
        <v>1959</v>
      </c>
      <c r="B1968" s="384">
        <v>2024</v>
      </c>
      <c r="C1968" s="385" t="s">
        <v>57</v>
      </c>
      <c r="D1968" s="386" t="s">
        <v>60</v>
      </c>
      <c r="E1968" s="190" t="s">
        <v>6193</v>
      </c>
      <c r="F1968" s="387" t="s">
        <v>6194</v>
      </c>
      <c r="G1968" s="325" t="s">
        <v>1188</v>
      </c>
      <c r="H1968" s="144">
        <v>1</v>
      </c>
      <c r="I1968" s="305">
        <v>4000000</v>
      </c>
      <c r="J1968" s="388" t="s">
        <v>5025</v>
      </c>
      <c r="K1968" s="388" t="s">
        <v>6195</v>
      </c>
      <c r="L1968" s="307">
        <v>0.4</v>
      </c>
      <c r="M1968" s="389" t="s">
        <v>4444</v>
      </c>
      <c r="N1968" s="390">
        <v>4000000</v>
      </c>
      <c r="O1968" s="390">
        <v>4000000</v>
      </c>
      <c r="P1968" s="390">
        <v>4000000</v>
      </c>
      <c r="Q1968" s="390">
        <v>4049422.2</v>
      </c>
      <c r="R1968" s="391" t="s">
        <v>6196</v>
      </c>
      <c r="S1968" s="350">
        <v>1600000</v>
      </c>
      <c r="T1968" s="150">
        <v>45448</v>
      </c>
      <c r="U1968" s="391" t="s">
        <v>5239</v>
      </c>
      <c r="V1968" s="350">
        <v>800000</v>
      </c>
      <c r="W1968" s="314" t="s">
        <v>5788</v>
      </c>
      <c r="X1968" s="350">
        <v>800000</v>
      </c>
      <c r="Y1968" s="392"/>
    </row>
    <row r="1969" s="80" customFormat="1" ht="37.5" customHeight="1" spans="1:25">
      <c r="A1969" s="139">
        <f t="shared" si="41"/>
        <v>1960</v>
      </c>
      <c r="B1969" s="384">
        <v>2024</v>
      </c>
      <c r="C1969" s="393" t="s">
        <v>41</v>
      </c>
      <c r="D1969" s="394" t="s">
        <v>66</v>
      </c>
      <c r="E1969" s="283" t="s">
        <v>6197</v>
      </c>
      <c r="F1969" s="395" t="s">
        <v>6198</v>
      </c>
      <c r="G1969" s="396" t="s">
        <v>1188</v>
      </c>
      <c r="H1969" s="144">
        <v>1</v>
      </c>
      <c r="I1969" s="327">
        <v>5000000</v>
      </c>
      <c r="J1969" s="397" t="s">
        <v>3526</v>
      </c>
      <c r="K1969" s="397" t="s">
        <v>3109</v>
      </c>
      <c r="L1969" s="398">
        <v>0.4</v>
      </c>
      <c r="M1969" s="399" t="s">
        <v>3918</v>
      </c>
      <c r="N1969" s="390">
        <v>5000000</v>
      </c>
      <c r="O1969" s="390">
        <v>5000000</v>
      </c>
      <c r="P1969" s="390">
        <v>5000000</v>
      </c>
      <c r="Q1969" s="390">
        <v>5026465.28</v>
      </c>
      <c r="R1969" s="400" t="s">
        <v>6196</v>
      </c>
      <c r="S1969" s="390">
        <v>2000000</v>
      </c>
      <c r="T1969" s="150">
        <v>45448</v>
      </c>
      <c r="U1969" s="400" t="s">
        <v>6199</v>
      </c>
      <c r="V1969" s="350">
        <v>1000000</v>
      </c>
      <c r="W1969" s="401" t="s">
        <v>5788</v>
      </c>
      <c r="X1969" s="402">
        <v>1000000</v>
      </c>
      <c r="Y1969" s="403"/>
    </row>
    <row r="1970" s="92" customFormat="1" ht="37.5" customHeight="1" spans="1:25">
      <c r="A1970" s="404">
        <f t="shared" si="41"/>
        <v>1961</v>
      </c>
      <c r="B1970" s="405">
        <v>2024</v>
      </c>
      <c r="C1970" s="405" t="s">
        <v>57</v>
      </c>
      <c r="D1970" s="394" t="s">
        <v>60</v>
      </c>
      <c r="E1970" s="406" t="s">
        <v>6200</v>
      </c>
      <c r="F1970" s="407" t="s">
        <v>6194</v>
      </c>
      <c r="G1970" s="408" t="s">
        <v>1188</v>
      </c>
      <c r="H1970" s="144">
        <v>1</v>
      </c>
      <c r="I1970" s="409">
        <v>6000000</v>
      </c>
      <c r="J1970" s="410" t="s">
        <v>5025</v>
      </c>
      <c r="K1970" s="410" t="s">
        <v>6195</v>
      </c>
      <c r="L1970" s="411">
        <v>0.4</v>
      </c>
      <c r="M1970" s="412" t="s">
        <v>4444</v>
      </c>
      <c r="N1970" s="413">
        <v>6000000</v>
      </c>
      <c r="O1970" s="390">
        <v>6000000</v>
      </c>
      <c r="P1970" s="390">
        <v>6000000</v>
      </c>
      <c r="Q1970" s="390">
        <v>6074133.3</v>
      </c>
      <c r="R1970" s="414" t="s">
        <v>6196</v>
      </c>
      <c r="S1970" s="413">
        <v>2400000</v>
      </c>
      <c r="T1970" s="150">
        <v>45448</v>
      </c>
      <c r="U1970" s="414" t="s">
        <v>5239</v>
      </c>
      <c r="V1970" s="350">
        <v>1200000</v>
      </c>
      <c r="W1970" s="401" t="s">
        <v>5788</v>
      </c>
      <c r="X1970" s="350">
        <v>1200000</v>
      </c>
      <c r="Y1970" s="415"/>
    </row>
    <row r="1971" s="92" customFormat="1" ht="37.5" customHeight="1" spans="1:25">
      <c r="A1971" s="404">
        <f t="shared" si="41"/>
        <v>1962</v>
      </c>
      <c r="B1971" s="405">
        <v>2024</v>
      </c>
      <c r="C1971" s="405" t="s">
        <v>31</v>
      </c>
      <c r="D1971" s="394" t="s">
        <v>112</v>
      </c>
      <c r="E1971" s="406" t="s">
        <v>6201</v>
      </c>
      <c r="F1971" s="407" t="s">
        <v>1211</v>
      </c>
      <c r="G1971" s="408" t="s">
        <v>1137</v>
      </c>
      <c r="H1971" s="144">
        <v>0.8</v>
      </c>
      <c r="I1971" s="409">
        <v>300000</v>
      </c>
      <c r="J1971" s="410" t="s">
        <v>5338</v>
      </c>
      <c r="K1971" s="410" t="s">
        <v>4625</v>
      </c>
      <c r="L1971" s="411">
        <v>0.4</v>
      </c>
      <c r="M1971" s="412" t="s">
        <v>4855</v>
      </c>
      <c r="N1971" s="413">
        <v>294714</v>
      </c>
      <c r="O1971" s="390">
        <v>294714</v>
      </c>
      <c r="P1971" s="390">
        <v>235771.2</v>
      </c>
      <c r="Q1971" s="390">
        <v>235771.2</v>
      </c>
      <c r="R1971" s="414" t="s">
        <v>5774</v>
      </c>
      <c r="S1971" s="413">
        <v>117885.6</v>
      </c>
      <c r="T1971" s="150">
        <v>45456</v>
      </c>
      <c r="U1971" s="414" t="s">
        <v>6096</v>
      </c>
      <c r="V1971" s="350">
        <v>58942.8</v>
      </c>
      <c r="W1971" s="416" t="s">
        <v>5813</v>
      </c>
      <c r="X1971" s="350">
        <v>58942.8</v>
      </c>
      <c r="Y1971" s="415"/>
    </row>
    <row r="1972" s="93" customFormat="1" ht="37.5" customHeight="1" spans="1:25">
      <c r="A1972" s="404">
        <f t="shared" si="41"/>
        <v>1963</v>
      </c>
      <c r="B1972" s="405">
        <v>2024</v>
      </c>
      <c r="C1972" s="405" t="s">
        <v>89</v>
      </c>
      <c r="D1972" s="394" t="s">
        <v>90</v>
      </c>
      <c r="E1972" s="406" t="s">
        <v>6202</v>
      </c>
      <c r="F1972" s="407" t="s">
        <v>6203</v>
      </c>
      <c r="G1972" s="408" t="s">
        <v>1103</v>
      </c>
      <c r="H1972" s="144">
        <v>0.8</v>
      </c>
      <c r="I1972" s="409">
        <v>1900000</v>
      </c>
      <c r="J1972" s="410" t="s">
        <v>5463</v>
      </c>
      <c r="K1972" s="410" t="s">
        <v>6204</v>
      </c>
      <c r="L1972" s="411">
        <v>0.4</v>
      </c>
      <c r="M1972" s="412" t="s">
        <v>4877</v>
      </c>
      <c r="N1972" s="413">
        <v>1934484.84</v>
      </c>
      <c r="O1972" s="390">
        <v>1900000</v>
      </c>
      <c r="P1972" s="390">
        <v>1500000</v>
      </c>
      <c r="Q1972" s="390">
        <v>1547587.87</v>
      </c>
      <c r="R1972" s="414" t="s">
        <v>5774</v>
      </c>
      <c r="S1972" s="413">
        <v>760000</v>
      </c>
      <c r="T1972" s="150">
        <v>45461</v>
      </c>
      <c r="U1972" s="414" t="s">
        <v>5813</v>
      </c>
      <c r="V1972" s="350">
        <v>380000</v>
      </c>
      <c r="W1972" s="333" t="s">
        <v>6205</v>
      </c>
      <c r="X1972" s="350">
        <v>380000</v>
      </c>
      <c r="Y1972" s="415"/>
    </row>
    <row r="1973" s="94" customFormat="1" ht="37.5" customHeight="1" spans="1:25">
      <c r="A1973" s="189">
        <f t="shared" ref="A1973:A2036" si="42">ROW()-9</f>
        <v>1964</v>
      </c>
      <c r="B1973" s="393">
        <v>2024</v>
      </c>
      <c r="C1973" s="385" t="s">
        <v>28</v>
      </c>
      <c r="D1973" s="394" t="s">
        <v>100</v>
      </c>
      <c r="E1973" s="406" t="s">
        <v>6206</v>
      </c>
      <c r="F1973" s="407" t="s">
        <v>6061</v>
      </c>
      <c r="G1973" s="408" t="s">
        <v>1188</v>
      </c>
      <c r="H1973" s="144">
        <v>1</v>
      </c>
      <c r="I1973" s="409">
        <v>800000</v>
      </c>
      <c r="J1973" s="417" t="s">
        <v>2850</v>
      </c>
      <c r="K1973" s="417" t="s">
        <v>2902</v>
      </c>
      <c r="L1973" s="418">
        <v>0.4</v>
      </c>
      <c r="M1973" s="419" t="s">
        <v>3924</v>
      </c>
      <c r="N1973" s="420">
        <v>805269.89</v>
      </c>
      <c r="O1973" s="420">
        <v>799321.49</v>
      </c>
      <c r="P1973" s="420">
        <v>799321.49</v>
      </c>
      <c r="Q1973" s="420">
        <v>805269.89</v>
      </c>
      <c r="R1973" s="421" t="s">
        <v>6207</v>
      </c>
      <c r="S1973" s="422">
        <v>319728.6</v>
      </c>
      <c r="T1973" s="150">
        <v>45456</v>
      </c>
      <c r="U1973" s="421"/>
      <c r="V1973" s="422"/>
      <c r="W1973" s="388"/>
      <c r="X1973" s="423"/>
      <c r="Y1973" s="424" t="s">
        <v>4184</v>
      </c>
    </row>
    <row r="1974" s="94" customFormat="1" ht="37.5" customHeight="1" spans="1:25">
      <c r="A1974" s="138">
        <f t="shared" si="42"/>
        <v>1965</v>
      </c>
      <c r="B1974" s="393">
        <v>2024</v>
      </c>
      <c r="C1974" s="385" t="s">
        <v>31</v>
      </c>
      <c r="D1974" s="386" t="s">
        <v>111</v>
      </c>
      <c r="E1974" s="190" t="s">
        <v>6208</v>
      </c>
      <c r="F1974" s="407" t="s">
        <v>1211</v>
      </c>
      <c r="G1974" s="325" t="s">
        <v>1103</v>
      </c>
      <c r="H1974" s="144">
        <v>0.8</v>
      </c>
      <c r="I1974" s="305">
        <v>3000000</v>
      </c>
      <c r="J1974" s="417" t="s">
        <v>3526</v>
      </c>
      <c r="K1974" s="388" t="s">
        <v>6209</v>
      </c>
      <c r="L1974" s="307">
        <v>0.4</v>
      </c>
      <c r="M1974" s="412" t="s">
        <v>3924</v>
      </c>
      <c r="N1974" s="390">
        <v>2670070.7</v>
      </c>
      <c r="O1974" s="390">
        <v>2649670.7</v>
      </c>
      <c r="P1974" s="390">
        <v>2119736.56</v>
      </c>
      <c r="Q1974" s="390">
        <v>2136056.56</v>
      </c>
      <c r="R1974" s="391" t="s">
        <v>5933</v>
      </c>
      <c r="S1974" s="350">
        <v>1068028.28</v>
      </c>
      <c r="T1974" s="150">
        <v>45461</v>
      </c>
      <c r="U1974" s="421" t="s">
        <v>5813</v>
      </c>
      <c r="V1974" s="350">
        <v>529934.14</v>
      </c>
      <c r="W1974" s="333" t="s">
        <v>6205</v>
      </c>
      <c r="X1974" s="350">
        <v>529934.14</v>
      </c>
      <c r="Y1974" s="392"/>
    </row>
    <row r="1975" s="95" customFormat="1" ht="37.5" customHeight="1" spans="1:25">
      <c r="A1975" s="138">
        <f t="shared" si="42"/>
        <v>1966</v>
      </c>
      <c r="B1975" s="393">
        <v>2024</v>
      </c>
      <c r="C1975" s="385" t="s">
        <v>22</v>
      </c>
      <c r="D1975" s="386" t="s">
        <v>23</v>
      </c>
      <c r="E1975" s="190" t="s">
        <v>6210</v>
      </c>
      <c r="F1975" s="407" t="s">
        <v>6211</v>
      </c>
      <c r="G1975" s="408" t="s">
        <v>1103</v>
      </c>
      <c r="H1975" s="144">
        <v>0.8</v>
      </c>
      <c r="I1975" s="409">
        <v>1400000</v>
      </c>
      <c r="J1975" s="388" t="s">
        <v>5822</v>
      </c>
      <c r="K1975" s="417" t="s">
        <v>2169</v>
      </c>
      <c r="L1975" s="307">
        <v>0.4</v>
      </c>
      <c r="M1975" s="412" t="s">
        <v>4143</v>
      </c>
      <c r="N1975" s="390">
        <v>1011571.17</v>
      </c>
      <c r="O1975" s="390">
        <v>1011571.17</v>
      </c>
      <c r="P1975" s="390">
        <v>809256.94</v>
      </c>
      <c r="Q1975" s="390">
        <v>809256.94</v>
      </c>
      <c r="R1975" s="391" t="s">
        <v>4596</v>
      </c>
      <c r="S1975" s="390">
        <v>404628.47</v>
      </c>
      <c r="T1975" s="150">
        <v>45491</v>
      </c>
      <c r="U1975" s="421"/>
      <c r="V1975" s="350"/>
      <c r="W1975" s="388"/>
      <c r="X1975" s="344"/>
      <c r="Y1975" s="392" t="s">
        <v>1077</v>
      </c>
    </row>
    <row r="1976" s="96" customFormat="1" ht="37.5" customHeight="1" spans="1:25">
      <c r="A1976" s="281">
        <f t="shared" si="42"/>
        <v>1967</v>
      </c>
      <c r="B1976" s="393">
        <v>2024</v>
      </c>
      <c r="C1976" s="385" t="s">
        <v>41</v>
      </c>
      <c r="D1976" s="386" t="s">
        <v>81</v>
      </c>
      <c r="E1976" s="190" t="s">
        <v>6212</v>
      </c>
      <c r="F1976" s="387" t="s">
        <v>6213</v>
      </c>
      <c r="G1976" s="325" t="s">
        <v>1103</v>
      </c>
      <c r="H1976" s="144">
        <v>0.8</v>
      </c>
      <c r="I1976" s="327">
        <v>5000000</v>
      </c>
      <c r="J1976" s="397" t="s">
        <v>2889</v>
      </c>
      <c r="K1976" s="397" t="s">
        <v>5681</v>
      </c>
      <c r="L1976" s="307">
        <v>0.4</v>
      </c>
      <c r="M1976" s="389" t="s">
        <v>4076</v>
      </c>
      <c r="N1976" s="390">
        <v>5098683.35</v>
      </c>
      <c r="O1976" s="390">
        <v>5000000</v>
      </c>
      <c r="P1976" s="390">
        <v>5000000</v>
      </c>
      <c r="Q1976" s="390">
        <v>5098683.35</v>
      </c>
      <c r="R1976" s="391" t="s">
        <v>4596</v>
      </c>
      <c r="S1976" s="350">
        <v>2000000</v>
      </c>
      <c r="T1976" s="150">
        <v>45475</v>
      </c>
      <c r="U1976" s="414" t="s">
        <v>6168</v>
      </c>
      <c r="V1976" s="350">
        <v>1000000</v>
      </c>
      <c r="W1976" s="333" t="s">
        <v>5788</v>
      </c>
      <c r="X1976" s="350">
        <v>1000000</v>
      </c>
      <c r="Y1976" s="392"/>
    </row>
    <row r="1977" s="96" customFormat="1" ht="37.5" customHeight="1" spans="1:25">
      <c r="A1977" s="138">
        <f t="shared" si="42"/>
        <v>1968</v>
      </c>
      <c r="B1977" s="393">
        <v>2024</v>
      </c>
      <c r="C1977" s="385" t="s">
        <v>37</v>
      </c>
      <c r="D1977" s="386" t="s">
        <v>6214</v>
      </c>
      <c r="E1977" s="1282" t="s">
        <v>6215</v>
      </c>
      <c r="F1977" s="387" t="s">
        <v>3192</v>
      </c>
      <c r="G1977" s="325" t="s">
        <v>5231</v>
      </c>
      <c r="H1977" s="144">
        <v>0.8</v>
      </c>
      <c r="I1977" s="409">
        <v>20000</v>
      </c>
      <c r="J1977" s="1287" t="s">
        <v>2379</v>
      </c>
      <c r="K1977" s="1287" t="s">
        <v>5904</v>
      </c>
      <c r="L1977" s="425">
        <v>0.4</v>
      </c>
      <c r="M1977" s="389" t="s">
        <v>6216</v>
      </c>
      <c r="N1977" s="390">
        <v>5401.46</v>
      </c>
      <c r="O1977" s="390">
        <v>5401.46</v>
      </c>
      <c r="P1977" s="390">
        <v>4321.17</v>
      </c>
      <c r="Q1977" s="390">
        <v>4321.17</v>
      </c>
      <c r="R1977" s="391" t="s">
        <v>5848</v>
      </c>
      <c r="S1977" s="350">
        <v>2160.58</v>
      </c>
      <c r="T1977" s="150" t="s">
        <v>5893</v>
      </c>
      <c r="U1977" s="391"/>
      <c r="V1977" s="350"/>
      <c r="W1977" s="388"/>
      <c r="X1977" s="344"/>
      <c r="Y1977" s="392" t="s">
        <v>1077</v>
      </c>
    </row>
    <row r="1978" s="96" customFormat="1" ht="37.5" customHeight="1" spans="1:25">
      <c r="A1978" s="138">
        <f t="shared" si="42"/>
        <v>1969</v>
      </c>
      <c r="B1978" s="393">
        <v>2024</v>
      </c>
      <c r="C1978" s="385" t="s">
        <v>37</v>
      </c>
      <c r="D1978" s="386" t="s">
        <v>6214</v>
      </c>
      <c r="E1978" s="1282" t="s">
        <v>6217</v>
      </c>
      <c r="F1978" s="387" t="s">
        <v>3192</v>
      </c>
      <c r="G1978" s="325" t="s">
        <v>5231</v>
      </c>
      <c r="H1978" s="144">
        <v>0.8</v>
      </c>
      <c r="I1978" s="426">
        <v>30000</v>
      </c>
      <c r="J1978" s="1288" t="s">
        <v>1126</v>
      </c>
      <c r="K1978" s="1288" t="s">
        <v>5904</v>
      </c>
      <c r="L1978" s="307">
        <v>0.4</v>
      </c>
      <c r="M1978" s="389" t="s">
        <v>6216</v>
      </c>
      <c r="N1978" s="390">
        <v>8750</v>
      </c>
      <c r="O1978" s="390">
        <v>8750</v>
      </c>
      <c r="P1978" s="390">
        <v>7000</v>
      </c>
      <c r="Q1978" s="390">
        <v>7000</v>
      </c>
      <c r="R1978" s="391" t="s">
        <v>5848</v>
      </c>
      <c r="S1978" s="350">
        <v>3500</v>
      </c>
      <c r="T1978" s="150" t="s">
        <v>5893</v>
      </c>
      <c r="U1978" s="391"/>
      <c r="V1978" s="350"/>
      <c r="W1978" s="388"/>
      <c r="X1978" s="344"/>
      <c r="Y1978" s="392" t="s">
        <v>1077</v>
      </c>
    </row>
    <row r="1979" s="94" customFormat="1" ht="37.5" customHeight="1" spans="1:25">
      <c r="A1979" s="138">
        <f t="shared" si="42"/>
        <v>1970</v>
      </c>
      <c r="B1979" s="384">
        <v>2024</v>
      </c>
      <c r="C1979" s="385" t="s">
        <v>37</v>
      </c>
      <c r="D1979" s="386" t="s">
        <v>6218</v>
      </c>
      <c r="E1979" s="190" t="s">
        <v>6219</v>
      </c>
      <c r="F1979" s="387" t="s">
        <v>3192</v>
      </c>
      <c r="G1979" s="325" t="s">
        <v>5231</v>
      </c>
      <c r="H1979" s="144">
        <v>0.8</v>
      </c>
      <c r="I1979" s="305">
        <v>10000</v>
      </c>
      <c r="J1979" s="388" t="s">
        <v>2116</v>
      </c>
      <c r="K1979" s="388" t="s">
        <v>6149</v>
      </c>
      <c r="L1979" s="307">
        <v>0.4</v>
      </c>
      <c r="M1979" s="389" t="s">
        <v>6216</v>
      </c>
      <c r="N1979" s="390">
        <v>9047.63</v>
      </c>
      <c r="O1979" s="390">
        <v>9047.63</v>
      </c>
      <c r="P1979" s="390">
        <v>7238.1</v>
      </c>
      <c r="Q1979" s="390">
        <v>7238.1</v>
      </c>
      <c r="R1979" s="391" t="s">
        <v>5848</v>
      </c>
      <c r="S1979" s="350">
        <v>3619.05</v>
      </c>
      <c r="T1979" s="150" t="s">
        <v>5893</v>
      </c>
      <c r="U1979" s="391" t="s">
        <v>5879</v>
      </c>
      <c r="V1979" s="350">
        <v>1809.53</v>
      </c>
      <c r="W1979" s="333" t="s">
        <v>6220</v>
      </c>
      <c r="X1979" s="350">
        <v>1809.53</v>
      </c>
      <c r="Y1979" s="392"/>
    </row>
    <row r="1980" s="95" customFormat="1" ht="37.5" customHeight="1" spans="1:25">
      <c r="A1980" s="138">
        <f t="shared" si="42"/>
        <v>1971</v>
      </c>
      <c r="B1980" s="393">
        <v>2024</v>
      </c>
      <c r="C1980" s="385" t="s">
        <v>37</v>
      </c>
      <c r="D1980" s="386" t="s">
        <v>6214</v>
      </c>
      <c r="E1980" s="1282" t="s">
        <v>6221</v>
      </c>
      <c r="F1980" s="387" t="s">
        <v>3192</v>
      </c>
      <c r="G1980" s="325" t="s">
        <v>5231</v>
      </c>
      <c r="H1980" s="144">
        <v>0.8</v>
      </c>
      <c r="I1980" s="305">
        <v>50000</v>
      </c>
      <c r="J1980" s="1289" t="s">
        <v>2217</v>
      </c>
      <c r="K1980" s="1289" t="s">
        <v>5904</v>
      </c>
      <c r="L1980" s="307">
        <v>0.4</v>
      </c>
      <c r="M1980" s="389" t="s">
        <v>6216</v>
      </c>
      <c r="N1980" s="390">
        <v>14583.39</v>
      </c>
      <c r="O1980" s="390">
        <v>14583.39</v>
      </c>
      <c r="P1980" s="390">
        <v>11666.71</v>
      </c>
      <c r="Q1980" s="390">
        <v>11666.71</v>
      </c>
      <c r="R1980" s="391" t="s">
        <v>5848</v>
      </c>
      <c r="S1980" s="350">
        <v>5833.36</v>
      </c>
      <c r="T1980" s="150" t="s">
        <v>5893</v>
      </c>
      <c r="U1980" s="391"/>
      <c r="V1980" s="350"/>
      <c r="W1980" s="388"/>
      <c r="X1980" s="344"/>
      <c r="Y1980" s="392" t="s">
        <v>1077</v>
      </c>
    </row>
    <row r="1981" s="95" customFormat="1" ht="37.5" customHeight="1" spans="1:25">
      <c r="A1981" s="281">
        <f t="shared" si="42"/>
        <v>1972</v>
      </c>
      <c r="B1981" s="393">
        <v>2024</v>
      </c>
      <c r="C1981" s="385" t="s">
        <v>37</v>
      </c>
      <c r="D1981" s="386" t="s">
        <v>6214</v>
      </c>
      <c r="E1981" s="190" t="s">
        <v>6222</v>
      </c>
      <c r="F1981" s="387" t="s">
        <v>3192</v>
      </c>
      <c r="G1981" s="325" t="s">
        <v>5231</v>
      </c>
      <c r="H1981" s="144">
        <v>0.8</v>
      </c>
      <c r="I1981" s="305">
        <v>60000</v>
      </c>
      <c r="J1981" s="388" t="s">
        <v>4822</v>
      </c>
      <c r="K1981" s="388" t="s">
        <v>6195</v>
      </c>
      <c r="L1981" s="307">
        <v>0.4</v>
      </c>
      <c r="M1981" s="389" t="s">
        <v>6216</v>
      </c>
      <c r="N1981" s="390">
        <v>15000</v>
      </c>
      <c r="O1981" s="390">
        <v>15000</v>
      </c>
      <c r="P1981" s="390">
        <v>12000</v>
      </c>
      <c r="Q1981" s="390">
        <v>12000</v>
      </c>
      <c r="R1981" s="391" t="s">
        <v>5848</v>
      </c>
      <c r="S1981" s="350">
        <v>6000</v>
      </c>
      <c r="T1981" s="150" t="s">
        <v>5893</v>
      </c>
      <c r="U1981" s="391" t="s">
        <v>5879</v>
      </c>
      <c r="V1981" s="350">
        <v>3000</v>
      </c>
      <c r="W1981" s="333" t="s">
        <v>6220</v>
      </c>
      <c r="X1981" s="350">
        <v>3000</v>
      </c>
      <c r="Y1981" s="392"/>
    </row>
    <row r="1982" s="95" customFormat="1" ht="37.5" customHeight="1" spans="1:25">
      <c r="A1982" s="138">
        <f t="shared" si="42"/>
        <v>1973</v>
      </c>
      <c r="B1982" s="393">
        <v>2024</v>
      </c>
      <c r="C1982" s="385" t="s">
        <v>37</v>
      </c>
      <c r="D1982" s="386" t="s">
        <v>6214</v>
      </c>
      <c r="E1982" s="190" t="s">
        <v>6223</v>
      </c>
      <c r="F1982" s="387" t="s">
        <v>3192</v>
      </c>
      <c r="G1982" s="325" t="s">
        <v>5231</v>
      </c>
      <c r="H1982" s="144">
        <v>0.8</v>
      </c>
      <c r="I1982" s="305">
        <v>60000</v>
      </c>
      <c r="J1982" s="388" t="s">
        <v>3327</v>
      </c>
      <c r="K1982" s="388" t="s">
        <v>4610</v>
      </c>
      <c r="L1982" s="307">
        <v>0.4</v>
      </c>
      <c r="M1982" s="389" t="s">
        <v>6216</v>
      </c>
      <c r="N1982" s="390">
        <v>27500</v>
      </c>
      <c r="O1982" s="390">
        <v>27500</v>
      </c>
      <c r="P1982" s="390">
        <v>22000</v>
      </c>
      <c r="Q1982" s="390">
        <v>22000</v>
      </c>
      <c r="R1982" s="391" t="s">
        <v>5848</v>
      </c>
      <c r="S1982" s="350">
        <v>11000</v>
      </c>
      <c r="T1982" s="150" t="s">
        <v>5893</v>
      </c>
      <c r="U1982" s="391" t="s">
        <v>5879</v>
      </c>
      <c r="V1982" s="350">
        <v>5500</v>
      </c>
      <c r="W1982" s="333" t="s">
        <v>6220</v>
      </c>
      <c r="X1982" s="350">
        <v>5500</v>
      </c>
      <c r="Y1982" s="392"/>
    </row>
    <row r="1983" s="95" customFormat="1" ht="37.5" customHeight="1" spans="1:25">
      <c r="A1983" s="138">
        <f t="shared" si="42"/>
        <v>1974</v>
      </c>
      <c r="B1983" s="384">
        <v>2024</v>
      </c>
      <c r="C1983" s="385" t="s">
        <v>37</v>
      </c>
      <c r="D1983" s="386" t="s">
        <v>6224</v>
      </c>
      <c r="E1983" s="190" t="s">
        <v>6225</v>
      </c>
      <c r="F1983" s="387" t="s">
        <v>3192</v>
      </c>
      <c r="G1983" s="325" t="s">
        <v>5231</v>
      </c>
      <c r="H1983" s="144">
        <v>0.8</v>
      </c>
      <c r="I1983" s="305">
        <v>130000</v>
      </c>
      <c r="J1983" s="388" t="s">
        <v>2034</v>
      </c>
      <c r="K1983" s="388" t="s">
        <v>4545</v>
      </c>
      <c r="L1983" s="307">
        <v>0.4</v>
      </c>
      <c r="M1983" s="389" t="s">
        <v>6216</v>
      </c>
      <c r="N1983" s="390">
        <v>43333.28</v>
      </c>
      <c r="O1983" s="390">
        <v>43333.28</v>
      </c>
      <c r="P1983" s="390">
        <v>34666.62</v>
      </c>
      <c r="Q1983" s="390">
        <v>34666.62</v>
      </c>
      <c r="R1983" s="391" t="s">
        <v>5848</v>
      </c>
      <c r="S1983" s="350">
        <v>17333.31</v>
      </c>
      <c r="T1983" s="150" t="s">
        <v>5893</v>
      </c>
      <c r="U1983" s="391" t="s">
        <v>5879</v>
      </c>
      <c r="V1983" s="350">
        <v>8666.66</v>
      </c>
      <c r="W1983" s="333" t="s">
        <v>6220</v>
      </c>
      <c r="X1983" s="350">
        <v>8666.66</v>
      </c>
      <c r="Y1983" s="392"/>
    </row>
    <row r="1984" s="95" customFormat="1" ht="37.5" customHeight="1" spans="1:25">
      <c r="A1984" s="138">
        <f t="shared" si="42"/>
        <v>1975</v>
      </c>
      <c r="B1984" s="393">
        <v>2024</v>
      </c>
      <c r="C1984" s="385" t="s">
        <v>37</v>
      </c>
      <c r="D1984" s="386" t="s">
        <v>6226</v>
      </c>
      <c r="E1984" s="190" t="s">
        <v>6227</v>
      </c>
      <c r="F1984" s="387" t="s">
        <v>3192</v>
      </c>
      <c r="G1984" s="325" t="s">
        <v>5231</v>
      </c>
      <c r="H1984" s="144">
        <v>0.8</v>
      </c>
      <c r="I1984" s="305">
        <v>150000</v>
      </c>
      <c r="J1984" s="388" t="s">
        <v>4837</v>
      </c>
      <c r="K1984" s="388" t="s">
        <v>6103</v>
      </c>
      <c r="L1984" s="307">
        <v>0.4</v>
      </c>
      <c r="M1984" s="389" t="s">
        <v>6216</v>
      </c>
      <c r="N1984" s="390">
        <v>56250</v>
      </c>
      <c r="O1984" s="390">
        <v>56250</v>
      </c>
      <c r="P1984" s="390">
        <v>45000</v>
      </c>
      <c r="Q1984" s="390">
        <v>45000</v>
      </c>
      <c r="R1984" s="391" t="s">
        <v>5848</v>
      </c>
      <c r="S1984" s="350">
        <v>22500</v>
      </c>
      <c r="T1984" s="150" t="s">
        <v>5893</v>
      </c>
      <c r="U1984" s="391" t="s">
        <v>5879</v>
      </c>
      <c r="V1984" s="350">
        <v>11250</v>
      </c>
      <c r="W1984" s="333" t="s">
        <v>6220</v>
      </c>
      <c r="X1984" s="350">
        <v>11250</v>
      </c>
      <c r="Y1984" s="392"/>
    </row>
    <row r="1985" s="95" customFormat="1" ht="37.5" customHeight="1" spans="1:25">
      <c r="A1985" s="138">
        <f t="shared" si="42"/>
        <v>1976</v>
      </c>
      <c r="B1985" s="393">
        <v>2024</v>
      </c>
      <c r="C1985" s="385" t="s">
        <v>37</v>
      </c>
      <c r="D1985" s="386" t="s">
        <v>6226</v>
      </c>
      <c r="E1985" s="190" t="s">
        <v>6228</v>
      </c>
      <c r="F1985" s="387" t="s">
        <v>3192</v>
      </c>
      <c r="G1985" s="325" t="s">
        <v>5231</v>
      </c>
      <c r="H1985" s="144">
        <v>0.8</v>
      </c>
      <c r="I1985" s="305">
        <v>160000</v>
      </c>
      <c r="J1985" s="388" t="s">
        <v>4837</v>
      </c>
      <c r="K1985" s="388" t="s">
        <v>6103</v>
      </c>
      <c r="L1985" s="307">
        <v>0.4</v>
      </c>
      <c r="M1985" s="389" t="s">
        <v>6216</v>
      </c>
      <c r="N1985" s="390">
        <v>59999.95</v>
      </c>
      <c r="O1985" s="390">
        <v>59999.95</v>
      </c>
      <c r="P1985" s="390">
        <v>47999.96</v>
      </c>
      <c r="Q1985" s="390">
        <v>47999.96</v>
      </c>
      <c r="R1985" s="391" t="s">
        <v>5848</v>
      </c>
      <c r="S1985" s="350">
        <v>23999.98</v>
      </c>
      <c r="T1985" s="150" t="s">
        <v>5893</v>
      </c>
      <c r="U1985" s="391" t="s">
        <v>5879</v>
      </c>
      <c r="V1985" s="350">
        <v>11999.99</v>
      </c>
      <c r="W1985" s="333" t="s">
        <v>6220</v>
      </c>
      <c r="X1985" s="350">
        <v>11999.99</v>
      </c>
      <c r="Y1985" s="392"/>
    </row>
    <row r="1986" s="95" customFormat="1" ht="37.5" customHeight="1" spans="1:25">
      <c r="A1986" s="281">
        <f t="shared" si="42"/>
        <v>1977</v>
      </c>
      <c r="B1986" s="393">
        <v>2024</v>
      </c>
      <c r="C1986" s="385" t="s">
        <v>37</v>
      </c>
      <c r="D1986" s="386" t="s">
        <v>6226</v>
      </c>
      <c r="E1986" s="190" t="s">
        <v>6229</v>
      </c>
      <c r="F1986" s="387" t="s">
        <v>3192</v>
      </c>
      <c r="G1986" s="325" t="s">
        <v>5231</v>
      </c>
      <c r="H1986" s="144">
        <v>0.8</v>
      </c>
      <c r="I1986" s="305">
        <v>160000</v>
      </c>
      <c r="J1986" s="388" t="s">
        <v>4837</v>
      </c>
      <c r="K1986" s="388" t="s">
        <v>6103</v>
      </c>
      <c r="L1986" s="307">
        <v>0.4</v>
      </c>
      <c r="M1986" s="389" t="s">
        <v>6216</v>
      </c>
      <c r="N1986" s="390">
        <v>59999.95</v>
      </c>
      <c r="O1986" s="390">
        <v>59999.95</v>
      </c>
      <c r="P1986" s="390">
        <v>47999.96</v>
      </c>
      <c r="Q1986" s="390">
        <v>47999.96</v>
      </c>
      <c r="R1986" s="391" t="s">
        <v>5848</v>
      </c>
      <c r="S1986" s="350">
        <v>23999.98</v>
      </c>
      <c r="T1986" s="150" t="s">
        <v>5893</v>
      </c>
      <c r="U1986" s="391" t="s">
        <v>5879</v>
      </c>
      <c r="V1986" s="350">
        <v>11999.99</v>
      </c>
      <c r="W1986" s="333" t="s">
        <v>6220</v>
      </c>
      <c r="X1986" s="350">
        <v>11999.99</v>
      </c>
      <c r="Y1986" s="392"/>
    </row>
    <row r="1987" s="95" customFormat="1" ht="37.5" customHeight="1" spans="1:25">
      <c r="A1987" s="138">
        <f t="shared" si="42"/>
        <v>1978</v>
      </c>
      <c r="B1987" s="384">
        <v>2024</v>
      </c>
      <c r="C1987" s="385" t="s">
        <v>37</v>
      </c>
      <c r="D1987" s="386" t="s">
        <v>6226</v>
      </c>
      <c r="E1987" s="190" t="s">
        <v>6230</v>
      </c>
      <c r="F1987" s="387" t="s">
        <v>3192</v>
      </c>
      <c r="G1987" s="325" t="s">
        <v>5231</v>
      </c>
      <c r="H1987" s="144">
        <v>0.8</v>
      </c>
      <c r="I1987" s="305">
        <v>160000</v>
      </c>
      <c r="J1987" s="388" t="s">
        <v>4837</v>
      </c>
      <c r="K1987" s="388" t="s">
        <v>6103</v>
      </c>
      <c r="L1987" s="307">
        <v>0.4</v>
      </c>
      <c r="M1987" s="389" t="s">
        <v>6216</v>
      </c>
      <c r="N1987" s="390">
        <v>59999.95</v>
      </c>
      <c r="O1987" s="390">
        <v>59999.95</v>
      </c>
      <c r="P1987" s="390">
        <v>47999.96</v>
      </c>
      <c r="Q1987" s="390">
        <v>47999.96</v>
      </c>
      <c r="R1987" s="391" t="s">
        <v>5848</v>
      </c>
      <c r="S1987" s="350">
        <v>23999.98</v>
      </c>
      <c r="T1987" s="150" t="s">
        <v>5893</v>
      </c>
      <c r="U1987" s="391" t="s">
        <v>5879</v>
      </c>
      <c r="V1987" s="350">
        <v>11999.99</v>
      </c>
      <c r="W1987" s="333" t="s">
        <v>6220</v>
      </c>
      <c r="X1987" s="350">
        <v>11999.99</v>
      </c>
      <c r="Y1987" s="392"/>
    </row>
    <row r="1988" s="95" customFormat="1" ht="37.5" customHeight="1" spans="1:25">
      <c r="A1988" s="138">
        <f t="shared" si="42"/>
        <v>1979</v>
      </c>
      <c r="B1988" s="393">
        <v>2024</v>
      </c>
      <c r="C1988" s="385" t="s">
        <v>37</v>
      </c>
      <c r="D1988" s="386" t="s">
        <v>6231</v>
      </c>
      <c r="E1988" s="190" t="s">
        <v>6232</v>
      </c>
      <c r="F1988" s="387" t="s">
        <v>3192</v>
      </c>
      <c r="G1988" s="325" t="s">
        <v>5231</v>
      </c>
      <c r="H1988" s="144">
        <v>0.8</v>
      </c>
      <c r="I1988" s="305">
        <v>150000</v>
      </c>
      <c r="J1988" s="388" t="s">
        <v>2390</v>
      </c>
      <c r="K1988" s="388" t="s">
        <v>4592</v>
      </c>
      <c r="L1988" s="307">
        <v>0.4</v>
      </c>
      <c r="M1988" s="389" t="s">
        <v>6216</v>
      </c>
      <c r="N1988" s="390">
        <v>62500</v>
      </c>
      <c r="O1988" s="390">
        <v>62500</v>
      </c>
      <c r="P1988" s="390">
        <v>50000</v>
      </c>
      <c r="Q1988" s="390">
        <v>50000</v>
      </c>
      <c r="R1988" s="391" t="s">
        <v>5848</v>
      </c>
      <c r="S1988" s="350">
        <v>25000</v>
      </c>
      <c r="T1988" s="150" t="s">
        <v>5893</v>
      </c>
      <c r="U1988" s="391" t="s">
        <v>5879</v>
      </c>
      <c r="V1988" s="350">
        <v>12500</v>
      </c>
      <c r="W1988" s="333" t="s">
        <v>6220</v>
      </c>
      <c r="X1988" s="350">
        <v>12500</v>
      </c>
      <c r="Y1988" s="392"/>
    </row>
    <row r="1989" s="95" customFormat="1" ht="37.5" customHeight="1" spans="1:25">
      <c r="A1989" s="138">
        <f t="shared" si="42"/>
        <v>1980</v>
      </c>
      <c r="B1989" s="393">
        <v>2024</v>
      </c>
      <c r="C1989" s="385" t="s">
        <v>37</v>
      </c>
      <c r="D1989" s="386" t="s">
        <v>6226</v>
      </c>
      <c r="E1989" s="190" t="s">
        <v>6233</v>
      </c>
      <c r="F1989" s="387" t="s">
        <v>3192</v>
      </c>
      <c r="G1989" s="325" t="s">
        <v>5231</v>
      </c>
      <c r="H1989" s="144">
        <v>0.8</v>
      </c>
      <c r="I1989" s="305">
        <v>170000</v>
      </c>
      <c r="J1989" s="388" t="s">
        <v>4837</v>
      </c>
      <c r="K1989" s="388" t="s">
        <v>6103</v>
      </c>
      <c r="L1989" s="307">
        <v>0.4</v>
      </c>
      <c r="M1989" s="389" t="s">
        <v>6216</v>
      </c>
      <c r="N1989" s="390">
        <v>63750.05</v>
      </c>
      <c r="O1989" s="390">
        <v>63750.05</v>
      </c>
      <c r="P1989" s="390">
        <v>51000.04</v>
      </c>
      <c r="Q1989" s="390">
        <v>51000.04</v>
      </c>
      <c r="R1989" s="391" t="s">
        <v>5848</v>
      </c>
      <c r="S1989" s="350">
        <v>25500.02</v>
      </c>
      <c r="T1989" s="150" t="s">
        <v>5893</v>
      </c>
      <c r="U1989" s="391" t="s">
        <v>5879</v>
      </c>
      <c r="V1989" s="350">
        <v>12750.01</v>
      </c>
      <c r="W1989" s="333" t="s">
        <v>6220</v>
      </c>
      <c r="X1989" s="350">
        <v>12750.01</v>
      </c>
      <c r="Y1989" s="392"/>
    </row>
    <row r="1990" s="95" customFormat="1" ht="37.5" customHeight="1" spans="1:25">
      <c r="A1990" s="138">
        <f t="shared" si="42"/>
        <v>1981</v>
      </c>
      <c r="B1990" s="393">
        <v>2024</v>
      </c>
      <c r="C1990" s="385" t="s">
        <v>37</v>
      </c>
      <c r="D1990" s="386" t="s">
        <v>6224</v>
      </c>
      <c r="E1990" s="190" t="s">
        <v>6234</v>
      </c>
      <c r="F1990" s="387" t="s">
        <v>3192</v>
      </c>
      <c r="G1990" s="325" t="s">
        <v>5231</v>
      </c>
      <c r="H1990" s="144">
        <v>0.8</v>
      </c>
      <c r="I1990" s="305">
        <v>150000</v>
      </c>
      <c r="J1990" s="388" t="s">
        <v>2713</v>
      </c>
      <c r="K1990" s="388" t="s">
        <v>6235</v>
      </c>
      <c r="L1990" s="307">
        <v>0.4</v>
      </c>
      <c r="M1990" s="389" t="s">
        <v>6216</v>
      </c>
      <c r="N1990" s="390">
        <v>68750</v>
      </c>
      <c r="O1990" s="390">
        <v>68750</v>
      </c>
      <c r="P1990" s="390">
        <v>55000</v>
      </c>
      <c r="Q1990" s="390">
        <v>55000</v>
      </c>
      <c r="R1990" s="391" t="s">
        <v>5848</v>
      </c>
      <c r="S1990" s="350">
        <v>27500</v>
      </c>
      <c r="T1990" s="150" t="s">
        <v>5893</v>
      </c>
      <c r="U1990" s="391" t="s">
        <v>5879</v>
      </c>
      <c r="V1990" s="350">
        <v>13750</v>
      </c>
      <c r="W1990" s="333" t="s">
        <v>6220</v>
      </c>
      <c r="X1990" s="350">
        <v>13750</v>
      </c>
      <c r="Y1990" s="392"/>
    </row>
    <row r="1991" s="95" customFormat="1" ht="37.5" customHeight="1" spans="1:25">
      <c r="A1991" s="281">
        <f t="shared" si="42"/>
        <v>1982</v>
      </c>
      <c r="B1991" s="384">
        <v>2024</v>
      </c>
      <c r="C1991" s="385" t="s">
        <v>37</v>
      </c>
      <c r="D1991" s="386" t="s">
        <v>6224</v>
      </c>
      <c r="E1991" s="190" t="s">
        <v>6236</v>
      </c>
      <c r="F1991" s="387" t="s">
        <v>3192</v>
      </c>
      <c r="G1991" s="325" t="s">
        <v>5231</v>
      </c>
      <c r="H1991" s="144">
        <v>0.8</v>
      </c>
      <c r="I1991" s="305">
        <v>200000</v>
      </c>
      <c r="J1991" s="388" t="s">
        <v>2664</v>
      </c>
      <c r="K1991" s="388" t="s">
        <v>6235</v>
      </c>
      <c r="L1991" s="307">
        <v>0.4</v>
      </c>
      <c r="M1991" s="389" t="s">
        <v>6216</v>
      </c>
      <c r="N1991" s="390">
        <v>91666.71</v>
      </c>
      <c r="O1991" s="390">
        <v>91666.71</v>
      </c>
      <c r="P1991" s="390">
        <v>73333.37</v>
      </c>
      <c r="Q1991" s="390">
        <v>73333.37</v>
      </c>
      <c r="R1991" s="391" t="s">
        <v>5848</v>
      </c>
      <c r="S1991" s="350">
        <v>36666.68</v>
      </c>
      <c r="T1991" s="150" t="s">
        <v>5893</v>
      </c>
      <c r="U1991" s="391" t="s">
        <v>5879</v>
      </c>
      <c r="V1991" s="350">
        <v>18333.34</v>
      </c>
      <c r="W1991" s="333" t="s">
        <v>6220</v>
      </c>
      <c r="X1991" s="350">
        <v>18333.34</v>
      </c>
      <c r="Y1991" s="392"/>
    </row>
    <row r="1992" s="95" customFormat="1" ht="37.5" customHeight="1" spans="1:25">
      <c r="A1992" s="138">
        <f t="shared" si="42"/>
        <v>1983</v>
      </c>
      <c r="B1992" s="393">
        <v>2024</v>
      </c>
      <c r="C1992" s="385" t="s">
        <v>37</v>
      </c>
      <c r="D1992" s="386" t="s">
        <v>6214</v>
      </c>
      <c r="E1992" s="1282" t="s">
        <v>6237</v>
      </c>
      <c r="F1992" s="387" t="s">
        <v>3192</v>
      </c>
      <c r="G1992" s="325" t="s">
        <v>5231</v>
      </c>
      <c r="H1992" s="144">
        <v>0.8</v>
      </c>
      <c r="I1992" s="305">
        <v>350000</v>
      </c>
      <c r="J1992" s="1289" t="s">
        <v>2379</v>
      </c>
      <c r="K1992" s="1289" t="s">
        <v>5904</v>
      </c>
      <c r="L1992" s="307">
        <v>0.4</v>
      </c>
      <c r="M1992" s="389" t="s">
        <v>6216</v>
      </c>
      <c r="N1992" s="390">
        <v>102083.39</v>
      </c>
      <c r="O1992" s="390">
        <v>102083.39</v>
      </c>
      <c r="P1992" s="390">
        <v>81666.71</v>
      </c>
      <c r="Q1992" s="390">
        <v>81666.71</v>
      </c>
      <c r="R1992" s="391" t="s">
        <v>5848</v>
      </c>
      <c r="S1992" s="350">
        <v>40833.36</v>
      </c>
      <c r="T1992" s="150" t="s">
        <v>5893</v>
      </c>
      <c r="U1992" s="391"/>
      <c r="V1992" s="350"/>
      <c r="W1992" s="388"/>
      <c r="X1992" s="344"/>
      <c r="Y1992" s="392" t="s">
        <v>1077</v>
      </c>
    </row>
    <row r="1993" s="95" customFormat="1" ht="37.5" customHeight="1" spans="1:25">
      <c r="A1993" s="138">
        <f t="shared" si="42"/>
        <v>1984</v>
      </c>
      <c r="B1993" s="393">
        <v>2024</v>
      </c>
      <c r="C1993" s="385" t="s">
        <v>37</v>
      </c>
      <c r="D1993" s="386" t="s">
        <v>6224</v>
      </c>
      <c r="E1993" s="190" t="s">
        <v>6238</v>
      </c>
      <c r="F1993" s="387" t="s">
        <v>3192</v>
      </c>
      <c r="G1993" s="325" t="s">
        <v>5231</v>
      </c>
      <c r="H1993" s="144">
        <v>0.8</v>
      </c>
      <c r="I1993" s="305">
        <v>200000</v>
      </c>
      <c r="J1993" s="388" t="s">
        <v>3140</v>
      </c>
      <c r="K1993" s="388" t="s">
        <v>5925</v>
      </c>
      <c r="L1993" s="307">
        <v>0.4</v>
      </c>
      <c r="M1993" s="389" t="s">
        <v>6216</v>
      </c>
      <c r="N1993" s="390">
        <v>108333.38</v>
      </c>
      <c r="O1993" s="390">
        <v>108333.38</v>
      </c>
      <c r="P1993" s="390">
        <v>86666.7</v>
      </c>
      <c r="Q1993" s="390">
        <v>86666.7</v>
      </c>
      <c r="R1993" s="391" t="s">
        <v>5848</v>
      </c>
      <c r="S1993" s="350">
        <v>43333.35</v>
      </c>
      <c r="T1993" s="150" t="s">
        <v>5893</v>
      </c>
      <c r="U1993" s="391" t="s">
        <v>5879</v>
      </c>
      <c r="V1993" s="350">
        <v>21666.68</v>
      </c>
      <c r="W1993" s="333" t="s">
        <v>6220</v>
      </c>
      <c r="X1993" s="350">
        <v>21666.68</v>
      </c>
      <c r="Y1993" s="392"/>
    </row>
    <row r="1994" s="95" customFormat="1" ht="37.5" customHeight="1" spans="1:25">
      <c r="A1994" s="138">
        <f t="shared" si="42"/>
        <v>1985</v>
      </c>
      <c r="B1994" s="393">
        <v>2024</v>
      </c>
      <c r="C1994" s="385" t="s">
        <v>37</v>
      </c>
      <c r="D1994" s="386" t="s">
        <v>6231</v>
      </c>
      <c r="E1994" s="190" t="s">
        <v>6239</v>
      </c>
      <c r="F1994" s="387" t="s">
        <v>3192</v>
      </c>
      <c r="G1994" s="325" t="s">
        <v>5231</v>
      </c>
      <c r="H1994" s="144">
        <v>0.8</v>
      </c>
      <c r="I1994" s="305">
        <v>300000</v>
      </c>
      <c r="J1994" s="388" t="s">
        <v>2484</v>
      </c>
      <c r="K1994" s="388" t="s">
        <v>4592</v>
      </c>
      <c r="L1994" s="307">
        <v>0.4</v>
      </c>
      <c r="M1994" s="389" t="s">
        <v>6216</v>
      </c>
      <c r="N1994" s="390">
        <v>125000</v>
      </c>
      <c r="O1994" s="390">
        <v>125000</v>
      </c>
      <c r="P1994" s="390">
        <v>100000</v>
      </c>
      <c r="Q1994" s="390">
        <v>100000</v>
      </c>
      <c r="R1994" s="391" t="s">
        <v>5848</v>
      </c>
      <c r="S1994" s="350">
        <v>50000</v>
      </c>
      <c r="T1994" s="150" t="s">
        <v>5893</v>
      </c>
      <c r="U1994" s="391" t="s">
        <v>5879</v>
      </c>
      <c r="V1994" s="350">
        <v>25000</v>
      </c>
      <c r="W1994" s="333" t="s">
        <v>6220</v>
      </c>
      <c r="X1994" s="350">
        <v>25000</v>
      </c>
      <c r="Y1994" s="392"/>
    </row>
    <row r="1995" s="95" customFormat="1" ht="37.5" customHeight="1" spans="1:25">
      <c r="A1995" s="138">
        <f t="shared" si="42"/>
        <v>1986</v>
      </c>
      <c r="B1995" s="384">
        <v>2024</v>
      </c>
      <c r="C1995" s="385" t="s">
        <v>37</v>
      </c>
      <c r="D1995" s="386" t="s">
        <v>6224</v>
      </c>
      <c r="E1995" s="190" t="s">
        <v>6240</v>
      </c>
      <c r="F1995" s="387" t="s">
        <v>3192</v>
      </c>
      <c r="G1995" s="325" t="s">
        <v>5231</v>
      </c>
      <c r="H1995" s="144">
        <v>0.8</v>
      </c>
      <c r="I1995" s="305">
        <v>510000</v>
      </c>
      <c r="J1995" s="388" t="s">
        <v>2941</v>
      </c>
      <c r="K1995" s="388" t="s">
        <v>6241</v>
      </c>
      <c r="L1995" s="307">
        <v>0.4</v>
      </c>
      <c r="M1995" s="389" t="s">
        <v>6216</v>
      </c>
      <c r="N1995" s="390">
        <v>255000</v>
      </c>
      <c r="O1995" s="390">
        <v>255000</v>
      </c>
      <c r="P1995" s="390">
        <v>204000</v>
      </c>
      <c r="Q1995" s="390">
        <v>204000</v>
      </c>
      <c r="R1995" s="391" t="s">
        <v>5848</v>
      </c>
      <c r="S1995" s="350">
        <v>102000</v>
      </c>
      <c r="T1995" s="150" t="s">
        <v>5893</v>
      </c>
      <c r="U1995" s="391" t="s">
        <v>5879</v>
      </c>
      <c r="V1995" s="350">
        <v>51000</v>
      </c>
      <c r="W1995" s="333" t="s">
        <v>6205</v>
      </c>
      <c r="X1995" s="350">
        <v>51000</v>
      </c>
      <c r="Y1995" s="392"/>
    </row>
    <row r="1996" s="95" customFormat="1" ht="37.5" customHeight="1" spans="1:25">
      <c r="A1996" s="281">
        <f t="shared" si="42"/>
        <v>1987</v>
      </c>
      <c r="B1996" s="393">
        <v>2024</v>
      </c>
      <c r="C1996" s="385" t="s">
        <v>37</v>
      </c>
      <c r="D1996" s="386" t="s">
        <v>6231</v>
      </c>
      <c r="E1996" s="190" t="s">
        <v>6242</v>
      </c>
      <c r="F1996" s="387" t="s">
        <v>3192</v>
      </c>
      <c r="G1996" s="325" t="s">
        <v>5231</v>
      </c>
      <c r="H1996" s="144">
        <v>0.8</v>
      </c>
      <c r="I1996" s="305">
        <v>400000</v>
      </c>
      <c r="J1996" s="388" t="s">
        <v>2463</v>
      </c>
      <c r="K1996" s="388" t="s">
        <v>4592</v>
      </c>
      <c r="L1996" s="307">
        <v>0.4</v>
      </c>
      <c r="M1996" s="389" t="s">
        <v>6216</v>
      </c>
      <c r="N1996" s="390">
        <v>166666.63</v>
      </c>
      <c r="O1996" s="390">
        <v>166666.63</v>
      </c>
      <c r="P1996" s="390">
        <v>133333.3</v>
      </c>
      <c r="Q1996" s="390">
        <v>133333.3</v>
      </c>
      <c r="R1996" s="391" t="s">
        <v>5848</v>
      </c>
      <c r="S1996" s="350">
        <v>66666.65</v>
      </c>
      <c r="T1996" s="150" t="s">
        <v>5893</v>
      </c>
      <c r="U1996" s="391" t="s">
        <v>5879</v>
      </c>
      <c r="V1996" s="427">
        <v>33333.33</v>
      </c>
      <c r="W1996" s="333" t="s">
        <v>6220</v>
      </c>
      <c r="X1996" s="350">
        <v>33333.33</v>
      </c>
      <c r="Y1996" s="392"/>
    </row>
    <row r="1997" s="95" customFormat="1" ht="37.5" customHeight="1" spans="1:25">
      <c r="A1997" s="138">
        <f t="shared" si="42"/>
        <v>1988</v>
      </c>
      <c r="B1997" s="393">
        <v>2024</v>
      </c>
      <c r="C1997" s="385" t="s">
        <v>37</v>
      </c>
      <c r="D1997" s="386" t="s">
        <v>6224</v>
      </c>
      <c r="E1997" s="190" t="s">
        <v>6243</v>
      </c>
      <c r="F1997" s="387" t="s">
        <v>3192</v>
      </c>
      <c r="G1997" s="325" t="s">
        <v>5231</v>
      </c>
      <c r="H1997" s="144">
        <v>0.8</v>
      </c>
      <c r="I1997" s="305">
        <v>500000</v>
      </c>
      <c r="J1997" s="388" t="s">
        <v>2870</v>
      </c>
      <c r="K1997" s="388" t="s">
        <v>6241</v>
      </c>
      <c r="L1997" s="307">
        <v>0.4</v>
      </c>
      <c r="M1997" s="389" t="s">
        <v>6216</v>
      </c>
      <c r="N1997" s="390">
        <v>250000.04</v>
      </c>
      <c r="O1997" s="390">
        <v>250000.04</v>
      </c>
      <c r="P1997" s="390">
        <v>200000.03</v>
      </c>
      <c r="Q1997" s="390">
        <v>200000.03</v>
      </c>
      <c r="R1997" s="391" t="s">
        <v>5848</v>
      </c>
      <c r="S1997" s="350">
        <v>100000.02</v>
      </c>
      <c r="T1997" s="150" t="s">
        <v>5893</v>
      </c>
      <c r="U1997" s="391" t="s">
        <v>5879</v>
      </c>
      <c r="V1997" s="350">
        <v>50000.01</v>
      </c>
      <c r="W1997" s="333" t="s">
        <v>6220</v>
      </c>
      <c r="X1997" s="350">
        <v>50000.01</v>
      </c>
      <c r="Y1997" s="392"/>
    </row>
    <row r="1998" s="95" customFormat="1" ht="37.5" customHeight="1" spans="1:25">
      <c r="A1998" s="138">
        <f t="shared" si="42"/>
        <v>1989</v>
      </c>
      <c r="B1998" s="393">
        <v>2024</v>
      </c>
      <c r="C1998" s="385" t="s">
        <v>37</v>
      </c>
      <c r="D1998" s="386" t="s">
        <v>6218</v>
      </c>
      <c r="E1998" s="190" t="s">
        <v>6244</v>
      </c>
      <c r="F1998" s="387" t="s">
        <v>3192</v>
      </c>
      <c r="G1998" s="325" t="s">
        <v>5231</v>
      </c>
      <c r="H1998" s="144">
        <v>0.8</v>
      </c>
      <c r="I1998" s="305">
        <v>860000</v>
      </c>
      <c r="J1998" s="388" t="s">
        <v>2116</v>
      </c>
      <c r="K1998" s="388" t="s">
        <v>6149</v>
      </c>
      <c r="L1998" s="307">
        <v>0.4</v>
      </c>
      <c r="M1998" s="389" t="s">
        <v>6216</v>
      </c>
      <c r="N1998" s="390">
        <v>819047.63</v>
      </c>
      <c r="O1998" s="390">
        <v>819047.63</v>
      </c>
      <c r="P1998" s="390">
        <v>655238.1</v>
      </c>
      <c r="Q1998" s="390">
        <v>655238.1</v>
      </c>
      <c r="R1998" s="391" t="s">
        <v>5848</v>
      </c>
      <c r="S1998" s="350">
        <v>327619.05</v>
      </c>
      <c r="T1998" s="150" t="s">
        <v>5893</v>
      </c>
      <c r="U1998" s="391" t="s">
        <v>5879</v>
      </c>
      <c r="V1998" s="350">
        <v>163809.53</v>
      </c>
      <c r="W1998" s="333" t="s">
        <v>6205</v>
      </c>
      <c r="X1998" s="350">
        <v>163809.53</v>
      </c>
      <c r="Y1998" s="392"/>
    </row>
    <row r="1999" s="95" customFormat="1" ht="37.5" customHeight="1" spans="1:25">
      <c r="A1999" s="138">
        <f t="shared" si="42"/>
        <v>1990</v>
      </c>
      <c r="B1999" s="139">
        <v>2024</v>
      </c>
      <c r="C1999" s="189" t="s">
        <v>31</v>
      </c>
      <c r="D1999" s="428" t="s">
        <v>114</v>
      </c>
      <c r="E1999" s="324" t="s">
        <v>6245</v>
      </c>
      <c r="F1999" s="429" t="s">
        <v>6246</v>
      </c>
      <c r="G1999" s="430" t="s">
        <v>1137</v>
      </c>
      <c r="H1999" s="144">
        <v>0.8</v>
      </c>
      <c r="I1999" s="145">
        <v>3100000</v>
      </c>
      <c r="J1999" s="431">
        <v>44894</v>
      </c>
      <c r="K1999" s="431" t="s">
        <v>6247</v>
      </c>
      <c r="L1999" s="147">
        <v>0.4</v>
      </c>
      <c r="M1999" s="432" t="s">
        <v>2029</v>
      </c>
      <c r="N1999" s="186">
        <v>1924610.96</v>
      </c>
      <c r="O1999" s="186">
        <v>1924610.96</v>
      </c>
      <c r="P1999" s="186">
        <v>1539688.77</v>
      </c>
      <c r="Q1999" s="186">
        <v>1539688.77</v>
      </c>
      <c r="R1999" s="314" t="s">
        <v>5793</v>
      </c>
      <c r="S1999" s="276">
        <v>769844.38</v>
      </c>
      <c r="T1999" s="150">
        <v>45512</v>
      </c>
      <c r="U1999" s="328" t="s">
        <v>4610</v>
      </c>
      <c r="V1999" s="276">
        <v>384922.19</v>
      </c>
      <c r="W1999" s="333" t="s">
        <v>6248</v>
      </c>
      <c r="X1999" s="276">
        <v>384922.19</v>
      </c>
      <c r="Y1999" s="433"/>
    </row>
    <row r="2000" s="95" customFormat="1" ht="37.5" customHeight="1" spans="1:25">
      <c r="A2000" s="138">
        <f t="shared" si="42"/>
        <v>1991</v>
      </c>
      <c r="B2000" s="281">
        <v>2024</v>
      </c>
      <c r="C2000" s="189" t="s">
        <v>31</v>
      </c>
      <c r="D2000" s="428" t="s">
        <v>116</v>
      </c>
      <c r="E2000" s="324" t="s">
        <v>6249</v>
      </c>
      <c r="F2000" s="429" t="s">
        <v>6246</v>
      </c>
      <c r="G2000" s="430" t="s">
        <v>1137</v>
      </c>
      <c r="H2000" s="144">
        <v>0.8</v>
      </c>
      <c r="I2000" s="145">
        <v>3100000</v>
      </c>
      <c r="J2000" s="431">
        <v>44894</v>
      </c>
      <c r="K2000" s="431" t="s">
        <v>6247</v>
      </c>
      <c r="L2000" s="147">
        <v>0.4</v>
      </c>
      <c r="M2000" s="432" t="s">
        <v>2029</v>
      </c>
      <c r="N2000" s="186">
        <v>1924624.16</v>
      </c>
      <c r="O2000" s="186">
        <v>1924624.16</v>
      </c>
      <c r="P2000" s="186">
        <v>1539699.33</v>
      </c>
      <c r="Q2000" s="186">
        <v>1539699.33</v>
      </c>
      <c r="R2000" s="314" t="s">
        <v>5793</v>
      </c>
      <c r="S2000" s="276">
        <v>769849.66</v>
      </c>
      <c r="T2000" s="150">
        <v>45512</v>
      </c>
      <c r="U2000" s="328" t="s">
        <v>4610</v>
      </c>
      <c r="V2000" s="276">
        <v>384924.83</v>
      </c>
      <c r="W2000" s="333" t="s">
        <v>6248</v>
      </c>
      <c r="X2000" s="276">
        <v>384924.83</v>
      </c>
      <c r="Y2000" s="433"/>
    </row>
    <row r="2001" s="95" customFormat="1" ht="37.5" customHeight="1" spans="1:25">
      <c r="A2001" s="281">
        <f t="shared" si="42"/>
        <v>1992</v>
      </c>
      <c r="B2001" s="281">
        <v>2024</v>
      </c>
      <c r="C2001" s="189" t="s">
        <v>31</v>
      </c>
      <c r="D2001" s="428" t="s">
        <v>117</v>
      </c>
      <c r="E2001" s="324" t="s">
        <v>6250</v>
      </c>
      <c r="F2001" s="429" t="s">
        <v>6246</v>
      </c>
      <c r="G2001" s="430" t="s">
        <v>1137</v>
      </c>
      <c r="H2001" s="144">
        <v>0.8</v>
      </c>
      <c r="I2001" s="145">
        <v>3100000</v>
      </c>
      <c r="J2001" s="431">
        <v>44894</v>
      </c>
      <c r="K2001" s="431" t="s">
        <v>6247</v>
      </c>
      <c r="L2001" s="147">
        <v>0.4</v>
      </c>
      <c r="M2001" s="432" t="s">
        <v>2029</v>
      </c>
      <c r="N2001" s="186">
        <v>1924624.16</v>
      </c>
      <c r="O2001" s="186">
        <v>1924624.16</v>
      </c>
      <c r="P2001" s="186">
        <v>1539699.33</v>
      </c>
      <c r="Q2001" s="186">
        <v>1539699.33</v>
      </c>
      <c r="R2001" s="314" t="s">
        <v>5793</v>
      </c>
      <c r="S2001" s="276">
        <v>769849.66</v>
      </c>
      <c r="T2001" s="150">
        <v>45509</v>
      </c>
      <c r="U2001" s="328" t="s">
        <v>4610</v>
      </c>
      <c r="V2001" s="276">
        <v>384924.83</v>
      </c>
      <c r="W2001" s="333" t="s">
        <v>6248</v>
      </c>
      <c r="X2001" s="276">
        <v>384924.83</v>
      </c>
      <c r="Y2001" s="433"/>
    </row>
    <row r="2002" s="95" customFormat="1" ht="37.5" customHeight="1" spans="1:25">
      <c r="A2002" s="138">
        <f t="shared" si="42"/>
        <v>1993</v>
      </c>
      <c r="B2002" s="281">
        <v>2024</v>
      </c>
      <c r="C2002" s="315" t="s">
        <v>22</v>
      </c>
      <c r="D2002" s="428" t="s">
        <v>92</v>
      </c>
      <c r="E2002" s="1285" t="s">
        <v>6251</v>
      </c>
      <c r="F2002" s="429" t="s">
        <v>6252</v>
      </c>
      <c r="G2002" s="430" t="s">
        <v>6253</v>
      </c>
      <c r="H2002" s="144">
        <v>0.8</v>
      </c>
      <c r="I2002" s="145">
        <v>2000000</v>
      </c>
      <c r="J2002" s="185">
        <v>44861</v>
      </c>
      <c r="K2002" s="185">
        <v>45224</v>
      </c>
      <c r="L2002" s="147">
        <v>0.5</v>
      </c>
      <c r="M2002" s="432" t="s">
        <v>6254</v>
      </c>
      <c r="N2002" s="186">
        <v>2138601.21</v>
      </c>
      <c r="O2002" s="186">
        <v>2000000</v>
      </c>
      <c r="P2002" s="186">
        <v>1600000</v>
      </c>
      <c r="Q2002" s="186">
        <v>1706880.97</v>
      </c>
      <c r="R2002" s="314" t="s">
        <v>5793</v>
      </c>
      <c r="S2002" s="276">
        <v>1000000</v>
      </c>
      <c r="T2002" s="150">
        <v>45509</v>
      </c>
      <c r="U2002" s="328" t="s">
        <v>6255</v>
      </c>
      <c r="V2002" s="276">
        <v>600000</v>
      </c>
      <c r="W2002" s="314" t="s">
        <v>6256</v>
      </c>
      <c r="X2002" s="276">
        <v>600000</v>
      </c>
      <c r="Y2002" s="433"/>
    </row>
    <row r="2003" s="95" customFormat="1" ht="37.5" customHeight="1" spans="1:25">
      <c r="A2003" s="138">
        <f t="shared" si="42"/>
        <v>1994</v>
      </c>
      <c r="B2003" s="139">
        <v>2024</v>
      </c>
      <c r="C2003" s="315" t="s">
        <v>31</v>
      </c>
      <c r="D2003" s="428" t="s">
        <v>139</v>
      </c>
      <c r="E2003" s="324" t="s">
        <v>6257</v>
      </c>
      <c r="F2003" s="429" t="s">
        <v>6258</v>
      </c>
      <c r="G2003" s="430" t="s">
        <v>6259</v>
      </c>
      <c r="H2003" s="144">
        <v>0.8</v>
      </c>
      <c r="I2003" s="145">
        <v>3000000</v>
      </c>
      <c r="J2003" s="434">
        <v>44910</v>
      </c>
      <c r="K2003" s="434">
        <v>45272</v>
      </c>
      <c r="L2003" s="147">
        <v>0.4</v>
      </c>
      <c r="M2003" s="435" t="s">
        <v>4522</v>
      </c>
      <c r="N2003" s="186">
        <v>3003762.5</v>
      </c>
      <c r="O2003" s="186">
        <v>3000000</v>
      </c>
      <c r="P2003" s="186">
        <v>2400000</v>
      </c>
      <c r="Q2003" s="186">
        <v>2403010</v>
      </c>
      <c r="R2003" s="314" t="s">
        <v>5793</v>
      </c>
      <c r="S2003" s="276">
        <v>1200000</v>
      </c>
      <c r="T2003" s="150">
        <v>45509</v>
      </c>
      <c r="U2003" s="328">
        <v>45509</v>
      </c>
      <c r="V2003" s="276">
        <v>600000</v>
      </c>
      <c r="W2003" s="333" t="s">
        <v>6260</v>
      </c>
      <c r="X2003" s="276">
        <v>600000</v>
      </c>
      <c r="Y2003" s="433"/>
    </row>
    <row r="2004" s="95" customFormat="1" ht="37.5" customHeight="1" spans="1:25">
      <c r="A2004" s="138">
        <f t="shared" si="42"/>
        <v>1995</v>
      </c>
      <c r="B2004" s="393">
        <v>2024</v>
      </c>
      <c r="C2004" s="436" t="s">
        <v>31</v>
      </c>
      <c r="D2004" s="353" t="s">
        <v>124</v>
      </c>
      <c r="E2004" s="324" t="s">
        <v>6261</v>
      </c>
      <c r="F2004" s="437" t="s">
        <v>6262</v>
      </c>
      <c r="G2004" s="438" t="s">
        <v>6263</v>
      </c>
      <c r="H2004" s="144">
        <v>0.8</v>
      </c>
      <c r="I2004" s="305">
        <v>4500000</v>
      </c>
      <c r="J2004" s="439" t="s">
        <v>4560</v>
      </c>
      <c r="K2004" s="439" t="s">
        <v>6024</v>
      </c>
      <c r="L2004" s="307">
        <v>0.4</v>
      </c>
      <c r="M2004" s="440" t="s">
        <v>5165</v>
      </c>
      <c r="N2004" s="390">
        <v>4616624.84</v>
      </c>
      <c r="O2004" s="390">
        <v>4500000</v>
      </c>
      <c r="P2004" s="390">
        <v>3600000</v>
      </c>
      <c r="Q2004" s="390">
        <v>3693299.87</v>
      </c>
      <c r="R2004" s="333" t="s">
        <v>5793</v>
      </c>
      <c r="S2004" s="350">
        <v>1846649.94</v>
      </c>
      <c r="T2004" s="150">
        <v>45509</v>
      </c>
      <c r="U2004" s="328">
        <v>45509</v>
      </c>
      <c r="V2004" s="350">
        <v>900000</v>
      </c>
      <c r="W2004" s="333" t="s">
        <v>6260</v>
      </c>
      <c r="X2004" s="350">
        <v>900000</v>
      </c>
      <c r="Y2004" s="392"/>
    </row>
    <row r="2005" s="95" customFormat="1" ht="37.5" customHeight="1" spans="1:25">
      <c r="A2005" s="138">
        <f t="shared" si="42"/>
        <v>1996</v>
      </c>
      <c r="B2005" s="281">
        <v>2024</v>
      </c>
      <c r="C2005" s="189" t="s">
        <v>31</v>
      </c>
      <c r="D2005" s="428" t="s">
        <v>122</v>
      </c>
      <c r="E2005" s="324" t="s">
        <v>6264</v>
      </c>
      <c r="F2005" s="429" t="s">
        <v>6265</v>
      </c>
      <c r="G2005" s="430" t="s">
        <v>1137</v>
      </c>
      <c r="H2005" s="144">
        <v>0.8</v>
      </c>
      <c r="I2005" s="145">
        <v>500000</v>
      </c>
      <c r="J2005" s="185">
        <v>44939</v>
      </c>
      <c r="K2005" s="431" t="s">
        <v>4877</v>
      </c>
      <c r="L2005" s="147">
        <v>0.4</v>
      </c>
      <c r="M2005" s="432" t="s">
        <v>5478</v>
      </c>
      <c r="N2005" s="186">
        <v>5120944.44</v>
      </c>
      <c r="O2005" s="186">
        <v>5000000</v>
      </c>
      <c r="P2005" s="186">
        <v>4000000</v>
      </c>
      <c r="Q2005" s="186">
        <v>4096755.96</v>
      </c>
      <c r="R2005" s="314" t="s">
        <v>5793</v>
      </c>
      <c r="S2005" s="276">
        <v>2048377.78</v>
      </c>
      <c r="T2005" s="150">
        <v>45508</v>
      </c>
      <c r="U2005" s="328" t="s">
        <v>6161</v>
      </c>
      <c r="V2005" s="276">
        <v>1000000</v>
      </c>
      <c r="W2005" s="314" t="s">
        <v>6256</v>
      </c>
      <c r="X2005" s="276">
        <v>1000000</v>
      </c>
      <c r="Y2005" s="433"/>
    </row>
    <row r="2006" s="95" customFormat="1" ht="37.5" customHeight="1" spans="1:25">
      <c r="A2006" s="281">
        <f t="shared" si="42"/>
        <v>1997</v>
      </c>
      <c r="B2006" s="281">
        <v>2024</v>
      </c>
      <c r="C2006" s="315" t="s">
        <v>31</v>
      </c>
      <c r="D2006" s="428" t="s">
        <v>186</v>
      </c>
      <c r="E2006" s="324" t="s">
        <v>6266</v>
      </c>
      <c r="F2006" s="429" t="s">
        <v>1211</v>
      </c>
      <c r="G2006" s="430" t="s">
        <v>1137</v>
      </c>
      <c r="H2006" s="144">
        <v>0.8</v>
      </c>
      <c r="I2006" s="145">
        <v>3000000</v>
      </c>
      <c r="J2006" s="185">
        <v>44945</v>
      </c>
      <c r="K2006" s="185">
        <v>45310</v>
      </c>
      <c r="L2006" s="147">
        <v>0.4</v>
      </c>
      <c r="M2006" s="432" t="s">
        <v>4533</v>
      </c>
      <c r="N2006" s="186">
        <v>3018850</v>
      </c>
      <c r="O2006" s="186">
        <v>3000000</v>
      </c>
      <c r="P2006" s="186">
        <v>2400000</v>
      </c>
      <c r="Q2006" s="186">
        <v>2415080</v>
      </c>
      <c r="R2006" s="314" t="s">
        <v>6267</v>
      </c>
      <c r="S2006" s="276">
        <v>1207540</v>
      </c>
      <c r="T2006" s="150">
        <v>45519</v>
      </c>
      <c r="U2006" s="328" t="s">
        <v>4615</v>
      </c>
      <c r="V2006" s="276">
        <v>600000</v>
      </c>
      <c r="W2006" s="333" t="s">
        <v>6248</v>
      </c>
      <c r="X2006" s="276">
        <v>600000</v>
      </c>
      <c r="Y2006" s="433"/>
    </row>
    <row r="2007" s="95" customFormat="1" ht="37.5" customHeight="1" spans="1:25">
      <c r="A2007" s="138">
        <f t="shared" si="42"/>
        <v>1998</v>
      </c>
      <c r="B2007" s="139">
        <v>2024</v>
      </c>
      <c r="C2007" s="315" t="s">
        <v>133</v>
      </c>
      <c r="D2007" s="428" t="s">
        <v>219</v>
      </c>
      <c r="E2007" s="324" t="s">
        <v>6268</v>
      </c>
      <c r="F2007" s="429" t="s">
        <v>6269</v>
      </c>
      <c r="G2007" s="430" t="s">
        <v>1137</v>
      </c>
      <c r="H2007" s="144">
        <v>0.8</v>
      </c>
      <c r="I2007" s="145">
        <v>250000</v>
      </c>
      <c r="J2007" s="185">
        <v>44508</v>
      </c>
      <c r="K2007" s="185">
        <v>45237</v>
      </c>
      <c r="L2007" s="147">
        <v>0.4</v>
      </c>
      <c r="M2007" s="432" t="s">
        <v>4547</v>
      </c>
      <c r="N2007" s="186">
        <v>249597.77</v>
      </c>
      <c r="O2007" s="186">
        <v>248098.8</v>
      </c>
      <c r="P2007" s="186">
        <v>198479.04</v>
      </c>
      <c r="Q2007" s="186">
        <v>199678.22</v>
      </c>
      <c r="R2007" s="314" t="s">
        <v>4615</v>
      </c>
      <c r="S2007" s="276">
        <v>99839.11</v>
      </c>
      <c r="T2007" s="150">
        <v>45530</v>
      </c>
      <c r="U2007" s="328" t="s">
        <v>6270</v>
      </c>
      <c r="V2007" s="276">
        <v>49619.76</v>
      </c>
      <c r="W2007" s="314" t="s">
        <v>6270</v>
      </c>
      <c r="X2007" s="153">
        <v>49619.76</v>
      </c>
      <c r="Y2007" s="433"/>
    </row>
    <row r="2008" s="95" customFormat="1" ht="37.5" customHeight="1" spans="1:25">
      <c r="A2008" s="298">
        <f t="shared" si="42"/>
        <v>1999</v>
      </c>
      <c r="B2008" s="441">
        <v>2024</v>
      </c>
      <c r="C2008" s="442" t="s">
        <v>41</v>
      </c>
      <c r="D2008" s="341" t="s">
        <v>81</v>
      </c>
      <c r="E2008" s="324" t="s">
        <v>6271</v>
      </c>
      <c r="F2008" s="443" t="s">
        <v>1172</v>
      </c>
      <c r="G2008" s="430" t="s">
        <v>1085</v>
      </c>
      <c r="H2008" s="144">
        <v>1</v>
      </c>
      <c r="I2008" s="305">
        <v>1000000</v>
      </c>
      <c r="J2008" s="326">
        <v>44946</v>
      </c>
      <c r="K2008" s="444">
        <v>45306</v>
      </c>
      <c r="L2008" s="307">
        <v>0.4</v>
      </c>
      <c r="M2008" s="445" t="s">
        <v>5185</v>
      </c>
      <c r="N2008" s="327">
        <v>999999.98</v>
      </c>
      <c r="O2008" s="327">
        <v>999999.98</v>
      </c>
      <c r="P2008" s="327">
        <v>999999.98</v>
      </c>
      <c r="Q2008" s="327">
        <f>37424.75+999999.98</f>
        <v>1037424.73</v>
      </c>
      <c r="R2008" s="330" t="s">
        <v>4615</v>
      </c>
      <c r="S2008" s="305">
        <v>399999.99</v>
      </c>
      <c r="T2008" s="150" t="s">
        <v>6272</v>
      </c>
      <c r="U2008" s="337">
        <v>45534</v>
      </c>
      <c r="V2008" s="305">
        <v>200000</v>
      </c>
      <c r="W2008" s="333" t="s">
        <v>6025</v>
      </c>
      <c r="X2008" s="153">
        <v>200000</v>
      </c>
      <c r="Y2008" s="348"/>
    </row>
    <row r="2009" s="95" customFormat="1" ht="37.5" customHeight="1" spans="1:25">
      <c r="A2009" s="138">
        <f t="shared" si="42"/>
        <v>2000</v>
      </c>
      <c r="B2009" s="281">
        <v>2024</v>
      </c>
      <c r="C2009" s="315" t="s">
        <v>31</v>
      </c>
      <c r="D2009" s="428" t="s">
        <v>187</v>
      </c>
      <c r="E2009" s="324" t="s">
        <v>6273</v>
      </c>
      <c r="F2009" s="429" t="s">
        <v>1211</v>
      </c>
      <c r="G2009" s="430" t="s">
        <v>1137</v>
      </c>
      <c r="H2009" s="144">
        <v>0.8</v>
      </c>
      <c r="I2009" s="145">
        <v>50000</v>
      </c>
      <c r="J2009" s="185">
        <v>44944</v>
      </c>
      <c r="K2009" s="185">
        <v>45675</v>
      </c>
      <c r="L2009" s="147">
        <v>0.4</v>
      </c>
      <c r="M2009" s="432" t="s">
        <v>6274</v>
      </c>
      <c r="N2009" s="186">
        <v>49573.93</v>
      </c>
      <c r="O2009" s="186">
        <v>49000</v>
      </c>
      <c r="P2009" s="186">
        <v>39200</v>
      </c>
      <c r="Q2009" s="186">
        <v>39659.14</v>
      </c>
      <c r="R2009" s="314" t="s">
        <v>6275</v>
      </c>
      <c r="S2009" s="276">
        <v>19829.57</v>
      </c>
      <c r="T2009" s="150">
        <v>45534</v>
      </c>
      <c r="U2009" s="328" t="s">
        <v>6256</v>
      </c>
      <c r="V2009" s="276">
        <v>9800</v>
      </c>
      <c r="W2009" s="333" t="s">
        <v>6276</v>
      </c>
      <c r="X2009" s="153">
        <v>9800</v>
      </c>
      <c r="Y2009" s="433"/>
    </row>
    <row r="2010" s="95" customFormat="1" ht="37.5" customHeight="1" spans="1:25">
      <c r="A2010" s="298">
        <f t="shared" si="42"/>
        <v>2001</v>
      </c>
      <c r="B2010" s="441">
        <v>2024</v>
      </c>
      <c r="C2010" s="442" t="s">
        <v>22</v>
      </c>
      <c r="D2010" s="341" t="s">
        <v>118</v>
      </c>
      <c r="E2010" s="324" t="s">
        <v>6277</v>
      </c>
      <c r="F2010" s="338" t="s">
        <v>6278</v>
      </c>
      <c r="G2010" s="438" t="s">
        <v>6279</v>
      </c>
      <c r="H2010" s="144">
        <v>0.8</v>
      </c>
      <c r="I2010" s="305">
        <v>1200000</v>
      </c>
      <c r="J2010" s="326">
        <v>44834</v>
      </c>
      <c r="K2010" s="326">
        <v>45197</v>
      </c>
      <c r="L2010" s="307">
        <v>0.5</v>
      </c>
      <c r="M2010" s="446" t="s">
        <v>5900</v>
      </c>
      <c r="N2010" s="327">
        <f>1199444.57+29916.52</f>
        <v>1229361.09</v>
      </c>
      <c r="O2010" s="327">
        <v>1199444.57</v>
      </c>
      <c r="P2010" s="327">
        <v>959555.66</v>
      </c>
      <c r="Q2010" s="327">
        <v>959555.66</v>
      </c>
      <c r="R2010" s="330" t="s">
        <v>6275</v>
      </c>
      <c r="S2010" s="305">
        <v>599722.29</v>
      </c>
      <c r="T2010" s="150" t="s">
        <v>6272</v>
      </c>
      <c r="U2010" s="330" t="s">
        <v>5914</v>
      </c>
      <c r="V2010" s="305">
        <v>359833.37</v>
      </c>
      <c r="W2010" s="333" t="s">
        <v>6025</v>
      </c>
      <c r="X2010" s="153">
        <v>359833.37</v>
      </c>
      <c r="Y2010" s="305"/>
    </row>
    <row r="2011" s="95" customFormat="1" ht="37.5" customHeight="1" spans="1:25">
      <c r="A2011" s="298">
        <f t="shared" si="42"/>
        <v>2002</v>
      </c>
      <c r="B2011" s="441">
        <v>2024</v>
      </c>
      <c r="C2011" s="442" t="s">
        <v>57</v>
      </c>
      <c r="D2011" s="428" t="s">
        <v>81</v>
      </c>
      <c r="E2011" s="447" t="s">
        <v>6280</v>
      </c>
      <c r="F2011" s="443" t="s">
        <v>5956</v>
      </c>
      <c r="G2011" s="443" t="s">
        <v>1085</v>
      </c>
      <c r="H2011" s="144">
        <v>1</v>
      </c>
      <c r="I2011" s="448">
        <v>5000000</v>
      </c>
      <c r="J2011" s="326">
        <v>44981</v>
      </c>
      <c r="K2011" s="326">
        <v>45345</v>
      </c>
      <c r="L2011" s="307">
        <v>0.4</v>
      </c>
      <c r="M2011" s="446" t="s">
        <v>6281</v>
      </c>
      <c r="N2011" s="327">
        <v>5229756.1</v>
      </c>
      <c r="O2011" s="327">
        <v>5000000</v>
      </c>
      <c r="P2011" s="327">
        <v>5000000</v>
      </c>
      <c r="Q2011" s="327">
        <v>5000000</v>
      </c>
      <c r="R2011" s="330" t="s">
        <v>6275</v>
      </c>
      <c r="S2011" s="305">
        <v>2000000</v>
      </c>
      <c r="T2011" s="150">
        <v>45534</v>
      </c>
      <c r="U2011" s="337">
        <v>45537</v>
      </c>
      <c r="V2011" s="305">
        <v>1000000</v>
      </c>
      <c r="W2011" s="333" t="s">
        <v>6282</v>
      </c>
      <c r="X2011" s="153">
        <v>1000000</v>
      </c>
      <c r="Y2011" s="348"/>
    </row>
    <row r="2012" s="94" customFormat="1" ht="37.5" customHeight="1" spans="1:25">
      <c r="A2012" s="139">
        <f t="shared" si="42"/>
        <v>2003</v>
      </c>
      <c r="B2012" s="139">
        <v>2024</v>
      </c>
      <c r="C2012" s="449" t="s">
        <v>31</v>
      </c>
      <c r="D2012" s="450" t="s">
        <v>125</v>
      </c>
      <c r="E2012" s="451" t="s">
        <v>6283</v>
      </c>
      <c r="F2012" s="452" t="s">
        <v>6284</v>
      </c>
      <c r="G2012" s="453" t="s">
        <v>6285</v>
      </c>
      <c r="H2012" s="144">
        <v>0.8</v>
      </c>
      <c r="I2012" s="287">
        <v>5000000</v>
      </c>
      <c r="J2012" s="288">
        <v>44967</v>
      </c>
      <c r="K2012" s="288">
        <v>45331</v>
      </c>
      <c r="L2012" s="289">
        <v>0.4</v>
      </c>
      <c r="M2012" s="454" t="s">
        <v>3194</v>
      </c>
      <c r="N2012" s="186">
        <v>5137082.54</v>
      </c>
      <c r="O2012" s="455">
        <v>5000000</v>
      </c>
      <c r="P2012" s="186">
        <v>4000000</v>
      </c>
      <c r="Q2012" s="186">
        <v>4109666.03</v>
      </c>
      <c r="R2012" s="401" t="s">
        <v>6275</v>
      </c>
      <c r="S2012" s="186">
        <v>2054833.02</v>
      </c>
      <c r="T2012" s="150">
        <v>45533</v>
      </c>
      <c r="U2012" s="328" t="s">
        <v>5914</v>
      </c>
      <c r="V2012" s="186">
        <v>1000000</v>
      </c>
      <c r="W2012" s="333" t="s">
        <v>6025</v>
      </c>
      <c r="X2012" s="153">
        <v>1000000</v>
      </c>
      <c r="Y2012" s="456"/>
    </row>
    <row r="2013" s="97" customFormat="1" ht="37.5" customHeight="1" spans="1:25">
      <c r="A2013" s="404">
        <f t="shared" si="42"/>
        <v>2004</v>
      </c>
      <c r="B2013" s="404">
        <v>2024</v>
      </c>
      <c r="C2013" s="457" t="s">
        <v>28</v>
      </c>
      <c r="D2013" s="458" t="s">
        <v>198</v>
      </c>
      <c r="E2013" s="459" t="s">
        <v>6286</v>
      </c>
      <c r="F2013" s="460" t="s">
        <v>6287</v>
      </c>
      <c r="G2013" s="461" t="s">
        <v>6288</v>
      </c>
      <c r="H2013" s="144">
        <v>1</v>
      </c>
      <c r="I2013" s="462">
        <v>150000</v>
      </c>
      <c r="J2013" s="380">
        <v>45210</v>
      </c>
      <c r="K2013" s="380">
        <v>45393</v>
      </c>
      <c r="L2013" s="463">
        <v>0.2</v>
      </c>
      <c r="M2013" s="464" t="s">
        <v>6076</v>
      </c>
      <c r="N2013" s="455">
        <v>150973.16</v>
      </c>
      <c r="O2013" s="455">
        <v>150000</v>
      </c>
      <c r="P2013" s="455">
        <v>150000</v>
      </c>
      <c r="Q2013" s="455">
        <v>150973.16</v>
      </c>
      <c r="R2013" s="465" t="s">
        <v>6289</v>
      </c>
      <c r="S2013" s="455">
        <v>30000</v>
      </c>
      <c r="T2013" s="150">
        <v>45533</v>
      </c>
      <c r="U2013" s="184"/>
      <c r="V2013" s="455"/>
      <c r="W2013" s="185"/>
      <c r="X2013" s="153"/>
      <c r="Y2013" s="466" t="s">
        <v>1077</v>
      </c>
    </row>
    <row r="2014" s="97" customFormat="1" ht="37.5" customHeight="1" spans="1:25">
      <c r="A2014" s="467">
        <f t="shared" si="42"/>
        <v>2005</v>
      </c>
      <c r="B2014" s="467">
        <v>2024</v>
      </c>
      <c r="C2014" s="468" t="s">
        <v>28</v>
      </c>
      <c r="D2014" s="469" t="s">
        <v>196</v>
      </c>
      <c r="E2014" s="459" t="s">
        <v>6290</v>
      </c>
      <c r="F2014" s="470" t="s">
        <v>6287</v>
      </c>
      <c r="G2014" s="92" t="s">
        <v>1188</v>
      </c>
      <c r="H2014" s="144">
        <v>1</v>
      </c>
      <c r="I2014" s="471">
        <v>200000</v>
      </c>
      <c r="J2014" s="472">
        <v>44904</v>
      </c>
      <c r="K2014" s="472">
        <v>45269</v>
      </c>
      <c r="L2014" s="411">
        <v>0.4</v>
      </c>
      <c r="M2014" s="473" t="s">
        <v>6291</v>
      </c>
      <c r="N2014" s="409">
        <v>199627.95</v>
      </c>
      <c r="O2014" s="409">
        <v>199627.95</v>
      </c>
      <c r="P2014" s="409">
        <v>199627.95</v>
      </c>
      <c r="Q2014" s="409">
        <v>199627.95</v>
      </c>
      <c r="R2014" s="474" t="s">
        <v>6289</v>
      </c>
      <c r="S2014" s="409">
        <v>79851.18</v>
      </c>
      <c r="T2014" s="150">
        <v>45534</v>
      </c>
      <c r="U2014" s="337">
        <v>45534</v>
      </c>
      <c r="V2014" s="409">
        <v>39925.59</v>
      </c>
      <c r="W2014" s="333" t="s">
        <v>6248</v>
      </c>
      <c r="X2014" s="153">
        <v>39925.59</v>
      </c>
      <c r="Y2014" s="475"/>
    </row>
    <row r="2015" s="95" customFormat="1" ht="37.5" customHeight="1" spans="1:25">
      <c r="A2015" s="404">
        <f t="shared" si="42"/>
        <v>2006</v>
      </c>
      <c r="B2015" s="404">
        <v>2024</v>
      </c>
      <c r="C2015" s="315" t="s">
        <v>28</v>
      </c>
      <c r="D2015" s="458" t="s">
        <v>194</v>
      </c>
      <c r="E2015" s="459" t="s">
        <v>6292</v>
      </c>
      <c r="F2015" s="452" t="s">
        <v>5978</v>
      </c>
      <c r="G2015" s="476" t="s">
        <v>1085</v>
      </c>
      <c r="H2015" s="144">
        <v>0.8</v>
      </c>
      <c r="I2015" s="462">
        <v>300000</v>
      </c>
      <c r="J2015" s="380">
        <v>45034</v>
      </c>
      <c r="K2015" s="380">
        <v>45384</v>
      </c>
      <c r="L2015" s="463">
        <v>0.4</v>
      </c>
      <c r="M2015" s="464" t="s">
        <v>6103</v>
      </c>
      <c r="N2015" s="455">
        <v>310427.85</v>
      </c>
      <c r="O2015" s="455">
        <v>300000</v>
      </c>
      <c r="P2015" s="455">
        <v>240000</v>
      </c>
      <c r="Q2015" s="455">
        <v>248342.28</v>
      </c>
      <c r="R2015" s="465" t="s">
        <v>6289</v>
      </c>
      <c r="S2015" s="455">
        <v>120000</v>
      </c>
      <c r="T2015" s="150">
        <v>45533</v>
      </c>
      <c r="U2015" s="328" t="s">
        <v>6256</v>
      </c>
      <c r="V2015" s="455">
        <v>60000</v>
      </c>
      <c r="W2015" s="333" t="s">
        <v>6248</v>
      </c>
      <c r="X2015" s="153">
        <v>60000</v>
      </c>
      <c r="Y2015" s="477"/>
    </row>
    <row r="2016" s="95" customFormat="1" ht="37.5" customHeight="1" spans="1:25">
      <c r="A2016" s="467">
        <f t="shared" si="42"/>
        <v>2007</v>
      </c>
      <c r="B2016" s="467">
        <v>2024</v>
      </c>
      <c r="C2016" s="442" t="s">
        <v>22</v>
      </c>
      <c r="D2016" s="469" t="s">
        <v>169</v>
      </c>
      <c r="E2016" s="459" t="s">
        <v>6293</v>
      </c>
      <c r="F2016" s="478" t="s">
        <v>3477</v>
      </c>
      <c r="G2016" s="92" t="s">
        <v>1085</v>
      </c>
      <c r="H2016" s="144">
        <v>0.8</v>
      </c>
      <c r="I2016" s="409">
        <v>80000</v>
      </c>
      <c r="J2016" s="472">
        <v>44645</v>
      </c>
      <c r="K2016" s="472">
        <v>45371</v>
      </c>
      <c r="L2016" s="411">
        <v>0.4</v>
      </c>
      <c r="M2016" s="479" t="s">
        <v>4187</v>
      </c>
      <c r="N2016" s="480">
        <v>81519.17</v>
      </c>
      <c r="O2016" s="409">
        <v>80000</v>
      </c>
      <c r="P2016" s="409">
        <v>64000</v>
      </c>
      <c r="Q2016" s="409">
        <v>65215.34</v>
      </c>
      <c r="R2016" s="474" t="s">
        <v>6270</v>
      </c>
      <c r="S2016" s="409">
        <v>32000</v>
      </c>
      <c r="T2016" s="150">
        <v>45539</v>
      </c>
      <c r="U2016" s="337">
        <v>45539</v>
      </c>
      <c r="V2016" s="409">
        <v>16000</v>
      </c>
      <c r="W2016" s="333" t="s">
        <v>6294</v>
      </c>
      <c r="X2016" s="153">
        <v>16000</v>
      </c>
      <c r="Y2016" s="332"/>
    </row>
    <row r="2017" s="95" customFormat="1" ht="37.5" customHeight="1" spans="1:25">
      <c r="A2017" s="467">
        <f t="shared" si="42"/>
        <v>2008</v>
      </c>
      <c r="B2017" s="481">
        <v>2024</v>
      </c>
      <c r="C2017" s="481" t="s">
        <v>28</v>
      </c>
      <c r="D2017" s="482" t="s">
        <v>218</v>
      </c>
      <c r="E2017" s="483" t="s">
        <v>6295</v>
      </c>
      <c r="F2017" s="484" t="s">
        <v>1179</v>
      </c>
      <c r="G2017" s="485" t="s">
        <v>1103</v>
      </c>
      <c r="H2017" s="486">
        <v>0.8</v>
      </c>
      <c r="I2017" s="487">
        <v>150000</v>
      </c>
      <c r="J2017" s="488">
        <v>44900</v>
      </c>
      <c r="K2017" s="488">
        <v>45264</v>
      </c>
      <c r="L2017" s="489">
        <v>0.4</v>
      </c>
      <c r="M2017" s="472">
        <v>45406</v>
      </c>
      <c r="N2017" s="487">
        <f>O2017+4047.49</f>
        <v>154047.49</v>
      </c>
      <c r="O2017" s="487">
        <v>150000</v>
      </c>
      <c r="P2017" s="490">
        <v>120000</v>
      </c>
      <c r="Q2017" s="490">
        <f>P2017+3237.99</f>
        <v>123237.99</v>
      </c>
      <c r="R2017" s="491" t="s">
        <v>6270</v>
      </c>
      <c r="S2017" s="487">
        <v>60000</v>
      </c>
      <c r="T2017" s="150">
        <v>45539</v>
      </c>
      <c r="U2017" s="331" t="s">
        <v>6248</v>
      </c>
      <c r="V2017" s="487">
        <v>30000</v>
      </c>
      <c r="W2017" s="333" t="s">
        <v>6294</v>
      </c>
      <c r="X2017" s="153">
        <v>30000</v>
      </c>
      <c r="Y2017" s="492"/>
    </row>
    <row r="2018" s="98" customFormat="1" ht="37.5" customHeight="1" spans="1:25">
      <c r="A2018" s="467">
        <f t="shared" si="42"/>
        <v>2009</v>
      </c>
      <c r="B2018" s="299">
        <v>2024</v>
      </c>
      <c r="C2018" s="442" t="s">
        <v>28</v>
      </c>
      <c r="D2018" s="469" t="s">
        <v>210</v>
      </c>
      <c r="E2018" s="324" t="s">
        <v>6296</v>
      </c>
      <c r="F2018" s="478" t="s">
        <v>6297</v>
      </c>
      <c r="G2018" s="143" t="s">
        <v>1103</v>
      </c>
      <c r="H2018" s="144">
        <v>0.8</v>
      </c>
      <c r="I2018" s="409">
        <v>218000</v>
      </c>
      <c r="J2018" s="472">
        <v>44860</v>
      </c>
      <c r="K2018" s="472">
        <v>45224</v>
      </c>
      <c r="L2018" s="425">
        <v>0.4</v>
      </c>
      <c r="M2018" s="446" t="s">
        <v>6065</v>
      </c>
      <c r="N2018" s="355">
        <v>218000</v>
      </c>
      <c r="O2018" s="355">
        <v>218000</v>
      </c>
      <c r="P2018" s="493">
        <f>O2018*0.8</f>
        <v>174400</v>
      </c>
      <c r="Q2018" s="409">
        <v>174400</v>
      </c>
      <c r="R2018" s="474" t="s">
        <v>6270</v>
      </c>
      <c r="S2018" s="409">
        <f>O2018*0.4</f>
        <v>87200</v>
      </c>
      <c r="T2018" s="150">
        <v>45539</v>
      </c>
      <c r="U2018" s="337">
        <v>45539</v>
      </c>
      <c r="V2018" s="409">
        <f>S2018/2</f>
        <v>43600</v>
      </c>
      <c r="W2018" s="333" t="s">
        <v>6298</v>
      </c>
      <c r="X2018" s="153">
        <f>U2018/2</f>
        <v>22769.5</v>
      </c>
      <c r="Y2018" s="332"/>
    </row>
    <row r="2019" s="98" customFormat="1" ht="37.5" customHeight="1" spans="1:25">
      <c r="A2019" s="467">
        <f t="shared" si="42"/>
        <v>2010</v>
      </c>
      <c r="B2019" s="299">
        <v>2024</v>
      </c>
      <c r="C2019" s="442" t="s">
        <v>22</v>
      </c>
      <c r="D2019" s="469" t="s">
        <v>166</v>
      </c>
      <c r="E2019" s="494" t="s">
        <v>6299</v>
      </c>
      <c r="F2019" s="302" t="s">
        <v>6300</v>
      </c>
      <c r="G2019" s="303" t="s">
        <v>1085</v>
      </c>
      <c r="H2019" s="144">
        <v>0.8</v>
      </c>
      <c r="I2019" s="409">
        <v>500000</v>
      </c>
      <c r="J2019" s="472">
        <v>44834</v>
      </c>
      <c r="K2019" s="472">
        <v>45198</v>
      </c>
      <c r="L2019" s="307">
        <v>0.4</v>
      </c>
      <c r="M2019" s="446" t="s">
        <v>5900</v>
      </c>
      <c r="N2019" s="355">
        <f>500000+18763.65</f>
        <v>518763.65</v>
      </c>
      <c r="O2019" s="327">
        <v>500000</v>
      </c>
      <c r="P2019" s="327">
        <v>400000</v>
      </c>
      <c r="Q2019" s="409">
        <v>415010.92</v>
      </c>
      <c r="R2019" s="474" t="s">
        <v>6270</v>
      </c>
      <c r="S2019" s="409">
        <v>200000</v>
      </c>
      <c r="T2019" s="150">
        <v>45539</v>
      </c>
      <c r="U2019" s="337">
        <v>45539</v>
      </c>
      <c r="V2019" s="409">
        <v>100000</v>
      </c>
      <c r="W2019" s="333" t="s">
        <v>6294</v>
      </c>
      <c r="X2019" s="153">
        <v>100000</v>
      </c>
      <c r="Y2019" s="332"/>
    </row>
    <row r="2020" s="95" customFormat="1" ht="37.5" customHeight="1" spans="1:25">
      <c r="A2020" s="467">
        <f t="shared" si="42"/>
        <v>2011</v>
      </c>
      <c r="B2020" s="299">
        <v>2024</v>
      </c>
      <c r="C2020" s="442" t="s">
        <v>37</v>
      </c>
      <c r="D2020" s="469" t="s">
        <v>6301</v>
      </c>
      <c r="E2020" s="1290" t="s">
        <v>6302</v>
      </c>
      <c r="F2020" s="302" t="s">
        <v>3192</v>
      </c>
      <c r="G2020" s="408" t="s">
        <v>5231</v>
      </c>
      <c r="H2020" s="144">
        <v>0.8</v>
      </c>
      <c r="I2020" s="409">
        <v>30000</v>
      </c>
      <c r="J2020" s="472" t="s">
        <v>2794</v>
      </c>
      <c r="K2020" s="472" t="s">
        <v>4592</v>
      </c>
      <c r="L2020" s="425">
        <v>0.4</v>
      </c>
      <c r="M2020" s="446" t="s">
        <v>6059</v>
      </c>
      <c r="N2020" s="327">
        <v>10000</v>
      </c>
      <c r="O2020" s="327">
        <v>10000</v>
      </c>
      <c r="P2020" s="327">
        <v>8000</v>
      </c>
      <c r="Q2020" s="409">
        <v>8000</v>
      </c>
      <c r="R2020" s="474" t="s">
        <v>6256</v>
      </c>
      <c r="S2020" s="409">
        <v>4000</v>
      </c>
      <c r="T2020" s="150">
        <v>45539</v>
      </c>
      <c r="U2020" s="337">
        <v>45539</v>
      </c>
      <c r="V2020" s="409">
        <v>2000</v>
      </c>
      <c r="W2020" s="333" t="s">
        <v>6303</v>
      </c>
      <c r="X2020" s="153">
        <v>2000</v>
      </c>
      <c r="Y2020" s="332"/>
    </row>
    <row r="2021" s="95" customFormat="1" ht="37.5" customHeight="1" spans="1:25">
      <c r="A2021" s="467">
        <f t="shared" si="42"/>
        <v>2012</v>
      </c>
      <c r="B2021" s="299">
        <v>2024</v>
      </c>
      <c r="C2021" s="442" t="s">
        <v>37</v>
      </c>
      <c r="D2021" s="469" t="s">
        <v>6301</v>
      </c>
      <c r="E2021" s="1290" t="s">
        <v>6304</v>
      </c>
      <c r="F2021" s="495" t="s">
        <v>3192</v>
      </c>
      <c r="G2021" s="408" t="s">
        <v>5231</v>
      </c>
      <c r="H2021" s="144">
        <v>0.8</v>
      </c>
      <c r="I2021" s="409">
        <v>30000</v>
      </c>
      <c r="J2021" s="472" t="s">
        <v>2927</v>
      </c>
      <c r="K2021" s="472" t="s">
        <v>4599</v>
      </c>
      <c r="L2021" s="425">
        <v>0.4</v>
      </c>
      <c r="M2021" s="446" t="s">
        <v>6059</v>
      </c>
      <c r="N2021" s="327">
        <v>12500</v>
      </c>
      <c r="O2021" s="327">
        <v>12500</v>
      </c>
      <c r="P2021" s="327">
        <v>10000</v>
      </c>
      <c r="Q2021" s="409">
        <v>10000</v>
      </c>
      <c r="R2021" s="474" t="s">
        <v>6256</v>
      </c>
      <c r="S2021" s="409">
        <v>5000</v>
      </c>
      <c r="T2021" s="150">
        <v>45539</v>
      </c>
      <c r="U2021" s="337">
        <v>45539</v>
      </c>
      <c r="V2021" s="409">
        <v>2500</v>
      </c>
      <c r="W2021" s="333" t="s">
        <v>6303</v>
      </c>
      <c r="X2021" s="153">
        <v>2500</v>
      </c>
      <c r="Y2021" s="332"/>
    </row>
    <row r="2022" s="94" customFormat="1" ht="37.5" customHeight="1" spans="1:25">
      <c r="A2022" s="467">
        <f t="shared" si="42"/>
        <v>2013</v>
      </c>
      <c r="B2022" s="299">
        <v>2024</v>
      </c>
      <c r="C2022" s="442" t="s">
        <v>37</v>
      </c>
      <c r="D2022" s="341" t="s">
        <v>6301</v>
      </c>
      <c r="E2022" s="1283" t="s">
        <v>6305</v>
      </c>
      <c r="F2022" s="302" t="s">
        <v>3192</v>
      </c>
      <c r="G2022" s="325" t="s">
        <v>5231</v>
      </c>
      <c r="H2022" s="144">
        <v>0.8</v>
      </c>
      <c r="I2022" s="305">
        <v>30000</v>
      </c>
      <c r="J2022" s="472" t="s">
        <v>2055</v>
      </c>
      <c r="K2022" s="326" t="s">
        <v>4599</v>
      </c>
      <c r="L2022" s="425">
        <v>0.4</v>
      </c>
      <c r="M2022" s="446" t="s">
        <v>6059</v>
      </c>
      <c r="N2022" s="327">
        <v>12500</v>
      </c>
      <c r="O2022" s="327">
        <v>12500</v>
      </c>
      <c r="P2022" s="327">
        <v>10000</v>
      </c>
      <c r="Q2022" s="327">
        <v>10000</v>
      </c>
      <c r="R2022" s="330" t="s">
        <v>6256</v>
      </c>
      <c r="S2022" s="305">
        <v>5000</v>
      </c>
      <c r="T2022" s="150">
        <v>45539</v>
      </c>
      <c r="U2022" s="337">
        <v>45539</v>
      </c>
      <c r="V2022" s="305">
        <v>2500</v>
      </c>
      <c r="W2022" s="333" t="s">
        <v>6303</v>
      </c>
      <c r="X2022" s="153">
        <v>2500</v>
      </c>
      <c r="Y2022" s="332"/>
    </row>
    <row r="2023" s="96" customFormat="1" ht="37.5" customHeight="1" spans="1:25">
      <c r="A2023" s="467">
        <f t="shared" si="42"/>
        <v>2014</v>
      </c>
      <c r="B2023" s="299">
        <v>2024</v>
      </c>
      <c r="C2023" s="442" t="s">
        <v>37</v>
      </c>
      <c r="D2023" s="341" t="s">
        <v>6301</v>
      </c>
      <c r="E2023" s="1283" t="s">
        <v>6306</v>
      </c>
      <c r="F2023" s="302" t="s">
        <v>3192</v>
      </c>
      <c r="G2023" s="325" t="s">
        <v>5231</v>
      </c>
      <c r="H2023" s="144">
        <v>0.8</v>
      </c>
      <c r="I2023" s="305">
        <v>50000</v>
      </c>
      <c r="J2023" s="326" t="s">
        <v>2060</v>
      </c>
      <c r="K2023" s="326" t="s">
        <v>5551</v>
      </c>
      <c r="L2023" s="307">
        <v>0.4</v>
      </c>
      <c r="M2023" s="446" t="s">
        <v>6059</v>
      </c>
      <c r="N2023" s="327">
        <v>14583.39</v>
      </c>
      <c r="O2023" s="327">
        <v>14583.39</v>
      </c>
      <c r="P2023" s="327">
        <v>11666.71</v>
      </c>
      <c r="Q2023" s="327">
        <v>11666.71</v>
      </c>
      <c r="R2023" s="330" t="s">
        <v>6256</v>
      </c>
      <c r="S2023" s="305">
        <v>5833.36</v>
      </c>
      <c r="T2023" s="150">
        <v>45539</v>
      </c>
      <c r="U2023" s="337"/>
      <c r="V2023" s="305"/>
      <c r="W2023" s="370"/>
      <c r="X2023" s="153"/>
      <c r="Y2023" s="305" t="s">
        <v>1077</v>
      </c>
    </row>
    <row r="2024" s="95" customFormat="1" ht="37.5" customHeight="1" spans="1:25">
      <c r="A2024" s="467">
        <f t="shared" si="42"/>
        <v>2015</v>
      </c>
      <c r="B2024" s="299">
        <v>2024</v>
      </c>
      <c r="C2024" s="442" t="s">
        <v>37</v>
      </c>
      <c r="D2024" s="341" t="s">
        <v>6307</v>
      </c>
      <c r="E2024" s="1290" t="s">
        <v>6308</v>
      </c>
      <c r="F2024" s="302" t="s">
        <v>3192</v>
      </c>
      <c r="G2024" s="408" t="s">
        <v>5231</v>
      </c>
      <c r="H2024" s="144">
        <v>0.8</v>
      </c>
      <c r="I2024" s="305">
        <v>60000</v>
      </c>
      <c r="J2024" s="326" t="s">
        <v>2010</v>
      </c>
      <c r="K2024" s="326" t="s">
        <v>6089</v>
      </c>
      <c r="L2024" s="307">
        <v>0.4</v>
      </c>
      <c r="M2024" s="446" t="s">
        <v>6059</v>
      </c>
      <c r="N2024" s="327">
        <v>17500</v>
      </c>
      <c r="O2024" s="327">
        <v>17500</v>
      </c>
      <c r="P2024" s="327">
        <v>14000</v>
      </c>
      <c r="Q2024" s="327">
        <v>14000</v>
      </c>
      <c r="R2024" s="330" t="s">
        <v>6256</v>
      </c>
      <c r="S2024" s="305">
        <v>7000</v>
      </c>
      <c r="T2024" s="150">
        <v>45539</v>
      </c>
      <c r="U2024" s="337">
        <v>45539</v>
      </c>
      <c r="V2024" s="305">
        <v>3500</v>
      </c>
      <c r="W2024" s="333" t="s">
        <v>6303</v>
      </c>
      <c r="X2024" s="153">
        <v>3500</v>
      </c>
      <c r="Y2024" s="332"/>
    </row>
    <row r="2025" s="95" customFormat="1" ht="37.5" customHeight="1" spans="1:25">
      <c r="A2025" s="467">
        <f t="shared" si="42"/>
        <v>2016</v>
      </c>
      <c r="B2025" s="299">
        <v>2024</v>
      </c>
      <c r="C2025" s="442" t="s">
        <v>37</v>
      </c>
      <c r="D2025" s="341" t="s">
        <v>6301</v>
      </c>
      <c r="E2025" s="1290" t="s">
        <v>6309</v>
      </c>
      <c r="F2025" s="302" t="s">
        <v>3192</v>
      </c>
      <c r="G2025" s="325" t="s">
        <v>5231</v>
      </c>
      <c r="H2025" s="144">
        <v>0.8</v>
      </c>
      <c r="I2025" s="305">
        <v>60000</v>
      </c>
      <c r="J2025" s="326" t="s">
        <v>2457</v>
      </c>
      <c r="K2025" s="326" t="s">
        <v>4592</v>
      </c>
      <c r="L2025" s="307">
        <v>0.4</v>
      </c>
      <c r="M2025" s="446" t="s">
        <v>6059</v>
      </c>
      <c r="N2025" s="327">
        <v>20000</v>
      </c>
      <c r="O2025" s="327">
        <v>20000</v>
      </c>
      <c r="P2025" s="327">
        <v>16000</v>
      </c>
      <c r="Q2025" s="327">
        <v>16000</v>
      </c>
      <c r="R2025" s="330" t="s">
        <v>6256</v>
      </c>
      <c r="S2025" s="305">
        <v>8000</v>
      </c>
      <c r="T2025" s="150">
        <v>45539</v>
      </c>
      <c r="U2025" s="337">
        <v>45539</v>
      </c>
      <c r="V2025" s="305">
        <v>4000</v>
      </c>
      <c r="W2025" s="333" t="s">
        <v>6303</v>
      </c>
      <c r="X2025" s="153">
        <v>4000</v>
      </c>
      <c r="Y2025" s="332"/>
    </row>
    <row r="2026" s="96" customFormat="1" ht="37.5" customHeight="1" spans="1:25">
      <c r="A2026" s="467">
        <f t="shared" si="42"/>
        <v>2017</v>
      </c>
      <c r="B2026" s="299">
        <v>2024</v>
      </c>
      <c r="C2026" s="442" t="s">
        <v>37</v>
      </c>
      <c r="D2026" s="341" t="s">
        <v>6310</v>
      </c>
      <c r="E2026" s="1283" t="s">
        <v>6311</v>
      </c>
      <c r="F2026" s="302" t="s">
        <v>3192</v>
      </c>
      <c r="G2026" s="325" t="s">
        <v>5231</v>
      </c>
      <c r="H2026" s="144">
        <v>0.8</v>
      </c>
      <c r="I2026" s="305">
        <v>20000</v>
      </c>
      <c r="J2026" s="326" t="s">
        <v>2755</v>
      </c>
      <c r="K2026" s="326" t="s">
        <v>6312</v>
      </c>
      <c r="L2026" s="307">
        <v>0.4</v>
      </c>
      <c r="M2026" s="446" t="s">
        <v>6059</v>
      </c>
      <c r="N2026" s="327">
        <v>20000</v>
      </c>
      <c r="O2026" s="327">
        <v>20000</v>
      </c>
      <c r="P2026" s="327">
        <v>16000</v>
      </c>
      <c r="Q2026" s="327">
        <v>16000</v>
      </c>
      <c r="R2026" s="330" t="s">
        <v>6256</v>
      </c>
      <c r="S2026" s="305">
        <v>8000</v>
      </c>
      <c r="T2026" s="150">
        <v>45539</v>
      </c>
      <c r="U2026" s="337">
        <v>45539</v>
      </c>
      <c r="V2026" s="305">
        <v>4000</v>
      </c>
      <c r="W2026" s="333" t="s">
        <v>6303</v>
      </c>
      <c r="X2026" s="153">
        <v>4000</v>
      </c>
      <c r="Y2026" s="332"/>
    </row>
    <row r="2027" s="96" customFormat="1" ht="37.5" customHeight="1" spans="1:25">
      <c r="A2027" s="467">
        <f t="shared" si="42"/>
        <v>2018</v>
      </c>
      <c r="B2027" s="299">
        <v>2024</v>
      </c>
      <c r="C2027" s="442" t="s">
        <v>37</v>
      </c>
      <c r="D2027" s="341" t="s">
        <v>6313</v>
      </c>
      <c r="E2027" s="1283" t="s">
        <v>6314</v>
      </c>
      <c r="F2027" s="302" t="s">
        <v>3192</v>
      </c>
      <c r="G2027" s="325" t="s">
        <v>5231</v>
      </c>
      <c r="H2027" s="144">
        <v>0.8</v>
      </c>
      <c r="I2027" s="305">
        <v>20000</v>
      </c>
      <c r="J2027" s="326" t="s">
        <v>2768</v>
      </c>
      <c r="K2027" s="326" t="s">
        <v>6010</v>
      </c>
      <c r="L2027" s="307">
        <v>0.4</v>
      </c>
      <c r="M2027" s="446" t="s">
        <v>6059</v>
      </c>
      <c r="N2027" s="327">
        <v>20000</v>
      </c>
      <c r="O2027" s="327">
        <v>20000</v>
      </c>
      <c r="P2027" s="327">
        <v>16000</v>
      </c>
      <c r="Q2027" s="327">
        <v>16000</v>
      </c>
      <c r="R2027" s="330" t="s">
        <v>6256</v>
      </c>
      <c r="S2027" s="305">
        <v>8000</v>
      </c>
      <c r="T2027" s="150">
        <v>45539</v>
      </c>
      <c r="U2027" s="337">
        <v>45539</v>
      </c>
      <c r="V2027" s="305">
        <v>4000</v>
      </c>
      <c r="W2027" s="333" t="s">
        <v>6303</v>
      </c>
      <c r="X2027" s="153">
        <v>4000</v>
      </c>
      <c r="Y2027" s="332"/>
    </row>
    <row r="2028" s="96" customFormat="1" ht="37.5" customHeight="1" spans="1:25">
      <c r="A2028" s="467">
        <f t="shared" si="42"/>
        <v>2019</v>
      </c>
      <c r="B2028" s="299">
        <v>2024</v>
      </c>
      <c r="C2028" s="442" t="s">
        <v>37</v>
      </c>
      <c r="D2028" s="341" t="s">
        <v>6315</v>
      </c>
      <c r="E2028" s="1283" t="s">
        <v>6316</v>
      </c>
      <c r="F2028" s="302" t="s">
        <v>3192</v>
      </c>
      <c r="G2028" s="325" t="s">
        <v>5231</v>
      </c>
      <c r="H2028" s="144">
        <v>0.8</v>
      </c>
      <c r="I2028" s="305">
        <v>90000</v>
      </c>
      <c r="J2028" s="326" t="s">
        <v>2034</v>
      </c>
      <c r="K2028" s="326" t="s">
        <v>4917</v>
      </c>
      <c r="L2028" s="307">
        <v>0.4</v>
      </c>
      <c r="M2028" s="446" t="s">
        <v>6059</v>
      </c>
      <c r="N2028" s="327">
        <v>22500</v>
      </c>
      <c r="O2028" s="327">
        <v>22500</v>
      </c>
      <c r="P2028" s="327">
        <v>18000</v>
      </c>
      <c r="Q2028" s="327">
        <v>18000</v>
      </c>
      <c r="R2028" s="330" t="s">
        <v>6256</v>
      </c>
      <c r="S2028" s="305">
        <v>9000</v>
      </c>
      <c r="T2028" s="150">
        <v>45539</v>
      </c>
      <c r="U2028" s="337">
        <v>45539</v>
      </c>
      <c r="V2028" s="305">
        <v>4500</v>
      </c>
      <c r="W2028" s="333" t="s">
        <v>6303</v>
      </c>
      <c r="X2028" s="153">
        <v>4500</v>
      </c>
      <c r="Y2028" s="332"/>
    </row>
    <row r="2029" s="96" customFormat="1" ht="37.5" customHeight="1" spans="1:25">
      <c r="A2029" s="467">
        <f t="shared" si="42"/>
        <v>2020</v>
      </c>
      <c r="B2029" s="299">
        <v>2024</v>
      </c>
      <c r="C2029" s="442" t="s">
        <v>37</v>
      </c>
      <c r="D2029" s="341" t="s">
        <v>6317</v>
      </c>
      <c r="E2029" s="1283" t="s">
        <v>6318</v>
      </c>
      <c r="F2029" s="302" t="s">
        <v>3192</v>
      </c>
      <c r="G2029" s="325" t="s">
        <v>5231</v>
      </c>
      <c r="H2029" s="144">
        <v>0.8</v>
      </c>
      <c r="I2029" s="305">
        <v>60000</v>
      </c>
      <c r="J2029" s="326" t="s">
        <v>3176</v>
      </c>
      <c r="K2029" s="326" t="s">
        <v>5925</v>
      </c>
      <c r="L2029" s="307">
        <v>0.4</v>
      </c>
      <c r="M2029" s="446" t="s">
        <v>6059</v>
      </c>
      <c r="N2029" s="327">
        <v>25000</v>
      </c>
      <c r="O2029" s="493">
        <v>25000</v>
      </c>
      <c r="P2029" s="409">
        <v>20000</v>
      </c>
      <c r="Q2029" s="409">
        <v>20000</v>
      </c>
      <c r="R2029" s="330" t="s">
        <v>6256</v>
      </c>
      <c r="S2029" s="496">
        <v>10000</v>
      </c>
      <c r="T2029" s="150">
        <v>45539</v>
      </c>
      <c r="U2029" s="337">
        <v>45539</v>
      </c>
      <c r="V2029" s="305">
        <v>5000</v>
      </c>
      <c r="W2029" s="333" t="s">
        <v>6303</v>
      </c>
      <c r="X2029" s="153">
        <v>5000</v>
      </c>
      <c r="Y2029" s="332"/>
    </row>
    <row r="2030" s="96" customFormat="1" ht="37.5" customHeight="1" spans="1:25">
      <c r="A2030" s="467">
        <f t="shared" si="42"/>
        <v>2021</v>
      </c>
      <c r="B2030" s="299">
        <v>2024</v>
      </c>
      <c r="C2030" s="442" t="s">
        <v>37</v>
      </c>
      <c r="D2030" s="341" t="s">
        <v>6319</v>
      </c>
      <c r="E2030" s="1283" t="s">
        <v>6320</v>
      </c>
      <c r="F2030" s="302" t="s">
        <v>3192</v>
      </c>
      <c r="G2030" s="325" t="s">
        <v>5231</v>
      </c>
      <c r="H2030" s="144">
        <v>0.8</v>
      </c>
      <c r="I2030" s="305">
        <v>140000</v>
      </c>
      <c r="J2030" s="326" t="s">
        <v>3093</v>
      </c>
      <c r="K2030" s="326" t="s">
        <v>6321</v>
      </c>
      <c r="L2030" s="307">
        <v>0.4</v>
      </c>
      <c r="M2030" s="446" t="s">
        <v>6059</v>
      </c>
      <c r="N2030" s="327">
        <v>58333.37</v>
      </c>
      <c r="O2030" s="493">
        <v>58333.37</v>
      </c>
      <c r="P2030" s="409">
        <v>46666.7</v>
      </c>
      <c r="Q2030" s="409">
        <v>46666.7</v>
      </c>
      <c r="R2030" s="474" t="s">
        <v>6256</v>
      </c>
      <c r="S2030" s="496">
        <v>23333.35</v>
      </c>
      <c r="T2030" s="150">
        <v>45539</v>
      </c>
      <c r="U2030" s="337">
        <v>45539</v>
      </c>
      <c r="V2030" s="305">
        <v>11666.67</v>
      </c>
      <c r="W2030" s="333" t="s">
        <v>6303</v>
      </c>
      <c r="X2030" s="153">
        <v>11666.67</v>
      </c>
      <c r="Y2030" s="332"/>
    </row>
    <row r="2031" s="96" customFormat="1" ht="37.5" customHeight="1" spans="1:25">
      <c r="A2031" s="467">
        <f t="shared" si="42"/>
        <v>2022</v>
      </c>
      <c r="B2031" s="299">
        <v>2024</v>
      </c>
      <c r="C2031" s="442" t="s">
        <v>37</v>
      </c>
      <c r="D2031" s="341" t="s">
        <v>6322</v>
      </c>
      <c r="E2031" s="1283" t="s">
        <v>6323</v>
      </c>
      <c r="F2031" s="302" t="s">
        <v>3192</v>
      </c>
      <c r="G2031" s="325" t="s">
        <v>5231</v>
      </c>
      <c r="H2031" s="144">
        <v>0.8</v>
      </c>
      <c r="I2031" s="305">
        <v>100000</v>
      </c>
      <c r="J2031" s="326" t="s">
        <v>2660</v>
      </c>
      <c r="K2031" s="326" t="s">
        <v>605</v>
      </c>
      <c r="L2031" s="307">
        <v>0.4</v>
      </c>
      <c r="M2031" s="446" t="s">
        <v>6059</v>
      </c>
      <c r="N2031" s="327">
        <v>70833.31</v>
      </c>
      <c r="O2031" s="493">
        <v>70833.31</v>
      </c>
      <c r="P2031" s="497">
        <v>56666.65</v>
      </c>
      <c r="Q2031" s="498">
        <v>56666.65</v>
      </c>
      <c r="R2031" s="330" t="s">
        <v>6256</v>
      </c>
      <c r="S2031" s="496">
        <v>28333.32</v>
      </c>
      <c r="T2031" s="150">
        <v>45539</v>
      </c>
      <c r="U2031" s="337">
        <v>45539</v>
      </c>
      <c r="V2031" s="305">
        <v>14166.66</v>
      </c>
      <c r="W2031" s="333" t="s">
        <v>6303</v>
      </c>
      <c r="X2031" s="153">
        <v>14166.66</v>
      </c>
      <c r="Y2031" s="332"/>
    </row>
    <row r="2032" s="96" customFormat="1" ht="37.5" customHeight="1" spans="1:25">
      <c r="A2032" s="467">
        <f t="shared" si="42"/>
        <v>2023</v>
      </c>
      <c r="B2032" s="299">
        <v>2024</v>
      </c>
      <c r="C2032" s="442" t="s">
        <v>37</v>
      </c>
      <c r="D2032" s="341" t="s">
        <v>6324</v>
      </c>
      <c r="E2032" s="1283" t="s">
        <v>6325</v>
      </c>
      <c r="F2032" s="302" t="s">
        <v>3192</v>
      </c>
      <c r="G2032" s="325" t="s">
        <v>5231</v>
      </c>
      <c r="H2032" s="144">
        <v>0.8</v>
      </c>
      <c r="I2032" s="305">
        <v>200000</v>
      </c>
      <c r="J2032" s="326" t="s">
        <v>2423</v>
      </c>
      <c r="K2032" s="326" t="s">
        <v>5239</v>
      </c>
      <c r="L2032" s="307">
        <v>0.4</v>
      </c>
      <c r="M2032" s="446" t="s">
        <v>6059</v>
      </c>
      <c r="N2032" s="327">
        <v>76190.48</v>
      </c>
      <c r="O2032" s="493">
        <v>76190.48</v>
      </c>
      <c r="P2032" s="409">
        <v>60952.38</v>
      </c>
      <c r="Q2032" s="409">
        <v>60952.38</v>
      </c>
      <c r="R2032" s="499" t="s">
        <v>6256</v>
      </c>
      <c r="S2032" s="496">
        <v>30476.19</v>
      </c>
      <c r="T2032" s="150">
        <v>45539</v>
      </c>
      <c r="U2032" s="337">
        <v>45539</v>
      </c>
      <c r="V2032" s="305">
        <v>15238.1</v>
      </c>
      <c r="W2032" s="333" t="s">
        <v>6303</v>
      </c>
      <c r="X2032" s="153">
        <v>15238.1</v>
      </c>
      <c r="Y2032" s="332"/>
    </row>
    <row r="2033" s="96" customFormat="1" ht="37.5" customHeight="1" spans="1:25">
      <c r="A2033" s="467">
        <f t="shared" si="42"/>
        <v>2024</v>
      </c>
      <c r="B2033" s="299">
        <v>2024</v>
      </c>
      <c r="C2033" s="442" t="s">
        <v>37</v>
      </c>
      <c r="D2033" s="341" t="s">
        <v>6324</v>
      </c>
      <c r="E2033" s="1283" t="s">
        <v>6326</v>
      </c>
      <c r="F2033" s="302" t="s">
        <v>3192</v>
      </c>
      <c r="G2033" s="325" t="s">
        <v>5231</v>
      </c>
      <c r="H2033" s="144">
        <v>0.8</v>
      </c>
      <c r="I2033" s="305">
        <v>200000</v>
      </c>
      <c r="J2033" s="326" t="s">
        <v>2710</v>
      </c>
      <c r="K2033" s="326" t="s">
        <v>5239</v>
      </c>
      <c r="L2033" s="307">
        <v>0.4</v>
      </c>
      <c r="M2033" s="446" t="s">
        <v>6059</v>
      </c>
      <c r="N2033" s="327">
        <v>76190.48</v>
      </c>
      <c r="O2033" s="493">
        <v>76190.48</v>
      </c>
      <c r="P2033" s="497">
        <v>60952.38</v>
      </c>
      <c r="Q2033" s="409">
        <v>60952.38</v>
      </c>
      <c r="R2033" s="330" t="s">
        <v>6256</v>
      </c>
      <c r="S2033" s="496">
        <v>30476.19</v>
      </c>
      <c r="T2033" s="150">
        <v>45539</v>
      </c>
      <c r="U2033" s="337">
        <v>45539</v>
      </c>
      <c r="V2033" s="305">
        <v>15238.1</v>
      </c>
      <c r="W2033" s="333" t="s">
        <v>6303</v>
      </c>
      <c r="X2033" s="153">
        <v>15238.1</v>
      </c>
      <c r="Y2033" s="332"/>
    </row>
    <row r="2034" s="96" customFormat="1" ht="37.5" customHeight="1" spans="1:25">
      <c r="A2034" s="467">
        <f t="shared" si="42"/>
        <v>2025</v>
      </c>
      <c r="B2034" s="299">
        <v>2024</v>
      </c>
      <c r="C2034" s="442" t="s">
        <v>37</v>
      </c>
      <c r="D2034" s="341" t="s">
        <v>6324</v>
      </c>
      <c r="E2034" s="1283" t="s">
        <v>6327</v>
      </c>
      <c r="F2034" s="302" t="s">
        <v>3192</v>
      </c>
      <c r="G2034" s="325" t="s">
        <v>5231</v>
      </c>
      <c r="H2034" s="144">
        <v>0.8</v>
      </c>
      <c r="I2034" s="305">
        <v>200000</v>
      </c>
      <c r="J2034" s="326" t="s">
        <v>2572</v>
      </c>
      <c r="K2034" s="326" t="s">
        <v>5239</v>
      </c>
      <c r="L2034" s="307">
        <v>0.4</v>
      </c>
      <c r="M2034" s="446" t="s">
        <v>6059</v>
      </c>
      <c r="N2034" s="327">
        <v>76190.48</v>
      </c>
      <c r="O2034" s="493">
        <v>76190.48</v>
      </c>
      <c r="P2034" s="497">
        <v>60952.38</v>
      </c>
      <c r="Q2034" s="409">
        <v>60952.38</v>
      </c>
      <c r="R2034" s="474" t="s">
        <v>6256</v>
      </c>
      <c r="S2034" s="496">
        <v>30476.19</v>
      </c>
      <c r="T2034" s="150">
        <v>45539</v>
      </c>
      <c r="U2034" s="337">
        <v>45539</v>
      </c>
      <c r="V2034" s="305">
        <v>15238.1</v>
      </c>
      <c r="W2034" s="333" t="s">
        <v>6303</v>
      </c>
      <c r="X2034" s="153">
        <v>15238.1</v>
      </c>
      <c r="Y2034" s="332"/>
    </row>
    <row r="2035" s="95" customFormat="1" ht="37.5" customHeight="1" spans="1:25">
      <c r="A2035" s="467">
        <f t="shared" si="42"/>
        <v>2026</v>
      </c>
      <c r="B2035" s="500">
        <v>2024</v>
      </c>
      <c r="C2035" s="501" t="s">
        <v>37</v>
      </c>
      <c r="D2035" s="469" t="s">
        <v>6328</v>
      </c>
      <c r="E2035" s="1290" t="s">
        <v>6329</v>
      </c>
      <c r="F2035" s="495" t="s">
        <v>3192</v>
      </c>
      <c r="G2035" s="408" t="s">
        <v>5231</v>
      </c>
      <c r="H2035" s="502">
        <v>0.8</v>
      </c>
      <c r="I2035" s="409">
        <v>230000</v>
      </c>
      <c r="J2035" s="472" t="s">
        <v>2695</v>
      </c>
      <c r="K2035" s="472" t="s">
        <v>4596</v>
      </c>
      <c r="L2035" s="411">
        <v>0.4</v>
      </c>
      <c r="M2035" s="446" t="s">
        <v>6059</v>
      </c>
      <c r="N2035" s="498">
        <v>76666.73</v>
      </c>
      <c r="O2035" s="497">
        <v>76666.73</v>
      </c>
      <c r="P2035" s="497">
        <v>61333.38</v>
      </c>
      <c r="Q2035" s="409">
        <v>61333.38</v>
      </c>
      <c r="R2035" s="474" t="s">
        <v>6256</v>
      </c>
      <c r="S2035" s="503">
        <v>30666.69</v>
      </c>
      <c r="T2035" s="150">
        <v>45539</v>
      </c>
      <c r="U2035" s="504">
        <v>45539</v>
      </c>
      <c r="V2035" s="409">
        <v>15333.35</v>
      </c>
      <c r="W2035" s="333" t="s">
        <v>6303</v>
      </c>
      <c r="X2035" s="153">
        <v>15333.35</v>
      </c>
      <c r="Y2035" s="475"/>
    </row>
    <row r="2036" s="96" customFormat="1" ht="37.5" customHeight="1" spans="1:25">
      <c r="A2036" s="467">
        <f t="shared" si="42"/>
        <v>2027</v>
      </c>
      <c r="B2036" s="500">
        <v>2024</v>
      </c>
      <c r="C2036" s="501" t="s">
        <v>37</v>
      </c>
      <c r="D2036" s="469" t="s">
        <v>6330</v>
      </c>
      <c r="E2036" s="1290" t="s">
        <v>6331</v>
      </c>
      <c r="F2036" s="495" t="s">
        <v>3192</v>
      </c>
      <c r="G2036" s="408" t="s">
        <v>5231</v>
      </c>
      <c r="H2036" s="502">
        <v>0.8</v>
      </c>
      <c r="I2036" s="409">
        <v>190000</v>
      </c>
      <c r="J2036" s="472" t="s">
        <v>3047</v>
      </c>
      <c r="K2036" s="472" t="s">
        <v>4599</v>
      </c>
      <c r="L2036" s="411">
        <v>0.4</v>
      </c>
      <c r="M2036" s="479" t="s">
        <v>6059</v>
      </c>
      <c r="N2036" s="498">
        <v>79166.63</v>
      </c>
      <c r="O2036" s="498">
        <v>79166.63</v>
      </c>
      <c r="P2036" s="498">
        <v>63333.3</v>
      </c>
      <c r="Q2036" s="498">
        <v>63333.3</v>
      </c>
      <c r="R2036" s="474" t="s">
        <v>6256</v>
      </c>
      <c r="S2036" s="503">
        <v>31666.65</v>
      </c>
      <c r="T2036" s="150">
        <v>45539</v>
      </c>
      <c r="U2036" s="504">
        <v>45539</v>
      </c>
      <c r="V2036" s="409">
        <v>15833.33</v>
      </c>
      <c r="W2036" s="333" t="s">
        <v>6303</v>
      </c>
      <c r="X2036" s="153">
        <v>15833.33</v>
      </c>
      <c r="Y2036" s="475"/>
    </row>
    <row r="2037" s="96" customFormat="1" ht="37.5" customHeight="1" spans="1:25">
      <c r="A2037" s="467">
        <f t="shared" ref="A2037:A2097" si="43">ROW()-9</f>
        <v>2028</v>
      </c>
      <c r="B2037" s="500">
        <v>2024</v>
      </c>
      <c r="C2037" s="501" t="s">
        <v>37</v>
      </c>
      <c r="D2037" s="469" t="s">
        <v>6332</v>
      </c>
      <c r="E2037" s="1290" t="s">
        <v>6333</v>
      </c>
      <c r="F2037" s="495" t="s">
        <v>3192</v>
      </c>
      <c r="G2037" s="408" t="s">
        <v>5231</v>
      </c>
      <c r="H2037" s="502">
        <v>0.8</v>
      </c>
      <c r="I2037" s="409">
        <v>320000</v>
      </c>
      <c r="J2037" s="472" t="s">
        <v>2307</v>
      </c>
      <c r="K2037" s="472" t="s">
        <v>5499</v>
      </c>
      <c r="L2037" s="411">
        <v>0.4</v>
      </c>
      <c r="M2037" s="479" t="s">
        <v>6059</v>
      </c>
      <c r="N2037" s="498">
        <v>80000.06</v>
      </c>
      <c r="O2037" s="497">
        <v>80000.06</v>
      </c>
      <c r="P2037" s="497">
        <v>64000.05</v>
      </c>
      <c r="Q2037" s="409">
        <v>64000.05</v>
      </c>
      <c r="R2037" s="474" t="s">
        <v>6256</v>
      </c>
      <c r="S2037" s="503">
        <v>32000.02</v>
      </c>
      <c r="T2037" s="150">
        <v>45539</v>
      </c>
      <c r="U2037" s="504"/>
      <c r="V2037" s="409"/>
      <c r="W2037" s="439"/>
      <c r="X2037" s="153"/>
      <c r="Y2037" s="409" t="s">
        <v>1077</v>
      </c>
    </row>
    <row r="2038" s="96" customFormat="1" ht="37.5" customHeight="1" spans="1:25">
      <c r="A2038" s="467">
        <f t="shared" si="43"/>
        <v>2029</v>
      </c>
      <c r="B2038" s="500">
        <v>2024</v>
      </c>
      <c r="C2038" s="501" t="s">
        <v>37</v>
      </c>
      <c r="D2038" s="469" t="s">
        <v>6319</v>
      </c>
      <c r="E2038" s="1290" t="s">
        <v>6334</v>
      </c>
      <c r="F2038" s="495" t="s">
        <v>3192</v>
      </c>
      <c r="G2038" s="408" t="s">
        <v>5231</v>
      </c>
      <c r="H2038" s="502">
        <v>0.8</v>
      </c>
      <c r="I2038" s="409">
        <v>200000</v>
      </c>
      <c r="J2038" s="472" t="s">
        <v>1876</v>
      </c>
      <c r="K2038" s="472" t="s">
        <v>6321</v>
      </c>
      <c r="L2038" s="411">
        <v>0.4</v>
      </c>
      <c r="M2038" s="479" t="s">
        <v>6059</v>
      </c>
      <c r="N2038" s="498">
        <v>83333.38</v>
      </c>
      <c r="O2038" s="497">
        <v>83333.38</v>
      </c>
      <c r="P2038" s="497">
        <v>66666.7</v>
      </c>
      <c r="Q2038" s="409">
        <v>66666.7</v>
      </c>
      <c r="R2038" s="474" t="s">
        <v>6256</v>
      </c>
      <c r="S2038" s="503">
        <v>33333.35</v>
      </c>
      <c r="T2038" s="150">
        <v>45539</v>
      </c>
      <c r="U2038" s="504">
        <v>45539</v>
      </c>
      <c r="V2038" s="409">
        <v>16666.68</v>
      </c>
      <c r="W2038" s="416" t="s">
        <v>6303</v>
      </c>
      <c r="X2038" s="153">
        <v>16666.68</v>
      </c>
      <c r="Y2038" s="475"/>
    </row>
    <row r="2039" s="99" customFormat="1" ht="37.5" customHeight="1" spans="1:25">
      <c r="A2039" s="467">
        <f t="shared" si="43"/>
        <v>2030</v>
      </c>
      <c r="B2039" s="500">
        <v>2024</v>
      </c>
      <c r="C2039" s="501" t="s">
        <v>37</v>
      </c>
      <c r="D2039" s="469" t="s">
        <v>6310</v>
      </c>
      <c r="E2039" s="1290" t="s">
        <v>6335</v>
      </c>
      <c r="F2039" s="495" t="s">
        <v>3192</v>
      </c>
      <c r="G2039" s="408" t="s">
        <v>5231</v>
      </c>
      <c r="H2039" s="502">
        <v>0.8</v>
      </c>
      <c r="I2039" s="409">
        <v>290000</v>
      </c>
      <c r="J2039" s="472" t="s">
        <v>2289</v>
      </c>
      <c r="K2039" s="472" t="s">
        <v>6336</v>
      </c>
      <c r="L2039" s="411">
        <v>0.4</v>
      </c>
      <c r="M2039" s="479" t="s">
        <v>6059</v>
      </c>
      <c r="N2039" s="498">
        <v>84583.39</v>
      </c>
      <c r="O2039" s="497">
        <v>84583.39</v>
      </c>
      <c r="P2039" s="497">
        <v>67666.71</v>
      </c>
      <c r="Q2039" s="409">
        <v>67666.71</v>
      </c>
      <c r="R2039" s="474" t="s">
        <v>6256</v>
      </c>
      <c r="S2039" s="503">
        <v>33833.36</v>
      </c>
      <c r="T2039" s="150">
        <v>45539</v>
      </c>
      <c r="U2039" s="504"/>
      <c r="V2039" s="409"/>
      <c r="W2039" s="505"/>
      <c r="X2039" s="153"/>
      <c r="Y2039" s="409" t="s">
        <v>1077</v>
      </c>
    </row>
    <row r="2040" s="96" customFormat="1" ht="37.5" customHeight="1" spans="1:25">
      <c r="A2040" s="467">
        <f t="shared" si="43"/>
        <v>2031</v>
      </c>
      <c r="B2040" s="500">
        <v>2024</v>
      </c>
      <c r="C2040" s="501" t="s">
        <v>37</v>
      </c>
      <c r="D2040" s="469" t="s">
        <v>186</v>
      </c>
      <c r="E2040" s="1290" t="s">
        <v>6337</v>
      </c>
      <c r="F2040" s="495" t="s">
        <v>3192</v>
      </c>
      <c r="G2040" s="408" t="s">
        <v>5231</v>
      </c>
      <c r="H2040" s="502">
        <v>0.8</v>
      </c>
      <c r="I2040" s="409">
        <v>310000</v>
      </c>
      <c r="J2040" s="472" t="s">
        <v>3495</v>
      </c>
      <c r="K2040" s="472" t="s">
        <v>6096</v>
      </c>
      <c r="L2040" s="411">
        <v>0.4</v>
      </c>
      <c r="M2040" s="479" t="s">
        <v>6059</v>
      </c>
      <c r="N2040" s="498">
        <v>90416.61</v>
      </c>
      <c r="O2040" s="497">
        <v>90416.61</v>
      </c>
      <c r="P2040" s="497">
        <v>72333.29</v>
      </c>
      <c r="Q2040" s="409">
        <v>72333.29</v>
      </c>
      <c r="R2040" s="474" t="s">
        <v>6256</v>
      </c>
      <c r="S2040" s="503">
        <v>36166.64</v>
      </c>
      <c r="T2040" s="150">
        <v>45539</v>
      </c>
      <c r="U2040" s="504">
        <v>45539</v>
      </c>
      <c r="V2040" s="409">
        <v>18083.32</v>
      </c>
      <c r="W2040" s="416" t="s">
        <v>6303</v>
      </c>
      <c r="X2040" s="153">
        <v>18083.32</v>
      </c>
      <c r="Y2040" s="475"/>
    </row>
    <row r="2041" s="96" customFormat="1" ht="37.5" customHeight="1" spans="1:25">
      <c r="A2041" s="467">
        <f t="shared" si="43"/>
        <v>2032</v>
      </c>
      <c r="B2041" s="500">
        <v>2024</v>
      </c>
      <c r="C2041" s="501" t="s">
        <v>37</v>
      </c>
      <c r="D2041" s="469" t="s">
        <v>6338</v>
      </c>
      <c r="E2041" s="1290" t="s">
        <v>6339</v>
      </c>
      <c r="F2041" s="495" t="s">
        <v>3192</v>
      </c>
      <c r="G2041" s="408" t="s">
        <v>5231</v>
      </c>
      <c r="H2041" s="502">
        <v>0.8</v>
      </c>
      <c r="I2041" s="409">
        <v>320000</v>
      </c>
      <c r="J2041" s="472" t="s">
        <v>2059</v>
      </c>
      <c r="K2041" s="472" t="s">
        <v>6340</v>
      </c>
      <c r="L2041" s="411">
        <v>0.4</v>
      </c>
      <c r="M2041" s="479" t="s">
        <v>6059</v>
      </c>
      <c r="N2041" s="498">
        <v>100869.36</v>
      </c>
      <c r="O2041" s="497">
        <v>100869.36</v>
      </c>
      <c r="P2041" s="497">
        <v>80695.49</v>
      </c>
      <c r="Q2041" s="409">
        <v>80695.49</v>
      </c>
      <c r="R2041" s="474" t="s">
        <v>6256</v>
      </c>
      <c r="S2041" s="503">
        <v>40347.74</v>
      </c>
      <c r="T2041" s="150">
        <v>45539</v>
      </c>
      <c r="U2041" s="504">
        <v>45539</v>
      </c>
      <c r="V2041" s="409">
        <v>20173.87</v>
      </c>
      <c r="W2041" s="416" t="s">
        <v>6303</v>
      </c>
      <c r="X2041" s="153">
        <v>20173.87</v>
      </c>
      <c r="Y2041" s="475"/>
    </row>
    <row r="2042" s="96" customFormat="1" ht="37.5" customHeight="1" spans="1:25">
      <c r="A2042" s="467">
        <f t="shared" si="43"/>
        <v>2033</v>
      </c>
      <c r="B2042" s="500">
        <v>2024</v>
      </c>
      <c r="C2042" s="501" t="s">
        <v>37</v>
      </c>
      <c r="D2042" s="469" t="s">
        <v>6341</v>
      </c>
      <c r="E2042" s="1290" t="s">
        <v>6342</v>
      </c>
      <c r="F2042" s="495" t="s">
        <v>3192</v>
      </c>
      <c r="G2042" s="408" t="s">
        <v>5231</v>
      </c>
      <c r="H2042" s="502">
        <v>0.8</v>
      </c>
      <c r="I2042" s="409">
        <v>450000</v>
      </c>
      <c r="J2042" s="472" t="s">
        <v>2659</v>
      </c>
      <c r="K2042" s="472" t="s">
        <v>5900</v>
      </c>
      <c r="L2042" s="411">
        <v>0.4</v>
      </c>
      <c r="M2042" s="479" t="s">
        <v>6059</v>
      </c>
      <c r="N2042" s="498">
        <v>112500</v>
      </c>
      <c r="O2042" s="497">
        <v>112500</v>
      </c>
      <c r="P2042" s="497">
        <v>90000</v>
      </c>
      <c r="Q2042" s="409">
        <v>90000</v>
      </c>
      <c r="R2042" s="474" t="s">
        <v>6256</v>
      </c>
      <c r="S2042" s="503">
        <v>45000</v>
      </c>
      <c r="T2042" s="150">
        <v>45539</v>
      </c>
      <c r="U2042" s="504">
        <v>45539</v>
      </c>
      <c r="V2042" s="409">
        <v>22500</v>
      </c>
      <c r="W2042" s="333" t="s">
        <v>6303</v>
      </c>
      <c r="X2042" s="153">
        <v>22500</v>
      </c>
      <c r="Y2042" s="475"/>
    </row>
    <row r="2043" s="96" customFormat="1" ht="37.5" customHeight="1" spans="1:25">
      <c r="A2043" s="467">
        <f t="shared" si="43"/>
        <v>2034</v>
      </c>
      <c r="B2043" s="500">
        <v>2024</v>
      </c>
      <c r="C2043" s="501" t="s">
        <v>37</v>
      </c>
      <c r="D2043" s="469" t="s">
        <v>6319</v>
      </c>
      <c r="E2043" s="1290" t="s">
        <v>6343</v>
      </c>
      <c r="F2043" s="495" t="s">
        <v>3192</v>
      </c>
      <c r="G2043" s="408" t="s">
        <v>5231</v>
      </c>
      <c r="H2043" s="502">
        <v>0.8</v>
      </c>
      <c r="I2043" s="506">
        <v>300000</v>
      </c>
      <c r="J2043" s="472" t="s">
        <v>1876</v>
      </c>
      <c r="K2043" s="472" t="s">
        <v>6321</v>
      </c>
      <c r="L2043" s="507">
        <v>0.4</v>
      </c>
      <c r="M2043" s="479" t="s">
        <v>6059</v>
      </c>
      <c r="N2043" s="498">
        <v>125000</v>
      </c>
      <c r="O2043" s="497">
        <v>125000</v>
      </c>
      <c r="P2043" s="497">
        <v>100000</v>
      </c>
      <c r="Q2043" s="409">
        <v>100000</v>
      </c>
      <c r="R2043" s="474" t="s">
        <v>6256</v>
      </c>
      <c r="S2043" s="503">
        <v>50000</v>
      </c>
      <c r="T2043" s="150">
        <v>45539</v>
      </c>
      <c r="U2043" s="504">
        <v>45539</v>
      </c>
      <c r="V2043" s="409">
        <v>25000</v>
      </c>
      <c r="W2043" s="333" t="s">
        <v>6303</v>
      </c>
      <c r="X2043" s="153">
        <v>25000</v>
      </c>
      <c r="Y2043" s="475"/>
    </row>
    <row r="2044" s="96" customFormat="1" ht="37.5" customHeight="1" spans="1:25">
      <c r="A2044" s="467">
        <f t="shared" si="43"/>
        <v>2035</v>
      </c>
      <c r="B2044" s="500">
        <v>2024</v>
      </c>
      <c r="C2044" s="501" t="s">
        <v>37</v>
      </c>
      <c r="D2044" s="341" t="s">
        <v>6344</v>
      </c>
      <c r="E2044" s="1283" t="s">
        <v>6345</v>
      </c>
      <c r="F2044" s="302" t="s">
        <v>3192</v>
      </c>
      <c r="G2044" s="408" t="s">
        <v>5231</v>
      </c>
      <c r="H2044" s="502">
        <v>0.8</v>
      </c>
      <c r="I2044" s="334">
        <v>250000</v>
      </c>
      <c r="J2044" s="472" t="s">
        <v>2671</v>
      </c>
      <c r="K2044" s="472" t="s">
        <v>6346</v>
      </c>
      <c r="L2044" s="507">
        <v>0.2</v>
      </c>
      <c r="M2044" s="479" t="s">
        <v>6059</v>
      </c>
      <c r="N2044" s="327">
        <v>250000</v>
      </c>
      <c r="O2044" s="493">
        <v>250000</v>
      </c>
      <c r="P2044" s="493">
        <v>200000</v>
      </c>
      <c r="Q2044" s="493">
        <v>200000</v>
      </c>
      <c r="R2044" s="474" t="s">
        <v>6256</v>
      </c>
      <c r="S2044" s="496">
        <v>50000</v>
      </c>
      <c r="T2044" s="150">
        <v>45539</v>
      </c>
      <c r="U2044" s="337"/>
      <c r="V2044" s="305"/>
      <c r="W2044" s="505"/>
      <c r="X2044" s="153"/>
      <c r="Y2044" s="305" t="s">
        <v>1077</v>
      </c>
    </row>
    <row r="2045" s="96" customFormat="1" ht="37.5" customHeight="1" spans="1:25">
      <c r="A2045" s="500">
        <f t="shared" si="43"/>
        <v>2036</v>
      </c>
      <c r="B2045" s="500">
        <v>2024</v>
      </c>
      <c r="C2045" s="508" t="s">
        <v>37</v>
      </c>
      <c r="D2045" s="469" t="s">
        <v>6324</v>
      </c>
      <c r="E2045" s="1283" t="s">
        <v>6347</v>
      </c>
      <c r="F2045" s="302" t="s">
        <v>3192</v>
      </c>
      <c r="G2045" s="325" t="s">
        <v>5231</v>
      </c>
      <c r="H2045" s="144">
        <v>0.8</v>
      </c>
      <c r="I2045" s="334">
        <v>300000</v>
      </c>
      <c r="J2045" s="472" t="s">
        <v>2664</v>
      </c>
      <c r="K2045" s="472" t="s">
        <v>6348</v>
      </c>
      <c r="L2045" s="509">
        <v>0.4</v>
      </c>
      <c r="M2045" s="479" t="s">
        <v>6059</v>
      </c>
      <c r="N2045" s="510">
        <v>128571.48</v>
      </c>
      <c r="O2045" s="493">
        <v>128571.48</v>
      </c>
      <c r="P2045" s="493">
        <v>102857.18</v>
      </c>
      <c r="Q2045" s="409">
        <v>102857.18</v>
      </c>
      <c r="R2045" s="474" t="s">
        <v>6256</v>
      </c>
      <c r="S2045" s="496">
        <v>51428.59</v>
      </c>
      <c r="T2045" s="150">
        <v>45539</v>
      </c>
      <c r="U2045" s="337">
        <v>45539</v>
      </c>
      <c r="V2045" s="305">
        <v>25714.3</v>
      </c>
      <c r="W2045" s="333" t="s">
        <v>6303</v>
      </c>
      <c r="X2045" s="153">
        <v>25714.3</v>
      </c>
      <c r="Y2045" s="332"/>
    </row>
    <row r="2046" s="96" customFormat="1" ht="37.5" customHeight="1" spans="1:25">
      <c r="A2046" s="467">
        <f t="shared" si="43"/>
        <v>2037</v>
      </c>
      <c r="B2046" s="500">
        <v>2024</v>
      </c>
      <c r="C2046" s="508" t="s">
        <v>37</v>
      </c>
      <c r="D2046" s="469" t="s">
        <v>6324</v>
      </c>
      <c r="E2046" s="1283" t="s">
        <v>6349</v>
      </c>
      <c r="F2046" s="302" t="s">
        <v>3192</v>
      </c>
      <c r="G2046" s="511" t="s">
        <v>5231</v>
      </c>
      <c r="H2046" s="144">
        <v>0.8</v>
      </c>
      <c r="I2046" s="334">
        <v>600000</v>
      </c>
      <c r="J2046" s="472" t="s">
        <v>2046</v>
      </c>
      <c r="K2046" s="472" t="s">
        <v>5239</v>
      </c>
      <c r="L2046" s="509">
        <v>0.4</v>
      </c>
      <c r="M2046" s="479" t="s">
        <v>6059</v>
      </c>
      <c r="N2046" s="510">
        <v>188571.41</v>
      </c>
      <c r="O2046" s="493">
        <v>188571.41</v>
      </c>
      <c r="P2046" s="493">
        <v>150857.13</v>
      </c>
      <c r="Q2046" s="512">
        <v>150857.13</v>
      </c>
      <c r="R2046" s="330" t="s">
        <v>6256</v>
      </c>
      <c r="S2046" s="496">
        <v>75428.56</v>
      </c>
      <c r="T2046" s="150">
        <v>45539</v>
      </c>
      <c r="U2046" s="337">
        <v>45539</v>
      </c>
      <c r="V2046" s="305">
        <v>37714.28</v>
      </c>
      <c r="W2046" s="416" t="s">
        <v>6350</v>
      </c>
      <c r="X2046" s="153">
        <v>37714.28</v>
      </c>
      <c r="Y2046" s="332"/>
    </row>
    <row r="2047" s="96" customFormat="1" ht="37.5" customHeight="1" spans="1:25">
      <c r="A2047" s="467">
        <f t="shared" si="43"/>
        <v>2038</v>
      </c>
      <c r="B2047" s="500">
        <v>2024</v>
      </c>
      <c r="C2047" s="508" t="s">
        <v>37</v>
      </c>
      <c r="D2047" s="469" t="s">
        <v>114</v>
      </c>
      <c r="E2047" s="1283" t="s">
        <v>6351</v>
      </c>
      <c r="F2047" s="302" t="s">
        <v>3192</v>
      </c>
      <c r="G2047" s="325" t="s">
        <v>5231</v>
      </c>
      <c r="H2047" s="144">
        <v>0.8</v>
      </c>
      <c r="I2047" s="334">
        <v>700000</v>
      </c>
      <c r="J2047" s="472" t="s">
        <v>2200</v>
      </c>
      <c r="K2047" s="472" t="s">
        <v>6192</v>
      </c>
      <c r="L2047" s="509">
        <v>0.4</v>
      </c>
      <c r="M2047" s="479" t="s">
        <v>6059</v>
      </c>
      <c r="N2047" s="510">
        <v>233333.27</v>
      </c>
      <c r="O2047" s="493">
        <v>233333.27</v>
      </c>
      <c r="P2047" s="493">
        <v>186666.62</v>
      </c>
      <c r="Q2047" s="327">
        <v>186666.62</v>
      </c>
      <c r="R2047" s="330" t="s">
        <v>6256</v>
      </c>
      <c r="S2047" s="496">
        <v>93333.31</v>
      </c>
      <c r="T2047" s="150">
        <v>45539</v>
      </c>
      <c r="U2047" s="337">
        <v>45539</v>
      </c>
      <c r="V2047" s="305">
        <v>46666.65</v>
      </c>
      <c r="W2047" s="416" t="s">
        <v>6350</v>
      </c>
      <c r="X2047" s="153">
        <v>46666.65</v>
      </c>
      <c r="Y2047" s="332"/>
    </row>
    <row r="2048" s="96" customFormat="1" ht="37.5" customHeight="1" spans="1:25">
      <c r="A2048" s="92">
        <f t="shared" si="43"/>
        <v>2039</v>
      </c>
      <c r="B2048" s="513">
        <v>2024</v>
      </c>
      <c r="C2048" s="514" t="s">
        <v>25</v>
      </c>
      <c r="D2048" s="458" t="s">
        <v>155</v>
      </c>
      <c r="E2048" s="447" t="s">
        <v>6352</v>
      </c>
      <c r="F2048" s="443" t="s">
        <v>1107</v>
      </c>
      <c r="G2048" s="443" t="s">
        <v>1103</v>
      </c>
      <c r="H2048" s="144">
        <v>0.8</v>
      </c>
      <c r="I2048" s="515">
        <v>250000</v>
      </c>
      <c r="J2048" s="516">
        <v>44771</v>
      </c>
      <c r="K2048" s="516">
        <v>45866</v>
      </c>
      <c r="L2048" s="517">
        <v>0.4</v>
      </c>
      <c r="M2048" s="473" t="s">
        <v>4545</v>
      </c>
      <c r="N2048" s="518">
        <v>251033.91</v>
      </c>
      <c r="O2048" s="519">
        <v>250000</v>
      </c>
      <c r="P2048" s="519">
        <v>200000</v>
      </c>
      <c r="Q2048" s="186">
        <v>200827.13</v>
      </c>
      <c r="R2048" s="520" t="s">
        <v>6256</v>
      </c>
      <c r="S2048" s="521">
        <v>100000</v>
      </c>
      <c r="T2048" s="150">
        <v>45539</v>
      </c>
      <c r="U2048" s="522">
        <v>45539</v>
      </c>
      <c r="V2048" s="276">
        <v>50000</v>
      </c>
      <c r="W2048" s="416" t="s">
        <v>6294</v>
      </c>
      <c r="X2048" s="153">
        <v>50000</v>
      </c>
      <c r="Y2048" s="303"/>
    </row>
    <row r="2049" s="95" customFormat="1" ht="37.5" customHeight="1" spans="1:25">
      <c r="A2049" s="467">
        <f t="shared" si="43"/>
        <v>2040</v>
      </c>
      <c r="B2049" s="500">
        <v>2024</v>
      </c>
      <c r="C2049" s="508" t="s">
        <v>37</v>
      </c>
      <c r="D2049" s="469" t="s">
        <v>6341</v>
      </c>
      <c r="E2049" s="1283" t="s">
        <v>6353</v>
      </c>
      <c r="F2049" s="302" t="s">
        <v>3192</v>
      </c>
      <c r="G2049" s="325" t="s">
        <v>5231</v>
      </c>
      <c r="H2049" s="144">
        <v>0.8</v>
      </c>
      <c r="I2049" s="334">
        <v>350000</v>
      </c>
      <c r="J2049" s="472" t="s">
        <v>2063</v>
      </c>
      <c r="K2049" s="472" t="s">
        <v>6124</v>
      </c>
      <c r="L2049" s="509">
        <v>0.4</v>
      </c>
      <c r="M2049" s="479" t="s">
        <v>6059</v>
      </c>
      <c r="N2049" s="510">
        <v>262485</v>
      </c>
      <c r="O2049" s="510">
        <v>262485</v>
      </c>
      <c r="P2049" s="327">
        <v>209988</v>
      </c>
      <c r="Q2049" s="327">
        <v>209988</v>
      </c>
      <c r="R2049" s="330" t="s">
        <v>6256</v>
      </c>
      <c r="S2049" s="496">
        <v>104994</v>
      </c>
      <c r="T2049" s="150">
        <v>45539</v>
      </c>
      <c r="U2049" s="337">
        <v>45539</v>
      </c>
      <c r="V2049" s="523">
        <v>52497</v>
      </c>
      <c r="W2049" s="333" t="s">
        <v>6303</v>
      </c>
      <c r="X2049" s="153">
        <v>52497</v>
      </c>
      <c r="Y2049" s="332"/>
    </row>
    <row r="2050" s="95" customFormat="1" ht="37.5" customHeight="1" spans="1:25">
      <c r="A2050" s="467">
        <f t="shared" si="43"/>
        <v>2041</v>
      </c>
      <c r="B2050" s="500">
        <v>2024</v>
      </c>
      <c r="C2050" s="508" t="s">
        <v>37</v>
      </c>
      <c r="D2050" s="469" t="s">
        <v>6344</v>
      </c>
      <c r="E2050" s="1283" t="s">
        <v>6354</v>
      </c>
      <c r="F2050" s="302" t="s">
        <v>3192</v>
      </c>
      <c r="G2050" s="325" t="s">
        <v>5231</v>
      </c>
      <c r="H2050" s="144">
        <v>0.8</v>
      </c>
      <c r="I2050" s="334">
        <v>300000</v>
      </c>
      <c r="J2050" s="472" t="s">
        <v>2232</v>
      </c>
      <c r="K2050" s="472" t="s">
        <v>6027</v>
      </c>
      <c r="L2050" s="509">
        <v>0.4</v>
      </c>
      <c r="M2050" s="479" t="s">
        <v>6059</v>
      </c>
      <c r="N2050" s="510">
        <v>285714.29</v>
      </c>
      <c r="O2050" s="510">
        <v>285714.29</v>
      </c>
      <c r="P2050" s="327">
        <v>228571.43</v>
      </c>
      <c r="Q2050" s="327">
        <v>228571.43</v>
      </c>
      <c r="R2050" s="330" t="s">
        <v>6256</v>
      </c>
      <c r="S2050" s="496">
        <v>114285.72</v>
      </c>
      <c r="T2050" s="150">
        <v>45539</v>
      </c>
      <c r="U2050" s="337">
        <v>45539</v>
      </c>
      <c r="V2050" s="305">
        <v>57142.86</v>
      </c>
      <c r="W2050" s="333" t="s">
        <v>6303</v>
      </c>
      <c r="X2050" s="153">
        <v>57142.86</v>
      </c>
      <c r="Y2050" s="332"/>
    </row>
    <row r="2051" s="95" customFormat="1" ht="37.5" customHeight="1" spans="1:25">
      <c r="A2051" s="92">
        <f t="shared" si="43"/>
        <v>2042</v>
      </c>
      <c r="B2051" s="513">
        <v>2024</v>
      </c>
      <c r="C2051" s="514" t="s">
        <v>25</v>
      </c>
      <c r="D2051" s="458" t="s">
        <v>157</v>
      </c>
      <c r="E2051" s="447" t="s">
        <v>6355</v>
      </c>
      <c r="F2051" s="443" t="s">
        <v>1216</v>
      </c>
      <c r="G2051" s="443" t="s">
        <v>1103</v>
      </c>
      <c r="H2051" s="144">
        <v>0.8</v>
      </c>
      <c r="I2051" s="515">
        <v>300000</v>
      </c>
      <c r="J2051" s="516">
        <v>44832</v>
      </c>
      <c r="K2051" s="516">
        <v>45927</v>
      </c>
      <c r="L2051" s="517">
        <v>0.4</v>
      </c>
      <c r="M2051" s="473" t="s">
        <v>4545</v>
      </c>
      <c r="N2051" s="518">
        <v>299199.53</v>
      </c>
      <c r="O2051" s="524">
        <v>299000</v>
      </c>
      <c r="P2051" s="186">
        <v>239200</v>
      </c>
      <c r="Q2051" s="186">
        <v>239359.62</v>
      </c>
      <c r="R2051" s="520" t="s">
        <v>6256</v>
      </c>
      <c r="S2051" s="525">
        <v>119600</v>
      </c>
      <c r="T2051" s="150">
        <v>45539</v>
      </c>
      <c r="U2051" s="522">
        <v>45539</v>
      </c>
      <c r="V2051" s="276">
        <v>59800</v>
      </c>
      <c r="W2051" s="526" t="s">
        <v>6356</v>
      </c>
      <c r="X2051" s="153">
        <v>59800</v>
      </c>
      <c r="Y2051" s="527"/>
    </row>
    <row r="2052" s="95" customFormat="1" ht="37.5" customHeight="1" spans="1:25">
      <c r="A2052" s="92">
        <f t="shared" si="43"/>
        <v>2043</v>
      </c>
      <c r="B2052" s="513">
        <v>2024</v>
      </c>
      <c r="C2052" s="514" t="s">
        <v>28</v>
      </c>
      <c r="D2052" s="458" t="s">
        <v>192</v>
      </c>
      <c r="E2052" s="447" t="s">
        <v>6357</v>
      </c>
      <c r="F2052" s="443" t="s">
        <v>6287</v>
      </c>
      <c r="G2052" s="303" t="s">
        <v>1188</v>
      </c>
      <c r="H2052" s="144">
        <v>1</v>
      </c>
      <c r="I2052" s="528">
        <v>400000</v>
      </c>
      <c r="J2052" s="516">
        <v>44876</v>
      </c>
      <c r="K2052" s="516">
        <v>45241</v>
      </c>
      <c r="L2052" s="517">
        <v>0.4</v>
      </c>
      <c r="M2052" s="473" t="s">
        <v>6358</v>
      </c>
      <c r="N2052" s="518">
        <v>346540.99</v>
      </c>
      <c r="O2052" s="524">
        <v>332356.07</v>
      </c>
      <c r="P2052" s="186">
        <v>332356.07</v>
      </c>
      <c r="Q2052" s="186">
        <v>346540.99</v>
      </c>
      <c r="R2052" s="520" t="s">
        <v>6256</v>
      </c>
      <c r="S2052" s="525">
        <v>132942.43</v>
      </c>
      <c r="T2052" s="150">
        <v>45539</v>
      </c>
      <c r="U2052" s="522">
        <v>45539</v>
      </c>
      <c r="V2052" s="276">
        <v>66471.21</v>
      </c>
      <c r="W2052" s="416" t="s">
        <v>6294</v>
      </c>
      <c r="X2052" s="153">
        <v>66471.21</v>
      </c>
      <c r="Y2052" s="527"/>
    </row>
    <row r="2053" s="95" customFormat="1" ht="37.5" customHeight="1" spans="1:25">
      <c r="A2053" s="467">
        <f t="shared" si="43"/>
        <v>2044</v>
      </c>
      <c r="B2053" s="500">
        <v>2024</v>
      </c>
      <c r="C2053" s="508" t="s">
        <v>37</v>
      </c>
      <c r="D2053" s="469" t="s">
        <v>6341</v>
      </c>
      <c r="E2053" s="1283" t="s">
        <v>6359</v>
      </c>
      <c r="F2053" s="302" t="s">
        <v>3192</v>
      </c>
      <c r="G2053" s="325" t="s">
        <v>5231</v>
      </c>
      <c r="H2053" s="144">
        <v>0.8</v>
      </c>
      <c r="I2053" s="334">
        <v>694815</v>
      </c>
      <c r="J2053" s="472" t="s">
        <v>2648</v>
      </c>
      <c r="K2053" s="472" t="s">
        <v>6360</v>
      </c>
      <c r="L2053" s="509">
        <v>0.4</v>
      </c>
      <c r="M2053" s="479" t="s">
        <v>6059</v>
      </c>
      <c r="N2053" s="510">
        <v>694815</v>
      </c>
      <c r="O2053" s="510">
        <v>694815</v>
      </c>
      <c r="P2053" s="327">
        <v>555852</v>
      </c>
      <c r="Q2053" s="327">
        <v>555852</v>
      </c>
      <c r="R2053" s="330" t="s">
        <v>6256</v>
      </c>
      <c r="S2053" s="334">
        <v>277926</v>
      </c>
      <c r="T2053" s="150">
        <v>45539</v>
      </c>
      <c r="U2053" s="337">
        <v>45539</v>
      </c>
      <c r="V2053" s="305">
        <v>138963</v>
      </c>
      <c r="W2053" s="416" t="s">
        <v>6350</v>
      </c>
      <c r="X2053" s="153">
        <v>138963</v>
      </c>
      <c r="Y2053" s="332"/>
    </row>
    <row r="2054" s="95" customFormat="1" ht="37.5" customHeight="1" spans="1:25">
      <c r="A2054" s="467">
        <f t="shared" si="43"/>
        <v>2045</v>
      </c>
      <c r="B2054" s="500">
        <v>2024</v>
      </c>
      <c r="C2054" s="508" t="s">
        <v>133</v>
      </c>
      <c r="D2054" s="469" t="s">
        <v>216</v>
      </c>
      <c r="E2054" s="324" t="s">
        <v>6361</v>
      </c>
      <c r="F2054" s="338" t="s">
        <v>6362</v>
      </c>
      <c r="G2054" s="336" t="s">
        <v>6363</v>
      </c>
      <c r="H2054" s="144">
        <v>0.9</v>
      </c>
      <c r="I2054" s="334">
        <v>4800000</v>
      </c>
      <c r="J2054" s="472">
        <v>44174</v>
      </c>
      <c r="K2054" s="472">
        <v>45268</v>
      </c>
      <c r="L2054" s="509">
        <v>0.4</v>
      </c>
      <c r="M2054" s="479" t="s">
        <v>6364</v>
      </c>
      <c r="N2054" s="510">
        <v>4300000</v>
      </c>
      <c r="O2054" s="510">
        <v>4300000</v>
      </c>
      <c r="P2054" s="327">
        <v>3870000</v>
      </c>
      <c r="Q2054" s="327">
        <v>3870000</v>
      </c>
      <c r="R2054" s="330" t="s">
        <v>6256</v>
      </c>
      <c r="S2054" s="334">
        <v>1720000</v>
      </c>
      <c r="T2054" s="150">
        <v>45537</v>
      </c>
      <c r="U2054" s="330" t="s">
        <v>5914</v>
      </c>
      <c r="V2054" s="305">
        <v>860000</v>
      </c>
      <c r="W2054" s="416" t="s">
        <v>6025</v>
      </c>
      <c r="X2054" s="153">
        <v>860000</v>
      </c>
      <c r="Y2054" s="348"/>
    </row>
    <row r="2055" s="95" customFormat="1" ht="37.5" customHeight="1" spans="1:25">
      <c r="A2055" s="500">
        <f t="shared" si="43"/>
        <v>2046</v>
      </c>
      <c r="B2055" s="500">
        <v>2024</v>
      </c>
      <c r="C2055" s="508" t="s">
        <v>25</v>
      </c>
      <c r="D2055" s="529" t="s">
        <v>153</v>
      </c>
      <c r="E2055" s="451" t="s">
        <v>6365</v>
      </c>
      <c r="F2055" s="478" t="s">
        <v>6366</v>
      </c>
      <c r="G2055" s="530" t="s">
        <v>6363</v>
      </c>
      <c r="H2055" s="286">
        <v>0.8</v>
      </c>
      <c r="I2055" s="493">
        <v>90000</v>
      </c>
      <c r="J2055" s="531">
        <v>44467</v>
      </c>
      <c r="K2055" s="531">
        <v>45562</v>
      </c>
      <c r="L2055" s="532">
        <v>0.4</v>
      </c>
      <c r="M2055" s="533" t="s">
        <v>4545</v>
      </c>
      <c r="N2055" s="510">
        <v>90062.48</v>
      </c>
      <c r="O2055" s="510">
        <v>90000</v>
      </c>
      <c r="P2055" s="327">
        <v>72000</v>
      </c>
      <c r="Q2055" s="327">
        <v>72049.98</v>
      </c>
      <c r="R2055" s="534" t="s">
        <v>5914</v>
      </c>
      <c r="S2055" s="493">
        <v>36024.99</v>
      </c>
      <c r="T2055" s="150">
        <v>45539</v>
      </c>
      <c r="U2055" s="522">
        <v>45539</v>
      </c>
      <c r="V2055" s="305">
        <v>18000</v>
      </c>
      <c r="W2055" s="333" t="s">
        <v>6294</v>
      </c>
      <c r="X2055" s="153">
        <v>18000</v>
      </c>
      <c r="Y2055" s="348"/>
    </row>
    <row r="2056" s="95" customFormat="1" ht="37.5" customHeight="1" spans="1:25">
      <c r="A2056" s="467">
        <f t="shared" si="43"/>
        <v>2047</v>
      </c>
      <c r="B2056" s="467">
        <v>2024</v>
      </c>
      <c r="C2056" s="468" t="s">
        <v>25</v>
      </c>
      <c r="D2056" s="469" t="s">
        <v>179</v>
      </c>
      <c r="E2056" s="459" t="s">
        <v>6367</v>
      </c>
      <c r="F2056" s="495" t="s">
        <v>1158</v>
      </c>
      <c r="G2056" s="535" t="s">
        <v>6363</v>
      </c>
      <c r="H2056" s="502">
        <v>0.8</v>
      </c>
      <c r="I2056" s="409">
        <v>200000</v>
      </c>
      <c r="J2056" s="472">
        <v>44447</v>
      </c>
      <c r="K2056" s="472">
        <v>45542</v>
      </c>
      <c r="L2056" s="411">
        <v>0.4</v>
      </c>
      <c r="M2056" s="536" t="s">
        <v>6057</v>
      </c>
      <c r="N2056" s="409">
        <v>200000</v>
      </c>
      <c r="O2056" s="409">
        <v>200000</v>
      </c>
      <c r="P2056" s="409">
        <v>160000</v>
      </c>
      <c r="Q2056" s="409">
        <v>160000</v>
      </c>
      <c r="R2056" s="474" t="s">
        <v>5914</v>
      </c>
      <c r="S2056" s="409">
        <v>80000</v>
      </c>
      <c r="T2056" s="150">
        <v>45540</v>
      </c>
      <c r="U2056" s="337">
        <v>45540</v>
      </c>
      <c r="V2056" s="305">
        <v>40000</v>
      </c>
      <c r="W2056" s="333" t="s">
        <v>6303</v>
      </c>
      <c r="X2056" s="153">
        <v>40000</v>
      </c>
      <c r="Y2056" s="348"/>
    </row>
    <row r="2057" s="95" customFormat="1" ht="37.5" customHeight="1" spans="1:25">
      <c r="A2057" s="467">
        <f t="shared" si="43"/>
        <v>2048</v>
      </c>
      <c r="B2057" s="467">
        <v>2024</v>
      </c>
      <c r="C2057" s="468" t="s">
        <v>25</v>
      </c>
      <c r="D2057" s="469" t="s">
        <v>151</v>
      </c>
      <c r="E2057" s="459" t="s">
        <v>6368</v>
      </c>
      <c r="F2057" s="495" t="s">
        <v>6366</v>
      </c>
      <c r="G2057" s="535" t="s">
        <v>6363</v>
      </c>
      <c r="H2057" s="502">
        <v>0.8</v>
      </c>
      <c r="I2057" s="487">
        <v>300000</v>
      </c>
      <c r="J2057" s="488">
        <v>44469</v>
      </c>
      <c r="K2057" s="488">
        <v>45564</v>
      </c>
      <c r="L2057" s="411">
        <v>0.4</v>
      </c>
      <c r="M2057" s="536" t="s">
        <v>4545</v>
      </c>
      <c r="N2057" s="409">
        <v>297485.69</v>
      </c>
      <c r="O2057" s="409">
        <v>297302.99</v>
      </c>
      <c r="P2057" s="409">
        <v>237842.39</v>
      </c>
      <c r="Q2057" s="409">
        <v>237988.55</v>
      </c>
      <c r="R2057" s="474" t="s">
        <v>5914</v>
      </c>
      <c r="S2057" s="409">
        <v>118994.276</v>
      </c>
      <c r="T2057" s="150">
        <v>45540</v>
      </c>
      <c r="U2057" s="337">
        <v>45540</v>
      </c>
      <c r="V2057" s="305">
        <v>59497.138</v>
      </c>
      <c r="W2057" s="333" t="s">
        <v>6303</v>
      </c>
      <c r="X2057" s="153">
        <v>59497.138</v>
      </c>
      <c r="Y2057" s="348"/>
    </row>
    <row r="2058" s="95" customFormat="1" ht="37.5" customHeight="1" spans="1:25">
      <c r="A2058" s="467">
        <f t="shared" si="43"/>
        <v>2049</v>
      </c>
      <c r="B2058" s="467">
        <v>2024</v>
      </c>
      <c r="C2058" s="468" t="s">
        <v>28</v>
      </c>
      <c r="D2058" s="469" t="s">
        <v>215</v>
      </c>
      <c r="E2058" s="459" t="s">
        <v>6369</v>
      </c>
      <c r="F2058" s="495" t="s">
        <v>5968</v>
      </c>
      <c r="G2058" s="535" t="s">
        <v>1085</v>
      </c>
      <c r="H2058" s="502">
        <v>0.8</v>
      </c>
      <c r="I2058" s="409">
        <v>200000</v>
      </c>
      <c r="J2058" s="472">
        <v>45119</v>
      </c>
      <c r="K2058" s="472">
        <v>45484</v>
      </c>
      <c r="L2058" s="411">
        <v>0.4</v>
      </c>
      <c r="M2058" s="479" t="s">
        <v>5505</v>
      </c>
      <c r="N2058" s="409">
        <v>203892.63</v>
      </c>
      <c r="O2058" s="409">
        <v>200000</v>
      </c>
      <c r="P2058" s="409">
        <v>160000</v>
      </c>
      <c r="Q2058" s="409">
        <v>163114.1</v>
      </c>
      <c r="R2058" s="474" t="s">
        <v>6248</v>
      </c>
      <c r="S2058" s="409">
        <v>80000</v>
      </c>
      <c r="T2058" s="150">
        <v>45545</v>
      </c>
      <c r="U2058" s="330" t="s">
        <v>6370</v>
      </c>
      <c r="V2058" s="305">
        <v>40000</v>
      </c>
      <c r="W2058" s="333" t="s">
        <v>6371</v>
      </c>
      <c r="X2058" s="153">
        <v>40000</v>
      </c>
      <c r="Y2058" s="348"/>
    </row>
    <row r="2059" s="95" customFormat="1" ht="37.5" customHeight="1" spans="1:25">
      <c r="A2059" s="467">
        <f t="shared" si="43"/>
        <v>2050</v>
      </c>
      <c r="B2059" s="481">
        <v>2024</v>
      </c>
      <c r="C2059" s="481" t="s">
        <v>28</v>
      </c>
      <c r="D2059" s="482" t="s">
        <v>225</v>
      </c>
      <c r="E2059" s="483" t="s">
        <v>6372</v>
      </c>
      <c r="F2059" s="537" t="s">
        <v>5978</v>
      </c>
      <c r="G2059" s="538" t="s">
        <v>1188</v>
      </c>
      <c r="H2059" s="539">
        <v>1</v>
      </c>
      <c r="I2059" s="487">
        <v>400000</v>
      </c>
      <c r="J2059" s="488">
        <v>44901</v>
      </c>
      <c r="K2059" s="488">
        <v>45250</v>
      </c>
      <c r="L2059" s="489">
        <v>0.4</v>
      </c>
      <c r="M2059" s="540" t="s">
        <v>5250</v>
      </c>
      <c r="N2059" s="487">
        <v>414282.43</v>
      </c>
      <c r="O2059" s="487">
        <v>399926.42</v>
      </c>
      <c r="P2059" s="490">
        <v>399926.42</v>
      </c>
      <c r="Q2059" s="490">
        <v>414282.43</v>
      </c>
      <c r="R2059" s="491" t="s">
        <v>6248</v>
      </c>
      <c r="S2059" s="487">
        <v>159970.57</v>
      </c>
      <c r="T2059" s="150">
        <v>45554</v>
      </c>
      <c r="U2059" s="331" t="s">
        <v>6373</v>
      </c>
      <c r="V2059" s="345">
        <v>79985.28</v>
      </c>
      <c r="W2059" s="333" t="s">
        <v>6350</v>
      </c>
      <c r="X2059" s="153">
        <v>79985.28</v>
      </c>
      <c r="Y2059" s="492"/>
    </row>
    <row r="2060" s="95" customFormat="1" ht="37.5" customHeight="1" spans="1:25">
      <c r="A2060" s="467">
        <f t="shared" si="43"/>
        <v>2051</v>
      </c>
      <c r="B2060" s="467">
        <v>2024</v>
      </c>
      <c r="C2060" s="468" t="s">
        <v>37</v>
      </c>
      <c r="D2060" s="469" t="s">
        <v>250</v>
      </c>
      <c r="E2060" s="459" t="s">
        <v>6374</v>
      </c>
      <c r="F2060" s="495" t="s">
        <v>5988</v>
      </c>
      <c r="G2060" s="92" t="s">
        <v>1085</v>
      </c>
      <c r="H2060" s="502">
        <v>1</v>
      </c>
      <c r="I2060" s="409">
        <v>2600000</v>
      </c>
      <c r="J2060" s="472">
        <v>45015</v>
      </c>
      <c r="K2060" s="472">
        <v>45380</v>
      </c>
      <c r="L2060" s="411">
        <v>0.4</v>
      </c>
      <c r="M2060" s="479" t="s">
        <v>5502</v>
      </c>
      <c r="N2060" s="480">
        <v>2610824.81</v>
      </c>
      <c r="O2060" s="409">
        <v>2600000</v>
      </c>
      <c r="P2060" s="409">
        <v>2600000</v>
      </c>
      <c r="Q2060" s="409">
        <v>2600000</v>
      </c>
      <c r="R2060" s="474" t="s">
        <v>6248</v>
      </c>
      <c r="S2060" s="409">
        <v>1040000</v>
      </c>
      <c r="T2060" s="150">
        <v>45545</v>
      </c>
      <c r="U2060" s="330" t="s">
        <v>6282</v>
      </c>
      <c r="V2060" s="305">
        <v>520000</v>
      </c>
      <c r="W2060" s="333" t="s">
        <v>6373</v>
      </c>
      <c r="X2060" s="153">
        <v>520000</v>
      </c>
      <c r="Y2060" s="348"/>
    </row>
    <row r="2061" s="95" customFormat="1" ht="37.5" customHeight="1" spans="1:25">
      <c r="A2061" s="467">
        <f t="shared" si="43"/>
        <v>2052</v>
      </c>
      <c r="B2061" s="404">
        <v>2024</v>
      </c>
      <c r="C2061" s="541" t="s">
        <v>147</v>
      </c>
      <c r="D2061" s="469" t="s">
        <v>148</v>
      </c>
      <c r="E2061" s="469" t="s">
        <v>6375</v>
      </c>
      <c r="F2061" s="92" t="s">
        <v>6376</v>
      </c>
      <c r="G2061" s="535" t="s">
        <v>1610</v>
      </c>
      <c r="H2061" s="542">
        <v>1</v>
      </c>
      <c r="I2061" s="409">
        <v>4000000</v>
      </c>
      <c r="J2061" s="472">
        <v>44200</v>
      </c>
      <c r="K2061" s="472">
        <v>45282</v>
      </c>
      <c r="L2061" s="411">
        <v>0.4</v>
      </c>
      <c r="M2061" s="479" t="s">
        <v>4187</v>
      </c>
      <c r="N2061" s="409">
        <f>4000000+90984</f>
        <v>4090984</v>
      </c>
      <c r="O2061" s="543">
        <v>4000000</v>
      </c>
      <c r="P2061" s="543">
        <v>4000000</v>
      </c>
      <c r="Q2061" s="480">
        <f>4000000+90984</f>
        <v>4090984</v>
      </c>
      <c r="R2061" s="474" t="s">
        <v>6248</v>
      </c>
      <c r="S2061" s="409">
        <v>1600000</v>
      </c>
      <c r="T2061" s="150">
        <v>45545</v>
      </c>
      <c r="U2061" s="337" t="s">
        <v>6377</v>
      </c>
      <c r="V2061" s="305">
        <v>800000</v>
      </c>
      <c r="W2061" s="333" t="s">
        <v>6378</v>
      </c>
      <c r="X2061" s="153">
        <v>800000</v>
      </c>
      <c r="Y2061" s="332"/>
    </row>
    <row r="2062" s="98" customFormat="1" ht="37.5" customHeight="1" spans="1:25">
      <c r="A2062" s="467">
        <f t="shared" si="43"/>
        <v>2053</v>
      </c>
      <c r="B2062" s="467">
        <v>2024</v>
      </c>
      <c r="C2062" s="468" t="s">
        <v>25</v>
      </c>
      <c r="D2062" s="469" t="s">
        <v>182</v>
      </c>
      <c r="E2062" s="424" t="s">
        <v>6379</v>
      </c>
      <c r="F2062" s="544" t="s">
        <v>6380</v>
      </c>
      <c r="G2062" s="92" t="s">
        <v>6363</v>
      </c>
      <c r="H2062" s="502">
        <v>1</v>
      </c>
      <c r="I2062" s="545">
        <v>5000000</v>
      </c>
      <c r="J2062" s="546">
        <v>44185</v>
      </c>
      <c r="K2062" s="472">
        <v>45279</v>
      </c>
      <c r="L2062" s="411">
        <v>0.4</v>
      </c>
      <c r="M2062" s="547" t="s">
        <v>6381</v>
      </c>
      <c r="N2062" s="409">
        <v>5036365.63</v>
      </c>
      <c r="O2062" s="409">
        <v>4750000</v>
      </c>
      <c r="P2062" s="409">
        <v>4750000</v>
      </c>
      <c r="Q2062" s="409">
        <v>5036365.63</v>
      </c>
      <c r="R2062" s="474" t="s">
        <v>6248</v>
      </c>
      <c r="S2062" s="409">
        <v>2014546.25</v>
      </c>
      <c r="T2062" s="150">
        <v>45545</v>
      </c>
      <c r="U2062" s="330" t="s">
        <v>6370</v>
      </c>
      <c r="V2062" s="305">
        <v>950000</v>
      </c>
      <c r="W2062" s="333" t="s">
        <v>6373</v>
      </c>
      <c r="X2062" s="153">
        <v>950000</v>
      </c>
      <c r="Y2062" s="348"/>
    </row>
    <row r="2063" s="95" customFormat="1" ht="37.5" customHeight="1" spans="1:25">
      <c r="A2063" s="467">
        <f t="shared" si="43"/>
        <v>2054</v>
      </c>
      <c r="B2063" s="481">
        <v>2024</v>
      </c>
      <c r="C2063" s="548" t="s">
        <v>37</v>
      </c>
      <c r="D2063" s="482" t="s">
        <v>251</v>
      </c>
      <c r="E2063" s="549" t="s">
        <v>6382</v>
      </c>
      <c r="F2063" s="537" t="s">
        <v>6383</v>
      </c>
      <c r="G2063" s="538" t="s">
        <v>1188</v>
      </c>
      <c r="H2063" s="539">
        <v>1</v>
      </c>
      <c r="I2063" s="550">
        <v>9000000</v>
      </c>
      <c r="J2063" s="551">
        <v>44712</v>
      </c>
      <c r="K2063" s="551">
        <v>45796</v>
      </c>
      <c r="L2063" s="489">
        <v>0.4</v>
      </c>
      <c r="M2063" s="540" t="s">
        <v>5904</v>
      </c>
      <c r="N2063" s="487">
        <v>8749933.05</v>
      </c>
      <c r="O2063" s="487">
        <v>8749933.05</v>
      </c>
      <c r="P2063" s="487">
        <v>8749933.05</v>
      </c>
      <c r="Q2063" s="487">
        <v>8749933.05</v>
      </c>
      <c r="R2063" s="491" t="s">
        <v>6248</v>
      </c>
      <c r="S2063" s="487">
        <v>3499973.22</v>
      </c>
      <c r="T2063" s="150">
        <v>45554</v>
      </c>
      <c r="U2063" s="331" t="s">
        <v>6373</v>
      </c>
      <c r="V2063" s="345">
        <v>1749986.61</v>
      </c>
      <c r="W2063" s="333" t="s">
        <v>5929</v>
      </c>
      <c r="X2063" s="153">
        <v>1749986.61</v>
      </c>
      <c r="Y2063" s="492"/>
    </row>
    <row r="2064" s="95" customFormat="1" ht="37.5" customHeight="1" spans="1:25">
      <c r="A2064" s="467">
        <f t="shared" si="43"/>
        <v>2055</v>
      </c>
      <c r="B2064" s="467">
        <v>2024</v>
      </c>
      <c r="C2064" s="501" t="s">
        <v>31</v>
      </c>
      <c r="D2064" s="469" t="s">
        <v>265</v>
      </c>
      <c r="E2064" s="424" t="s">
        <v>6384</v>
      </c>
      <c r="F2064" s="495" t="s">
        <v>1211</v>
      </c>
      <c r="G2064" s="92" t="s">
        <v>1212</v>
      </c>
      <c r="H2064" s="542">
        <v>0.8</v>
      </c>
      <c r="I2064" s="545">
        <v>500000</v>
      </c>
      <c r="J2064" s="546">
        <v>45035</v>
      </c>
      <c r="K2064" s="546">
        <v>45401</v>
      </c>
      <c r="L2064" s="411">
        <v>0.2</v>
      </c>
      <c r="M2064" s="479" t="s">
        <v>6089</v>
      </c>
      <c r="N2064" s="409">
        <v>511983.46</v>
      </c>
      <c r="O2064" s="543">
        <v>500000</v>
      </c>
      <c r="P2064" s="543">
        <v>400000</v>
      </c>
      <c r="Q2064" s="480">
        <v>409586.77</v>
      </c>
      <c r="R2064" s="474" t="s">
        <v>6294</v>
      </c>
      <c r="S2064" s="409">
        <v>102396.69</v>
      </c>
      <c r="T2064" s="150">
        <v>45544</v>
      </c>
      <c r="U2064" s="360"/>
      <c r="V2064" s="305"/>
      <c r="W2064" s="326"/>
      <c r="X2064" s="153"/>
      <c r="Y2064" s="313" t="s">
        <v>1077</v>
      </c>
    </row>
    <row r="2065" s="95" customFormat="1" ht="37.5" customHeight="1" spans="1:25">
      <c r="A2065" s="467">
        <f t="shared" si="43"/>
        <v>2056</v>
      </c>
      <c r="B2065" s="467">
        <v>2024</v>
      </c>
      <c r="C2065" s="501" t="s">
        <v>25</v>
      </c>
      <c r="D2065" s="469" t="s">
        <v>175</v>
      </c>
      <c r="E2065" s="1291" t="s">
        <v>6385</v>
      </c>
      <c r="F2065" s="469" t="s">
        <v>1158</v>
      </c>
      <c r="G2065" s="535" t="s">
        <v>1610</v>
      </c>
      <c r="H2065" s="542">
        <v>0.8</v>
      </c>
      <c r="I2065" s="545">
        <v>300000</v>
      </c>
      <c r="J2065" s="546">
        <v>44431</v>
      </c>
      <c r="K2065" s="546">
        <v>45527</v>
      </c>
      <c r="L2065" s="411">
        <v>0.4</v>
      </c>
      <c r="M2065" s="479" t="s">
        <v>6057</v>
      </c>
      <c r="N2065" s="409">
        <v>304632.78</v>
      </c>
      <c r="O2065" s="543">
        <v>300000</v>
      </c>
      <c r="P2065" s="543">
        <v>240000</v>
      </c>
      <c r="Q2065" s="480">
        <v>243706.22</v>
      </c>
      <c r="R2065" s="474" t="s">
        <v>6294</v>
      </c>
      <c r="S2065" s="409">
        <v>121853.11</v>
      </c>
      <c r="T2065" s="150">
        <v>45545</v>
      </c>
      <c r="U2065" s="330" t="s">
        <v>6370</v>
      </c>
      <c r="V2065" s="305">
        <v>60000</v>
      </c>
      <c r="W2065" s="333" t="s">
        <v>6371</v>
      </c>
      <c r="X2065" s="153">
        <v>60000</v>
      </c>
      <c r="Y2065" s="332"/>
    </row>
    <row r="2066" s="95" customFormat="1" ht="37.5" customHeight="1" spans="1:25">
      <c r="A2066" s="500">
        <f t="shared" si="43"/>
        <v>2057</v>
      </c>
      <c r="B2066" s="500">
        <v>2024</v>
      </c>
      <c r="C2066" s="501" t="s">
        <v>25</v>
      </c>
      <c r="D2066" s="529" t="s">
        <v>212</v>
      </c>
      <c r="E2066" s="1292" t="s">
        <v>6386</v>
      </c>
      <c r="F2066" s="535" t="s">
        <v>6387</v>
      </c>
      <c r="G2066" s="535" t="s">
        <v>6363</v>
      </c>
      <c r="H2066" s="542">
        <v>0.8</v>
      </c>
      <c r="I2066" s="545">
        <v>800000</v>
      </c>
      <c r="J2066" s="546">
        <v>44440</v>
      </c>
      <c r="K2066" s="546">
        <v>45535</v>
      </c>
      <c r="L2066" s="411">
        <v>0.4</v>
      </c>
      <c r="M2066" s="479" t="s">
        <v>5852</v>
      </c>
      <c r="N2066" s="498">
        <v>807020</v>
      </c>
      <c r="O2066" s="543">
        <v>800000</v>
      </c>
      <c r="P2066" s="543">
        <v>640000</v>
      </c>
      <c r="Q2066" s="554">
        <v>645616</v>
      </c>
      <c r="R2066" s="474" t="s">
        <v>6294</v>
      </c>
      <c r="S2066" s="409">
        <v>322308</v>
      </c>
      <c r="T2066" s="150">
        <v>45544</v>
      </c>
      <c r="U2066" s="330" t="s">
        <v>6370</v>
      </c>
      <c r="V2066" s="305">
        <v>160000</v>
      </c>
      <c r="W2066" s="555" t="s">
        <v>6373</v>
      </c>
      <c r="X2066" s="153">
        <v>160000</v>
      </c>
      <c r="Y2066" s="299"/>
    </row>
    <row r="2067" s="95" customFormat="1" ht="37.5" customHeight="1" spans="1:25">
      <c r="A2067" s="467">
        <f t="shared" si="43"/>
        <v>2058</v>
      </c>
      <c r="B2067" s="556">
        <v>2024</v>
      </c>
      <c r="C2067" s="557" t="s">
        <v>31</v>
      </c>
      <c r="D2067" s="187" t="s">
        <v>263</v>
      </c>
      <c r="E2067" s="549" t="s">
        <v>6388</v>
      </c>
      <c r="F2067" s="558" t="s">
        <v>1211</v>
      </c>
      <c r="G2067" s="559" t="s">
        <v>5982</v>
      </c>
      <c r="H2067" s="560">
        <v>0.8</v>
      </c>
      <c r="I2067" s="561">
        <v>320000</v>
      </c>
      <c r="J2067" s="562">
        <v>45030</v>
      </c>
      <c r="K2067" s="562">
        <v>45761</v>
      </c>
      <c r="L2067" s="563">
        <v>0.4</v>
      </c>
      <c r="M2067" s="479" t="s">
        <v>6088</v>
      </c>
      <c r="N2067" s="564">
        <v>307279.35</v>
      </c>
      <c r="O2067" s="564">
        <v>300000</v>
      </c>
      <c r="P2067" s="564">
        <v>240000</v>
      </c>
      <c r="Q2067" s="565">
        <v>245823.48</v>
      </c>
      <c r="R2067" s="316" t="s">
        <v>6389</v>
      </c>
      <c r="S2067" s="564">
        <v>122911.74</v>
      </c>
      <c r="T2067" s="150" t="s">
        <v>6390</v>
      </c>
      <c r="U2067" s="566" t="s">
        <v>6391</v>
      </c>
      <c r="V2067" s="567">
        <v>60000</v>
      </c>
      <c r="W2067" s="416" t="s">
        <v>6392</v>
      </c>
      <c r="X2067" s="153">
        <v>600000</v>
      </c>
      <c r="Y2067" s="568"/>
    </row>
    <row r="2068" s="95" customFormat="1" ht="37.5" customHeight="1" spans="1:25">
      <c r="A2068" s="467">
        <f t="shared" si="43"/>
        <v>2059</v>
      </c>
      <c r="B2068" s="467">
        <v>2024</v>
      </c>
      <c r="C2068" s="501" t="s">
        <v>25</v>
      </c>
      <c r="D2068" s="469" t="s">
        <v>177</v>
      </c>
      <c r="E2068" s="459" t="s">
        <v>6393</v>
      </c>
      <c r="F2068" s="495" t="s">
        <v>6394</v>
      </c>
      <c r="G2068" s="92" t="s">
        <v>6395</v>
      </c>
      <c r="H2068" s="542">
        <v>0.8</v>
      </c>
      <c r="I2068" s="545">
        <v>500000</v>
      </c>
      <c r="J2068" s="472">
        <v>44558</v>
      </c>
      <c r="K2068" s="546">
        <v>45653</v>
      </c>
      <c r="L2068" s="411">
        <v>0.2</v>
      </c>
      <c r="M2068" s="479" t="s">
        <v>6057</v>
      </c>
      <c r="N2068" s="409">
        <v>505698.7</v>
      </c>
      <c r="O2068" s="409">
        <v>500000</v>
      </c>
      <c r="P2068" s="409">
        <v>400000</v>
      </c>
      <c r="Q2068" s="409">
        <v>404558.96</v>
      </c>
      <c r="R2068" s="569" t="s">
        <v>6389</v>
      </c>
      <c r="S2068" s="409">
        <v>250000</v>
      </c>
      <c r="T2068" s="150">
        <v>45549</v>
      </c>
      <c r="U2068" s="360" t="s">
        <v>6282</v>
      </c>
      <c r="V2068" s="305">
        <v>150000</v>
      </c>
      <c r="W2068" s="416" t="s">
        <v>6378</v>
      </c>
      <c r="X2068" s="153">
        <v>150000</v>
      </c>
      <c r="Y2068" s="92" t="s">
        <v>6395</v>
      </c>
    </row>
    <row r="2069" s="95" customFormat="1" ht="37.5" customHeight="1" spans="1:25">
      <c r="A2069" s="467">
        <f t="shared" si="43"/>
        <v>2060</v>
      </c>
      <c r="B2069" s="467">
        <v>2024</v>
      </c>
      <c r="C2069" s="501" t="s">
        <v>31</v>
      </c>
      <c r="D2069" s="469" t="s">
        <v>261</v>
      </c>
      <c r="E2069" s="1290" t="s">
        <v>6396</v>
      </c>
      <c r="F2069" s="495" t="s">
        <v>1211</v>
      </c>
      <c r="G2069" s="461" t="s">
        <v>1103</v>
      </c>
      <c r="H2069" s="542">
        <v>0.8</v>
      </c>
      <c r="I2069" s="409">
        <v>100000</v>
      </c>
      <c r="J2069" s="472">
        <v>44664</v>
      </c>
      <c r="K2069" s="472">
        <v>45395</v>
      </c>
      <c r="L2069" s="411">
        <v>0.4</v>
      </c>
      <c r="M2069" s="479" t="s">
        <v>6397</v>
      </c>
      <c r="N2069" s="409">
        <v>96195.14</v>
      </c>
      <c r="O2069" s="409">
        <v>95861.5</v>
      </c>
      <c r="P2069" s="409">
        <v>76689.2</v>
      </c>
      <c r="Q2069" s="409">
        <v>76956.11</v>
      </c>
      <c r="R2069" s="474" t="s">
        <v>6398</v>
      </c>
      <c r="S2069" s="409">
        <v>38478.05</v>
      </c>
      <c r="T2069" s="150">
        <v>45549</v>
      </c>
      <c r="U2069" s="368"/>
      <c r="V2069" s="369"/>
      <c r="W2069" s="505"/>
      <c r="X2069" s="153"/>
      <c r="Y2069" s="570" t="s">
        <v>6399</v>
      </c>
    </row>
    <row r="2070" s="95" customFormat="1" ht="37.5" customHeight="1" spans="1:25">
      <c r="A2070" s="467">
        <f t="shared" si="43"/>
        <v>2061</v>
      </c>
      <c r="B2070" s="467">
        <v>2024</v>
      </c>
      <c r="C2070" s="501" t="s">
        <v>15</v>
      </c>
      <c r="D2070" s="469" t="s">
        <v>285</v>
      </c>
      <c r="E2070" s="459" t="s">
        <v>6400</v>
      </c>
      <c r="F2070" s="495" t="s">
        <v>1088</v>
      </c>
      <c r="G2070" s="92" t="s">
        <v>1212</v>
      </c>
      <c r="H2070" s="542">
        <v>0.8</v>
      </c>
      <c r="I2070" s="409">
        <v>400000</v>
      </c>
      <c r="J2070" s="472">
        <v>45230</v>
      </c>
      <c r="K2070" s="472">
        <v>45595</v>
      </c>
      <c r="L2070" s="411">
        <v>0.2</v>
      </c>
      <c r="M2070" s="479" t="s">
        <v>4592</v>
      </c>
      <c r="N2070" s="409">
        <v>202616.16</v>
      </c>
      <c r="O2070" s="409">
        <v>200000</v>
      </c>
      <c r="P2070" s="409">
        <v>160000</v>
      </c>
      <c r="Q2070" s="409">
        <v>162092.93</v>
      </c>
      <c r="R2070" s="474" t="s">
        <v>6398</v>
      </c>
      <c r="S2070" s="409">
        <v>40000</v>
      </c>
      <c r="T2070" s="150">
        <v>45549</v>
      </c>
      <c r="U2070" s="360"/>
      <c r="V2070" s="305"/>
      <c r="W2070" s="571"/>
      <c r="X2070" s="153"/>
      <c r="Y2070" s="570" t="s">
        <v>1077</v>
      </c>
    </row>
    <row r="2071" s="96" customFormat="1" ht="37.5" customHeight="1" spans="1:25">
      <c r="A2071" s="467">
        <f t="shared" si="43"/>
        <v>2062</v>
      </c>
      <c r="B2071" s="572">
        <v>2024</v>
      </c>
      <c r="C2071" s="501" t="s">
        <v>37</v>
      </c>
      <c r="D2071" s="469" t="s">
        <v>237</v>
      </c>
      <c r="E2071" s="424" t="s">
        <v>6401</v>
      </c>
      <c r="F2071" s="544" t="s">
        <v>6402</v>
      </c>
      <c r="G2071" s="573" t="s">
        <v>1610</v>
      </c>
      <c r="H2071" s="542">
        <v>1</v>
      </c>
      <c r="I2071" s="545">
        <v>880000</v>
      </c>
      <c r="J2071" s="472">
        <v>44455</v>
      </c>
      <c r="K2071" s="574">
        <v>45551</v>
      </c>
      <c r="L2071" s="411">
        <v>0.4</v>
      </c>
      <c r="M2071" s="547" t="s">
        <v>4625</v>
      </c>
      <c r="N2071" s="575">
        <f>880000+6637.48+6093.98</f>
        <v>892731.46</v>
      </c>
      <c r="O2071" s="575">
        <v>880000</v>
      </c>
      <c r="P2071" s="575">
        <f>O2071</f>
        <v>880000</v>
      </c>
      <c r="Q2071" s="409">
        <f>N2071</f>
        <v>892731.46</v>
      </c>
      <c r="R2071" s="474" t="s">
        <v>6370</v>
      </c>
      <c r="S2071" s="409">
        <f>P2071*0.4</f>
        <v>352000</v>
      </c>
      <c r="T2071" s="150">
        <v>45549</v>
      </c>
      <c r="U2071" s="337" t="s">
        <v>6377</v>
      </c>
      <c r="V2071" s="426">
        <f>S2071*0.5</f>
        <v>176000</v>
      </c>
      <c r="W2071" s="576" t="s">
        <v>6350</v>
      </c>
      <c r="X2071" s="153">
        <f>U2071*0.5</f>
        <v>22777</v>
      </c>
      <c r="Y2071" s="577"/>
    </row>
    <row r="2072" s="96" customFormat="1" ht="37.5" customHeight="1" spans="1:25">
      <c r="A2072" s="467">
        <f t="shared" si="43"/>
        <v>2063</v>
      </c>
      <c r="B2072" s="548">
        <v>2024</v>
      </c>
      <c r="C2072" s="548" t="s">
        <v>28</v>
      </c>
      <c r="D2072" s="482" t="s">
        <v>276</v>
      </c>
      <c r="E2072" s="549" t="s">
        <v>6403</v>
      </c>
      <c r="F2072" s="578" t="s">
        <v>6287</v>
      </c>
      <c r="G2072" s="579" t="s">
        <v>1085</v>
      </c>
      <c r="H2072" s="539">
        <v>1</v>
      </c>
      <c r="I2072" s="550">
        <v>250000</v>
      </c>
      <c r="J2072" s="488">
        <v>45009</v>
      </c>
      <c r="K2072" s="488">
        <v>45375</v>
      </c>
      <c r="L2072" s="489">
        <v>0.4</v>
      </c>
      <c r="M2072" s="580" t="s">
        <v>6291</v>
      </c>
      <c r="N2072" s="581">
        <v>261292.18</v>
      </c>
      <c r="O2072" s="581">
        <v>250000</v>
      </c>
      <c r="P2072" s="490">
        <v>250000</v>
      </c>
      <c r="Q2072" s="490">
        <v>261292.18</v>
      </c>
      <c r="R2072" s="491" t="s">
        <v>6371</v>
      </c>
      <c r="S2072" s="487">
        <v>100000</v>
      </c>
      <c r="T2072" s="150">
        <v>45564</v>
      </c>
      <c r="U2072" s="331" t="s">
        <v>6404</v>
      </c>
      <c r="V2072" s="582">
        <v>50000</v>
      </c>
      <c r="W2072" s="583" t="s">
        <v>6405</v>
      </c>
      <c r="X2072" s="153">
        <v>50000</v>
      </c>
      <c r="Y2072" s="584"/>
    </row>
    <row r="2073" s="96" customFormat="1" ht="37.5" customHeight="1" spans="1:25">
      <c r="A2073" s="467">
        <f t="shared" si="43"/>
        <v>2064</v>
      </c>
      <c r="B2073" s="572">
        <v>2024</v>
      </c>
      <c r="C2073" s="501" t="s">
        <v>28</v>
      </c>
      <c r="D2073" s="469" t="s">
        <v>275</v>
      </c>
      <c r="E2073" s="424" t="s">
        <v>6406</v>
      </c>
      <c r="F2073" s="585" t="s">
        <v>6407</v>
      </c>
      <c r="G2073" s="573" t="s">
        <v>1085</v>
      </c>
      <c r="H2073" s="542">
        <v>0.8</v>
      </c>
      <c r="I2073" s="545">
        <v>300000</v>
      </c>
      <c r="J2073" s="574">
        <v>45014</v>
      </c>
      <c r="K2073" s="574">
        <v>46109</v>
      </c>
      <c r="L2073" s="411">
        <v>0.4</v>
      </c>
      <c r="M2073" s="547" t="s">
        <v>5959</v>
      </c>
      <c r="N2073" s="575">
        <v>300000</v>
      </c>
      <c r="O2073" s="575">
        <v>300000</v>
      </c>
      <c r="P2073" s="586">
        <v>240000</v>
      </c>
      <c r="Q2073" s="480">
        <v>240000</v>
      </c>
      <c r="R2073" s="474" t="s">
        <v>6371</v>
      </c>
      <c r="S2073" s="409">
        <v>120000</v>
      </c>
      <c r="T2073" s="150">
        <v>45561</v>
      </c>
      <c r="U2073" s="330" t="s">
        <v>6373</v>
      </c>
      <c r="V2073" s="426">
        <v>60000</v>
      </c>
      <c r="W2073" s="576" t="s">
        <v>6350</v>
      </c>
      <c r="X2073" s="153">
        <v>60000</v>
      </c>
      <c r="Y2073" s="587"/>
    </row>
    <row r="2074" s="94" customFormat="1" ht="37.5" customHeight="1" spans="1:25">
      <c r="A2074" s="467">
        <f t="shared" si="43"/>
        <v>2065</v>
      </c>
      <c r="B2074" s="572">
        <v>2024</v>
      </c>
      <c r="C2074" s="501" t="s">
        <v>25</v>
      </c>
      <c r="D2074" s="469" t="s">
        <v>257</v>
      </c>
      <c r="E2074" s="424" t="s">
        <v>6408</v>
      </c>
      <c r="F2074" s="585" t="s">
        <v>6409</v>
      </c>
      <c r="G2074" s="588" t="s">
        <v>1103</v>
      </c>
      <c r="H2074" s="542">
        <v>0.8</v>
      </c>
      <c r="I2074" s="575">
        <v>160000</v>
      </c>
      <c r="J2074" s="574">
        <v>44755</v>
      </c>
      <c r="K2074" s="574">
        <v>45850</v>
      </c>
      <c r="L2074" s="411">
        <v>0.4</v>
      </c>
      <c r="M2074" s="479" t="s">
        <v>4596</v>
      </c>
      <c r="N2074" s="409">
        <v>160377.37</v>
      </c>
      <c r="O2074" s="409">
        <v>160000</v>
      </c>
      <c r="P2074" s="409">
        <v>120000</v>
      </c>
      <c r="Q2074" s="409">
        <v>128301.9</v>
      </c>
      <c r="R2074" s="474" t="s">
        <v>6391</v>
      </c>
      <c r="S2074" s="409">
        <v>64000</v>
      </c>
      <c r="T2074" s="589">
        <v>45561</v>
      </c>
      <c r="U2074" s="590" t="s">
        <v>6391</v>
      </c>
      <c r="V2074" s="426">
        <v>32000</v>
      </c>
      <c r="W2074" s="576" t="s">
        <v>6350</v>
      </c>
      <c r="X2074" s="153">
        <v>32000</v>
      </c>
      <c r="Y2074" s="587"/>
    </row>
    <row r="2075" s="94" customFormat="1" ht="37.5" customHeight="1" spans="1:25">
      <c r="A2075" s="467">
        <f t="shared" si="43"/>
        <v>2066</v>
      </c>
      <c r="B2075" s="572">
        <v>2024</v>
      </c>
      <c r="C2075" s="501" t="s">
        <v>31</v>
      </c>
      <c r="D2075" s="469" t="s">
        <v>282</v>
      </c>
      <c r="E2075" s="424" t="s">
        <v>6410</v>
      </c>
      <c r="F2075" s="585" t="s">
        <v>6411</v>
      </c>
      <c r="G2075" s="573" t="s">
        <v>5982</v>
      </c>
      <c r="H2075" s="542">
        <v>0.8</v>
      </c>
      <c r="I2075" s="545">
        <v>500000</v>
      </c>
      <c r="J2075" s="574">
        <v>45006</v>
      </c>
      <c r="K2075" s="574">
        <v>45372</v>
      </c>
      <c r="L2075" s="411">
        <v>0.2</v>
      </c>
      <c r="M2075" s="479" t="s">
        <v>5897</v>
      </c>
      <c r="N2075" s="409">
        <v>510111.11</v>
      </c>
      <c r="O2075" s="409">
        <v>500000</v>
      </c>
      <c r="P2075" s="409">
        <v>400000</v>
      </c>
      <c r="Q2075" s="409">
        <v>408088.89</v>
      </c>
      <c r="R2075" s="474" t="s">
        <v>6391</v>
      </c>
      <c r="S2075" s="409">
        <v>102022.22</v>
      </c>
      <c r="T2075" s="150">
        <v>45564</v>
      </c>
      <c r="U2075" s="360"/>
      <c r="V2075" s="426"/>
      <c r="W2075" s="591"/>
      <c r="X2075" s="153"/>
      <c r="Y2075" s="587" t="s">
        <v>1077</v>
      </c>
    </row>
    <row r="2076" s="94" customFormat="1" ht="37.5" customHeight="1" spans="1:25">
      <c r="A2076" s="467">
        <f t="shared" si="43"/>
        <v>2067</v>
      </c>
      <c r="B2076" s="572">
        <v>2024</v>
      </c>
      <c r="C2076" s="501" t="s">
        <v>25</v>
      </c>
      <c r="D2076" s="469" t="s">
        <v>260</v>
      </c>
      <c r="E2076" s="424" t="s">
        <v>6412</v>
      </c>
      <c r="F2076" s="585" t="s">
        <v>6409</v>
      </c>
      <c r="G2076" s="588" t="s">
        <v>1103</v>
      </c>
      <c r="H2076" s="542">
        <v>0.8</v>
      </c>
      <c r="I2076" s="545">
        <v>400000</v>
      </c>
      <c r="J2076" s="574">
        <v>44760</v>
      </c>
      <c r="K2076" s="574">
        <v>45855</v>
      </c>
      <c r="L2076" s="411">
        <v>0.4</v>
      </c>
      <c r="M2076" s="479" t="s">
        <v>4596</v>
      </c>
      <c r="N2076" s="409">
        <v>401155.56</v>
      </c>
      <c r="O2076" s="409">
        <v>400000</v>
      </c>
      <c r="P2076" s="409">
        <v>320000</v>
      </c>
      <c r="Q2076" s="409">
        <v>320924.45</v>
      </c>
      <c r="R2076" s="474" t="s">
        <v>6391</v>
      </c>
      <c r="S2076" s="409">
        <v>160000</v>
      </c>
      <c r="T2076" s="150">
        <v>45561</v>
      </c>
      <c r="U2076" s="330" t="s">
        <v>6391</v>
      </c>
      <c r="V2076" s="426">
        <v>80000</v>
      </c>
      <c r="W2076" s="576" t="s">
        <v>6350</v>
      </c>
      <c r="X2076" s="153">
        <v>80000</v>
      </c>
      <c r="Y2076" s="587"/>
    </row>
    <row r="2077" s="94" customFormat="1" ht="37.5" customHeight="1" spans="1:25">
      <c r="A2077" s="467">
        <f t="shared" si="43"/>
        <v>2068</v>
      </c>
      <c r="B2077" s="572">
        <v>2024</v>
      </c>
      <c r="C2077" s="501" t="s">
        <v>25</v>
      </c>
      <c r="D2077" s="469" t="s">
        <v>255</v>
      </c>
      <c r="E2077" s="424" t="s">
        <v>6413</v>
      </c>
      <c r="F2077" s="585" t="s">
        <v>6409</v>
      </c>
      <c r="G2077" s="588" t="s">
        <v>1103</v>
      </c>
      <c r="H2077" s="542">
        <v>0.8</v>
      </c>
      <c r="I2077" s="545">
        <v>500000</v>
      </c>
      <c r="J2077" s="574">
        <v>44726</v>
      </c>
      <c r="K2077" s="574">
        <v>45821</v>
      </c>
      <c r="L2077" s="411">
        <v>0.4</v>
      </c>
      <c r="M2077" s="479" t="s">
        <v>4596</v>
      </c>
      <c r="N2077" s="409">
        <v>513865.28</v>
      </c>
      <c r="O2077" s="409">
        <v>500000</v>
      </c>
      <c r="P2077" s="409">
        <v>400000</v>
      </c>
      <c r="Q2077" s="409">
        <v>411092.22</v>
      </c>
      <c r="R2077" s="474" t="s">
        <v>6391</v>
      </c>
      <c r="S2077" s="409">
        <v>200000</v>
      </c>
      <c r="T2077" s="150">
        <v>45561</v>
      </c>
      <c r="U2077" s="330" t="s">
        <v>6391</v>
      </c>
      <c r="V2077" s="426">
        <v>100000</v>
      </c>
      <c r="W2077" s="576" t="s">
        <v>6350</v>
      </c>
      <c r="X2077" s="153">
        <v>100000</v>
      </c>
      <c r="Y2077" s="587"/>
    </row>
    <row r="2078" s="94" customFormat="1" ht="37.5" customHeight="1" spans="1:25">
      <c r="A2078" s="467">
        <f t="shared" si="43"/>
        <v>2069</v>
      </c>
      <c r="B2078" s="572">
        <v>2024</v>
      </c>
      <c r="C2078" s="501" t="s">
        <v>233</v>
      </c>
      <c r="D2078" s="469" t="s">
        <v>234</v>
      </c>
      <c r="E2078" s="424" t="s">
        <v>6414</v>
      </c>
      <c r="F2078" s="585" t="s">
        <v>6415</v>
      </c>
      <c r="G2078" s="573" t="s">
        <v>1140</v>
      </c>
      <c r="H2078" s="542">
        <v>0.8</v>
      </c>
      <c r="I2078" s="545">
        <v>790000</v>
      </c>
      <c r="J2078" s="574">
        <v>45019</v>
      </c>
      <c r="K2078" s="574">
        <v>45380</v>
      </c>
      <c r="L2078" s="411">
        <v>0.4</v>
      </c>
      <c r="M2078" s="479" t="s">
        <v>5205</v>
      </c>
      <c r="N2078" s="409">
        <v>789900.3</v>
      </c>
      <c r="O2078" s="409">
        <v>789900.3</v>
      </c>
      <c r="P2078" s="592">
        <v>631920.24</v>
      </c>
      <c r="Q2078" s="592">
        <v>631920.24</v>
      </c>
      <c r="R2078" s="474" t="s">
        <v>6416</v>
      </c>
      <c r="S2078" s="409">
        <v>315960.12</v>
      </c>
      <c r="T2078" s="150">
        <v>45564</v>
      </c>
      <c r="U2078" s="330" t="s">
        <v>6373</v>
      </c>
      <c r="V2078" s="426">
        <v>157980.06</v>
      </c>
      <c r="W2078" s="576" t="s">
        <v>6417</v>
      </c>
      <c r="X2078" s="153">
        <v>157980.06</v>
      </c>
      <c r="Y2078" s="587"/>
    </row>
    <row r="2079" s="94" customFormat="1" ht="37.5" customHeight="1" spans="1:25">
      <c r="A2079" s="467">
        <f t="shared" si="43"/>
        <v>2070</v>
      </c>
      <c r="B2079" s="572">
        <v>2024</v>
      </c>
      <c r="C2079" s="501" t="s">
        <v>31</v>
      </c>
      <c r="D2079" s="469" t="s">
        <v>282</v>
      </c>
      <c r="E2079" s="424" t="s">
        <v>6418</v>
      </c>
      <c r="F2079" s="585" t="s">
        <v>6411</v>
      </c>
      <c r="G2079" s="573" t="s">
        <v>5982</v>
      </c>
      <c r="H2079" s="542">
        <v>0.8</v>
      </c>
      <c r="I2079" s="545">
        <v>1500000</v>
      </c>
      <c r="J2079" s="574">
        <v>45009</v>
      </c>
      <c r="K2079" s="574">
        <v>45374</v>
      </c>
      <c r="L2079" s="411">
        <v>0.2</v>
      </c>
      <c r="M2079" s="479" t="s">
        <v>6291</v>
      </c>
      <c r="N2079" s="409">
        <v>1531000</v>
      </c>
      <c r="O2079" s="409">
        <v>1500000</v>
      </c>
      <c r="P2079" s="480">
        <v>607129.42</v>
      </c>
      <c r="Q2079" s="480">
        <v>607129.42</v>
      </c>
      <c r="R2079" s="569" t="s">
        <v>6419</v>
      </c>
      <c r="S2079" s="409">
        <v>303564.71</v>
      </c>
      <c r="T2079" s="150">
        <v>45575</v>
      </c>
      <c r="U2079" s="330" t="s">
        <v>6404</v>
      </c>
      <c r="V2079" s="426">
        <v>151800</v>
      </c>
      <c r="W2079" s="576" t="s">
        <v>6420</v>
      </c>
      <c r="X2079" s="153">
        <v>151800</v>
      </c>
      <c r="Y2079" s="587"/>
    </row>
    <row r="2080" s="94" customFormat="1" ht="37.5" customHeight="1" spans="1:25">
      <c r="A2080" s="467">
        <f t="shared" si="43"/>
        <v>2071</v>
      </c>
      <c r="B2080" s="548">
        <v>2024</v>
      </c>
      <c r="C2080" s="548" t="s">
        <v>22</v>
      </c>
      <c r="D2080" s="482" t="s">
        <v>223</v>
      </c>
      <c r="E2080" s="549" t="s">
        <v>6421</v>
      </c>
      <c r="F2080" s="578" t="s">
        <v>6422</v>
      </c>
      <c r="G2080" s="579" t="s">
        <v>6423</v>
      </c>
      <c r="H2080" s="539">
        <v>0.8</v>
      </c>
      <c r="I2080" s="550">
        <v>1500000</v>
      </c>
      <c r="J2080" s="593">
        <v>44910</v>
      </c>
      <c r="K2080" s="593">
        <v>45627</v>
      </c>
      <c r="L2080" s="489">
        <v>0.4</v>
      </c>
      <c r="M2080" s="540" t="s">
        <v>4596</v>
      </c>
      <c r="N2080" s="487">
        <v>1433879.44</v>
      </c>
      <c r="O2080" s="487">
        <v>1340058.28</v>
      </c>
      <c r="P2080" s="490">
        <v>1072046.62</v>
      </c>
      <c r="Q2080" s="490">
        <f>1072046.62+75056.93</f>
        <v>1147103.55</v>
      </c>
      <c r="R2080" s="491" t="s">
        <v>6419</v>
      </c>
      <c r="S2080" s="487">
        <v>536023.31</v>
      </c>
      <c r="T2080" s="150">
        <v>45575</v>
      </c>
      <c r="U2080" s="331" t="s">
        <v>6404</v>
      </c>
      <c r="V2080" s="582">
        <v>268011.66</v>
      </c>
      <c r="W2080" s="576" t="s">
        <v>4975</v>
      </c>
      <c r="X2080" s="153">
        <v>268011.66</v>
      </c>
      <c r="Y2080" s="584"/>
    </row>
    <row r="2081" s="95" customFormat="1" ht="37.5" customHeight="1" spans="1:25">
      <c r="A2081" s="467">
        <f t="shared" si="43"/>
        <v>2072</v>
      </c>
      <c r="B2081" s="572">
        <v>2024</v>
      </c>
      <c r="C2081" s="501" t="s">
        <v>15</v>
      </c>
      <c r="D2081" s="469" t="s">
        <v>253</v>
      </c>
      <c r="E2081" s="424" t="s">
        <v>6424</v>
      </c>
      <c r="F2081" s="585" t="s">
        <v>6425</v>
      </c>
      <c r="G2081" s="573" t="s">
        <v>1085</v>
      </c>
      <c r="H2081" s="542">
        <v>0.8</v>
      </c>
      <c r="I2081" s="545">
        <v>3000000</v>
      </c>
      <c r="J2081" s="574">
        <v>45016</v>
      </c>
      <c r="K2081" s="574">
        <v>45381</v>
      </c>
      <c r="L2081" s="411">
        <v>0.4</v>
      </c>
      <c r="M2081" s="547" t="s">
        <v>5199</v>
      </c>
      <c r="N2081" s="575">
        <v>3000000</v>
      </c>
      <c r="O2081" s="575">
        <v>3000000</v>
      </c>
      <c r="P2081" s="586">
        <v>2400000</v>
      </c>
      <c r="Q2081" s="586">
        <v>2400000</v>
      </c>
      <c r="R2081" s="474" t="s">
        <v>6419</v>
      </c>
      <c r="S2081" s="409">
        <v>1200000</v>
      </c>
      <c r="T2081" s="150">
        <v>45564</v>
      </c>
      <c r="U2081" s="330" t="s">
        <v>6426</v>
      </c>
      <c r="V2081" s="426">
        <v>600000</v>
      </c>
      <c r="W2081" s="576" t="s">
        <v>4975</v>
      </c>
      <c r="X2081" s="153">
        <v>600000</v>
      </c>
      <c r="Y2081" s="587"/>
    </row>
    <row r="2082" s="95" customFormat="1" ht="37.5" customHeight="1" spans="1:25">
      <c r="A2082" s="467">
        <f t="shared" si="43"/>
        <v>2073</v>
      </c>
      <c r="B2082" s="548">
        <v>2024</v>
      </c>
      <c r="C2082" s="548" t="s">
        <v>147</v>
      </c>
      <c r="D2082" s="482" t="s">
        <v>222</v>
      </c>
      <c r="E2082" s="1293" t="s">
        <v>6427</v>
      </c>
      <c r="F2082" s="578" t="s">
        <v>1903</v>
      </c>
      <c r="G2082" s="579" t="s">
        <v>6428</v>
      </c>
      <c r="H2082" s="539">
        <v>0.8</v>
      </c>
      <c r="I2082" s="550">
        <v>4000000</v>
      </c>
      <c r="J2082" s="593">
        <v>44980</v>
      </c>
      <c r="K2082" s="593">
        <v>45344</v>
      </c>
      <c r="L2082" s="489">
        <v>0.4</v>
      </c>
      <c r="M2082" s="580" t="s">
        <v>5897</v>
      </c>
      <c r="N2082" s="581">
        <v>4000000</v>
      </c>
      <c r="O2082" s="581">
        <v>4000000</v>
      </c>
      <c r="P2082" s="594">
        <v>3200000</v>
      </c>
      <c r="Q2082" s="594">
        <v>3200000</v>
      </c>
      <c r="R2082" s="491" t="s">
        <v>6419</v>
      </c>
      <c r="S2082" s="487">
        <v>1600000</v>
      </c>
      <c r="T2082" s="150">
        <v>45575</v>
      </c>
      <c r="U2082" s="583" t="s">
        <v>6404</v>
      </c>
      <c r="V2082" s="582">
        <v>800000</v>
      </c>
      <c r="W2082" s="583" t="s">
        <v>5963</v>
      </c>
      <c r="X2082" s="153">
        <v>800000</v>
      </c>
      <c r="Y2082" s="584"/>
    </row>
    <row r="2083" s="95" customFormat="1" ht="37.5" customHeight="1" spans="1:25">
      <c r="A2083" s="467">
        <f t="shared" si="43"/>
        <v>2074</v>
      </c>
      <c r="B2083" s="572">
        <v>2024</v>
      </c>
      <c r="C2083" s="501" t="s">
        <v>31</v>
      </c>
      <c r="D2083" s="469" t="s">
        <v>281</v>
      </c>
      <c r="E2083" s="424" t="s">
        <v>6429</v>
      </c>
      <c r="F2083" s="585" t="s">
        <v>6411</v>
      </c>
      <c r="G2083" s="573" t="s">
        <v>1212</v>
      </c>
      <c r="H2083" s="542">
        <v>0.8</v>
      </c>
      <c r="I2083" s="545">
        <v>500000</v>
      </c>
      <c r="J2083" s="574">
        <v>45019</v>
      </c>
      <c r="K2083" s="574">
        <v>45384</v>
      </c>
      <c r="L2083" s="411">
        <v>0.2</v>
      </c>
      <c r="M2083" s="547" t="s">
        <v>5897</v>
      </c>
      <c r="N2083" s="575">
        <v>510111.11</v>
      </c>
      <c r="O2083" s="575">
        <v>500000</v>
      </c>
      <c r="P2083" s="586">
        <v>0</v>
      </c>
      <c r="Q2083" s="586">
        <v>8088.89</v>
      </c>
      <c r="R2083" s="474" t="s">
        <v>6430</v>
      </c>
      <c r="S2083" s="409">
        <v>2022.22</v>
      </c>
      <c r="T2083" s="150">
        <v>45564</v>
      </c>
      <c r="U2083" s="595"/>
      <c r="V2083" s="426"/>
      <c r="W2083" s="591"/>
      <c r="X2083" s="153"/>
      <c r="Y2083" s="596" t="s">
        <v>1077</v>
      </c>
    </row>
    <row r="2084" s="95" customFormat="1" ht="37.5" customHeight="1" spans="1:25">
      <c r="A2084" s="404">
        <f t="shared" si="43"/>
        <v>2075</v>
      </c>
      <c r="B2084" s="597">
        <v>2024</v>
      </c>
      <c r="C2084" s="598" t="s">
        <v>57</v>
      </c>
      <c r="D2084" s="458" t="s">
        <v>280</v>
      </c>
      <c r="E2084" s="424" t="s">
        <v>6431</v>
      </c>
      <c r="F2084" s="599" t="s">
        <v>1909</v>
      </c>
      <c r="G2084" s="600" t="s">
        <v>6432</v>
      </c>
      <c r="H2084" s="502">
        <v>1</v>
      </c>
      <c r="I2084" s="601">
        <v>5000000</v>
      </c>
      <c r="J2084" s="383">
        <v>45077</v>
      </c>
      <c r="K2084" s="383">
        <v>45442</v>
      </c>
      <c r="L2084" s="463">
        <v>0.4</v>
      </c>
      <c r="M2084" s="602">
        <v>45464</v>
      </c>
      <c r="N2084" s="603">
        <v>4765611.77</v>
      </c>
      <c r="O2084" s="603">
        <v>4700000</v>
      </c>
      <c r="P2084" s="603">
        <v>4700000</v>
      </c>
      <c r="Q2084" s="603">
        <v>4765611.77</v>
      </c>
      <c r="R2084" s="465" t="s">
        <v>6430</v>
      </c>
      <c r="S2084" s="455">
        <v>1880000</v>
      </c>
      <c r="T2084" s="150">
        <v>45575</v>
      </c>
      <c r="U2084" s="604" t="s">
        <v>6433</v>
      </c>
      <c r="V2084" s="605">
        <v>940000</v>
      </c>
      <c r="W2084" s="604" t="s">
        <v>4975</v>
      </c>
      <c r="X2084" s="153">
        <v>940000</v>
      </c>
      <c r="Y2084" s="606"/>
    </row>
    <row r="2085" s="95" customFormat="1" ht="37.5" customHeight="1" spans="1:25">
      <c r="A2085" s="467">
        <f t="shared" si="43"/>
        <v>2076</v>
      </c>
      <c r="B2085" s="548">
        <v>2024</v>
      </c>
      <c r="C2085" s="548" t="s">
        <v>75</v>
      </c>
      <c r="D2085" s="607" t="s">
        <v>76</v>
      </c>
      <c r="E2085" s="1253" t="s">
        <v>6434</v>
      </c>
      <c r="F2085" s="585" t="s">
        <v>6435</v>
      </c>
      <c r="G2085" s="573" t="s">
        <v>1137</v>
      </c>
      <c r="H2085" s="542">
        <v>0.8</v>
      </c>
      <c r="I2085" s="545">
        <v>150000</v>
      </c>
      <c r="J2085" s="574">
        <v>44908</v>
      </c>
      <c r="K2085" s="574">
        <v>45272</v>
      </c>
      <c r="L2085" s="411">
        <v>0.2</v>
      </c>
      <c r="M2085" s="608" t="s">
        <v>6074</v>
      </c>
      <c r="N2085" s="575">
        <v>149536.51</v>
      </c>
      <c r="O2085" s="575">
        <v>149536.51</v>
      </c>
      <c r="P2085" s="575">
        <v>119629.21</v>
      </c>
      <c r="Q2085" s="575">
        <v>119629.21</v>
      </c>
      <c r="R2085" s="474" t="s">
        <v>6436</v>
      </c>
      <c r="S2085" s="409">
        <v>29907.3</v>
      </c>
      <c r="T2085" s="150">
        <v>45577</v>
      </c>
      <c r="U2085" s="609"/>
      <c r="V2085" s="610"/>
      <c r="W2085" s="611"/>
      <c r="X2085" s="153"/>
      <c r="Y2085" s="612" t="s">
        <v>1077</v>
      </c>
    </row>
    <row r="2086" s="96" customFormat="1" ht="37.5" customHeight="1" spans="1:25">
      <c r="A2086" s="467">
        <f t="shared" si="43"/>
        <v>2077</v>
      </c>
      <c r="B2086" s="548">
        <v>2024</v>
      </c>
      <c r="C2086" s="548" t="s">
        <v>75</v>
      </c>
      <c r="D2086" s="607" t="s">
        <v>78</v>
      </c>
      <c r="E2086" s="1253" t="s">
        <v>6437</v>
      </c>
      <c r="F2086" s="585" t="s">
        <v>6435</v>
      </c>
      <c r="G2086" s="573" t="s">
        <v>5982</v>
      </c>
      <c r="H2086" s="613">
        <v>0.8</v>
      </c>
      <c r="I2086" s="545">
        <v>300000</v>
      </c>
      <c r="J2086" s="574">
        <v>44980</v>
      </c>
      <c r="K2086" s="574">
        <v>45711</v>
      </c>
      <c r="L2086" s="411">
        <v>0.2</v>
      </c>
      <c r="M2086" s="536" t="s">
        <v>6074</v>
      </c>
      <c r="N2086" s="409">
        <v>212386.3</v>
      </c>
      <c r="O2086" s="409">
        <v>210000</v>
      </c>
      <c r="P2086" s="409">
        <v>168000</v>
      </c>
      <c r="Q2086" s="409">
        <v>169909.04</v>
      </c>
      <c r="R2086" s="614" t="s">
        <v>6436</v>
      </c>
      <c r="S2086" s="409">
        <v>42477.26</v>
      </c>
      <c r="T2086" s="589">
        <v>45577</v>
      </c>
      <c r="U2086" s="615"/>
      <c r="V2086" s="616"/>
      <c r="W2086" s="611"/>
      <c r="X2086" s="153"/>
      <c r="Y2086" s="612" t="s">
        <v>1077</v>
      </c>
    </row>
    <row r="2087" s="96" customFormat="1" ht="37.5" customHeight="1" spans="1:25">
      <c r="A2087" s="467">
        <f t="shared" si="43"/>
        <v>2078</v>
      </c>
      <c r="B2087" s="548">
        <v>2024</v>
      </c>
      <c r="C2087" s="548" t="s">
        <v>25</v>
      </c>
      <c r="D2087" s="607" t="s">
        <v>291</v>
      </c>
      <c r="E2087" s="494" t="s">
        <v>6438</v>
      </c>
      <c r="F2087" s="585" t="s">
        <v>1216</v>
      </c>
      <c r="G2087" s="617" t="s">
        <v>1085</v>
      </c>
      <c r="H2087" s="613">
        <v>0.8</v>
      </c>
      <c r="I2087" s="545">
        <v>300000</v>
      </c>
      <c r="J2087" s="574">
        <v>45006</v>
      </c>
      <c r="K2087" s="574">
        <v>45736</v>
      </c>
      <c r="L2087" s="411">
        <v>0.4</v>
      </c>
      <c r="M2087" s="472">
        <v>45496</v>
      </c>
      <c r="N2087" s="409">
        <v>309361.66</v>
      </c>
      <c r="O2087" s="409">
        <v>300000</v>
      </c>
      <c r="P2087" s="409">
        <v>240000</v>
      </c>
      <c r="Q2087" s="409">
        <v>247489.33</v>
      </c>
      <c r="R2087" s="618" t="s">
        <v>6356</v>
      </c>
      <c r="S2087" s="409">
        <v>120000</v>
      </c>
      <c r="T2087" s="589">
        <v>45583</v>
      </c>
      <c r="U2087" s="590" t="s">
        <v>5929</v>
      </c>
      <c r="V2087" s="426">
        <v>60000</v>
      </c>
      <c r="W2087" s="583" t="s">
        <v>6439</v>
      </c>
      <c r="X2087" s="153">
        <v>60000</v>
      </c>
      <c r="Y2087" s="587"/>
    </row>
    <row r="2088" s="96" customFormat="1" ht="37.5" customHeight="1" spans="1:25">
      <c r="A2088" s="467">
        <f t="shared" si="43"/>
        <v>2079</v>
      </c>
      <c r="B2088" s="548">
        <v>2024</v>
      </c>
      <c r="C2088" s="548" t="s">
        <v>31</v>
      </c>
      <c r="D2088" s="607" t="s">
        <v>302</v>
      </c>
      <c r="E2088" s="1294" t="s">
        <v>6440</v>
      </c>
      <c r="F2088" s="585" t="s">
        <v>6441</v>
      </c>
      <c r="G2088" s="620" t="s">
        <v>5982</v>
      </c>
      <c r="H2088" s="613">
        <v>0.8</v>
      </c>
      <c r="I2088" s="545">
        <v>5000000</v>
      </c>
      <c r="J2088" s="574">
        <v>45098</v>
      </c>
      <c r="K2088" s="574">
        <v>45464</v>
      </c>
      <c r="L2088" s="411">
        <v>0.4</v>
      </c>
      <c r="M2088" s="472">
        <v>45495</v>
      </c>
      <c r="N2088" s="409">
        <v>2036800</v>
      </c>
      <c r="O2088" s="409">
        <v>2000000</v>
      </c>
      <c r="P2088" s="409">
        <v>1629440</v>
      </c>
      <c r="Q2088" s="409">
        <v>1600000</v>
      </c>
      <c r="R2088" s="618" t="s">
        <v>6356</v>
      </c>
      <c r="S2088" s="621">
        <v>814720</v>
      </c>
      <c r="T2088" s="589">
        <v>45577</v>
      </c>
      <c r="U2088" s="590" t="s">
        <v>5947</v>
      </c>
      <c r="V2088" s="426">
        <v>400000</v>
      </c>
      <c r="W2088" s="583" t="s">
        <v>5930</v>
      </c>
      <c r="X2088" s="153">
        <v>400000</v>
      </c>
      <c r="Y2088" s="587"/>
    </row>
    <row r="2089" s="96" customFormat="1" ht="37.5" customHeight="1" spans="1:25">
      <c r="A2089" s="481">
        <f t="shared" si="43"/>
        <v>2080</v>
      </c>
      <c r="B2089" s="548">
        <v>2024</v>
      </c>
      <c r="C2089" s="548" t="s">
        <v>233</v>
      </c>
      <c r="D2089" s="607" t="s">
        <v>236</v>
      </c>
      <c r="E2089" s="424" t="s">
        <v>6442</v>
      </c>
      <c r="F2089" s="585" t="s">
        <v>6443</v>
      </c>
      <c r="G2089" s="588" t="s">
        <v>1140</v>
      </c>
      <c r="H2089" s="542">
        <v>0.8</v>
      </c>
      <c r="I2089" s="545">
        <v>2500000</v>
      </c>
      <c r="J2089" s="593">
        <v>45030</v>
      </c>
      <c r="K2089" s="593">
        <v>45394</v>
      </c>
      <c r="L2089" s="411">
        <v>0.4</v>
      </c>
      <c r="M2089" s="472">
        <v>45450</v>
      </c>
      <c r="N2089" s="409">
        <v>2509469.61</v>
      </c>
      <c r="O2089" s="409">
        <v>2500000</v>
      </c>
      <c r="P2089" s="409">
        <v>2000000</v>
      </c>
      <c r="Q2089" s="480">
        <v>2007575.69</v>
      </c>
      <c r="R2089" s="622" t="s">
        <v>6356</v>
      </c>
      <c r="S2089" s="621">
        <v>1000000</v>
      </c>
      <c r="T2089" s="150">
        <v>45587</v>
      </c>
      <c r="U2089" s="590" t="s">
        <v>5947</v>
      </c>
      <c r="V2089" s="426">
        <v>500000</v>
      </c>
      <c r="W2089" s="591">
        <v>45833</v>
      </c>
      <c r="X2089" s="153">
        <v>500000</v>
      </c>
      <c r="Y2089" s="587"/>
    </row>
    <row r="2090" s="96" customFormat="1" ht="37.5" customHeight="1" spans="1:25">
      <c r="A2090" s="467">
        <f t="shared" si="43"/>
        <v>2081</v>
      </c>
      <c r="B2090" s="548">
        <v>2024</v>
      </c>
      <c r="C2090" s="548" t="s">
        <v>22</v>
      </c>
      <c r="D2090" s="607" t="s">
        <v>273</v>
      </c>
      <c r="E2090" s="424" t="s">
        <v>6444</v>
      </c>
      <c r="F2090" s="585" t="s">
        <v>6445</v>
      </c>
      <c r="G2090" s="623" t="s">
        <v>6363</v>
      </c>
      <c r="H2090" s="542">
        <v>0.8</v>
      </c>
      <c r="I2090" s="545">
        <v>5000000</v>
      </c>
      <c r="J2090" s="593">
        <v>44226</v>
      </c>
      <c r="K2090" s="574">
        <v>45320</v>
      </c>
      <c r="L2090" s="411">
        <v>0.4</v>
      </c>
      <c r="M2090" s="472">
        <v>45496</v>
      </c>
      <c r="N2090" s="409">
        <v>5103951.89</v>
      </c>
      <c r="O2090" s="409">
        <v>5000000</v>
      </c>
      <c r="P2090" s="409">
        <v>4000000</v>
      </c>
      <c r="Q2090" s="409">
        <v>4083161.51</v>
      </c>
      <c r="R2090" s="624" t="s">
        <v>6356</v>
      </c>
      <c r="S2090" s="426">
        <v>2041580.76</v>
      </c>
      <c r="T2090" s="150">
        <v>45587</v>
      </c>
      <c r="U2090" s="590" t="s">
        <v>5947</v>
      </c>
      <c r="V2090" s="426">
        <v>1000000</v>
      </c>
      <c r="W2090" s="583" t="s">
        <v>5930</v>
      </c>
      <c r="X2090" s="153">
        <v>1000000</v>
      </c>
      <c r="Y2090" s="587"/>
    </row>
    <row r="2091" s="96" customFormat="1" ht="37.5" customHeight="1" spans="1:25">
      <c r="A2091" s="92">
        <f t="shared" si="43"/>
        <v>2082</v>
      </c>
      <c r="B2091" s="625">
        <v>2024</v>
      </c>
      <c r="C2091" s="625" t="s">
        <v>31</v>
      </c>
      <c r="D2091" s="626" t="s">
        <v>281</v>
      </c>
      <c r="E2091" s="627" t="s">
        <v>6446</v>
      </c>
      <c r="F2091" s="628" t="s">
        <v>6411</v>
      </c>
      <c r="G2091" s="629" t="s">
        <v>5982</v>
      </c>
      <c r="H2091" s="630">
        <v>0.8</v>
      </c>
      <c r="I2091" s="631">
        <v>1500000</v>
      </c>
      <c r="J2091" s="632">
        <v>45012</v>
      </c>
      <c r="K2091" s="632">
        <v>45377</v>
      </c>
      <c r="L2091" s="630">
        <v>0.2</v>
      </c>
      <c r="M2091" s="633" t="s">
        <v>6291</v>
      </c>
      <c r="N2091" s="634">
        <v>1532000</v>
      </c>
      <c r="O2091" s="634">
        <v>1500000</v>
      </c>
      <c r="P2091" s="635">
        <v>1200000</v>
      </c>
      <c r="Q2091" s="635">
        <v>1200000</v>
      </c>
      <c r="R2091" s="636" t="s">
        <v>6447</v>
      </c>
      <c r="S2091" s="637">
        <v>300000</v>
      </c>
      <c r="T2091" s="638">
        <v>45583</v>
      </c>
      <c r="U2091" s="639"/>
      <c r="V2091" s="637"/>
      <c r="W2091" s="640"/>
      <c r="X2091" s="153"/>
      <c r="Y2091" s="578" t="s">
        <v>6448</v>
      </c>
    </row>
    <row r="2092" s="95" customFormat="1" ht="37.5" customHeight="1" spans="1:25">
      <c r="A2092" s="467">
        <f t="shared" si="43"/>
        <v>2083</v>
      </c>
      <c r="B2092" s="481">
        <v>2024</v>
      </c>
      <c r="C2092" s="481" t="s">
        <v>37</v>
      </c>
      <c r="D2092" s="482" t="s">
        <v>286</v>
      </c>
      <c r="E2092" s="483" t="s">
        <v>6449</v>
      </c>
      <c r="F2092" s="537" t="s">
        <v>5988</v>
      </c>
      <c r="G2092" s="538" t="s">
        <v>6450</v>
      </c>
      <c r="H2092" s="539">
        <v>1</v>
      </c>
      <c r="I2092" s="487">
        <v>3000000</v>
      </c>
      <c r="J2092" s="488">
        <v>45014</v>
      </c>
      <c r="K2092" s="488">
        <v>45380</v>
      </c>
      <c r="L2092" s="489">
        <v>0.4</v>
      </c>
      <c r="M2092" s="540" t="s">
        <v>5245</v>
      </c>
      <c r="N2092" s="487">
        <v>3060234.89</v>
      </c>
      <c r="O2092" s="487">
        <v>3000000</v>
      </c>
      <c r="P2092" s="490">
        <v>3000000</v>
      </c>
      <c r="Q2092" s="490">
        <v>3060234.89</v>
      </c>
      <c r="R2092" s="641" t="s">
        <v>6447</v>
      </c>
      <c r="S2092" s="582">
        <v>1200000</v>
      </c>
      <c r="T2092" s="150">
        <v>45587</v>
      </c>
      <c r="U2092" s="583" t="s">
        <v>5947</v>
      </c>
      <c r="V2092" s="582">
        <v>60000</v>
      </c>
      <c r="W2092" s="583" t="s">
        <v>5944</v>
      </c>
      <c r="X2092" s="153">
        <v>60000</v>
      </c>
      <c r="Y2092" s="584"/>
    </row>
    <row r="2093" s="95" customFormat="1" ht="37.5" customHeight="1" spans="1:25">
      <c r="A2093" s="467">
        <f t="shared" si="43"/>
        <v>2084</v>
      </c>
      <c r="B2093" s="481">
        <v>2024</v>
      </c>
      <c r="C2093" s="481" t="s">
        <v>147</v>
      </c>
      <c r="D2093" s="469" t="s">
        <v>227</v>
      </c>
      <c r="E2093" s="459" t="s">
        <v>6451</v>
      </c>
      <c r="F2093" s="642" t="s">
        <v>6452</v>
      </c>
      <c r="G2093" s="538" t="s">
        <v>1188</v>
      </c>
      <c r="H2093" s="539">
        <v>1</v>
      </c>
      <c r="I2093" s="409">
        <v>9000000</v>
      </c>
      <c r="J2093" s="472">
        <v>45014</v>
      </c>
      <c r="K2093" s="472">
        <v>45371</v>
      </c>
      <c r="L2093" s="489">
        <v>0.4</v>
      </c>
      <c r="M2093" s="472">
        <v>45432</v>
      </c>
      <c r="N2093" s="409">
        <v>9150000</v>
      </c>
      <c r="O2093" s="409">
        <v>9000000</v>
      </c>
      <c r="P2093" s="409">
        <v>9000000</v>
      </c>
      <c r="Q2093" s="409">
        <v>9150000</v>
      </c>
      <c r="R2093" s="641" t="s">
        <v>6447</v>
      </c>
      <c r="S2093" s="426">
        <v>3600000</v>
      </c>
      <c r="T2093" s="643">
        <v>45583</v>
      </c>
      <c r="U2093" s="590" t="s">
        <v>6392</v>
      </c>
      <c r="V2093" s="426">
        <v>1800000</v>
      </c>
      <c r="W2093" s="583" t="s">
        <v>5944</v>
      </c>
      <c r="X2093" s="153">
        <v>1800000</v>
      </c>
      <c r="Y2093" s="587"/>
    </row>
    <row r="2094" s="95" customFormat="1" ht="37.5" customHeight="1" spans="1:25">
      <c r="A2094" s="467">
        <f t="shared" si="43"/>
        <v>2085</v>
      </c>
      <c r="B2094" s="467">
        <v>2024</v>
      </c>
      <c r="C2094" s="481" t="s">
        <v>147</v>
      </c>
      <c r="D2094" s="469" t="s">
        <v>300</v>
      </c>
      <c r="E2094" s="459" t="s">
        <v>6453</v>
      </c>
      <c r="F2094" s="644" t="s">
        <v>6454</v>
      </c>
      <c r="G2094" s="92" t="s">
        <v>1188</v>
      </c>
      <c r="H2094" s="542">
        <v>1</v>
      </c>
      <c r="I2094" s="409">
        <v>4500000</v>
      </c>
      <c r="J2094" s="488">
        <v>45107</v>
      </c>
      <c r="K2094" s="488">
        <v>45472</v>
      </c>
      <c r="L2094" s="411">
        <v>0.4</v>
      </c>
      <c r="M2094" s="472">
        <v>45537</v>
      </c>
      <c r="N2094" s="409">
        <v>4440000</v>
      </c>
      <c r="O2094" s="409">
        <v>4440000</v>
      </c>
      <c r="P2094" s="409">
        <v>4440000</v>
      </c>
      <c r="Q2094" s="409">
        <v>4440000</v>
      </c>
      <c r="R2094" s="504" t="s">
        <v>5929</v>
      </c>
      <c r="S2094" s="426">
        <v>1776000</v>
      </c>
      <c r="T2094" s="150">
        <v>45614</v>
      </c>
      <c r="U2094" s="645" t="s">
        <v>5952</v>
      </c>
      <c r="V2094" s="426">
        <v>888000</v>
      </c>
      <c r="W2094" s="576" t="s">
        <v>5963</v>
      </c>
      <c r="X2094" s="153">
        <v>888000</v>
      </c>
      <c r="Y2094" s="577"/>
    </row>
    <row r="2095" s="95" customFormat="1" ht="37.5" customHeight="1" spans="1:25">
      <c r="A2095" s="467">
        <f t="shared" si="43"/>
        <v>2086</v>
      </c>
      <c r="B2095" s="481">
        <v>2024</v>
      </c>
      <c r="C2095" s="481" t="s">
        <v>25</v>
      </c>
      <c r="D2095" s="607" t="s">
        <v>334</v>
      </c>
      <c r="E2095" s="459" t="s">
        <v>6455</v>
      </c>
      <c r="F2095" s="495" t="s">
        <v>1216</v>
      </c>
      <c r="G2095" s="92" t="s">
        <v>1103</v>
      </c>
      <c r="H2095" s="542">
        <v>0.8</v>
      </c>
      <c r="I2095" s="409">
        <v>210000</v>
      </c>
      <c r="J2095" s="472">
        <v>44713</v>
      </c>
      <c r="K2095" s="472">
        <v>45808</v>
      </c>
      <c r="L2095" s="411">
        <v>0.4</v>
      </c>
      <c r="M2095" s="646">
        <v>45546</v>
      </c>
      <c r="N2095" s="480">
        <v>211700.6</v>
      </c>
      <c r="O2095" s="480">
        <v>209999.61</v>
      </c>
      <c r="P2095" s="490">
        <v>167999.68</v>
      </c>
      <c r="Q2095" s="490">
        <v>169360.48</v>
      </c>
      <c r="R2095" s="474" t="s">
        <v>5975</v>
      </c>
      <c r="S2095" s="426">
        <v>83999.84</v>
      </c>
      <c r="T2095" s="316" t="s">
        <v>474</v>
      </c>
      <c r="U2095" s="590" t="s">
        <v>5998</v>
      </c>
      <c r="V2095" s="426">
        <v>41999.92</v>
      </c>
      <c r="W2095" s="576" t="s">
        <v>6456</v>
      </c>
      <c r="X2095" s="153">
        <v>41999.92</v>
      </c>
      <c r="Y2095" s="577"/>
    </row>
    <row r="2096" s="95" customFormat="1" ht="37.5" customHeight="1" spans="1:25">
      <c r="A2096" s="467">
        <f t="shared" si="43"/>
        <v>2087</v>
      </c>
      <c r="B2096" s="481">
        <v>2024</v>
      </c>
      <c r="C2096" s="481" t="s">
        <v>25</v>
      </c>
      <c r="D2096" s="607" t="s">
        <v>335</v>
      </c>
      <c r="E2096" s="459" t="s">
        <v>6457</v>
      </c>
      <c r="F2096" s="495" t="s">
        <v>1158</v>
      </c>
      <c r="G2096" s="92" t="s">
        <v>1103</v>
      </c>
      <c r="H2096" s="542">
        <v>0.8</v>
      </c>
      <c r="I2096" s="409">
        <v>300000</v>
      </c>
      <c r="J2096" s="472">
        <v>44719</v>
      </c>
      <c r="K2096" s="472">
        <v>45814</v>
      </c>
      <c r="L2096" s="411">
        <v>0.4</v>
      </c>
      <c r="M2096" s="646">
        <v>45546</v>
      </c>
      <c r="N2096" s="480">
        <v>302566.67</v>
      </c>
      <c r="O2096" s="647">
        <v>300000</v>
      </c>
      <c r="P2096" s="648">
        <v>240000</v>
      </c>
      <c r="Q2096" s="490">
        <v>242053.33</v>
      </c>
      <c r="R2096" s="474" t="s">
        <v>5975</v>
      </c>
      <c r="S2096" s="426">
        <v>120000</v>
      </c>
      <c r="T2096" s="316" t="s">
        <v>474</v>
      </c>
      <c r="U2096" s="645" t="s">
        <v>5998</v>
      </c>
      <c r="V2096" s="426">
        <v>60000</v>
      </c>
      <c r="W2096" s="576" t="s">
        <v>6456</v>
      </c>
      <c r="X2096" s="153">
        <v>60000</v>
      </c>
      <c r="Y2096" s="577"/>
    </row>
    <row r="2097" s="95" customFormat="1" ht="37.5" customHeight="1" spans="1:25">
      <c r="A2097" s="467">
        <f t="shared" si="43"/>
        <v>2088</v>
      </c>
      <c r="B2097" s="481">
        <v>2024</v>
      </c>
      <c r="C2097" s="481" t="s">
        <v>25</v>
      </c>
      <c r="D2097" s="649" t="s">
        <v>333</v>
      </c>
      <c r="E2097" s="459" t="s">
        <v>6458</v>
      </c>
      <c r="F2097" s="495" t="s">
        <v>6459</v>
      </c>
      <c r="G2097" s="92" t="s">
        <v>6363</v>
      </c>
      <c r="H2097" s="542">
        <v>0.8</v>
      </c>
      <c r="I2097" s="409">
        <v>500000</v>
      </c>
      <c r="J2097" s="472">
        <v>44371</v>
      </c>
      <c r="K2097" s="472">
        <v>45466</v>
      </c>
      <c r="L2097" s="411">
        <v>0.4</v>
      </c>
      <c r="M2097" s="646">
        <v>45541</v>
      </c>
      <c r="N2097" s="480">
        <v>497605.63</v>
      </c>
      <c r="O2097" s="480">
        <v>494026.66</v>
      </c>
      <c r="P2097" s="490">
        <v>395221.32</v>
      </c>
      <c r="Q2097" s="490">
        <v>398084.5</v>
      </c>
      <c r="R2097" s="474" t="s">
        <v>5975</v>
      </c>
      <c r="S2097" s="426">
        <v>199042.25</v>
      </c>
      <c r="T2097" s="316" t="s">
        <v>474</v>
      </c>
      <c r="U2097" s="645">
        <v>45667</v>
      </c>
      <c r="V2097" s="426">
        <v>98805.33</v>
      </c>
      <c r="W2097" s="576" t="s">
        <v>6456</v>
      </c>
      <c r="X2097" s="153">
        <v>98805.33</v>
      </c>
      <c r="Y2097" s="577"/>
    </row>
    <row r="2098" s="84" customFormat="1" ht="37.5" customHeight="1" spans="1:25">
      <c r="A2098" s="156"/>
      <c r="B2098" s="155"/>
      <c r="C2098" s="318" t="s">
        <v>1266</v>
      </c>
      <c r="D2098" s="319"/>
      <c r="E2098" s="320"/>
      <c r="F2098" s="159"/>
      <c r="G2098" s="160"/>
      <c r="H2098" s="161"/>
      <c r="I2098" s="162">
        <f>SUM(I1845:I2097)</f>
        <v>259804835</v>
      </c>
      <c r="J2098" s="294"/>
      <c r="K2098" s="294"/>
      <c r="L2098" s="164"/>
      <c r="M2098" s="165"/>
      <c r="N2098" s="162">
        <f>SUM(N1845:N2097)</f>
        <v>243686851.81</v>
      </c>
      <c r="O2098" s="162">
        <f>SUM(O1845:O2097)</f>
        <v>240094312.34</v>
      </c>
      <c r="P2098" s="162">
        <f>SUM(P1845:P2097)</f>
        <v>214797404.1</v>
      </c>
      <c r="Q2098" s="162">
        <f>SUM(Q1845:Q2097)</f>
        <v>217135229.29</v>
      </c>
      <c r="R2098" s="182"/>
      <c r="S2098" s="162">
        <f>SUM(S1845:S2097)</f>
        <v>95595783.116</v>
      </c>
      <c r="T2098" s="167"/>
      <c r="U2098" s="182"/>
      <c r="V2098" s="162"/>
      <c r="W2098" s="182"/>
      <c r="X2098" s="153">
        <f>SUM(X733:X2097)</f>
        <v>74574943.5079999</v>
      </c>
      <c r="Y2098" s="156"/>
    </row>
    <row r="2099" s="96" customFormat="1" ht="37.5" customHeight="1" spans="1:25">
      <c r="A2099" s="467">
        <f>ROW()-10</f>
        <v>2089</v>
      </c>
      <c r="B2099" s="481">
        <v>2025</v>
      </c>
      <c r="C2099" s="481" t="s">
        <v>22</v>
      </c>
      <c r="D2099" s="607" t="s">
        <v>6460</v>
      </c>
      <c r="E2099" s="459" t="s">
        <v>6461</v>
      </c>
      <c r="F2099" s="495" t="s">
        <v>1168</v>
      </c>
      <c r="G2099" s="92" t="s">
        <v>6259</v>
      </c>
      <c r="H2099" s="542">
        <v>0.8</v>
      </c>
      <c r="I2099" s="409">
        <v>3000000</v>
      </c>
      <c r="J2099" s="574">
        <v>44831</v>
      </c>
      <c r="K2099" s="574">
        <v>45560</v>
      </c>
      <c r="L2099" s="411">
        <v>0.4</v>
      </c>
      <c r="M2099" s="574">
        <v>45582</v>
      </c>
      <c r="N2099" s="409">
        <v>3019719.72</v>
      </c>
      <c r="O2099" s="409">
        <v>3000000</v>
      </c>
      <c r="P2099" s="409">
        <v>2400000</v>
      </c>
      <c r="Q2099" s="490">
        <v>2415775.77</v>
      </c>
      <c r="R2099" s="474" t="s">
        <v>5995</v>
      </c>
      <c r="S2099" s="426">
        <v>1200000</v>
      </c>
      <c r="T2099" s="643">
        <v>45666</v>
      </c>
      <c r="U2099" s="650">
        <v>45670</v>
      </c>
      <c r="V2099" s="426">
        <v>600000</v>
      </c>
      <c r="W2099" s="576" t="s">
        <v>6462</v>
      </c>
      <c r="X2099" s="153">
        <v>600000</v>
      </c>
      <c r="Y2099" s="577"/>
    </row>
    <row r="2100" s="96" customFormat="1" ht="37.5" customHeight="1" spans="1:25">
      <c r="A2100" s="467">
        <f t="shared" ref="A2100:A2131" si="44">ROW()-10</f>
        <v>2090</v>
      </c>
      <c r="B2100" s="481">
        <v>2025</v>
      </c>
      <c r="C2100" s="481" t="s">
        <v>344</v>
      </c>
      <c r="D2100" s="607" t="s">
        <v>345</v>
      </c>
      <c r="E2100" s="459" t="s">
        <v>6463</v>
      </c>
      <c r="F2100" s="495" t="s">
        <v>6071</v>
      </c>
      <c r="G2100" s="535" t="s">
        <v>1085</v>
      </c>
      <c r="H2100" s="542">
        <v>1</v>
      </c>
      <c r="I2100" s="409">
        <v>4000000</v>
      </c>
      <c r="J2100" s="574">
        <v>45167</v>
      </c>
      <c r="K2100" s="574">
        <v>45532</v>
      </c>
      <c r="L2100" s="411">
        <v>0.4</v>
      </c>
      <c r="M2100" s="574">
        <v>45540</v>
      </c>
      <c r="N2100" s="409">
        <v>4009505.25</v>
      </c>
      <c r="O2100" s="409">
        <v>4000000</v>
      </c>
      <c r="P2100" s="409">
        <v>4000000</v>
      </c>
      <c r="Q2100" s="490">
        <v>4009505.25</v>
      </c>
      <c r="R2100" s="474" t="s">
        <v>5995</v>
      </c>
      <c r="S2100" s="426">
        <v>1600000</v>
      </c>
      <c r="T2100" s="643">
        <v>45666</v>
      </c>
      <c r="U2100" s="650">
        <v>45670</v>
      </c>
      <c r="V2100" s="426">
        <v>800000</v>
      </c>
      <c r="W2100" s="576" t="s">
        <v>6464</v>
      </c>
      <c r="X2100" s="153">
        <v>800000</v>
      </c>
      <c r="Y2100" s="577"/>
    </row>
    <row r="2101" s="95" customFormat="1" ht="37.5" customHeight="1" spans="1:25">
      <c r="A2101" s="467">
        <f t="shared" si="44"/>
        <v>2091</v>
      </c>
      <c r="B2101" s="548">
        <v>2025</v>
      </c>
      <c r="C2101" s="548" t="s">
        <v>15</v>
      </c>
      <c r="D2101" s="607" t="s">
        <v>346</v>
      </c>
      <c r="E2101" s="424" t="s">
        <v>6465</v>
      </c>
      <c r="F2101" s="495" t="s">
        <v>6466</v>
      </c>
      <c r="G2101" s="573" t="s">
        <v>5982</v>
      </c>
      <c r="H2101" s="613">
        <v>0.8</v>
      </c>
      <c r="I2101" s="426">
        <v>2000000</v>
      </c>
      <c r="J2101" s="574">
        <v>45155</v>
      </c>
      <c r="K2101" s="574">
        <v>45520</v>
      </c>
      <c r="L2101" s="651">
        <v>0.4</v>
      </c>
      <c r="M2101" s="574">
        <v>45582</v>
      </c>
      <c r="N2101" s="575">
        <v>1909823.79</v>
      </c>
      <c r="O2101" s="575">
        <v>1904624.17</v>
      </c>
      <c r="P2101" s="575">
        <v>1523699.34</v>
      </c>
      <c r="Q2101" s="594">
        <v>1523699.34</v>
      </c>
      <c r="R2101" s="474" t="s">
        <v>6467</v>
      </c>
      <c r="S2101" s="426">
        <v>761849.67</v>
      </c>
      <c r="T2101" s="643">
        <v>45694</v>
      </c>
      <c r="U2101" s="650">
        <v>45700</v>
      </c>
      <c r="V2101" s="426">
        <v>380924.83</v>
      </c>
      <c r="W2101" s="576" t="s">
        <v>6468</v>
      </c>
      <c r="X2101" s="153">
        <v>380924.83</v>
      </c>
      <c r="Y2101" s="577"/>
    </row>
    <row r="2102" s="95" customFormat="1" ht="37.5" customHeight="1" spans="1:25">
      <c r="A2102" s="467">
        <f t="shared" si="44"/>
        <v>2092</v>
      </c>
      <c r="B2102" s="548">
        <v>2025</v>
      </c>
      <c r="C2102" s="548" t="s">
        <v>306</v>
      </c>
      <c r="D2102" s="652" t="s">
        <v>307</v>
      </c>
      <c r="E2102" s="1253" t="s">
        <v>6469</v>
      </c>
      <c r="F2102" s="495" t="s">
        <v>6470</v>
      </c>
      <c r="G2102" s="573" t="s">
        <v>1140</v>
      </c>
      <c r="H2102" s="613">
        <v>0.8</v>
      </c>
      <c r="I2102" s="426">
        <v>750000</v>
      </c>
      <c r="J2102" s="574">
        <v>45107</v>
      </c>
      <c r="K2102" s="574">
        <v>45472</v>
      </c>
      <c r="L2102" s="651">
        <v>0.4</v>
      </c>
      <c r="M2102" s="574">
        <v>45531</v>
      </c>
      <c r="N2102" s="575">
        <v>750773.12</v>
      </c>
      <c r="O2102" s="575">
        <v>750000</v>
      </c>
      <c r="P2102" s="409">
        <v>600000</v>
      </c>
      <c r="Q2102" s="594">
        <v>600618.5</v>
      </c>
      <c r="R2102" s="474" t="s">
        <v>6471</v>
      </c>
      <c r="S2102" s="426">
        <v>300000</v>
      </c>
      <c r="T2102" s="643">
        <v>45677</v>
      </c>
      <c r="U2102" s="650">
        <v>45698</v>
      </c>
      <c r="V2102" s="426">
        <v>150000</v>
      </c>
      <c r="W2102" s="576" t="s">
        <v>6472</v>
      </c>
      <c r="X2102" s="153">
        <v>150000</v>
      </c>
      <c r="Y2102" s="653"/>
    </row>
    <row r="2103" s="95" customFormat="1" ht="37.5" customHeight="1" spans="1:25">
      <c r="A2103" s="467">
        <f t="shared" si="44"/>
        <v>2093</v>
      </c>
      <c r="B2103" s="548">
        <v>2025</v>
      </c>
      <c r="C2103" s="548" t="s">
        <v>25</v>
      </c>
      <c r="D2103" s="652" t="s">
        <v>336</v>
      </c>
      <c r="E2103" s="1253" t="s">
        <v>6473</v>
      </c>
      <c r="F2103" s="495" t="s">
        <v>1158</v>
      </c>
      <c r="G2103" s="573" t="s">
        <v>1103</v>
      </c>
      <c r="H2103" s="613">
        <v>0.8</v>
      </c>
      <c r="I2103" s="426">
        <v>300000</v>
      </c>
      <c r="J2103" s="574">
        <v>44726</v>
      </c>
      <c r="K2103" s="574">
        <v>45821</v>
      </c>
      <c r="L2103" s="651">
        <v>0.4</v>
      </c>
      <c r="M2103" s="574" t="s">
        <v>6398</v>
      </c>
      <c r="N2103" s="575">
        <v>304494.61</v>
      </c>
      <c r="O2103" s="575">
        <v>300000</v>
      </c>
      <c r="P2103" s="575">
        <v>240000</v>
      </c>
      <c r="Q2103" s="575">
        <v>243595.69</v>
      </c>
      <c r="R2103" s="474" t="s">
        <v>6471</v>
      </c>
      <c r="S2103" s="426">
        <v>120000</v>
      </c>
      <c r="T2103" s="643">
        <v>45679</v>
      </c>
      <c r="U2103" s="650">
        <v>45698</v>
      </c>
      <c r="V2103" s="426">
        <v>60000</v>
      </c>
      <c r="W2103" s="576" t="s">
        <v>6474</v>
      </c>
      <c r="X2103" s="153">
        <v>60000</v>
      </c>
      <c r="Y2103" s="653"/>
    </row>
    <row r="2104" s="95" customFormat="1" ht="37.5" customHeight="1" spans="1:25">
      <c r="A2104" s="467">
        <f t="shared" si="44"/>
        <v>2094</v>
      </c>
      <c r="B2104" s="548">
        <v>2025</v>
      </c>
      <c r="C2104" s="548" t="s">
        <v>25</v>
      </c>
      <c r="D2104" s="652" t="s">
        <v>338</v>
      </c>
      <c r="E2104" s="1253" t="s">
        <v>6475</v>
      </c>
      <c r="F2104" s="495" t="s">
        <v>1158</v>
      </c>
      <c r="G2104" s="573" t="s">
        <v>1103</v>
      </c>
      <c r="H2104" s="613">
        <v>0.8</v>
      </c>
      <c r="I2104" s="426">
        <v>800000</v>
      </c>
      <c r="J2104" s="574">
        <v>44827</v>
      </c>
      <c r="K2104" s="574">
        <v>45922</v>
      </c>
      <c r="L2104" s="651">
        <v>0.4</v>
      </c>
      <c r="M2104" s="574" t="s">
        <v>6398</v>
      </c>
      <c r="N2104" s="575">
        <v>816533.31</v>
      </c>
      <c r="O2104" s="575">
        <v>800000</v>
      </c>
      <c r="P2104" s="575">
        <v>640000</v>
      </c>
      <c r="Q2104" s="575">
        <v>653226.65</v>
      </c>
      <c r="R2104" s="474" t="s">
        <v>6471</v>
      </c>
      <c r="S2104" s="426">
        <v>320000</v>
      </c>
      <c r="T2104" s="643">
        <v>45679</v>
      </c>
      <c r="U2104" s="650">
        <v>45698</v>
      </c>
      <c r="V2104" s="426">
        <v>160000</v>
      </c>
      <c r="W2104" s="576" t="s">
        <v>6476</v>
      </c>
      <c r="X2104" s="153">
        <v>160000</v>
      </c>
      <c r="Y2104" s="653"/>
    </row>
    <row r="2105" s="95" customFormat="1" ht="37.5" customHeight="1" spans="1:25">
      <c r="A2105" s="467">
        <f t="shared" si="44"/>
        <v>2095</v>
      </c>
      <c r="B2105" s="548">
        <v>2025</v>
      </c>
      <c r="C2105" s="548" t="s">
        <v>37</v>
      </c>
      <c r="D2105" s="652" t="s">
        <v>383</v>
      </c>
      <c r="E2105" s="585" t="s">
        <v>6477</v>
      </c>
      <c r="F2105" s="495" t="s">
        <v>6478</v>
      </c>
      <c r="G2105" s="573" t="s">
        <v>6363</v>
      </c>
      <c r="H2105" s="613">
        <v>1</v>
      </c>
      <c r="I2105" s="426">
        <v>1700000</v>
      </c>
      <c r="J2105" s="574">
        <v>44379</v>
      </c>
      <c r="K2105" s="574">
        <v>45475</v>
      </c>
      <c r="L2105" s="651">
        <v>0.4</v>
      </c>
      <c r="M2105" s="574">
        <v>45577</v>
      </c>
      <c r="N2105" s="575">
        <v>1732028</v>
      </c>
      <c r="O2105" s="575">
        <v>1700000</v>
      </c>
      <c r="P2105" s="575">
        <v>1700000</v>
      </c>
      <c r="Q2105" s="575">
        <v>1732028</v>
      </c>
      <c r="R2105" s="474" t="s">
        <v>6467</v>
      </c>
      <c r="S2105" s="426">
        <v>680000</v>
      </c>
      <c r="T2105" s="643">
        <v>45696</v>
      </c>
      <c r="U2105" s="650">
        <v>45700</v>
      </c>
      <c r="V2105" s="426">
        <v>340000</v>
      </c>
      <c r="W2105" s="576" t="s">
        <v>6032</v>
      </c>
      <c r="X2105" s="153">
        <v>340000</v>
      </c>
      <c r="Y2105" s="653"/>
    </row>
    <row r="2106" s="95" customFormat="1" ht="37.5" customHeight="1" spans="1:25">
      <c r="A2106" s="467">
        <f t="shared" si="44"/>
        <v>2096</v>
      </c>
      <c r="B2106" s="548">
        <v>2025</v>
      </c>
      <c r="C2106" s="548" t="s">
        <v>37</v>
      </c>
      <c r="D2106" s="652" t="s">
        <v>368</v>
      </c>
      <c r="E2106" s="1253" t="s">
        <v>6479</v>
      </c>
      <c r="F2106" s="495" t="s">
        <v>6478</v>
      </c>
      <c r="G2106" s="573" t="s">
        <v>6480</v>
      </c>
      <c r="H2106" s="613">
        <v>1</v>
      </c>
      <c r="I2106" s="426">
        <v>4900000</v>
      </c>
      <c r="J2106" s="574">
        <v>44349</v>
      </c>
      <c r="K2106" s="574">
        <v>45445</v>
      </c>
      <c r="L2106" s="651">
        <v>0.4</v>
      </c>
      <c r="M2106" s="574">
        <v>45469</v>
      </c>
      <c r="N2106" s="575">
        <v>4926552.48</v>
      </c>
      <c r="O2106" s="575">
        <v>4900000</v>
      </c>
      <c r="P2106" s="575">
        <v>4900000</v>
      </c>
      <c r="Q2106" s="575">
        <v>4926552.48</v>
      </c>
      <c r="R2106" s="474" t="s">
        <v>6467</v>
      </c>
      <c r="S2106" s="426">
        <v>1960000</v>
      </c>
      <c r="T2106" s="643">
        <v>45694</v>
      </c>
      <c r="U2106" s="650">
        <v>45700</v>
      </c>
      <c r="V2106" s="426">
        <v>980000</v>
      </c>
      <c r="W2106" s="576" t="s">
        <v>6476</v>
      </c>
      <c r="X2106" s="153">
        <v>980000</v>
      </c>
      <c r="Y2106" s="653"/>
    </row>
    <row r="2107" s="95" customFormat="1" ht="37.5" customHeight="1" spans="1:25">
      <c r="A2107" s="467">
        <f t="shared" si="44"/>
        <v>2097</v>
      </c>
      <c r="B2107" s="548">
        <v>2025</v>
      </c>
      <c r="C2107" s="548" t="s">
        <v>22</v>
      </c>
      <c r="D2107" s="652" t="s">
        <v>352</v>
      </c>
      <c r="E2107" s="424" t="s">
        <v>6481</v>
      </c>
      <c r="F2107" s="495" t="s">
        <v>6482</v>
      </c>
      <c r="G2107" s="573" t="s">
        <v>1188</v>
      </c>
      <c r="H2107" s="613">
        <v>1</v>
      </c>
      <c r="I2107" s="426">
        <v>5900000</v>
      </c>
      <c r="J2107" s="574">
        <v>44889</v>
      </c>
      <c r="K2107" s="574">
        <v>45610</v>
      </c>
      <c r="L2107" s="651">
        <v>0.4</v>
      </c>
      <c r="M2107" s="574">
        <v>45593</v>
      </c>
      <c r="N2107" s="575">
        <v>5972435.31</v>
      </c>
      <c r="O2107" s="575">
        <v>5900000</v>
      </c>
      <c r="P2107" s="575">
        <v>5900000</v>
      </c>
      <c r="Q2107" s="575">
        <v>5972435.31</v>
      </c>
      <c r="R2107" s="474" t="s">
        <v>6467</v>
      </c>
      <c r="S2107" s="426">
        <v>2360000</v>
      </c>
      <c r="T2107" s="643">
        <v>45696</v>
      </c>
      <c r="U2107" s="650">
        <v>45700</v>
      </c>
      <c r="V2107" s="426">
        <v>1180000</v>
      </c>
      <c r="W2107" s="576" t="s">
        <v>6476</v>
      </c>
      <c r="X2107" s="153">
        <v>1180000</v>
      </c>
      <c r="Y2107" s="653"/>
    </row>
    <row r="2108" s="95" customFormat="1" ht="37.5" customHeight="1" spans="1:25">
      <c r="A2108" s="467">
        <f t="shared" si="44"/>
        <v>2098</v>
      </c>
      <c r="B2108" s="548">
        <v>2025</v>
      </c>
      <c r="C2108" s="548" t="s">
        <v>25</v>
      </c>
      <c r="D2108" s="652" t="s">
        <v>374</v>
      </c>
      <c r="E2108" s="424" t="s">
        <v>6483</v>
      </c>
      <c r="F2108" s="642" t="s">
        <v>6484</v>
      </c>
      <c r="G2108" s="573" t="s">
        <v>6363</v>
      </c>
      <c r="H2108" s="613">
        <v>0.8</v>
      </c>
      <c r="I2108" s="426">
        <v>200000</v>
      </c>
      <c r="J2108" s="574">
        <v>44365</v>
      </c>
      <c r="K2108" s="574">
        <v>45460</v>
      </c>
      <c r="L2108" s="651">
        <v>0.4</v>
      </c>
      <c r="M2108" s="574">
        <v>45560</v>
      </c>
      <c r="N2108" s="575">
        <v>199996.54</v>
      </c>
      <c r="O2108" s="575">
        <v>199996.54</v>
      </c>
      <c r="P2108" s="575">
        <v>159997.23</v>
      </c>
      <c r="Q2108" s="575">
        <v>159997.23</v>
      </c>
      <c r="R2108" s="474" t="s">
        <v>6485</v>
      </c>
      <c r="S2108" s="575">
        <v>79998.62</v>
      </c>
      <c r="T2108" s="643">
        <v>45694</v>
      </c>
      <c r="U2108" s="650">
        <v>45698</v>
      </c>
      <c r="V2108" s="426">
        <v>39999.31</v>
      </c>
      <c r="W2108" s="576" t="s">
        <v>6486</v>
      </c>
      <c r="X2108" s="153">
        <v>39999.31</v>
      </c>
      <c r="Y2108" s="653"/>
    </row>
    <row r="2109" s="95" customFormat="1" ht="37.5" customHeight="1" spans="1:25">
      <c r="A2109" s="467">
        <f t="shared" si="44"/>
        <v>2099</v>
      </c>
      <c r="B2109" s="548">
        <v>2025</v>
      </c>
      <c r="C2109" s="548" t="s">
        <v>25</v>
      </c>
      <c r="D2109" s="652" t="s">
        <v>375</v>
      </c>
      <c r="E2109" s="424" t="s">
        <v>6487</v>
      </c>
      <c r="F2109" s="642" t="s">
        <v>1102</v>
      </c>
      <c r="G2109" s="573" t="s">
        <v>1103</v>
      </c>
      <c r="H2109" s="613">
        <v>0.8</v>
      </c>
      <c r="I2109" s="426">
        <v>300000</v>
      </c>
      <c r="J2109" s="574">
        <v>44699</v>
      </c>
      <c r="K2109" s="574">
        <v>45794</v>
      </c>
      <c r="L2109" s="651">
        <v>0.4</v>
      </c>
      <c r="M2109" s="574">
        <v>45560</v>
      </c>
      <c r="N2109" s="575">
        <v>301379.79</v>
      </c>
      <c r="O2109" s="575">
        <v>300000</v>
      </c>
      <c r="P2109" s="575">
        <v>240000</v>
      </c>
      <c r="Q2109" s="575">
        <v>241103.84</v>
      </c>
      <c r="R2109" s="474" t="s">
        <v>6485</v>
      </c>
      <c r="S2109" s="575">
        <v>120000</v>
      </c>
      <c r="T2109" s="643">
        <v>45694</v>
      </c>
      <c r="U2109" s="650">
        <v>45698</v>
      </c>
      <c r="V2109" s="426">
        <v>60000</v>
      </c>
      <c r="W2109" s="576" t="s">
        <v>6486</v>
      </c>
      <c r="X2109" s="153">
        <v>60000</v>
      </c>
      <c r="Y2109" s="653"/>
    </row>
    <row r="2110" s="95" customFormat="1" ht="37.5" customHeight="1" spans="1:25">
      <c r="A2110" s="467">
        <f t="shared" si="44"/>
        <v>2100</v>
      </c>
      <c r="B2110" s="548">
        <v>2025</v>
      </c>
      <c r="C2110" s="548" t="s">
        <v>31</v>
      </c>
      <c r="D2110" s="652" t="s">
        <v>365</v>
      </c>
      <c r="E2110" s="424" t="s">
        <v>6488</v>
      </c>
      <c r="F2110" s="495" t="s">
        <v>1211</v>
      </c>
      <c r="G2110" s="573" t="s">
        <v>5982</v>
      </c>
      <c r="H2110" s="613">
        <v>0.8</v>
      </c>
      <c r="I2110" s="426">
        <v>300000</v>
      </c>
      <c r="J2110" s="574">
        <v>45160</v>
      </c>
      <c r="K2110" s="574">
        <v>45526</v>
      </c>
      <c r="L2110" s="651">
        <v>0.4</v>
      </c>
      <c r="M2110" s="574">
        <v>45562</v>
      </c>
      <c r="N2110" s="575">
        <v>299999.93</v>
      </c>
      <c r="O2110" s="575">
        <v>299999.93</v>
      </c>
      <c r="P2110" s="575">
        <v>239999.94</v>
      </c>
      <c r="Q2110" s="575">
        <v>239999.94</v>
      </c>
      <c r="R2110" s="474" t="s">
        <v>6467</v>
      </c>
      <c r="S2110" s="575">
        <v>119999.97</v>
      </c>
      <c r="T2110" s="643">
        <v>45694</v>
      </c>
      <c r="U2110" s="650">
        <v>45698</v>
      </c>
      <c r="V2110" s="426">
        <v>59999.99</v>
      </c>
      <c r="W2110" s="576" t="s">
        <v>6486</v>
      </c>
      <c r="X2110" s="153">
        <v>59999.99</v>
      </c>
      <c r="Y2110" s="653"/>
    </row>
    <row r="2111" s="95" customFormat="1" ht="37.5" customHeight="1" spans="1:25">
      <c r="A2111" s="467">
        <f t="shared" si="44"/>
        <v>2101</v>
      </c>
      <c r="B2111" s="548">
        <v>2025</v>
      </c>
      <c r="C2111" s="548" t="s">
        <v>28</v>
      </c>
      <c r="D2111" s="652" t="s">
        <v>395</v>
      </c>
      <c r="E2111" s="424" t="s">
        <v>6489</v>
      </c>
      <c r="F2111" s="642" t="s">
        <v>5970</v>
      </c>
      <c r="G2111" s="573" t="s">
        <v>1085</v>
      </c>
      <c r="H2111" s="613">
        <v>0.8</v>
      </c>
      <c r="I2111" s="426">
        <v>200000</v>
      </c>
      <c r="J2111" s="574">
        <v>45014</v>
      </c>
      <c r="K2111" s="574">
        <v>45379</v>
      </c>
      <c r="L2111" s="651">
        <v>0.4</v>
      </c>
      <c r="M2111" s="574">
        <v>45558</v>
      </c>
      <c r="N2111" s="575">
        <v>200162.98</v>
      </c>
      <c r="O2111" s="575">
        <v>200000</v>
      </c>
      <c r="P2111" s="575">
        <v>160000</v>
      </c>
      <c r="Q2111" s="575">
        <v>160130.38</v>
      </c>
      <c r="R2111" s="474" t="s">
        <v>502</v>
      </c>
      <c r="S2111" s="575">
        <v>80000</v>
      </c>
      <c r="T2111" s="643">
        <v>45696</v>
      </c>
      <c r="U2111" s="650">
        <v>45698</v>
      </c>
      <c r="V2111" s="426">
        <v>40000</v>
      </c>
      <c r="W2111" s="576" t="s">
        <v>6486</v>
      </c>
      <c r="X2111" s="153">
        <v>40000</v>
      </c>
      <c r="Y2111" s="653"/>
    </row>
    <row r="2112" s="95" customFormat="1" ht="37.5" customHeight="1" spans="1:25">
      <c r="A2112" s="467">
        <f t="shared" si="44"/>
        <v>2102</v>
      </c>
      <c r="B2112" s="548">
        <v>2025</v>
      </c>
      <c r="C2112" s="548" t="s">
        <v>28</v>
      </c>
      <c r="D2112" s="652" t="s">
        <v>350</v>
      </c>
      <c r="E2112" s="1253" t="s">
        <v>6490</v>
      </c>
      <c r="F2112" s="495" t="s">
        <v>5968</v>
      </c>
      <c r="G2112" s="573" t="s">
        <v>1085</v>
      </c>
      <c r="H2112" s="613">
        <v>0.8</v>
      </c>
      <c r="I2112" s="426">
        <v>190000</v>
      </c>
      <c r="J2112" s="574">
        <v>45007</v>
      </c>
      <c r="K2112" s="574">
        <v>45372</v>
      </c>
      <c r="L2112" s="651">
        <v>0.4</v>
      </c>
      <c r="M2112" s="574" t="s">
        <v>6371</v>
      </c>
      <c r="N2112" s="575">
        <v>199157.81</v>
      </c>
      <c r="O2112" s="575">
        <v>190000</v>
      </c>
      <c r="P2112" s="575">
        <v>152000</v>
      </c>
      <c r="Q2112" s="575">
        <v>159326.25</v>
      </c>
      <c r="R2112" s="474" t="s">
        <v>6467</v>
      </c>
      <c r="S2112" s="575">
        <v>76000</v>
      </c>
      <c r="T2112" s="643">
        <v>45698</v>
      </c>
      <c r="U2112" s="650">
        <v>45698</v>
      </c>
      <c r="V2112" s="426">
        <v>38000</v>
      </c>
      <c r="W2112" s="576" t="s">
        <v>6486</v>
      </c>
      <c r="X2112" s="153">
        <v>38000</v>
      </c>
      <c r="Y2112" s="653"/>
    </row>
    <row r="2113" s="95" customFormat="1" ht="37.5" customHeight="1" spans="1:25">
      <c r="A2113" s="467">
        <f t="shared" si="44"/>
        <v>2103</v>
      </c>
      <c r="B2113" s="548">
        <v>2025</v>
      </c>
      <c r="C2113" s="548" t="s">
        <v>28</v>
      </c>
      <c r="D2113" s="652" t="s">
        <v>327</v>
      </c>
      <c r="E2113" s="1253" t="s">
        <v>6491</v>
      </c>
      <c r="F2113" s="495" t="s">
        <v>1179</v>
      </c>
      <c r="G2113" s="573" t="s">
        <v>1085</v>
      </c>
      <c r="H2113" s="613">
        <v>0.8</v>
      </c>
      <c r="I2113" s="426">
        <v>150000</v>
      </c>
      <c r="J2113" s="574">
        <v>44946</v>
      </c>
      <c r="K2113" s="574" t="s">
        <v>6492</v>
      </c>
      <c r="L2113" s="651">
        <v>0.4</v>
      </c>
      <c r="M2113" s="574" t="s">
        <v>6371</v>
      </c>
      <c r="N2113" s="575">
        <v>154283.09</v>
      </c>
      <c r="O2113" s="575">
        <v>149787.55</v>
      </c>
      <c r="P2113" s="575">
        <v>119830.04</v>
      </c>
      <c r="Q2113" s="575">
        <v>123426.47</v>
      </c>
      <c r="R2113" s="474" t="s">
        <v>6467</v>
      </c>
      <c r="S2113" s="426">
        <v>59915.02</v>
      </c>
      <c r="T2113" s="643">
        <v>45698</v>
      </c>
      <c r="U2113" s="650">
        <v>45698</v>
      </c>
      <c r="V2113" s="426">
        <v>29957.51</v>
      </c>
      <c r="W2113" s="576" t="s">
        <v>6486</v>
      </c>
      <c r="X2113" s="153">
        <v>29957.51</v>
      </c>
      <c r="Y2113" s="653"/>
    </row>
    <row r="2114" s="95" customFormat="1" ht="37.5" customHeight="1" spans="1:25">
      <c r="A2114" s="467">
        <f t="shared" si="44"/>
        <v>2104</v>
      </c>
      <c r="B2114" s="548">
        <v>2025</v>
      </c>
      <c r="C2114" s="548" t="s">
        <v>25</v>
      </c>
      <c r="D2114" s="652" t="s">
        <v>339</v>
      </c>
      <c r="E2114" s="1253" t="s">
        <v>6493</v>
      </c>
      <c r="F2114" s="495" t="s">
        <v>1158</v>
      </c>
      <c r="G2114" s="495" t="s">
        <v>1103</v>
      </c>
      <c r="H2114" s="613">
        <v>0.8</v>
      </c>
      <c r="I2114" s="426">
        <v>110000</v>
      </c>
      <c r="J2114" s="574">
        <v>44750</v>
      </c>
      <c r="K2114" s="574">
        <v>45845</v>
      </c>
      <c r="L2114" s="651">
        <v>0.4</v>
      </c>
      <c r="M2114" s="574" t="s">
        <v>6371</v>
      </c>
      <c r="N2114" s="575">
        <v>108790</v>
      </c>
      <c r="O2114" s="575">
        <v>108790</v>
      </c>
      <c r="P2114" s="575">
        <v>87032</v>
      </c>
      <c r="Q2114" s="575">
        <v>87032</v>
      </c>
      <c r="R2114" s="474" t="s">
        <v>6494</v>
      </c>
      <c r="S2114" s="426">
        <v>43516</v>
      </c>
      <c r="T2114" s="643">
        <v>45696</v>
      </c>
      <c r="U2114" s="650">
        <v>45700</v>
      </c>
      <c r="V2114" s="426">
        <v>21758</v>
      </c>
      <c r="W2114" s="576" t="s">
        <v>6486</v>
      </c>
      <c r="X2114" s="153">
        <v>21758</v>
      </c>
      <c r="Y2114" s="653"/>
    </row>
    <row r="2115" s="95" customFormat="1" ht="37.5" customHeight="1" spans="1:25">
      <c r="A2115" s="467">
        <f t="shared" si="44"/>
        <v>2105</v>
      </c>
      <c r="B2115" s="548">
        <v>2025</v>
      </c>
      <c r="C2115" s="548" t="s">
        <v>25</v>
      </c>
      <c r="D2115" s="652" t="s">
        <v>373</v>
      </c>
      <c r="E2115" s="1253" t="s">
        <v>6495</v>
      </c>
      <c r="F2115" s="495" t="s">
        <v>1202</v>
      </c>
      <c r="G2115" s="495" t="s">
        <v>1103</v>
      </c>
      <c r="H2115" s="613">
        <v>0.8</v>
      </c>
      <c r="I2115" s="426">
        <v>300000</v>
      </c>
      <c r="J2115" s="574">
        <v>44847</v>
      </c>
      <c r="K2115" s="574">
        <v>45942</v>
      </c>
      <c r="L2115" s="651">
        <v>0.4</v>
      </c>
      <c r="M2115" s="574" t="s">
        <v>6496</v>
      </c>
      <c r="N2115" s="575">
        <v>312064.64</v>
      </c>
      <c r="O2115" s="575">
        <v>300000</v>
      </c>
      <c r="P2115" s="575">
        <v>240000</v>
      </c>
      <c r="Q2115" s="575">
        <v>249651.71</v>
      </c>
      <c r="R2115" s="474" t="s">
        <v>6494</v>
      </c>
      <c r="S2115" s="426">
        <v>120000</v>
      </c>
      <c r="T2115" s="643">
        <v>45696</v>
      </c>
      <c r="U2115" s="650">
        <v>45700</v>
      </c>
      <c r="V2115" s="426">
        <v>60000</v>
      </c>
      <c r="W2115" s="576" t="s">
        <v>6486</v>
      </c>
      <c r="X2115" s="153">
        <v>60000</v>
      </c>
      <c r="Y2115" s="653"/>
    </row>
    <row r="2116" s="95" customFormat="1" ht="37.5" customHeight="1" spans="1:25">
      <c r="A2116" s="467">
        <f t="shared" si="44"/>
        <v>2106</v>
      </c>
      <c r="B2116" s="548">
        <v>2025</v>
      </c>
      <c r="C2116" s="548" t="s">
        <v>25</v>
      </c>
      <c r="D2116" s="652" t="s">
        <v>376</v>
      </c>
      <c r="E2116" s="424" t="s">
        <v>6497</v>
      </c>
      <c r="F2116" s="495" t="s">
        <v>6498</v>
      </c>
      <c r="G2116" s="495" t="s">
        <v>6363</v>
      </c>
      <c r="H2116" s="613">
        <v>0.8</v>
      </c>
      <c r="I2116" s="426">
        <v>147000</v>
      </c>
      <c r="J2116" s="574">
        <v>44448</v>
      </c>
      <c r="K2116" s="574">
        <v>45543</v>
      </c>
      <c r="L2116" s="651">
        <v>0.4</v>
      </c>
      <c r="M2116" s="574">
        <v>45560</v>
      </c>
      <c r="N2116" s="575">
        <v>147014.99</v>
      </c>
      <c r="O2116" s="575">
        <v>147000</v>
      </c>
      <c r="P2116" s="575">
        <v>117600</v>
      </c>
      <c r="Q2116" s="575">
        <v>117612</v>
      </c>
      <c r="R2116" s="574">
        <v>45700</v>
      </c>
      <c r="S2116" s="426">
        <v>58806</v>
      </c>
      <c r="T2116" s="643">
        <v>45705</v>
      </c>
      <c r="U2116" s="650">
        <v>45713</v>
      </c>
      <c r="V2116" s="426">
        <v>29400</v>
      </c>
      <c r="W2116" s="576" t="s">
        <v>6499</v>
      </c>
      <c r="X2116" s="153">
        <v>29400</v>
      </c>
      <c r="Y2116" s="653"/>
    </row>
    <row r="2117" s="95" customFormat="1" ht="37.5" customHeight="1" spans="1:25">
      <c r="A2117" s="467">
        <f t="shared" si="44"/>
        <v>2107</v>
      </c>
      <c r="B2117" s="548">
        <v>2025</v>
      </c>
      <c r="C2117" s="548" t="s">
        <v>25</v>
      </c>
      <c r="D2117" s="652" t="s">
        <v>377</v>
      </c>
      <c r="E2117" s="424" t="s">
        <v>6500</v>
      </c>
      <c r="F2117" s="642" t="s">
        <v>6501</v>
      </c>
      <c r="G2117" s="642" t="s">
        <v>6502</v>
      </c>
      <c r="H2117" s="613">
        <v>0.8</v>
      </c>
      <c r="I2117" s="426">
        <v>300000</v>
      </c>
      <c r="J2117" s="574">
        <v>44372</v>
      </c>
      <c r="K2117" s="574">
        <v>45467</v>
      </c>
      <c r="L2117" s="651">
        <v>0.5</v>
      </c>
      <c r="M2117" s="574">
        <v>45560</v>
      </c>
      <c r="N2117" s="654">
        <v>298560.81</v>
      </c>
      <c r="O2117" s="654">
        <v>298560.81</v>
      </c>
      <c r="P2117" s="575">
        <v>238848.6</v>
      </c>
      <c r="Q2117" s="575">
        <v>238848.6</v>
      </c>
      <c r="R2117" s="574">
        <v>45700</v>
      </c>
      <c r="S2117" s="426">
        <v>149280.41</v>
      </c>
      <c r="T2117" s="643">
        <v>45705</v>
      </c>
      <c r="U2117" s="650">
        <v>45713</v>
      </c>
      <c r="V2117" s="426">
        <v>89568.24</v>
      </c>
      <c r="W2117" s="576" t="s">
        <v>6503</v>
      </c>
      <c r="X2117" s="153">
        <v>89568.24</v>
      </c>
      <c r="Y2117" s="653"/>
    </row>
    <row r="2118" s="95" customFormat="1" ht="37.5" customHeight="1" spans="1:25">
      <c r="A2118" s="467">
        <f t="shared" si="44"/>
        <v>2108</v>
      </c>
      <c r="B2118" s="548">
        <v>2025</v>
      </c>
      <c r="C2118" s="548" t="s">
        <v>25</v>
      </c>
      <c r="D2118" s="652" t="s">
        <v>378</v>
      </c>
      <c r="E2118" s="424" t="s">
        <v>6504</v>
      </c>
      <c r="F2118" s="642" t="s">
        <v>1158</v>
      </c>
      <c r="G2118" s="642" t="s">
        <v>1103</v>
      </c>
      <c r="H2118" s="613">
        <v>0.8</v>
      </c>
      <c r="I2118" s="426">
        <v>1000000</v>
      </c>
      <c r="J2118" s="574">
        <v>44622</v>
      </c>
      <c r="K2118" s="574">
        <v>45717</v>
      </c>
      <c r="L2118" s="651">
        <v>0.4</v>
      </c>
      <c r="M2118" s="574">
        <v>45560</v>
      </c>
      <c r="N2118" s="575">
        <v>798429.54</v>
      </c>
      <c r="O2118" s="575">
        <v>798429.54</v>
      </c>
      <c r="P2118" s="575">
        <v>638743.63</v>
      </c>
      <c r="Q2118" s="575">
        <v>638743.63</v>
      </c>
      <c r="R2118" s="574">
        <v>45705</v>
      </c>
      <c r="S2118" s="426">
        <v>319371.82</v>
      </c>
      <c r="T2118" s="643">
        <v>45712</v>
      </c>
      <c r="U2118" s="650">
        <v>45713</v>
      </c>
      <c r="V2118" s="426">
        <v>159685.91</v>
      </c>
      <c r="W2118" s="576" t="s">
        <v>6468</v>
      </c>
      <c r="X2118" s="153">
        <v>159685.91</v>
      </c>
      <c r="Y2118" s="653"/>
    </row>
    <row r="2119" s="95" customFormat="1" ht="37.5" customHeight="1" spans="1:25">
      <c r="A2119" s="467">
        <f t="shared" si="44"/>
        <v>2109</v>
      </c>
      <c r="B2119" s="548">
        <v>2025</v>
      </c>
      <c r="C2119" s="548" t="s">
        <v>28</v>
      </c>
      <c r="D2119" s="652" t="s">
        <v>351</v>
      </c>
      <c r="E2119" s="424" t="s">
        <v>6505</v>
      </c>
      <c r="F2119" s="642" t="s">
        <v>5968</v>
      </c>
      <c r="G2119" s="495" t="s">
        <v>1103</v>
      </c>
      <c r="H2119" s="613">
        <v>0.8</v>
      </c>
      <c r="I2119" s="426">
        <v>1000000</v>
      </c>
      <c r="J2119" s="574">
        <v>45043</v>
      </c>
      <c r="K2119" s="574">
        <v>45408</v>
      </c>
      <c r="L2119" s="651">
        <v>0.4</v>
      </c>
      <c r="M2119" s="574">
        <v>45586</v>
      </c>
      <c r="N2119" s="575">
        <v>827706.47</v>
      </c>
      <c r="O2119" s="575">
        <v>819745.56</v>
      </c>
      <c r="P2119" s="575">
        <v>655796.45</v>
      </c>
      <c r="Q2119" s="575">
        <v>662165.18</v>
      </c>
      <c r="R2119" s="574">
        <v>45693</v>
      </c>
      <c r="S2119" s="575">
        <v>327898.22</v>
      </c>
      <c r="T2119" s="643">
        <v>45698</v>
      </c>
      <c r="U2119" s="650">
        <v>45699</v>
      </c>
      <c r="V2119" s="426">
        <v>163949.11</v>
      </c>
      <c r="W2119" s="576" t="s">
        <v>6506</v>
      </c>
      <c r="X2119" s="153">
        <v>163949.11</v>
      </c>
      <c r="Y2119" s="653"/>
    </row>
    <row r="2120" s="95" customFormat="1" ht="37.5" customHeight="1" spans="1:25">
      <c r="A2120" s="467">
        <f t="shared" si="44"/>
        <v>2110</v>
      </c>
      <c r="B2120" s="548">
        <v>2025</v>
      </c>
      <c r="C2120" s="548" t="s">
        <v>15</v>
      </c>
      <c r="D2120" s="652" t="s">
        <v>405</v>
      </c>
      <c r="E2120" s="424" t="s">
        <v>6507</v>
      </c>
      <c r="F2120" s="642" t="s">
        <v>5804</v>
      </c>
      <c r="G2120" s="642" t="s">
        <v>1212</v>
      </c>
      <c r="H2120" s="613">
        <v>0.8</v>
      </c>
      <c r="I2120" s="426">
        <v>3000000</v>
      </c>
      <c r="J2120" s="574">
        <v>45175</v>
      </c>
      <c r="K2120" s="574">
        <v>45510</v>
      </c>
      <c r="L2120" s="651">
        <v>0.2</v>
      </c>
      <c r="M2120" s="574">
        <v>45600</v>
      </c>
      <c r="N2120" s="575">
        <v>3014358.26</v>
      </c>
      <c r="O2120" s="575">
        <v>2998975.61</v>
      </c>
      <c r="P2120" s="575">
        <v>2399180.49</v>
      </c>
      <c r="Q2120" s="575">
        <v>2411486.61</v>
      </c>
      <c r="R2120" s="574">
        <v>45723</v>
      </c>
      <c r="S2120" s="575">
        <v>599795.12</v>
      </c>
      <c r="T2120" s="643">
        <v>45736</v>
      </c>
      <c r="U2120" s="650"/>
      <c r="V2120" s="426"/>
      <c r="W2120" s="576"/>
      <c r="X2120" s="153"/>
      <c r="Y2120" s="655" t="s">
        <v>4184</v>
      </c>
    </row>
    <row r="2121" s="95" customFormat="1" ht="37.5" customHeight="1" spans="1:25">
      <c r="A2121" s="467">
        <f t="shared" si="44"/>
        <v>2111</v>
      </c>
      <c r="B2121" s="548">
        <v>2025</v>
      </c>
      <c r="C2121" s="548" t="s">
        <v>25</v>
      </c>
      <c r="D2121" s="652" t="s">
        <v>424</v>
      </c>
      <c r="E2121" s="424" t="s">
        <v>6508</v>
      </c>
      <c r="F2121" s="642" t="s">
        <v>6509</v>
      </c>
      <c r="G2121" s="642" t="s">
        <v>1085</v>
      </c>
      <c r="H2121" s="613">
        <v>0.8</v>
      </c>
      <c r="I2121" s="426">
        <v>230000</v>
      </c>
      <c r="J2121" s="574">
        <v>45051</v>
      </c>
      <c r="K2121" s="574">
        <v>45781</v>
      </c>
      <c r="L2121" s="651">
        <v>0.4</v>
      </c>
      <c r="M2121" s="574">
        <v>45603</v>
      </c>
      <c r="N2121" s="575">
        <v>229405.35</v>
      </c>
      <c r="O2121" s="575">
        <v>229405.35</v>
      </c>
      <c r="P2121" s="575">
        <v>183524.28</v>
      </c>
      <c r="Q2121" s="575">
        <v>183524.28</v>
      </c>
      <c r="R2121" s="650">
        <v>45712</v>
      </c>
      <c r="S2121" s="575">
        <v>91762.14</v>
      </c>
      <c r="T2121" s="643">
        <v>45715</v>
      </c>
      <c r="U2121" s="650">
        <v>45733</v>
      </c>
      <c r="V2121" s="426">
        <v>45881.07</v>
      </c>
      <c r="W2121" s="576" t="s">
        <v>6510</v>
      </c>
      <c r="X2121" s="153">
        <v>45881.07</v>
      </c>
      <c r="Y2121" s="653"/>
    </row>
    <row r="2122" s="95" customFormat="1" ht="37.5" customHeight="1" spans="1:25">
      <c r="A2122" s="467">
        <f t="shared" si="44"/>
        <v>2112</v>
      </c>
      <c r="B2122" s="548">
        <v>2025</v>
      </c>
      <c r="C2122" s="548" t="s">
        <v>25</v>
      </c>
      <c r="D2122" s="652" t="s">
        <v>423</v>
      </c>
      <c r="E2122" s="424" t="s">
        <v>6511</v>
      </c>
      <c r="F2122" s="642" t="s">
        <v>6512</v>
      </c>
      <c r="G2122" s="495" t="s">
        <v>6502</v>
      </c>
      <c r="H2122" s="613">
        <v>0.8</v>
      </c>
      <c r="I2122" s="426">
        <v>160000</v>
      </c>
      <c r="J2122" s="574">
        <v>44329</v>
      </c>
      <c r="K2122" s="574">
        <v>45424</v>
      </c>
      <c r="L2122" s="651">
        <v>0.5</v>
      </c>
      <c r="M2122" s="574">
        <v>45603</v>
      </c>
      <c r="N2122" s="575">
        <v>159000</v>
      </c>
      <c r="O2122" s="575">
        <v>159000</v>
      </c>
      <c r="P2122" s="575">
        <v>127200</v>
      </c>
      <c r="Q2122" s="575">
        <v>127200</v>
      </c>
      <c r="R2122" s="650">
        <v>45712</v>
      </c>
      <c r="S2122" s="575">
        <v>79500</v>
      </c>
      <c r="T2122" s="643">
        <v>45719</v>
      </c>
      <c r="U2122" s="650">
        <v>45733</v>
      </c>
      <c r="V2122" s="426">
        <v>47700</v>
      </c>
      <c r="W2122" s="576" t="s">
        <v>6510</v>
      </c>
      <c r="X2122" s="153">
        <v>47700</v>
      </c>
      <c r="Y2122" s="653"/>
    </row>
    <row r="2123" s="95" customFormat="1" ht="37.5" customHeight="1" spans="1:25">
      <c r="A2123" s="467">
        <f t="shared" si="44"/>
        <v>2113</v>
      </c>
      <c r="B2123" s="548">
        <v>2025</v>
      </c>
      <c r="C2123" s="548" t="s">
        <v>37</v>
      </c>
      <c r="D2123" s="652" t="s">
        <v>400</v>
      </c>
      <c r="E2123" s="1253" t="s">
        <v>6513</v>
      </c>
      <c r="F2123" s="642" t="s">
        <v>1095</v>
      </c>
      <c r="G2123" s="325" t="s">
        <v>5231</v>
      </c>
      <c r="H2123" s="613">
        <v>0.8</v>
      </c>
      <c r="I2123" s="426">
        <v>133100</v>
      </c>
      <c r="J2123" s="574">
        <v>45122</v>
      </c>
      <c r="K2123" s="574">
        <v>45488</v>
      </c>
      <c r="L2123" s="651">
        <v>0.4</v>
      </c>
      <c r="M2123" s="574">
        <v>45555</v>
      </c>
      <c r="N2123" s="575">
        <v>133100</v>
      </c>
      <c r="O2123" s="575">
        <v>133100</v>
      </c>
      <c r="P2123" s="575">
        <v>106480</v>
      </c>
      <c r="Q2123" s="575">
        <v>106480</v>
      </c>
      <c r="R2123" s="574">
        <v>45700</v>
      </c>
      <c r="S2123" s="575">
        <v>53240</v>
      </c>
      <c r="T2123" s="643">
        <v>45708</v>
      </c>
      <c r="U2123" s="650">
        <v>45712</v>
      </c>
      <c r="V2123" s="426">
        <v>26620</v>
      </c>
      <c r="W2123" s="576" t="s">
        <v>6476</v>
      </c>
      <c r="X2123" s="153">
        <v>26620</v>
      </c>
      <c r="Y2123" s="653"/>
    </row>
    <row r="2124" s="95" customFormat="1" ht="37.5" customHeight="1" spans="1:25">
      <c r="A2124" s="467">
        <f t="shared" si="44"/>
        <v>2114</v>
      </c>
      <c r="B2124" s="548">
        <v>2025</v>
      </c>
      <c r="C2124" s="548" t="s">
        <v>37</v>
      </c>
      <c r="D2124" s="652" t="s">
        <v>402</v>
      </c>
      <c r="E2124" s="1253" t="s">
        <v>6514</v>
      </c>
      <c r="F2124" s="642" t="s">
        <v>1095</v>
      </c>
      <c r="G2124" s="325" t="s">
        <v>5231</v>
      </c>
      <c r="H2124" s="613">
        <v>0.8</v>
      </c>
      <c r="I2124" s="426">
        <v>190000</v>
      </c>
      <c r="J2124" s="574">
        <v>45128</v>
      </c>
      <c r="K2124" s="574">
        <v>45859</v>
      </c>
      <c r="L2124" s="651">
        <v>0.4</v>
      </c>
      <c r="M2124" s="574">
        <v>45555</v>
      </c>
      <c r="N2124" s="575">
        <v>134083.31</v>
      </c>
      <c r="O2124" s="575">
        <v>134083.31</v>
      </c>
      <c r="P2124" s="575">
        <v>107266.65</v>
      </c>
      <c r="Q2124" s="575">
        <v>107266.65</v>
      </c>
      <c r="R2124" s="574">
        <v>45700</v>
      </c>
      <c r="S2124" s="575">
        <v>53633.32</v>
      </c>
      <c r="T2124" s="643">
        <v>45708</v>
      </c>
      <c r="U2124" s="650">
        <v>45712</v>
      </c>
      <c r="V2124" s="426">
        <v>26816.66</v>
      </c>
      <c r="W2124" s="576" t="s">
        <v>6476</v>
      </c>
      <c r="X2124" s="153">
        <v>26816.66</v>
      </c>
      <c r="Y2124" s="653"/>
    </row>
    <row r="2125" s="95" customFormat="1" ht="37.5" customHeight="1" spans="1:25">
      <c r="A2125" s="467">
        <f t="shared" si="44"/>
        <v>2115</v>
      </c>
      <c r="B2125" s="548">
        <v>2025</v>
      </c>
      <c r="C2125" s="548" t="s">
        <v>37</v>
      </c>
      <c r="D2125" s="652" t="s">
        <v>403</v>
      </c>
      <c r="E2125" s="1253" t="s">
        <v>6515</v>
      </c>
      <c r="F2125" s="642" t="s">
        <v>1095</v>
      </c>
      <c r="G2125" s="325" t="s">
        <v>5231</v>
      </c>
      <c r="H2125" s="613">
        <v>0.8</v>
      </c>
      <c r="I2125" s="426">
        <v>220000</v>
      </c>
      <c r="J2125" s="574">
        <v>45084</v>
      </c>
      <c r="K2125" s="574">
        <v>45815</v>
      </c>
      <c r="L2125" s="651">
        <v>0.4</v>
      </c>
      <c r="M2125" s="574">
        <v>45555</v>
      </c>
      <c r="N2125" s="575">
        <v>109999.96</v>
      </c>
      <c r="O2125" s="575">
        <v>109999.96</v>
      </c>
      <c r="P2125" s="575">
        <v>87999.97</v>
      </c>
      <c r="Q2125" s="575">
        <v>87999.97</v>
      </c>
      <c r="R2125" s="574">
        <v>45700</v>
      </c>
      <c r="S2125" s="575">
        <v>43999.98</v>
      </c>
      <c r="T2125" s="643">
        <v>45708</v>
      </c>
      <c r="U2125" s="650">
        <v>45712</v>
      </c>
      <c r="V2125" s="426">
        <v>21999.99</v>
      </c>
      <c r="W2125" s="576" t="s">
        <v>6476</v>
      </c>
      <c r="X2125" s="153">
        <v>21999.99</v>
      </c>
      <c r="Y2125" s="653"/>
    </row>
    <row r="2126" s="95" customFormat="1" ht="37.5" customHeight="1" spans="1:25">
      <c r="A2126" s="467">
        <f t="shared" si="44"/>
        <v>2116</v>
      </c>
      <c r="B2126" s="548">
        <v>2025</v>
      </c>
      <c r="C2126" s="548" t="s">
        <v>37</v>
      </c>
      <c r="D2126" s="652" t="s">
        <v>400</v>
      </c>
      <c r="E2126" s="1253" t="s">
        <v>6516</v>
      </c>
      <c r="F2126" s="642" t="s">
        <v>1095</v>
      </c>
      <c r="G2126" s="325" t="s">
        <v>5231</v>
      </c>
      <c r="H2126" s="613">
        <v>0.8</v>
      </c>
      <c r="I2126" s="426">
        <v>142186</v>
      </c>
      <c r="J2126" s="574">
        <v>45180</v>
      </c>
      <c r="K2126" s="574">
        <v>45906</v>
      </c>
      <c r="L2126" s="651">
        <v>0.2</v>
      </c>
      <c r="M2126" s="574">
        <v>45555</v>
      </c>
      <c r="N2126" s="575">
        <v>88019.92</v>
      </c>
      <c r="O2126" s="575">
        <v>88019.92</v>
      </c>
      <c r="P2126" s="575">
        <v>70415.94</v>
      </c>
      <c r="Q2126" s="575">
        <v>70415.94</v>
      </c>
      <c r="R2126" s="574">
        <v>45700</v>
      </c>
      <c r="S2126" s="575">
        <v>17603.98</v>
      </c>
      <c r="T2126" s="643">
        <v>45708</v>
      </c>
      <c r="U2126" s="650"/>
      <c r="V2126" s="616"/>
      <c r="W2126" s="576"/>
      <c r="X2126" s="153"/>
      <c r="Y2126" s="655" t="s">
        <v>1077</v>
      </c>
    </row>
    <row r="2127" s="95" customFormat="1" ht="37.5" customHeight="1" spans="1:25">
      <c r="A2127" s="467">
        <f t="shared" si="44"/>
        <v>2117</v>
      </c>
      <c r="B2127" s="548">
        <v>2025</v>
      </c>
      <c r="C2127" s="548" t="s">
        <v>37</v>
      </c>
      <c r="D2127" s="652" t="s">
        <v>435</v>
      </c>
      <c r="E2127" s="1253" t="s">
        <v>6517</v>
      </c>
      <c r="F2127" s="642" t="s">
        <v>6478</v>
      </c>
      <c r="G2127" s="325" t="s">
        <v>1610</v>
      </c>
      <c r="H2127" s="613">
        <v>1</v>
      </c>
      <c r="I2127" s="426">
        <v>660000</v>
      </c>
      <c r="J2127" s="574">
        <v>44442</v>
      </c>
      <c r="K2127" s="574">
        <v>45538</v>
      </c>
      <c r="L2127" s="651">
        <v>0.4</v>
      </c>
      <c r="M2127" s="574">
        <v>45577</v>
      </c>
      <c r="N2127" s="575">
        <v>665202.79</v>
      </c>
      <c r="O2127" s="575">
        <v>660000</v>
      </c>
      <c r="P2127" s="575">
        <v>660000</v>
      </c>
      <c r="Q2127" s="575">
        <v>665202.79</v>
      </c>
      <c r="R2127" s="574">
        <v>45713</v>
      </c>
      <c r="S2127" s="575">
        <v>264000</v>
      </c>
      <c r="T2127" s="643">
        <v>45715</v>
      </c>
      <c r="U2127" s="650">
        <v>45733</v>
      </c>
      <c r="V2127" s="426">
        <v>132000</v>
      </c>
      <c r="W2127" s="576" t="s">
        <v>6032</v>
      </c>
      <c r="X2127" s="153">
        <v>132000</v>
      </c>
      <c r="Y2127" s="653"/>
    </row>
    <row r="2128" s="95" customFormat="1" ht="37.5" customHeight="1" spans="1:25">
      <c r="A2128" s="467">
        <f t="shared" si="44"/>
        <v>2118</v>
      </c>
      <c r="B2128" s="548">
        <v>2025</v>
      </c>
      <c r="C2128" s="548" t="s">
        <v>37</v>
      </c>
      <c r="D2128" s="652" t="s">
        <v>429</v>
      </c>
      <c r="E2128" s="1253" t="s">
        <v>6518</v>
      </c>
      <c r="F2128" s="642" t="s">
        <v>6478</v>
      </c>
      <c r="G2128" s="325" t="s">
        <v>1610</v>
      </c>
      <c r="H2128" s="613">
        <v>1</v>
      </c>
      <c r="I2128" s="426">
        <v>1220000</v>
      </c>
      <c r="J2128" s="574">
        <v>44413</v>
      </c>
      <c r="K2128" s="574">
        <v>45509</v>
      </c>
      <c r="L2128" s="651">
        <v>0.4</v>
      </c>
      <c r="M2128" s="574">
        <v>45583</v>
      </c>
      <c r="N2128" s="575">
        <v>1237122.45</v>
      </c>
      <c r="O2128" s="575">
        <v>1220000</v>
      </c>
      <c r="P2128" s="575">
        <v>1220000</v>
      </c>
      <c r="Q2128" s="575">
        <v>1237122.45</v>
      </c>
      <c r="R2128" s="574">
        <v>45723</v>
      </c>
      <c r="S2128" s="575">
        <v>488000</v>
      </c>
      <c r="T2128" s="643">
        <v>45733</v>
      </c>
      <c r="U2128" s="650">
        <v>45744</v>
      </c>
      <c r="V2128" s="575">
        <v>244000</v>
      </c>
      <c r="W2128" s="576" t="s">
        <v>6472</v>
      </c>
      <c r="X2128" s="153">
        <v>244000</v>
      </c>
      <c r="Y2128" s="653"/>
    </row>
    <row r="2129" s="95" customFormat="1" ht="37.5" customHeight="1" spans="1:25">
      <c r="A2129" s="467">
        <f t="shared" si="44"/>
        <v>2119</v>
      </c>
      <c r="B2129" s="548">
        <v>2025</v>
      </c>
      <c r="C2129" s="548" t="s">
        <v>28</v>
      </c>
      <c r="D2129" s="652" t="s">
        <v>439</v>
      </c>
      <c r="E2129" s="424" t="s">
        <v>6519</v>
      </c>
      <c r="F2129" s="642" t="s">
        <v>1129</v>
      </c>
      <c r="G2129" s="338" t="s">
        <v>1103</v>
      </c>
      <c r="H2129" s="613">
        <v>0.8</v>
      </c>
      <c r="I2129" s="426">
        <v>130000</v>
      </c>
      <c r="J2129" s="574">
        <v>44694</v>
      </c>
      <c r="K2129" s="574">
        <v>45789</v>
      </c>
      <c r="L2129" s="651">
        <v>0.4</v>
      </c>
      <c r="M2129" s="574">
        <v>45609</v>
      </c>
      <c r="N2129" s="575">
        <v>128173.18</v>
      </c>
      <c r="O2129" s="575">
        <v>127398.05</v>
      </c>
      <c r="P2129" s="575">
        <v>101918.44</v>
      </c>
      <c r="Q2129" s="575">
        <v>101918.44</v>
      </c>
      <c r="R2129" s="574">
        <v>45719</v>
      </c>
      <c r="S2129" s="575">
        <v>50959.22</v>
      </c>
      <c r="T2129" s="643">
        <v>45729</v>
      </c>
      <c r="U2129" s="650">
        <v>45733</v>
      </c>
      <c r="V2129" s="426">
        <v>25479.61</v>
      </c>
      <c r="W2129" s="576" t="s">
        <v>6520</v>
      </c>
      <c r="X2129" s="153">
        <v>25479.61</v>
      </c>
      <c r="Y2129" s="653"/>
    </row>
    <row r="2130" s="95" customFormat="1" ht="37.5" customHeight="1" spans="1:25">
      <c r="A2130" s="467">
        <f t="shared" si="44"/>
        <v>2120</v>
      </c>
      <c r="B2130" s="548">
        <v>2025</v>
      </c>
      <c r="C2130" s="548" t="s">
        <v>28</v>
      </c>
      <c r="D2130" s="652" t="s">
        <v>438</v>
      </c>
      <c r="E2130" s="424" t="s">
        <v>6521</v>
      </c>
      <c r="F2130" s="642" t="s">
        <v>1179</v>
      </c>
      <c r="G2130" s="338" t="s">
        <v>1085</v>
      </c>
      <c r="H2130" s="613">
        <v>0.8</v>
      </c>
      <c r="I2130" s="426">
        <v>300000</v>
      </c>
      <c r="J2130" s="574">
        <v>44994</v>
      </c>
      <c r="K2130" s="574">
        <v>45724</v>
      </c>
      <c r="L2130" s="651">
        <v>0.4</v>
      </c>
      <c r="M2130" s="574">
        <v>45604</v>
      </c>
      <c r="N2130" s="575">
        <v>303094.17</v>
      </c>
      <c r="O2130" s="575">
        <v>300000</v>
      </c>
      <c r="P2130" s="575">
        <v>240000</v>
      </c>
      <c r="Q2130" s="575">
        <v>242475.34</v>
      </c>
      <c r="R2130" s="574">
        <v>45719</v>
      </c>
      <c r="S2130" s="575">
        <v>120000</v>
      </c>
      <c r="T2130" s="643">
        <v>45729</v>
      </c>
      <c r="U2130" s="650">
        <v>45733</v>
      </c>
      <c r="V2130" s="426">
        <v>60000</v>
      </c>
      <c r="W2130" s="576" t="s">
        <v>1127</v>
      </c>
      <c r="X2130" s="153">
        <v>60000</v>
      </c>
      <c r="Y2130" s="653"/>
    </row>
    <row r="2131" s="95" customFormat="1" ht="37.5" customHeight="1" spans="1:25">
      <c r="A2131" s="467">
        <f t="shared" si="44"/>
        <v>2121</v>
      </c>
      <c r="B2131" s="548">
        <v>2025</v>
      </c>
      <c r="C2131" s="548" t="s">
        <v>147</v>
      </c>
      <c r="D2131" s="652" t="s">
        <v>398</v>
      </c>
      <c r="E2131" s="424" t="s">
        <v>6522</v>
      </c>
      <c r="F2131" s="642" t="s">
        <v>6523</v>
      </c>
      <c r="G2131" s="338" t="s">
        <v>6363</v>
      </c>
      <c r="H2131" s="613">
        <v>1</v>
      </c>
      <c r="I2131" s="426">
        <v>1800000</v>
      </c>
      <c r="J2131" s="574">
        <v>44414</v>
      </c>
      <c r="K2131" s="574">
        <v>45509</v>
      </c>
      <c r="L2131" s="651">
        <v>0.4</v>
      </c>
      <c r="M2131" s="574">
        <v>45608</v>
      </c>
      <c r="N2131" s="575">
        <v>1852368.25</v>
      </c>
      <c r="O2131" s="575">
        <v>1780000</v>
      </c>
      <c r="P2131" s="575">
        <v>1780000</v>
      </c>
      <c r="Q2131" s="575">
        <v>1780000</v>
      </c>
      <c r="R2131" s="574">
        <v>45727</v>
      </c>
      <c r="S2131" s="575">
        <v>712000</v>
      </c>
      <c r="T2131" s="643">
        <v>45749</v>
      </c>
      <c r="U2131" s="650">
        <v>45769</v>
      </c>
      <c r="V2131" s="426">
        <v>356000</v>
      </c>
      <c r="W2131" s="576" t="s">
        <v>6468</v>
      </c>
      <c r="X2131" s="153">
        <v>356000</v>
      </c>
      <c r="Y2131" s="653"/>
    </row>
    <row r="2132" s="95" customFormat="1" ht="37.5" customHeight="1" spans="1:25">
      <c r="A2132" s="467">
        <f t="shared" ref="A2132:A2138" si="45">ROW()-10</f>
        <v>2122</v>
      </c>
      <c r="B2132" s="548">
        <v>2025</v>
      </c>
      <c r="C2132" s="548" t="s">
        <v>79</v>
      </c>
      <c r="D2132" s="652" t="s">
        <v>388</v>
      </c>
      <c r="E2132" s="1253" t="s">
        <v>6524</v>
      </c>
      <c r="F2132" s="642" t="s">
        <v>1095</v>
      </c>
      <c r="G2132" s="325" t="s">
        <v>5231</v>
      </c>
      <c r="H2132" s="613">
        <v>0.8</v>
      </c>
      <c r="I2132" s="426">
        <v>590000</v>
      </c>
      <c r="J2132" s="574">
        <v>45425</v>
      </c>
      <c r="K2132" s="574">
        <v>46154</v>
      </c>
      <c r="L2132" s="651">
        <v>0.4</v>
      </c>
      <c r="M2132" s="574">
        <v>45583</v>
      </c>
      <c r="N2132" s="575">
        <v>200000</v>
      </c>
      <c r="O2132" s="575">
        <v>200000</v>
      </c>
      <c r="P2132" s="575">
        <v>160000</v>
      </c>
      <c r="Q2132" s="575">
        <v>160000</v>
      </c>
      <c r="R2132" s="574">
        <v>45719</v>
      </c>
      <c r="S2132" s="575">
        <v>80000</v>
      </c>
      <c r="T2132" s="643">
        <v>45726</v>
      </c>
      <c r="U2132" s="650">
        <v>45733</v>
      </c>
      <c r="V2132" s="426">
        <v>40000</v>
      </c>
      <c r="W2132" s="576" t="s">
        <v>6476</v>
      </c>
      <c r="X2132" s="153">
        <v>40000</v>
      </c>
      <c r="Y2132" s="653"/>
    </row>
    <row r="2133" s="95" customFormat="1" ht="37.5" customHeight="1" spans="1:25">
      <c r="A2133" s="467">
        <f t="shared" si="45"/>
        <v>2123</v>
      </c>
      <c r="B2133" s="548">
        <v>2025</v>
      </c>
      <c r="C2133" s="548" t="s">
        <v>79</v>
      </c>
      <c r="D2133" s="652" t="s">
        <v>394</v>
      </c>
      <c r="E2133" s="1253" t="s">
        <v>6525</v>
      </c>
      <c r="F2133" s="642" t="s">
        <v>1095</v>
      </c>
      <c r="G2133" s="325" t="s">
        <v>5231</v>
      </c>
      <c r="H2133" s="613">
        <v>0.8</v>
      </c>
      <c r="I2133" s="426">
        <v>420000</v>
      </c>
      <c r="J2133" s="574">
        <v>45376</v>
      </c>
      <c r="K2133" s="574">
        <v>46103</v>
      </c>
      <c r="L2133" s="651">
        <v>0.4</v>
      </c>
      <c r="M2133" s="574">
        <v>45597</v>
      </c>
      <c r="N2133" s="575">
        <v>420000</v>
      </c>
      <c r="O2133" s="575">
        <v>420000</v>
      </c>
      <c r="P2133" s="575">
        <v>336000</v>
      </c>
      <c r="Q2133" s="575">
        <v>336000</v>
      </c>
      <c r="R2133" s="574">
        <v>45719</v>
      </c>
      <c r="S2133" s="575">
        <v>168000</v>
      </c>
      <c r="T2133" s="643">
        <v>45726</v>
      </c>
      <c r="U2133" s="650">
        <v>45733</v>
      </c>
      <c r="V2133" s="426">
        <v>84000</v>
      </c>
      <c r="W2133" s="576" t="s">
        <v>6510</v>
      </c>
      <c r="X2133" s="153">
        <v>84000</v>
      </c>
      <c r="Y2133" s="653"/>
    </row>
    <row r="2134" s="95" customFormat="1" ht="37.5" customHeight="1" spans="1:25">
      <c r="A2134" s="467">
        <f t="shared" si="45"/>
        <v>2124</v>
      </c>
      <c r="B2134" s="548">
        <v>2025</v>
      </c>
      <c r="C2134" s="548" t="s">
        <v>37</v>
      </c>
      <c r="D2134" s="652" t="s">
        <v>390</v>
      </c>
      <c r="E2134" s="1253" t="s">
        <v>6526</v>
      </c>
      <c r="F2134" s="642" t="s">
        <v>1095</v>
      </c>
      <c r="G2134" s="325" t="s">
        <v>5231</v>
      </c>
      <c r="H2134" s="613">
        <v>0.8</v>
      </c>
      <c r="I2134" s="426">
        <v>120000</v>
      </c>
      <c r="J2134" s="574">
        <v>45162</v>
      </c>
      <c r="K2134" s="574">
        <v>45893</v>
      </c>
      <c r="L2134" s="651">
        <v>0.4</v>
      </c>
      <c r="M2134" s="574">
        <v>45597</v>
      </c>
      <c r="N2134" s="575">
        <v>85000</v>
      </c>
      <c r="O2134" s="575">
        <v>85000</v>
      </c>
      <c r="P2134" s="575">
        <v>68000</v>
      </c>
      <c r="Q2134" s="575">
        <v>68000</v>
      </c>
      <c r="R2134" s="574">
        <v>45719</v>
      </c>
      <c r="S2134" s="575">
        <v>34000</v>
      </c>
      <c r="T2134" s="643">
        <v>45726</v>
      </c>
      <c r="U2134" s="650">
        <v>45733</v>
      </c>
      <c r="V2134" s="426">
        <v>17000</v>
      </c>
      <c r="W2134" s="576" t="s">
        <v>6510</v>
      </c>
      <c r="X2134" s="153">
        <v>17000</v>
      </c>
      <c r="Y2134" s="653"/>
    </row>
    <row r="2135" s="95" customFormat="1" ht="37.5" customHeight="1" spans="1:25">
      <c r="A2135" s="467">
        <f t="shared" si="45"/>
        <v>2125</v>
      </c>
      <c r="B2135" s="548">
        <v>2025</v>
      </c>
      <c r="C2135" s="548" t="s">
        <v>233</v>
      </c>
      <c r="D2135" s="652" t="s">
        <v>410</v>
      </c>
      <c r="E2135" s="424" t="s">
        <v>6527</v>
      </c>
      <c r="F2135" s="642" t="s">
        <v>6002</v>
      </c>
      <c r="G2135" s="338" t="s">
        <v>6288</v>
      </c>
      <c r="H2135" s="613">
        <v>1</v>
      </c>
      <c r="I2135" s="426">
        <v>6000000</v>
      </c>
      <c r="J2135" s="574">
        <v>45197</v>
      </c>
      <c r="K2135" s="574">
        <v>45563</v>
      </c>
      <c r="L2135" s="651">
        <v>0.2</v>
      </c>
      <c r="M2135" s="574">
        <v>45611</v>
      </c>
      <c r="N2135" s="575">
        <v>6149829.18</v>
      </c>
      <c r="O2135" s="575">
        <v>6000000</v>
      </c>
      <c r="P2135" s="575">
        <v>6000000</v>
      </c>
      <c r="Q2135" s="575">
        <v>6149829.18</v>
      </c>
      <c r="R2135" s="574">
        <v>45786</v>
      </c>
      <c r="S2135" s="575">
        <v>1200000</v>
      </c>
      <c r="T2135" s="643">
        <v>45796</v>
      </c>
      <c r="U2135" s="650"/>
      <c r="V2135" s="616"/>
      <c r="W2135" s="576"/>
      <c r="X2135" s="153"/>
      <c r="Y2135" s="655" t="s">
        <v>6528</v>
      </c>
    </row>
    <row r="2136" s="95" customFormat="1" ht="37.5" customHeight="1" spans="1:25">
      <c r="A2136" s="467">
        <f t="shared" si="45"/>
        <v>2126</v>
      </c>
      <c r="B2136" s="548">
        <v>2025</v>
      </c>
      <c r="C2136" s="548" t="s">
        <v>28</v>
      </c>
      <c r="D2136" s="652" t="s">
        <v>386</v>
      </c>
      <c r="E2136" s="424" t="s">
        <v>6529</v>
      </c>
      <c r="F2136" s="642" t="s">
        <v>6085</v>
      </c>
      <c r="G2136" s="338" t="s">
        <v>1085</v>
      </c>
      <c r="H2136" s="613">
        <v>0.8</v>
      </c>
      <c r="I2136" s="426">
        <v>110000</v>
      </c>
      <c r="J2136" s="574">
        <v>45102</v>
      </c>
      <c r="K2136" s="574">
        <v>45467</v>
      </c>
      <c r="L2136" s="651">
        <v>0.4</v>
      </c>
      <c r="M2136" s="574">
        <v>45625</v>
      </c>
      <c r="N2136" s="575">
        <v>112523.36</v>
      </c>
      <c r="O2136" s="575">
        <v>109844.96</v>
      </c>
      <c r="P2136" s="575">
        <v>87875.97</v>
      </c>
      <c r="Q2136" s="575">
        <v>87875.97</v>
      </c>
      <c r="R2136" s="574">
        <v>45726</v>
      </c>
      <c r="S2136" s="575">
        <v>43937.98</v>
      </c>
      <c r="T2136" s="643">
        <v>45743</v>
      </c>
      <c r="U2136" s="650">
        <v>45764</v>
      </c>
      <c r="V2136" s="426">
        <v>21968.99</v>
      </c>
      <c r="W2136" s="576" t="s">
        <v>555</v>
      </c>
      <c r="X2136" s="153">
        <v>21968.99</v>
      </c>
      <c r="Y2136" s="653"/>
    </row>
    <row r="2137" s="95" customFormat="1" ht="37.5" customHeight="1" spans="1:25">
      <c r="A2137" s="467">
        <f t="shared" si="45"/>
        <v>2127</v>
      </c>
      <c r="B2137" s="548">
        <v>2025</v>
      </c>
      <c r="C2137" s="548" t="s">
        <v>28</v>
      </c>
      <c r="D2137" s="652" t="s">
        <v>6530</v>
      </c>
      <c r="E2137" s="424" t="s">
        <v>6531</v>
      </c>
      <c r="F2137" s="642" t="s">
        <v>6085</v>
      </c>
      <c r="G2137" s="338" t="s">
        <v>1085</v>
      </c>
      <c r="H2137" s="613">
        <v>0.8</v>
      </c>
      <c r="I2137" s="426">
        <v>50000</v>
      </c>
      <c r="J2137" s="574">
        <v>45131</v>
      </c>
      <c r="K2137" s="574">
        <v>45496</v>
      </c>
      <c r="L2137" s="651">
        <v>0.4</v>
      </c>
      <c r="M2137" s="574">
        <v>45625</v>
      </c>
      <c r="N2137" s="575">
        <v>49020.18</v>
      </c>
      <c r="O2137" s="575">
        <v>48602.73</v>
      </c>
      <c r="P2137" s="575">
        <v>38882.18</v>
      </c>
      <c r="Q2137" s="575">
        <v>38882.18</v>
      </c>
      <c r="R2137" s="574">
        <v>45726</v>
      </c>
      <c r="S2137" s="575">
        <v>19441.09</v>
      </c>
      <c r="T2137" s="643">
        <v>45741</v>
      </c>
      <c r="U2137" s="650">
        <v>45764</v>
      </c>
      <c r="V2137" s="426">
        <v>9720.55</v>
      </c>
      <c r="W2137" s="576" t="s">
        <v>6532</v>
      </c>
      <c r="X2137" s="153">
        <v>9720.55</v>
      </c>
      <c r="Y2137" s="653"/>
    </row>
    <row r="2138" s="95" customFormat="1" ht="37.5" customHeight="1" spans="1:25">
      <c r="A2138" s="467">
        <f t="shared" ref="A2138:A2170" si="46">ROW()-10</f>
        <v>2128</v>
      </c>
      <c r="B2138" s="548">
        <v>2025</v>
      </c>
      <c r="C2138" s="548" t="s">
        <v>15</v>
      </c>
      <c r="D2138" s="652" t="s">
        <v>436</v>
      </c>
      <c r="E2138" s="424" t="s">
        <v>6533</v>
      </c>
      <c r="F2138" s="642" t="s">
        <v>6534</v>
      </c>
      <c r="G2138" s="338" t="s">
        <v>6288</v>
      </c>
      <c r="H2138" s="613">
        <v>0.8</v>
      </c>
      <c r="I2138" s="426">
        <v>554000</v>
      </c>
      <c r="J2138" s="574">
        <v>45181</v>
      </c>
      <c r="K2138" s="574">
        <v>45547</v>
      </c>
      <c r="L2138" s="651">
        <v>0.2</v>
      </c>
      <c r="M2138" s="574">
        <v>45630</v>
      </c>
      <c r="N2138" s="575">
        <v>557139.33</v>
      </c>
      <c r="O2138" s="575">
        <v>554000</v>
      </c>
      <c r="P2138" s="575">
        <v>443200</v>
      </c>
      <c r="Q2138" s="575">
        <v>445711.46</v>
      </c>
      <c r="R2138" s="574">
        <v>45744</v>
      </c>
      <c r="S2138" s="575">
        <v>110800</v>
      </c>
      <c r="T2138" s="643">
        <v>45749</v>
      </c>
      <c r="U2138" s="650"/>
      <c r="V2138" s="616"/>
      <c r="W2138" s="576"/>
      <c r="X2138" s="153"/>
      <c r="Y2138" s="655" t="s">
        <v>1077</v>
      </c>
    </row>
    <row r="2139" s="95" customFormat="1" ht="37.5" customHeight="1" spans="1:25">
      <c r="A2139" s="467">
        <f t="shared" si="46"/>
        <v>2129</v>
      </c>
      <c r="B2139" s="548">
        <v>2025</v>
      </c>
      <c r="C2139" s="548" t="s">
        <v>15</v>
      </c>
      <c r="D2139" s="652" t="s">
        <v>449</v>
      </c>
      <c r="E2139" s="424" t="s">
        <v>6535</v>
      </c>
      <c r="F2139" s="642" t="s">
        <v>1131</v>
      </c>
      <c r="G2139" s="338" t="s">
        <v>6288</v>
      </c>
      <c r="H2139" s="613">
        <v>0.8</v>
      </c>
      <c r="I2139" s="426">
        <v>1145000</v>
      </c>
      <c r="J2139" s="574">
        <v>45175</v>
      </c>
      <c r="K2139" s="574">
        <v>45541</v>
      </c>
      <c r="L2139" s="651">
        <v>0.2</v>
      </c>
      <c r="M2139" s="574">
        <v>45630</v>
      </c>
      <c r="N2139" s="575">
        <v>1165991.67</v>
      </c>
      <c r="O2139" s="575">
        <v>1145000</v>
      </c>
      <c r="P2139" s="575">
        <v>916000</v>
      </c>
      <c r="Q2139" s="575">
        <v>932793.34</v>
      </c>
      <c r="R2139" s="574">
        <v>45762</v>
      </c>
      <c r="S2139" s="575">
        <v>229000</v>
      </c>
      <c r="T2139" s="643">
        <v>45765</v>
      </c>
      <c r="U2139" s="650"/>
      <c r="V2139" s="616"/>
      <c r="W2139" s="576"/>
      <c r="X2139" s="153"/>
      <c r="Y2139" s="655" t="s">
        <v>1077</v>
      </c>
    </row>
    <row r="2140" s="95" customFormat="1" ht="37.5" customHeight="1" spans="1:25">
      <c r="A2140" s="467">
        <f t="shared" si="46"/>
        <v>2130</v>
      </c>
      <c r="B2140" s="548">
        <v>2025</v>
      </c>
      <c r="C2140" s="548" t="s">
        <v>22</v>
      </c>
      <c r="D2140" s="652" t="s">
        <v>384</v>
      </c>
      <c r="E2140" s="424" t="s">
        <v>6536</v>
      </c>
      <c r="F2140" s="642" t="s">
        <v>6252</v>
      </c>
      <c r="G2140" s="338" t="s">
        <v>6537</v>
      </c>
      <c r="H2140" s="613">
        <v>0.8</v>
      </c>
      <c r="I2140" s="426">
        <v>2000000</v>
      </c>
      <c r="J2140" s="574">
        <v>44860</v>
      </c>
      <c r="K2140" s="574">
        <v>45589</v>
      </c>
      <c r="L2140" s="651">
        <v>0.5</v>
      </c>
      <c r="M2140" s="574">
        <v>45628</v>
      </c>
      <c r="N2140" s="575">
        <v>2069535.39</v>
      </c>
      <c r="O2140" s="575">
        <v>2000000</v>
      </c>
      <c r="P2140" s="575">
        <v>1600000</v>
      </c>
      <c r="Q2140" s="575">
        <v>1635228.34</v>
      </c>
      <c r="R2140" s="574">
        <v>45762</v>
      </c>
      <c r="S2140" s="575">
        <v>1000000</v>
      </c>
      <c r="T2140" s="643">
        <v>45765</v>
      </c>
      <c r="U2140" s="650">
        <v>45784</v>
      </c>
      <c r="V2140" s="575">
        <v>600000</v>
      </c>
      <c r="W2140" s="576" t="s">
        <v>6538</v>
      </c>
      <c r="X2140" s="153">
        <v>600000</v>
      </c>
      <c r="Y2140" s="653"/>
    </row>
    <row r="2141" s="95" customFormat="1" ht="37.5" customHeight="1" spans="1:25">
      <c r="A2141" s="467">
        <f t="shared" si="46"/>
        <v>2131</v>
      </c>
      <c r="B2141" s="548">
        <v>2025</v>
      </c>
      <c r="C2141" s="548" t="s">
        <v>25</v>
      </c>
      <c r="D2141" s="424" t="s">
        <v>457</v>
      </c>
      <c r="E2141" s="1253" t="s">
        <v>6539</v>
      </c>
      <c r="F2141" s="642" t="s">
        <v>6540</v>
      </c>
      <c r="G2141" s="338" t="s">
        <v>6259</v>
      </c>
      <c r="H2141" s="613">
        <v>0.8</v>
      </c>
      <c r="I2141" s="426">
        <v>3000000</v>
      </c>
      <c r="J2141" s="574">
        <v>44833</v>
      </c>
      <c r="K2141" s="574">
        <v>45562</v>
      </c>
      <c r="L2141" s="651">
        <v>0.4</v>
      </c>
      <c r="M2141" s="574">
        <v>45622</v>
      </c>
      <c r="N2141" s="575">
        <v>2999969.64</v>
      </c>
      <c r="O2141" s="575">
        <v>2999969.64</v>
      </c>
      <c r="P2141" s="575">
        <v>655917.25</v>
      </c>
      <c r="Q2141" s="575">
        <v>659760</v>
      </c>
      <c r="R2141" s="574">
        <v>45762</v>
      </c>
      <c r="S2141" s="575">
        <v>327958.63</v>
      </c>
      <c r="T2141" s="643">
        <v>45772</v>
      </c>
      <c r="U2141" s="650">
        <v>45784</v>
      </c>
      <c r="V2141" s="575">
        <v>164098.34</v>
      </c>
      <c r="W2141" s="576" t="s">
        <v>6538</v>
      </c>
      <c r="X2141" s="153">
        <v>164098.34</v>
      </c>
      <c r="Y2141" s="656" t="s">
        <v>6541</v>
      </c>
    </row>
    <row r="2142" s="95" customFormat="1" ht="37.5" customHeight="1" spans="1:25">
      <c r="A2142" s="467">
        <f t="shared" si="46"/>
        <v>2132</v>
      </c>
      <c r="B2142" s="548">
        <v>2025</v>
      </c>
      <c r="C2142" s="548" t="s">
        <v>28</v>
      </c>
      <c r="D2142" s="652" t="s">
        <v>416</v>
      </c>
      <c r="E2142" s="424" t="s">
        <v>6542</v>
      </c>
      <c r="F2142" s="642" t="s">
        <v>1129</v>
      </c>
      <c r="G2142" s="338" t="s">
        <v>1103</v>
      </c>
      <c r="H2142" s="613">
        <v>0.8</v>
      </c>
      <c r="I2142" s="426">
        <v>200000</v>
      </c>
      <c r="J2142" s="574">
        <v>44726</v>
      </c>
      <c r="K2142" s="574">
        <v>45821</v>
      </c>
      <c r="L2142" s="651">
        <v>0.4</v>
      </c>
      <c r="M2142" s="574">
        <v>45632</v>
      </c>
      <c r="N2142" s="575">
        <v>198027.7</v>
      </c>
      <c r="O2142" s="575">
        <v>198027.7</v>
      </c>
      <c r="P2142" s="575">
        <v>158422.16</v>
      </c>
      <c r="Q2142" s="575">
        <v>158422.16</v>
      </c>
      <c r="R2142" s="574">
        <v>45754</v>
      </c>
      <c r="S2142" s="575">
        <v>79211.08</v>
      </c>
      <c r="T2142" s="657">
        <v>45757</v>
      </c>
      <c r="U2142" s="650">
        <v>45775</v>
      </c>
      <c r="V2142" s="575">
        <v>39605.54</v>
      </c>
      <c r="W2142" s="576" t="s">
        <v>6027</v>
      </c>
      <c r="X2142" s="153">
        <v>39605.54</v>
      </c>
      <c r="Y2142" s="653"/>
    </row>
    <row r="2143" s="95" customFormat="1" ht="37.5" customHeight="1" spans="1:25">
      <c r="A2143" s="467">
        <f t="shared" si="46"/>
        <v>2133</v>
      </c>
      <c r="B2143" s="548">
        <v>2025</v>
      </c>
      <c r="C2143" s="548" t="s">
        <v>22</v>
      </c>
      <c r="D2143" s="652" t="s">
        <v>381</v>
      </c>
      <c r="E2143" s="1253" t="s">
        <v>6543</v>
      </c>
      <c r="F2143" s="642" t="s">
        <v>6252</v>
      </c>
      <c r="G2143" s="338" t="s">
        <v>6544</v>
      </c>
      <c r="H2143" s="613">
        <v>0.8</v>
      </c>
      <c r="I2143" s="426">
        <v>3000000</v>
      </c>
      <c r="J2143" s="574">
        <v>44865</v>
      </c>
      <c r="K2143" s="574">
        <v>45591</v>
      </c>
      <c r="L2143" s="651">
        <v>0.5</v>
      </c>
      <c r="M2143" s="574">
        <v>45628</v>
      </c>
      <c r="N2143" s="575">
        <v>3049250.88</v>
      </c>
      <c r="O2143" s="575">
        <v>3000000</v>
      </c>
      <c r="P2143" s="575">
        <v>2400000</v>
      </c>
      <c r="Q2143" s="575">
        <v>2439400.7</v>
      </c>
      <c r="R2143" s="574">
        <v>45762</v>
      </c>
      <c r="S2143" s="575">
        <v>1500000</v>
      </c>
      <c r="T2143" s="643">
        <v>45772</v>
      </c>
      <c r="U2143" s="650">
        <v>45784</v>
      </c>
      <c r="V2143" s="575">
        <v>900000</v>
      </c>
      <c r="W2143" s="576" t="s">
        <v>6506</v>
      </c>
      <c r="X2143" s="153">
        <v>900000</v>
      </c>
      <c r="Y2143" s="653"/>
    </row>
    <row r="2144" s="95" customFormat="1" ht="37.5" customHeight="1" spans="1:25">
      <c r="A2144" s="467">
        <f t="shared" si="46"/>
        <v>2134</v>
      </c>
      <c r="B2144" s="548">
        <v>2025</v>
      </c>
      <c r="C2144" s="548" t="s">
        <v>25</v>
      </c>
      <c r="D2144" s="652" t="s">
        <v>426</v>
      </c>
      <c r="E2144" s="424" t="s">
        <v>6545</v>
      </c>
      <c r="F2144" s="642" t="s">
        <v>6501</v>
      </c>
      <c r="G2144" s="338" t="s">
        <v>6502</v>
      </c>
      <c r="H2144" s="613">
        <v>0.8</v>
      </c>
      <c r="I2144" s="426">
        <v>300000</v>
      </c>
      <c r="J2144" s="574">
        <v>44374</v>
      </c>
      <c r="K2144" s="574">
        <v>45469</v>
      </c>
      <c r="L2144" s="651">
        <v>0.5</v>
      </c>
      <c r="M2144" s="574">
        <v>45632</v>
      </c>
      <c r="N2144" s="575">
        <v>144736.21</v>
      </c>
      <c r="O2144" s="575">
        <v>143733.29</v>
      </c>
      <c r="P2144" s="575">
        <v>114986.63</v>
      </c>
      <c r="Q2144" s="575">
        <v>115788.97</v>
      </c>
      <c r="R2144" s="574">
        <v>45763</v>
      </c>
      <c r="S2144" s="575">
        <v>72368.11</v>
      </c>
      <c r="T2144" s="643">
        <v>45775</v>
      </c>
      <c r="U2144" s="650">
        <v>45775</v>
      </c>
      <c r="V2144" s="575">
        <v>43119.99</v>
      </c>
      <c r="W2144" s="576" t="s">
        <v>6546</v>
      </c>
      <c r="X2144" s="153">
        <v>43119.99</v>
      </c>
      <c r="Y2144" s="653"/>
    </row>
    <row r="2145" s="95" customFormat="1" ht="37.5" customHeight="1" spans="1:25">
      <c r="A2145" s="467">
        <f t="shared" si="46"/>
        <v>2135</v>
      </c>
      <c r="B2145" s="548">
        <v>2025</v>
      </c>
      <c r="C2145" s="548" t="s">
        <v>25</v>
      </c>
      <c r="D2145" s="652" t="s">
        <v>427</v>
      </c>
      <c r="E2145" s="424" t="s">
        <v>6547</v>
      </c>
      <c r="F2145" s="642" t="s">
        <v>1084</v>
      </c>
      <c r="G2145" s="338" t="s">
        <v>1103</v>
      </c>
      <c r="H2145" s="613">
        <v>0.8</v>
      </c>
      <c r="I2145" s="426">
        <v>500000</v>
      </c>
      <c r="J2145" s="574">
        <v>44706</v>
      </c>
      <c r="K2145" s="574">
        <v>45801</v>
      </c>
      <c r="L2145" s="651">
        <v>0.4</v>
      </c>
      <c r="M2145" s="574">
        <v>45632</v>
      </c>
      <c r="N2145" s="575">
        <v>521860.16</v>
      </c>
      <c r="O2145" s="575">
        <v>500000</v>
      </c>
      <c r="P2145" s="575">
        <v>400000</v>
      </c>
      <c r="Q2145" s="575">
        <v>410221.87</v>
      </c>
      <c r="R2145" s="574">
        <v>45763</v>
      </c>
      <c r="S2145" s="575">
        <v>200000</v>
      </c>
      <c r="T2145" s="643">
        <v>45775</v>
      </c>
      <c r="U2145" s="650">
        <v>45775</v>
      </c>
      <c r="V2145" s="575">
        <v>100000</v>
      </c>
      <c r="W2145" s="576" t="s">
        <v>6027</v>
      </c>
      <c r="X2145" s="153">
        <v>100000</v>
      </c>
      <c r="Y2145" s="653"/>
    </row>
    <row r="2146" s="95" customFormat="1" ht="37.5" customHeight="1" spans="1:25">
      <c r="A2146" s="467">
        <f t="shared" si="46"/>
        <v>2136</v>
      </c>
      <c r="B2146" s="548">
        <v>2025</v>
      </c>
      <c r="C2146" s="548" t="s">
        <v>25</v>
      </c>
      <c r="D2146" s="652" t="s">
        <v>428</v>
      </c>
      <c r="E2146" s="424" t="s">
        <v>6548</v>
      </c>
      <c r="F2146" s="642" t="s">
        <v>1084</v>
      </c>
      <c r="G2146" s="338" t="s">
        <v>1103</v>
      </c>
      <c r="H2146" s="613">
        <v>0.8</v>
      </c>
      <c r="I2146" s="426">
        <v>500000</v>
      </c>
      <c r="J2146" s="574">
        <v>44822</v>
      </c>
      <c r="K2146" s="574">
        <v>45460</v>
      </c>
      <c r="L2146" s="651">
        <v>0.4</v>
      </c>
      <c r="M2146" s="574">
        <v>45632</v>
      </c>
      <c r="N2146" s="575">
        <v>292137.48</v>
      </c>
      <c r="O2146" s="575">
        <v>292137.48</v>
      </c>
      <c r="P2146" s="575">
        <v>233709.98</v>
      </c>
      <c r="Q2146" s="575">
        <v>233709.98</v>
      </c>
      <c r="R2146" s="574">
        <v>45763</v>
      </c>
      <c r="S2146" s="575">
        <v>116854.99</v>
      </c>
      <c r="T2146" s="643">
        <v>45775</v>
      </c>
      <c r="U2146" s="650">
        <v>45775</v>
      </c>
      <c r="V2146" s="575">
        <v>58427.5</v>
      </c>
      <c r="W2146" s="576" t="s">
        <v>6538</v>
      </c>
      <c r="X2146" s="153">
        <v>58427.5</v>
      </c>
      <c r="Y2146" s="653"/>
    </row>
    <row r="2147" s="95" customFormat="1" ht="37.5" customHeight="1" spans="1:25">
      <c r="A2147" s="467">
        <f t="shared" si="46"/>
        <v>2137</v>
      </c>
      <c r="B2147" s="548">
        <v>2025</v>
      </c>
      <c r="C2147" s="548" t="s">
        <v>15</v>
      </c>
      <c r="D2147" s="652" t="s">
        <v>450</v>
      </c>
      <c r="E2147" s="1253" t="s">
        <v>6549</v>
      </c>
      <c r="F2147" s="642" t="s">
        <v>6550</v>
      </c>
      <c r="G2147" s="338" t="s">
        <v>6288</v>
      </c>
      <c r="H2147" s="613">
        <v>0.8</v>
      </c>
      <c r="I2147" s="426">
        <v>1790000</v>
      </c>
      <c r="J2147" s="574">
        <v>45184</v>
      </c>
      <c r="K2147" s="574">
        <v>45550</v>
      </c>
      <c r="L2147" s="651">
        <v>0.2</v>
      </c>
      <c r="M2147" s="574">
        <v>45630</v>
      </c>
      <c r="N2147" s="575">
        <v>1563453.24</v>
      </c>
      <c r="O2147" s="575">
        <v>1563453.24</v>
      </c>
      <c r="P2147" s="575">
        <v>1250762.59</v>
      </c>
      <c r="Q2147" s="575">
        <v>1250762.59</v>
      </c>
      <c r="R2147" s="574">
        <v>45762</v>
      </c>
      <c r="S2147" s="575">
        <v>312690.65</v>
      </c>
      <c r="T2147" s="643">
        <v>45772</v>
      </c>
      <c r="U2147" s="650"/>
      <c r="V2147" s="616"/>
      <c r="W2147" s="576"/>
      <c r="X2147" s="153"/>
      <c r="Y2147" s="655" t="s">
        <v>1077</v>
      </c>
    </row>
    <row r="2148" s="95" customFormat="1" ht="37.5" customHeight="1" spans="1:25">
      <c r="A2148" s="467">
        <f t="shared" si="46"/>
        <v>2138</v>
      </c>
      <c r="B2148" s="548">
        <v>2025</v>
      </c>
      <c r="C2148" s="548" t="s">
        <v>28</v>
      </c>
      <c r="D2148" s="652" t="s">
        <v>461</v>
      </c>
      <c r="E2148" s="424" t="s">
        <v>6551</v>
      </c>
      <c r="F2148" s="495" t="s">
        <v>1129</v>
      </c>
      <c r="G2148" s="338" t="s">
        <v>1103</v>
      </c>
      <c r="H2148" s="613">
        <v>0.8</v>
      </c>
      <c r="I2148" s="426">
        <v>250000</v>
      </c>
      <c r="J2148" s="574">
        <v>44740</v>
      </c>
      <c r="K2148" s="574">
        <v>45835</v>
      </c>
      <c r="L2148" s="651">
        <v>0.4</v>
      </c>
      <c r="M2148" s="574">
        <v>45624</v>
      </c>
      <c r="N2148" s="575">
        <v>250000</v>
      </c>
      <c r="O2148" s="575">
        <v>250000</v>
      </c>
      <c r="P2148" s="575">
        <v>200000</v>
      </c>
      <c r="Q2148" s="575">
        <v>200000</v>
      </c>
      <c r="R2148" s="574">
        <v>45754</v>
      </c>
      <c r="S2148" s="575">
        <v>100000</v>
      </c>
      <c r="T2148" s="643">
        <v>45761</v>
      </c>
      <c r="U2148" s="650">
        <v>45775</v>
      </c>
      <c r="V2148" s="575">
        <v>50000</v>
      </c>
      <c r="W2148" s="576" t="s">
        <v>6546</v>
      </c>
      <c r="X2148" s="153">
        <v>50000</v>
      </c>
      <c r="Y2148" s="653"/>
    </row>
    <row r="2149" s="95" customFormat="1" ht="37.5" customHeight="1" spans="1:25">
      <c r="A2149" s="467">
        <f t="shared" si="46"/>
        <v>2139</v>
      </c>
      <c r="B2149" s="548">
        <v>2025</v>
      </c>
      <c r="C2149" s="548" t="s">
        <v>15</v>
      </c>
      <c r="D2149" s="652" t="s">
        <v>467</v>
      </c>
      <c r="E2149" s="424" t="s">
        <v>6552</v>
      </c>
      <c r="F2149" s="642" t="s">
        <v>1634</v>
      </c>
      <c r="G2149" s="338" t="s">
        <v>1212</v>
      </c>
      <c r="H2149" s="613">
        <v>0.8</v>
      </c>
      <c r="I2149" s="426">
        <v>1350000</v>
      </c>
      <c r="J2149" s="574">
        <v>45189</v>
      </c>
      <c r="K2149" s="574">
        <v>45554</v>
      </c>
      <c r="L2149" s="651">
        <v>0.2</v>
      </c>
      <c r="M2149" s="574">
        <v>45643</v>
      </c>
      <c r="N2149" s="575">
        <v>1331134.37</v>
      </c>
      <c r="O2149" s="575">
        <v>1331134.37</v>
      </c>
      <c r="P2149" s="575">
        <v>1064907.5</v>
      </c>
      <c r="Q2149" s="575">
        <v>1064907.5</v>
      </c>
      <c r="R2149" s="574">
        <v>45770</v>
      </c>
      <c r="S2149" s="575">
        <v>266226.87</v>
      </c>
      <c r="T2149" s="643">
        <v>45775</v>
      </c>
      <c r="U2149" s="650"/>
      <c r="V2149" s="616"/>
      <c r="W2149" s="616"/>
      <c r="X2149" s="153"/>
      <c r="Y2149" s="655" t="s">
        <v>1077</v>
      </c>
    </row>
    <row r="2150" s="95" customFormat="1" ht="37.5" customHeight="1" spans="1:25">
      <c r="A2150" s="467">
        <f t="shared" si="46"/>
        <v>2140</v>
      </c>
      <c r="B2150" s="548">
        <v>2025</v>
      </c>
      <c r="C2150" s="548" t="s">
        <v>15</v>
      </c>
      <c r="D2150" s="652" t="s">
        <v>472</v>
      </c>
      <c r="E2150" s="424" t="s">
        <v>6553</v>
      </c>
      <c r="F2150" s="642" t="s">
        <v>1174</v>
      </c>
      <c r="G2150" s="338" t="s">
        <v>1212</v>
      </c>
      <c r="H2150" s="613">
        <v>0.8</v>
      </c>
      <c r="I2150" s="426">
        <v>390000</v>
      </c>
      <c r="J2150" s="574">
        <v>45197</v>
      </c>
      <c r="K2150" s="574">
        <v>45562</v>
      </c>
      <c r="L2150" s="651">
        <v>0.2</v>
      </c>
      <c r="M2150" s="574">
        <v>45652</v>
      </c>
      <c r="N2150" s="575">
        <v>391328.01</v>
      </c>
      <c r="O2150" s="575">
        <v>390000</v>
      </c>
      <c r="P2150" s="575">
        <v>312000</v>
      </c>
      <c r="Q2150" s="575">
        <v>313062.41</v>
      </c>
      <c r="R2150" s="574">
        <v>45765</v>
      </c>
      <c r="S2150" s="575">
        <v>78000</v>
      </c>
      <c r="T2150" s="643">
        <v>45775</v>
      </c>
      <c r="U2150" s="650"/>
      <c r="V2150" s="616"/>
      <c r="W2150" s="616"/>
      <c r="X2150" s="153"/>
      <c r="Y2150" s="655" t="s">
        <v>1077</v>
      </c>
    </row>
    <row r="2151" s="95" customFormat="1" ht="37.5" customHeight="1" spans="1:25">
      <c r="A2151" s="467">
        <f t="shared" si="46"/>
        <v>2141</v>
      </c>
      <c r="B2151" s="548">
        <v>2025</v>
      </c>
      <c r="C2151" s="548" t="s">
        <v>15</v>
      </c>
      <c r="D2151" s="652" t="s">
        <v>473</v>
      </c>
      <c r="E2151" s="424" t="s">
        <v>6554</v>
      </c>
      <c r="F2151" s="642" t="s">
        <v>1174</v>
      </c>
      <c r="G2151" s="338" t="s">
        <v>1212</v>
      </c>
      <c r="H2151" s="613">
        <v>0.8</v>
      </c>
      <c r="I2151" s="426">
        <v>300000</v>
      </c>
      <c r="J2151" s="574">
        <v>45197</v>
      </c>
      <c r="K2151" s="574">
        <v>45562</v>
      </c>
      <c r="L2151" s="651">
        <v>0.2</v>
      </c>
      <c r="M2151" s="574">
        <v>45652</v>
      </c>
      <c r="N2151" s="575">
        <v>300230.9</v>
      </c>
      <c r="O2151" s="575">
        <v>299939.23</v>
      </c>
      <c r="P2151" s="575">
        <v>239951.38</v>
      </c>
      <c r="Q2151" s="575">
        <v>240184.72</v>
      </c>
      <c r="R2151" s="574">
        <v>45765</v>
      </c>
      <c r="S2151" s="575">
        <v>59987.85</v>
      </c>
      <c r="T2151" s="643">
        <v>45775</v>
      </c>
      <c r="U2151" s="650"/>
      <c r="V2151" s="616"/>
      <c r="W2151" s="616"/>
      <c r="X2151" s="153"/>
      <c r="Y2151" s="655" t="s">
        <v>1077</v>
      </c>
    </row>
    <row r="2152" s="95" customFormat="1" ht="37.5" customHeight="1" spans="1:25">
      <c r="A2152" s="467">
        <f t="shared" si="46"/>
        <v>2142</v>
      </c>
      <c r="B2152" s="548">
        <v>2025</v>
      </c>
      <c r="C2152" s="548" t="s">
        <v>22</v>
      </c>
      <c r="D2152" s="652" t="s">
        <v>418</v>
      </c>
      <c r="E2152" s="424" t="s">
        <v>6555</v>
      </c>
      <c r="F2152" s="642" t="s">
        <v>6556</v>
      </c>
      <c r="G2152" s="338" t="s">
        <v>6288</v>
      </c>
      <c r="H2152" s="613">
        <v>0.8</v>
      </c>
      <c r="I2152" s="426">
        <v>1950000</v>
      </c>
      <c r="J2152" s="574">
        <v>45206</v>
      </c>
      <c r="K2152" s="574">
        <v>46290</v>
      </c>
      <c r="L2152" s="651">
        <v>0.2</v>
      </c>
      <c r="M2152" s="574">
        <v>45652</v>
      </c>
      <c r="N2152" s="575">
        <v>2011163.42</v>
      </c>
      <c r="O2152" s="575">
        <v>1950000</v>
      </c>
      <c r="P2152" s="575">
        <v>1560000</v>
      </c>
      <c r="Q2152" s="575">
        <v>1608930.74</v>
      </c>
      <c r="R2152" s="574">
        <v>45786</v>
      </c>
      <c r="S2152" s="575">
        <v>390000</v>
      </c>
      <c r="T2152" s="643">
        <v>45796</v>
      </c>
      <c r="U2152" s="650"/>
      <c r="V2152" s="616"/>
      <c r="W2152" s="616"/>
      <c r="X2152" s="153"/>
      <c r="Y2152" s="655" t="s">
        <v>1077</v>
      </c>
    </row>
    <row r="2153" s="95" customFormat="1" ht="37.5" customHeight="1" spans="1:25">
      <c r="A2153" s="467">
        <f t="shared" si="46"/>
        <v>2143</v>
      </c>
      <c r="B2153" s="548">
        <v>2025</v>
      </c>
      <c r="C2153" s="548" t="s">
        <v>31</v>
      </c>
      <c r="D2153" s="652" t="s">
        <v>363</v>
      </c>
      <c r="E2153" s="424" t="s">
        <v>6557</v>
      </c>
      <c r="F2153" s="642" t="s">
        <v>1211</v>
      </c>
      <c r="G2153" s="338" t="s">
        <v>1137</v>
      </c>
      <c r="H2153" s="613">
        <v>0.8</v>
      </c>
      <c r="I2153" s="426">
        <v>300000</v>
      </c>
      <c r="J2153" s="574">
        <v>44874</v>
      </c>
      <c r="K2153" s="574">
        <v>45605</v>
      </c>
      <c r="L2153" s="651">
        <v>0.4</v>
      </c>
      <c r="M2153" s="574">
        <v>45636</v>
      </c>
      <c r="N2153" s="575">
        <v>308812.5</v>
      </c>
      <c r="O2153" s="575">
        <v>300000</v>
      </c>
      <c r="P2153" s="575">
        <v>240000</v>
      </c>
      <c r="Q2153" s="575">
        <v>247050</v>
      </c>
      <c r="R2153" s="574">
        <v>45765</v>
      </c>
      <c r="S2153" s="575">
        <v>123525</v>
      </c>
      <c r="T2153" s="643">
        <v>45775</v>
      </c>
      <c r="U2153" s="650">
        <v>45783</v>
      </c>
      <c r="V2153" s="575">
        <v>60000</v>
      </c>
      <c r="W2153" s="576" t="s">
        <v>6538</v>
      </c>
      <c r="X2153" s="153">
        <v>60000</v>
      </c>
      <c r="Y2153" s="653"/>
    </row>
    <row r="2154" s="95" customFormat="1" ht="37.5" customHeight="1" spans="1:25">
      <c r="A2154" s="467">
        <f t="shared" si="46"/>
        <v>2144</v>
      </c>
      <c r="B2154" s="548">
        <v>2025</v>
      </c>
      <c r="C2154" s="548" t="s">
        <v>31</v>
      </c>
      <c r="D2154" s="652" t="s">
        <v>454</v>
      </c>
      <c r="E2154" s="424" t="s">
        <v>6558</v>
      </c>
      <c r="F2154" s="642" t="s">
        <v>1211</v>
      </c>
      <c r="G2154" s="338" t="s">
        <v>1137</v>
      </c>
      <c r="H2154" s="613">
        <v>0.8</v>
      </c>
      <c r="I2154" s="426">
        <v>200000</v>
      </c>
      <c r="J2154" s="574">
        <v>44869</v>
      </c>
      <c r="K2154" s="574">
        <v>45600</v>
      </c>
      <c r="L2154" s="651">
        <v>0.4</v>
      </c>
      <c r="M2154" s="574">
        <v>45636</v>
      </c>
      <c r="N2154" s="575">
        <v>200000</v>
      </c>
      <c r="O2154" s="575">
        <v>200000</v>
      </c>
      <c r="P2154" s="575">
        <v>160000</v>
      </c>
      <c r="Q2154" s="575">
        <v>160000</v>
      </c>
      <c r="R2154" s="574">
        <v>45765</v>
      </c>
      <c r="S2154" s="575">
        <v>80000</v>
      </c>
      <c r="T2154" s="643">
        <v>45775</v>
      </c>
      <c r="U2154" s="650">
        <v>45783</v>
      </c>
      <c r="V2154" s="575">
        <v>40000</v>
      </c>
      <c r="W2154" s="576" t="s">
        <v>6538</v>
      </c>
      <c r="X2154" s="153">
        <v>40000</v>
      </c>
      <c r="Y2154" s="653"/>
    </row>
    <row r="2155" s="95" customFormat="1" ht="37.5" customHeight="1" spans="1:25">
      <c r="A2155" s="467">
        <f t="shared" si="46"/>
        <v>2145</v>
      </c>
      <c r="B2155" s="548">
        <v>2025</v>
      </c>
      <c r="C2155" s="548" t="s">
        <v>28</v>
      </c>
      <c r="D2155" s="652" t="s">
        <v>468</v>
      </c>
      <c r="E2155" s="1253" t="s">
        <v>6559</v>
      </c>
      <c r="F2155" s="642" t="s">
        <v>1179</v>
      </c>
      <c r="G2155" s="338" t="s">
        <v>1085</v>
      </c>
      <c r="H2155" s="613">
        <v>0.8</v>
      </c>
      <c r="I2155" s="426">
        <v>300000</v>
      </c>
      <c r="J2155" s="574">
        <v>45106</v>
      </c>
      <c r="K2155" s="574">
        <v>45471</v>
      </c>
      <c r="L2155" s="651">
        <v>0.4</v>
      </c>
      <c r="M2155" s="574">
        <v>45639</v>
      </c>
      <c r="N2155" s="575">
        <v>302929.6</v>
      </c>
      <c r="O2155" s="575">
        <v>300000</v>
      </c>
      <c r="P2155" s="575">
        <v>240000</v>
      </c>
      <c r="Q2155" s="575">
        <v>242343.68</v>
      </c>
      <c r="R2155" s="574">
        <v>45770</v>
      </c>
      <c r="S2155" s="575">
        <v>120000</v>
      </c>
      <c r="T2155" s="643">
        <v>45775</v>
      </c>
      <c r="U2155" s="650">
        <v>45783</v>
      </c>
      <c r="V2155" s="575">
        <v>60000</v>
      </c>
      <c r="W2155" s="576" t="s">
        <v>6027</v>
      </c>
      <c r="X2155" s="153">
        <v>60000</v>
      </c>
      <c r="Y2155" s="653"/>
    </row>
    <row r="2156" s="95" customFormat="1" ht="37.5" customHeight="1" spans="1:25">
      <c r="A2156" s="467">
        <f t="shared" si="46"/>
        <v>2146</v>
      </c>
      <c r="B2156" s="548">
        <v>2025</v>
      </c>
      <c r="C2156" s="548" t="s">
        <v>15</v>
      </c>
      <c r="D2156" s="652" t="s">
        <v>475</v>
      </c>
      <c r="E2156" s="424" t="s">
        <v>6560</v>
      </c>
      <c r="F2156" s="642" t="s">
        <v>6561</v>
      </c>
      <c r="G2156" s="338" t="s">
        <v>5943</v>
      </c>
      <c r="H2156" s="613">
        <v>0.8</v>
      </c>
      <c r="I2156" s="426">
        <v>1692000</v>
      </c>
      <c r="J2156" s="574">
        <v>45372</v>
      </c>
      <c r="K2156" s="574">
        <v>45737</v>
      </c>
      <c r="L2156" s="651">
        <v>0.4</v>
      </c>
      <c r="M2156" s="574">
        <v>45657</v>
      </c>
      <c r="N2156" s="575">
        <v>1692000</v>
      </c>
      <c r="O2156" s="575">
        <v>1692000</v>
      </c>
      <c r="P2156" s="575">
        <v>1353600</v>
      </c>
      <c r="Q2156" s="575">
        <v>1353600</v>
      </c>
      <c r="R2156" s="574">
        <v>45804</v>
      </c>
      <c r="S2156" s="575">
        <v>676800</v>
      </c>
      <c r="T2156" s="643">
        <v>45807</v>
      </c>
      <c r="U2156" s="650">
        <v>45811</v>
      </c>
      <c r="V2156" s="575">
        <v>338400</v>
      </c>
      <c r="W2156" s="576" t="s">
        <v>6562</v>
      </c>
      <c r="X2156" s="153">
        <v>338400</v>
      </c>
      <c r="Y2156" s="653"/>
    </row>
    <row r="2157" s="95" customFormat="1" ht="37.5" customHeight="1" spans="1:25">
      <c r="A2157" s="467">
        <f t="shared" si="46"/>
        <v>2147</v>
      </c>
      <c r="B2157" s="548">
        <v>2025</v>
      </c>
      <c r="C2157" s="548" t="s">
        <v>344</v>
      </c>
      <c r="D2157" s="652" t="s">
        <v>412</v>
      </c>
      <c r="E2157" s="424" t="s">
        <v>6563</v>
      </c>
      <c r="F2157" s="642" t="s">
        <v>6564</v>
      </c>
      <c r="G2157" s="338" t="s">
        <v>1085</v>
      </c>
      <c r="H2157" s="613">
        <v>1</v>
      </c>
      <c r="I2157" s="426">
        <v>4000000</v>
      </c>
      <c r="J2157" s="574">
        <v>45271</v>
      </c>
      <c r="K2157" s="574">
        <v>45636</v>
      </c>
      <c r="L2157" s="651">
        <v>0.4</v>
      </c>
      <c r="M2157" s="574">
        <v>45638</v>
      </c>
      <c r="N2157" s="575">
        <v>4009684.9</v>
      </c>
      <c r="O2157" s="575">
        <v>4000000</v>
      </c>
      <c r="P2157" s="575">
        <v>4000000</v>
      </c>
      <c r="Q2157" s="575">
        <v>4009684.9</v>
      </c>
      <c r="R2157" s="574">
        <v>45804</v>
      </c>
      <c r="S2157" s="575">
        <v>1600000</v>
      </c>
      <c r="T2157" s="643">
        <v>45807</v>
      </c>
      <c r="U2157" s="650">
        <v>45811</v>
      </c>
      <c r="V2157" s="575">
        <v>800000</v>
      </c>
      <c r="W2157" s="576" t="s">
        <v>6506</v>
      </c>
      <c r="X2157" s="153">
        <v>800000</v>
      </c>
      <c r="Y2157" s="653"/>
    </row>
    <row r="2158" s="95" customFormat="1" ht="37.5" customHeight="1" spans="1:25">
      <c r="A2158" s="467">
        <f t="shared" si="46"/>
        <v>2148</v>
      </c>
      <c r="B2158" s="548">
        <v>2025</v>
      </c>
      <c r="C2158" s="548" t="s">
        <v>22</v>
      </c>
      <c r="D2158" s="652" t="s">
        <v>414</v>
      </c>
      <c r="E2158" s="424" t="s">
        <v>6565</v>
      </c>
      <c r="F2158" s="642" t="s">
        <v>6278</v>
      </c>
      <c r="G2158" s="338" t="s">
        <v>6537</v>
      </c>
      <c r="H2158" s="613">
        <v>0.8</v>
      </c>
      <c r="I2158" s="426">
        <v>2000000</v>
      </c>
      <c r="J2158" s="574">
        <v>44944</v>
      </c>
      <c r="K2158" s="574">
        <v>45668</v>
      </c>
      <c r="L2158" s="651">
        <v>0.5</v>
      </c>
      <c r="M2158" s="574">
        <v>45657</v>
      </c>
      <c r="N2158" s="575">
        <v>2133537.24</v>
      </c>
      <c r="O2158" s="575">
        <v>1970030.39</v>
      </c>
      <c r="P2158" s="575">
        <v>1576024.31</v>
      </c>
      <c r="Q2158" s="575">
        <v>1706829.79</v>
      </c>
      <c r="R2158" s="574">
        <v>45804</v>
      </c>
      <c r="S2158" s="575">
        <v>985015.2</v>
      </c>
      <c r="T2158" s="643">
        <v>45807</v>
      </c>
      <c r="U2158" s="650">
        <v>45811</v>
      </c>
      <c r="V2158" s="575">
        <v>591009.12</v>
      </c>
      <c r="W2158" s="576" t="s">
        <v>6562</v>
      </c>
      <c r="X2158" s="153">
        <v>591009.12</v>
      </c>
      <c r="Y2158" s="653"/>
    </row>
    <row r="2159" s="95" customFormat="1" ht="37.5" customHeight="1" spans="1:25">
      <c r="A2159" s="467">
        <f t="shared" si="46"/>
        <v>2149</v>
      </c>
      <c r="B2159" s="548">
        <v>2025</v>
      </c>
      <c r="C2159" s="548" t="s">
        <v>57</v>
      </c>
      <c r="D2159" s="652" t="s">
        <v>462</v>
      </c>
      <c r="E2159" s="1253" t="s">
        <v>6566</v>
      </c>
      <c r="F2159" s="642" t="s">
        <v>6061</v>
      </c>
      <c r="G2159" s="338" t="s">
        <v>1188</v>
      </c>
      <c r="H2159" s="613">
        <v>1</v>
      </c>
      <c r="I2159" s="426">
        <v>2000000</v>
      </c>
      <c r="J2159" s="574">
        <v>44875</v>
      </c>
      <c r="K2159" s="574">
        <v>45605</v>
      </c>
      <c r="L2159" s="651">
        <v>0.4</v>
      </c>
      <c r="M2159" s="574">
        <v>45646</v>
      </c>
      <c r="N2159" s="575">
        <v>1826651.22</v>
      </c>
      <c r="O2159" s="575">
        <v>1800000</v>
      </c>
      <c r="P2159" s="575">
        <v>1800000</v>
      </c>
      <c r="Q2159" s="575">
        <v>1826651.22</v>
      </c>
      <c r="R2159" s="574">
        <v>45804</v>
      </c>
      <c r="S2159" s="575">
        <v>720000</v>
      </c>
      <c r="T2159" s="643">
        <v>45806</v>
      </c>
      <c r="U2159" s="650">
        <v>45811</v>
      </c>
      <c r="V2159" s="575">
        <v>360000</v>
      </c>
      <c r="W2159" s="576" t="s">
        <v>6567</v>
      </c>
      <c r="X2159" s="153">
        <v>360000</v>
      </c>
      <c r="Y2159" s="653"/>
    </row>
    <row r="2160" s="95" customFormat="1" ht="37.5" customHeight="1" spans="1:25">
      <c r="A2160" s="467">
        <f t="shared" si="46"/>
        <v>2150</v>
      </c>
      <c r="B2160" s="548">
        <v>2025</v>
      </c>
      <c r="C2160" s="548" t="s">
        <v>25</v>
      </c>
      <c r="D2160" s="652" t="s">
        <v>464</v>
      </c>
      <c r="E2160" s="424" t="s">
        <v>6568</v>
      </c>
      <c r="F2160" s="642" t="s">
        <v>6498</v>
      </c>
      <c r="G2160" s="338" t="s">
        <v>6363</v>
      </c>
      <c r="H2160" s="613">
        <v>0.8</v>
      </c>
      <c r="I2160" s="426">
        <v>800000</v>
      </c>
      <c r="J2160" s="574" t="s">
        <v>2074</v>
      </c>
      <c r="K2160" s="574" t="s">
        <v>5914</v>
      </c>
      <c r="L2160" s="651">
        <v>0.4</v>
      </c>
      <c r="M2160" s="574" t="s">
        <v>6569</v>
      </c>
      <c r="N2160" s="575">
        <v>669687.32</v>
      </c>
      <c r="O2160" s="575">
        <v>669687.32</v>
      </c>
      <c r="P2160" s="575">
        <v>535749.86</v>
      </c>
      <c r="Q2160" s="575">
        <v>535749.86</v>
      </c>
      <c r="R2160" s="574">
        <v>45793</v>
      </c>
      <c r="S2160" s="575">
        <v>267874.93</v>
      </c>
      <c r="T2160" s="643">
        <v>45803</v>
      </c>
      <c r="U2160" s="650">
        <v>45811</v>
      </c>
      <c r="V2160" s="575">
        <v>133937.46</v>
      </c>
      <c r="W2160" s="576" t="s">
        <v>6570</v>
      </c>
      <c r="X2160" s="153">
        <v>133937.46</v>
      </c>
      <c r="Y2160" s="653"/>
    </row>
    <row r="2161" s="95" customFormat="1" ht="37.5" customHeight="1" spans="1:25">
      <c r="A2161" s="467">
        <f t="shared" si="46"/>
        <v>2151</v>
      </c>
      <c r="B2161" s="548">
        <v>2025</v>
      </c>
      <c r="C2161" s="548" t="s">
        <v>25</v>
      </c>
      <c r="D2161" s="652" t="s">
        <v>459</v>
      </c>
      <c r="E2161" s="424" t="s">
        <v>6571</v>
      </c>
      <c r="F2161" s="642" t="s">
        <v>6572</v>
      </c>
      <c r="G2161" s="338" t="s">
        <v>6363</v>
      </c>
      <c r="H2161" s="613">
        <v>0.8</v>
      </c>
      <c r="I2161" s="426">
        <v>180000</v>
      </c>
      <c r="J2161" s="574">
        <v>44406</v>
      </c>
      <c r="K2161" s="574" t="s">
        <v>4599</v>
      </c>
      <c r="L2161" s="651">
        <v>0.4</v>
      </c>
      <c r="M2161" s="574">
        <v>45671</v>
      </c>
      <c r="N2161" s="575">
        <v>180551.39</v>
      </c>
      <c r="O2161" s="575">
        <v>180000</v>
      </c>
      <c r="P2161" s="575">
        <v>144000</v>
      </c>
      <c r="Q2161" s="575">
        <v>14441.11</v>
      </c>
      <c r="R2161" s="574">
        <v>45805</v>
      </c>
      <c r="S2161" s="575">
        <v>72220.56</v>
      </c>
      <c r="T2161" s="643">
        <v>45807</v>
      </c>
      <c r="U2161" s="650">
        <v>45813</v>
      </c>
      <c r="V2161" s="575">
        <v>36000</v>
      </c>
      <c r="W2161" s="576" t="s">
        <v>6573</v>
      </c>
      <c r="X2161" s="153">
        <v>36000</v>
      </c>
      <c r="Y2161" s="653"/>
    </row>
    <row r="2162" s="95" customFormat="1" ht="37.5" customHeight="1" spans="1:25">
      <c r="A2162" s="467">
        <f t="shared" si="46"/>
        <v>2152</v>
      </c>
      <c r="B2162" s="548">
        <v>2025</v>
      </c>
      <c r="C2162" s="548" t="s">
        <v>25</v>
      </c>
      <c r="D2162" s="652" t="s">
        <v>465</v>
      </c>
      <c r="E2162" s="424" t="s">
        <v>6574</v>
      </c>
      <c r="F2162" s="642" t="s">
        <v>6498</v>
      </c>
      <c r="G2162" s="338" t="s">
        <v>6363</v>
      </c>
      <c r="H2162" s="613">
        <v>0.8</v>
      </c>
      <c r="I2162" s="426">
        <v>500000</v>
      </c>
      <c r="J2162" s="574" t="s">
        <v>1906</v>
      </c>
      <c r="K2162" s="574" t="s">
        <v>5801</v>
      </c>
      <c r="L2162" s="651">
        <v>0.4</v>
      </c>
      <c r="M2162" s="574" t="s">
        <v>6575</v>
      </c>
      <c r="N2162" s="575">
        <v>499707.78</v>
      </c>
      <c r="O2162" s="575">
        <v>497658.71</v>
      </c>
      <c r="P2162" s="575">
        <v>398126.97</v>
      </c>
      <c r="Q2162" s="575">
        <v>399766.22</v>
      </c>
      <c r="R2162" s="574">
        <v>45805</v>
      </c>
      <c r="S2162" s="575">
        <v>199883.11</v>
      </c>
      <c r="T2162" s="643">
        <v>45807</v>
      </c>
      <c r="U2162" s="650">
        <v>45813</v>
      </c>
      <c r="V2162" s="575">
        <v>99531.74</v>
      </c>
      <c r="W2162" s="576" t="s">
        <v>6127</v>
      </c>
      <c r="X2162" s="153">
        <v>99531.74</v>
      </c>
      <c r="Y2162" s="653"/>
    </row>
    <row r="2163" s="95" customFormat="1" ht="37.5" customHeight="1" spans="1:25">
      <c r="A2163" s="467">
        <f t="shared" si="46"/>
        <v>2153</v>
      </c>
      <c r="B2163" s="548">
        <v>2025</v>
      </c>
      <c r="C2163" s="548" t="s">
        <v>25</v>
      </c>
      <c r="D2163" s="652" t="s">
        <v>505</v>
      </c>
      <c r="E2163" s="424" t="s">
        <v>6576</v>
      </c>
      <c r="F2163" s="642" t="s">
        <v>1084</v>
      </c>
      <c r="G2163" s="338" t="s">
        <v>1125</v>
      </c>
      <c r="H2163" s="613">
        <v>0.8</v>
      </c>
      <c r="I2163" s="426">
        <v>400000</v>
      </c>
      <c r="J2163" s="574">
        <v>44687</v>
      </c>
      <c r="K2163" s="574">
        <v>45782</v>
      </c>
      <c r="L2163" s="651">
        <v>0.4</v>
      </c>
      <c r="M2163" s="574">
        <v>45670</v>
      </c>
      <c r="N2163" s="575">
        <v>365156.62</v>
      </c>
      <c r="O2163" s="575">
        <v>365156.62</v>
      </c>
      <c r="P2163" s="575">
        <v>292125.3</v>
      </c>
      <c r="Q2163" s="575">
        <v>292125.3</v>
      </c>
      <c r="R2163" s="574">
        <v>45805</v>
      </c>
      <c r="S2163" s="575">
        <v>146062.65</v>
      </c>
      <c r="T2163" s="643">
        <v>45807</v>
      </c>
      <c r="U2163" s="650"/>
      <c r="V2163" s="616"/>
      <c r="W2163" s="576"/>
      <c r="X2163" s="153"/>
      <c r="Y2163" s="655" t="s">
        <v>4184</v>
      </c>
    </row>
    <row r="2164" s="95" customFormat="1" ht="37.5" customHeight="1" spans="1:25">
      <c r="A2164" s="467">
        <f t="shared" si="46"/>
        <v>2154</v>
      </c>
      <c r="B2164" s="548">
        <v>2025</v>
      </c>
      <c r="C2164" s="548" t="s">
        <v>79</v>
      </c>
      <c r="D2164" s="652" t="s">
        <v>490</v>
      </c>
      <c r="E2164" s="424" t="s">
        <v>6577</v>
      </c>
      <c r="F2164" s="642" t="s">
        <v>6578</v>
      </c>
      <c r="G2164" s="302" t="s">
        <v>6579</v>
      </c>
      <c r="H2164" s="613">
        <v>0.8</v>
      </c>
      <c r="I2164" s="426">
        <v>2250000</v>
      </c>
      <c r="J2164" s="574" t="s">
        <v>4823</v>
      </c>
      <c r="K2164" s="574" t="s">
        <v>6580</v>
      </c>
      <c r="L2164" s="651">
        <v>0.2</v>
      </c>
      <c r="M2164" s="574">
        <v>45672</v>
      </c>
      <c r="N2164" s="575">
        <v>2242159.15</v>
      </c>
      <c r="O2164" s="575">
        <v>2242159.15</v>
      </c>
      <c r="P2164" s="575">
        <v>1793727.32</v>
      </c>
      <c r="Q2164" s="575">
        <v>1793727.32</v>
      </c>
      <c r="R2164" s="574">
        <v>45819</v>
      </c>
      <c r="S2164" s="575">
        <v>448431.83</v>
      </c>
      <c r="T2164" s="643">
        <v>45824</v>
      </c>
      <c r="U2164" s="650"/>
      <c r="V2164" s="616"/>
      <c r="W2164" s="576"/>
      <c r="X2164" s="153"/>
      <c r="Y2164" s="655" t="s">
        <v>4184</v>
      </c>
    </row>
    <row r="2165" s="95" customFormat="1" ht="37.5" customHeight="1" spans="1:25">
      <c r="A2165" s="467">
        <f t="shared" si="46"/>
        <v>2155</v>
      </c>
      <c r="B2165" s="548">
        <v>2025</v>
      </c>
      <c r="C2165" s="548" t="s">
        <v>79</v>
      </c>
      <c r="D2165" s="652" t="s">
        <v>476</v>
      </c>
      <c r="E2165" s="424" t="s">
        <v>6581</v>
      </c>
      <c r="F2165" s="642" t="s">
        <v>1088</v>
      </c>
      <c r="G2165" s="302" t="s">
        <v>6579</v>
      </c>
      <c r="H2165" s="613">
        <v>0.8</v>
      </c>
      <c r="I2165" s="426">
        <v>760000</v>
      </c>
      <c r="J2165" s="574" t="s">
        <v>3914</v>
      </c>
      <c r="K2165" s="574" t="s">
        <v>6582</v>
      </c>
      <c r="L2165" s="651">
        <v>0.2</v>
      </c>
      <c r="M2165" s="574">
        <v>45672</v>
      </c>
      <c r="N2165" s="575">
        <v>759170.11</v>
      </c>
      <c r="O2165" s="575">
        <v>759064.55</v>
      </c>
      <c r="P2165" s="575">
        <v>607251.64</v>
      </c>
      <c r="Q2165" s="575">
        <v>607336.09</v>
      </c>
      <c r="R2165" s="574">
        <v>45804</v>
      </c>
      <c r="S2165" s="575">
        <v>151812.91</v>
      </c>
      <c r="T2165" s="643">
        <v>45807</v>
      </c>
      <c r="U2165" s="650"/>
      <c r="V2165" s="616"/>
      <c r="W2165" s="576"/>
      <c r="X2165" s="153"/>
      <c r="Y2165" s="655" t="s">
        <v>4184</v>
      </c>
    </row>
    <row r="2166" s="95" customFormat="1" ht="37.5" customHeight="1" spans="1:25">
      <c r="A2166" s="467">
        <f t="shared" si="46"/>
        <v>2156</v>
      </c>
      <c r="B2166" s="548">
        <v>2025</v>
      </c>
      <c r="C2166" s="548" t="s">
        <v>15</v>
      </c>
      <c r="D2166" s="652" t="s">
        <v>455</v>
      </c>
      <c r="E2166" s="424" t="s">
        <v>6583</v>
      </c>
      <c r="F2166" s="642" t="s">
        <v>6584</v>
      </c>
      <c r="G2166" s="338" t="s">
        <v>6585</v>
      </c>
      <c r="H2166" s="613">
        <v>0.8</v>
      </c>
      <c r="I2166" s="426">
        <v>1500000</v>
      </c>
      <c r="J2166" s="574">
        <v>45232</v>
      </c>
      <c r="K2166" s="574">
        <v>45597</v>
      </c>
      <c r="L2166" s="651">
        <v>0.4</v>
      </c>
      <c r="M2166" s="574">
        <v>45673</v>
      </c>
      <c r="N2166" s="575">
        <v>1498968.75</v>
      </c>
      <c r="O2166" s="575">
        <v>1498968.75</v>
      </c>
      <c r="P2166" s="575">
        <v>1199175</v>
      </c>
      <c r="Q2166" s="575">
        <v>1199175</v>
      </c>
      <c r="R2166" s="574">
        <v>45819</v>
      </c>
      <c r="S2166" s="575">
        <v>599587.5</v>
      </c>
      <c r="T2166" s="643">
        <v>45824</v>
      </c>
      <c r="U2166" s="650">
        <v>45840</v>
      </c>
      <c r="V2166" s="575">
        <v>299793.75</v>
      </c>
      <c r="W2166" s="576" t="s">
        <v>6586</v>
      </c>
      <c r="X2166" s="153">
        <v>299793.75</v>
      </c>
      <c r="Y2166" s="653"/>
    </row>
    <row r="2167" s="95" customFormat="1" ht="37.5" customHeight="1" spans="1:25">
      <c r="A2167" s="467">
        <f t="shared" si="46"/>
        <v>2157</v>
      </c>
      <c r="B2167" s="548">
        <v>2025</v>
      </c>
      <c r="C2167" s="548" t="s">
        <v>25</v>
      </c>
      <c r="D2167" s="652" t="s">
        <v>466</v>
      </c>
      <c r="E2167" s="1253" t="s">
        <v>6587</v>
      </c>
      <c r="F2167" s="642" t="s">
        <v>6366</v>
      </c>
      <c r="G2167" s="338" t="s">
        <v>6363</v>
      </c>
      <c r="H2167" s="613">
        <v>0.8</v>
      </c>
      <c r="I2167" s="426">
        <v>300000</v>
      </c>
      <c r="J2167" s="574">
        <v>44412</v>
      </c>
      <c r="K2167" s="574">
        <v>45507</v>
      </c>
      <c r="L2167" s="651">
        <v>0.4</v>
      </c>
      <c r="M2167" s="574">
        <v>45671</v>
      </c>
      <c r="N2167" s="575">
        <v>281707.78</v>
      </c>
      <c r="O2167" s="575">
        <v>280987.78</v>
      </c>
      <c r="P2167" s="575">
        <v>224790.22</v>
      </c>
      <c r="Q2167" s="575">
        <v>225366.22</v>
      </c>
      <c r="R2167" s="574">
        <v>45805</v>
      </c>
      <c r="S2167" s="575">
        <v>112683.11</v>
      </c>
      <c r="T2167" s="643">
        <v>45813</v>
      </c>
      <c r="U2167" s="650">
        <v>45813</v>
      </c>
      <c r="V2167" s="575">
        <v>56197.56</v>
      </c>
      <c r="W2167" s="576" t="s">
        <v>6573</v>
      </c>
      <c r="X2167" s="153">
        <v>56197.56</v>
      </c>
      <c r="Y2167" s="653"/>
    </row>
    <row r="2168" s="95" customFormat="1" ht="37.5" customHeight="1" spans="1:25">
      <c r="A2168" s="467">
        <f t="shared" si="46"/>
        <v>2158</v>
      </c>
      <c r="B2168" s="548">
        <v>2025</v>
      </c>
      <c r="C2168" s="548" t="s">
        <v>31</v>
      </c>
      <c r="D2168" s="652" t="s">
        <v>486</v>
      </c>
      <c r="E2168" s="424" t="s">
        <v>6588</v>
      </c>
      <c r="F2168" s="642" t="s">
        <v>6589</v>
      </c>
      <c r="G2168" s="338" t="s">
        <v>1169</v>
      </c>
      <c r="H2168" s="613">
        <v>0.8</v>
      </c>
      <c r="I2168" s="426">
        <v>3000000</v>
      </c>
      <c r="J2168" s="574">
        <v>45253</v>
      </c>
      <c r="K2168" s="574">
        <v>45617</v>
      </c>
      <c r="L2168" s="651">
        <v>0.4</v>
      </c>
      <c r="M2168" s="574">
        <v>45674</v>
      </c>
      <c r="N2168" s="575">
        <v>2981664.37</v>
      </c>
      <c r="O2168" s="575">
        <v>2981664.37</v>
      </c>
      <c r="P2168" s="575">
        <v>2385331.5</v>
      </c>
      <c r="Q2168" s="575">
        <v>2385331.5</v>
      </c>
      <c r="R2168" s="574">
        <v>45824</v>
      </c>
      <c r="S2168" s="575">
        <v>1192665.75</v>
      </c>
      <c r="T2168" s="643">
        <v>45831</v>
      </c>
      <c r="U2168" s="650">
        <v>45840</v>
      </c>
      <c r="V2168" s="575">
        <v>596332.87</v>
      </c>
      <c r="W2168" s="576" t="s">
        <v>6590</v>
      </c>
      <c r="X2168" s="153">
        <v>596332.87</v>
      </c>
      <c r="Y2168" s="653"/>
    </row>
    <row r="2169" s="95" customFormat="1" ht="37.5" customHeight="1" spans="1:25">
      <c r="A2169" s="467">
        <f t="shared" si="46"/>
        <v>2159</v>
      </c>
      <c r="B2169" s="548">
        <v>2025</v>
      </c>
      <c r="C2169" s="548" t="s">
        <v>22</v>
      </c>
      <c r="D2169" s="652" t="s">
        <v>518</v>
      </c>
      <c r="E2169" s="1253" t="s">
        <v>6591</v>
      </c>
      <c r="F2169" s="642" t="s">
        <v>6482</v>
      </c>
      <c r="G2169" s="338" t="s">
        <v>1188</v>
      </c>
      <c r="H2169" s="613">
        <v>1</v>
      </c>
      <c r="I2169" s="426">
        <v>3000000</v>
      </c>
      <c r="J2169" s="574">
        <v>44536</v>
      </c>
      <c r="K2169" s="574">
        <v>45627</v>
      </c>
      <c r="L2169" s="651">
        <v>0.4</v>
      </c>
      <c r="M2169" s="574">
        <v>45653</v>
      </c>
      <c r="N2169" s="575">
        <v>2627892.58</v>
      </c>
      <c r="O2169" s="575">
        <v>2600000</v>
      </c>
      <c r="P2169" s="575">
        <v>2600000</v>
      </c>
      <c r="Q2169" s="575">
        <v>2627892.58</v>
      </c>
      <c r="R2169" s="574">
        <v>45804</v>
      </c>
      <c r="S2169" s="575">
        <v>1040000</v>
      </c>
      <c r="T2169" s="643">
        <v>45806</v>
      </c>
      <c r="U2169" s="650">
        <v>45811</v>
      </c>
      <c r="V2169" s="575">
        <v>520000</v>
      </c>
      <c r="W2169" s="576" t="s">
        <v>6562</v>
      </c>
      <c r="X2169" s="153">
        <v>520000</v>
      </c>
      <c r="Y2169" s="653"/>
    </row>
    <row r="2170" s="95" customFormat="1" ht="37.5" customHeight="1" spans="1:25">
      <c r="A2170" s="467">
        <f t="shared" si="46"/>
        <v>2160</v>
      </c>
      <c r="B2170" s="548">
        <v>2025</v>
      </c>
      <c r="C2170" s="548" t="s">
        <v>57</v>
      </c>
      <c r="D2170" s="652" t="s">
        <v>513</v>
      </c>
      <c r="E2170" s="1253" t="s">
        <v>6592</v>
      </c>
      <c r="F2170" s="642" t="s">
        <v>6593</v>
      </c>
      <c r="G2170" s="338" t="s">
        <v>5946</v>
      </c>
      <c r="H2170" s="613">
        <v>1</v>
      </c>
      <c r="I2170" s="426">
        <v>3000000</v>
      </c>
      <c r="J2170" s="574">
        <v>45260</v>
      </c>
      <c r="K2170" s="574">
        <v>45620</v>
      </c>
      <c r="L2170" s="651">
        <v>0.4</v>
      </c>
      <c r="M2170" s="574">
        <v>45657</v>
      </c>
      <c r="N2170" s="575">
        <v>2955006.31</v>
      </c>
      <c r="O2170" s="575">
        <v>2941206.71</v>
      </c>
      <c r="P2170" s="575">
        <v>2941206.71</v>
      </c>
      <c r="Q2170" s="575">
        <v>2955006.31</v>
      </c>
      <c r="R2170" s="574">
        <v>45804</v>
      </c>
      <c r="S2170" s="575">
        <v>1176482.68</v>
      </c>
      <c r="T2170" s="643">
        <v>45806</v>
      </c>
      <c r="U2170" s="650">
        <v>45811</v>
      </c>
      <c r="V2170" s="575">
        <v>588241.34</v>
      </c>
      <c r="W2170" s="576" t="s">
        <v>6562</v>
      </c>
      <c r="X2170" s="153">
        <v>588241.34</v>
      </c>
      <c r="Y2170" s="653"/>
    </row>
    <row r="2171" s="95" customFormat="1" ht="37.5" customHeight="1" spans="1:25">
      <c r="A2171" s="467">
        <f t="shared" ref="A2171:A2205" si="47">ROW()-10</f>
        <v>2161</v>
      </c>
      <c r="B2171" s="548">
        <v>2025</v>
      </c>
      <c r="C2171" s="548" t="s">
        <v>79</v>
      </c>
      <c r="D2171" s="652" t="s">
        <v>6594</v>
      </c>
      <c r="E2171" s="1253" t="s">
        <v>6595</v>
      </c>
      <c r="F2171" s="642" t="s">
        <v>1095</v>
      </c>
      <c r="G2171" s="338" t="s">
        <v>5943</v>
      </c>
      <c r="H2171" s="613">
        <v>0.8</v>
      </c>
      <c r="I2171" s="426">
        <v>110000</v>
      </c>
      <c r="J2171" s="574">
        <v>45509</v>
      </c>
      <c r="K2171" s="574">
        <v>46239</v>
      </c>
      <c r="L2171" s="651">
        <v>0.4</v>
      </c>
      <c r="M2171" s="574">
        <v>45666</v>
      </c>
      <c r="N2171" s="575">
        <v>110000</v>
      </c>
      <c r="O2171" s="575">
        <v>110000</v>
      </c>
      <c r="P2171" s="575">
        <v>88000</v>
      </c>
      <c r="Q2171" s="575">
        <v>88000</v>
      </c>
      <c r="R2171" s="574">
        <v>45804</v>
      </c>
      <c r="S2171" s="575">
        <v>44000</v>
      </c>
      <c r="T2171" s="643">
        <v>45813</v>
      </c>
      <c r="U2171" s="650">
        <v>45818</v>
      </c>
      <c r="V2171" s="575">
        <v>22000</v>
      </c>
      <c r="W2171" s="576" t="s">
        <v>6596</v>
      </c>
      <c r="X2171" s="153">
        <v>22000</v>
      </c>
      <c r="Y2171" s="653"/>
    </row>
    <row r="2172" s="95" customFormat="1" ht="37.5" customHeight="1" spans="1:25">
      <c r="A2172" s="467">
        <f t="shared" si="47"/>
        <v>2162</v>
      </c>
      <c r="B2172" s="548">
        <v>2025</v>
      </c>
      <c r="C2172" s="548" t="s">
        <v>79</v>
      </c>
      <c r="D2172" s="652" t="s">
        <v>6597</v>
      </c>
      <c r="E2172" s="1253" t="s">
        <v>6598</v>
      </c>
      <c r="F2172" s="642" t="s">
        <v>1095</v>
      </c>
      <c r="G2172" s="338" t="s">
        <v>5943</v>
      </c>
      <c r="H2172" s="613">
        <v>0.8</v>
      </c>
      <c r="I2172" s="426">
        <v>300000</v>
      </c>
      <c r="J2172" s="574">
        <v>45463</v>
      </c>
      <c r="K2172" s="574">
        <v>46183</v>
      </c>
      <c r="L2172" s="651">
        <v>0.4</v>
      </c>
      <c r="M2172" s="574">
        <v>45666</v>
      </c>
      <c r="N2172" s="575">
        <v>300000</v>
      </c>
      <c r="O2172" s="575">
        <v>300000</v>
      </c>
      <c r="P2172" s="575">
        <v>240000</v>
      </c>
      <c r="Q2172" s="575">
        <v>240000</v>
      </c>
      <c r="R2172" s="574">
        <v>45804</v>
      </c>
      <c r="S2172" s="575">
        <v>120000</v>
      </c>
      <c r="T2172" s="643">
        <v>45813</v>
      </c>
      <c r="U2172" s="650">
        <v>45818</v>
      </c>
      <c r="V2172" s="575">
        <v>60000</v>
      </c>
      <c r="W2172" s="576" t="s">
        <v>6596</v>
      </c>
      <c r="X2172" s="153">
        <v>60000</v>
      </c>
      <c r="Y2172" s="653"/>
    </row>
    <row r="2173" s="95" customFormat="1" ht="37.5" customHeight="1" spans="1:25">
      <c r="A2173" s="467">
        <f t="shared" si="47"/>
        <v>2163</v>
      </c>
      <c r="B2173" s="548">
        <v>2025</v>
      </c>
      <c r="C2173" s="548" t="s">
        <v>79</v>
      </c>
      <c r="D2173" s="652" t="s">
        <v>6599</v>
      </c>
      <c r="E2173" s="1253" t="s">
        <v>6600</v>
      </c>
      <c r="F2173" s="642" t="s">
        <v>1095</v>
      </c>
      <c r="G2173" s="338" t="s">
        <v>5943</v>
      </c>
      <c r="H2173" s="613">
        <v>0.8</v>
      </c>
      <c r="I2173" s="426">
        <v>500000</v>
      </c>
      <c r="J2173" s="574">
        <v>45448</v>
      </c>
      <c r="K2173" s="574">
        <v>46191</v>
      </c>
      <c r="L2173" s="651">
        <v>0.4</v>
      </c>
      <c r="M2173" s="574">
        <v>45666</v>
      </c>
      <c r="N2173" s="575">
        <v>500000</v>
      </c>
      <c r="O2173" s="575">
        <v>500000</v>
      </c>
      <c r="P2173" s="575">
        <v>400000</v>
      </c>
      <c r="Q2173" s="575">
        <v>400000</v>
      </c>
      <c r="R2173" s="574">
        <v>45804</v>
      </c>
      <c r="S2173" s="575">
        <v>200000</v>
      </c>
      <c r="T2173" s="643">
        <v>45813</v>
      </c>
      <c r="U2173" s="650">
        <v>45818</v>
      </c>
      <c r="V2173" s="575">
        <v>100000</v>
      </c>
      <c r="W2173" s="576" t="s">
        <v>6596</v>
      </c>
      <c r="X2173" s="153">
        <v>100000</v>
      </c>
      <c r="Y2173" s="653"/>
    </row>
    <row r="2174" s="95" customFormat="1" ht="37.5" customHeight="1" spans="1:25">
      <c r="A2174" s="467">
        <f t="shared" si="47"/>
        <v>2164</v>
      </c>
      <c r="B2174" s="548">
        <v>2025</v>
      </c>
      <c r="C2174" s="548" t="s">
        <v>79</v>
      </c>
      <c r="D2174" s="652" t="s">
        <v>6601</v>
      </c>
      <c r="E2174" s="1253" t="s">
        <v>6602</v>
      </c>
      <c r="F2174" s="642" t="s">
        <v>1095</v>
      </c>
      <c r="G2174" s="338" t="s">
        <v>1072</v>
      </c>
      <c r="H2174" s="613">
        <v>0.8</v>
      </c>
      <c r="I2174" s="426">
        <v>100000</v>
      </c>
      <c r="J2174" s="574">
        <v>45464</v>
      </c>
      <c r="K2174" s="574">
        <v>46193</v>
      </c>
      <c r="L2174" s="651">
        <v>0.4</v>
      </c>
      <c r="M2174" s="574">
        <v>45666</v>
      </c>
      <c r="N2174" s="575">
        <v>10000</v>
      </c>
      <c r="O2174" s="575">
        <v>10000</v>
      </c>
      <c r="P2174" s="575">
        <v>8000</v>
      </c>
      <c r="Q2174" s="575">
        <v>8000</v>
      </c>
      <c r="R2174" s="574">
        <v>45804</v>
      </c>
      <c r="S2174" s="575">
        <v>4000</v>
      </c>
      <c r="T2174" s="643">
        <v>45813</v>
      </c>
      <c r="U2174" s="650">
        <v>45818</v>
      </c>
      <c r="V2174" s="575">
        <v>2000</v>
      </c>
      <c r="W2174" s="576" t="s">
        <v>6596</v>
      </c>
      <c r="X2174" s="153">
        <v>2000</v>
      </c>
      <c r="Y2174" s="653"/>
    </row>
    <row r="2175" s="95" customFormat="1" ht="37.5" customHeight="1" spans="1:25">
      <c r="A2175" s="467">
        <f t="shared" si="47"/>
        <v>2165</v>
      </c>
      <c r="B2175" s="548">
        <v>2025</v>
      </c>
      <c r="C2175" s="548" t="s">
        <v>79</v>
      </c>
      <c r="D2175" s="652" t="s">
        <v>6603</v>
      </c>
      <c r="E2175" s="1253" t="s">
        <v>6604</v>
      </c>
      <c r="F2175" s="642" t="s">
        <v>1095</v>
      </c>
      <c r="G2175" s="338" t="s">
        <v>1072</v>
      </c>
      <c r="H2175" s="613">
        <v>0.8</v>
      </c>
      <c r="I2175" s="426">
        <v>1000000</v>
      </c>
      <c r="J2175" s="574">
        <v>45428</v>
      </c>
      <c r="K2175" s="574">
        <v>46175</v>
      </c>
      <c r="L2175" s="651">
        <v>0.4</v>
      </c>
      <c r="M2175" s="574">
        <v>45666</v>
      </c>
      <c r="N2175" s="575">
        <v>952380.95</v>
      </c>
      <c r="O2175" s="575">
        <v>952380.95</v>
      </c>
      <c r="P2175" s="575">
        <v>761904.76</v>
      </c>
      <c r="Q2175" s="575">
        <v>761904.76</v>
      </c>
      <c r="R2175" s="574">
        <v>45804</v>
      </c>
      <c r="S2175" s="575">
        <v>380952.38</v>
      </c>
      <c r="T2175" s="643">
        <v>45813</v>
      </c>
      <c r="U2175" s="650">
        <v>45818</v>
      </c>
      <c r="V2175" s="575">
        <v>190476.19</v>
      </c>
      <c r="W2175" s="576" t="s">
        <v>6596</v>
      </c>
      <c r="X2175" s="153">
        <v>190476.19</v>
      </c>
      <c r="Y2175" s="653"/>
    </row>
    <row r="2176" s="95" customFormat="1" ht="37.5" customHeight="1" spans="1:25">
      <c r="A2176" s="467">
        <f t="shared" si="47"/>
        <v>2166</v>
      </c>
      <c r="B2176" s="548">
        <v>2025</v>
      </c>
      <c r="C2176" s="548" t="s">
        <v>79</v>
      </c>
      <c r="D2176" s="652" t="s">
        <v>6603</v>
      </c>
      <c r="E2176" s="1253" t="s">
        <v>6605</v>
      </c>
      <c r="F2176" s="642" t="s">
        <v>1095</v>
      </c>
      <c r="G2176" s="338" t="s">
        <v>1072</v>
      </c>
      <c r="H2176" s="613">
        <v>0.8</v>
      </c>
      <c r="I2176" s="426">
        <v>1000000</v>
      </c>
      <c r="J2176" s="574">
        <v>45384</v>
      </c>
      <c r="K2176" s="574">
        <v>46114</v>
      </c>
      <c r="L2176" s="651">
        <v>0.4</v>
      </c>
      <c r="M2176" s="574">
        <v>45666</v>
      </c>
      <c r="N2176" s="575">
        <v>894027.61</v>
      </c>
      <c r="O2176" s="575">
        <v>894027.61</v>
      </c>
      <c r="P2176" s="575">
        <v>715222.09</v>
      </c>
      <c r="Q2176" s="575">
        <v>715222.09</v>
      </c>
      <c r="R2176" s="574">
        <v>45804</v>
      </c>
      <c r="S2176" s="575">
        <v>357611.04</v>
      </c>
      <c r="T2176" s="643">
        <v>45813</v>
      </c>
      <c r="U2176" s="650">
        <v>45818</v>
      </c>
      <c r="V2176" s="575">
        <v>178805.52</v>
      </c>
      <c r="W2176" s="576" t="s">
        <v>6596</v>
      </c>
      <c r="X2176" s="153">
        <v>178805.52</v>
      </c>
      <c r="Y2176" s="653"/>
    </row>
    <row r="2177" s="95" customFormat="1" ht="37.5" customHeight="1" spans="1:25">
      <c r="A2177" s="467">
        <f t="shared" si="47"/>
        <v>2167</v>
      </c>
      <c r="B2177" s="548">
        <v>2025</v>
      </c>
      <c r="C2177" s="548" t="s">
        <v>79</v>
      </c>
      <c r="D2177" s="652" t="s">
        <v>6603</v>
      </c>
      <c r="E2177" s="1253" t="s">
        <v>6606</v>
      </c>
      <c r="F2177" s="642" t="s">
        <v>1095</v>
      </c>
      <c r="G2177" s="338" t="s">
        <v>1072</v>
      </c>
      <c r="H2177" s="613">
        <v>0.8</v>
      </c>
      <c r="I2177" s="426">
        <v>1000000</v>
      </c>
      <c r="J2177" s="574">
        <v>45406</v>
      </c>
      <c r="K2177" s="574">
        <v>46144</v>
      </c>
      <c r="L2177" s="651">
        <v>0.4</v>
      </c>
      <c r="M2177" s="574">
        <v>45666</v>
      </c>
      <c r="N2177" s="575">
        <v>976190.48</v>
      </c>
      <c r="O2177" s="575">
        <v>976190.48</v>
      </c>
      <c r="P2177" s="575">
        <v>780952.38</v>
      </c>
      <c r="Q2177" s="575">
        <v>780952.38</v>
      </c>
      <c r="R2177" s="574">
        <v>45804</v>
      </c>
      <c r="S2177" s="575">
        <v>390476.19</v>
      </c>
      <c r="T2177" s="643">
        <v>45813</v>
      </c>
      <c r="U2177" s="650">
        <v>45818</v>
      </c>
      <c r="V2177" s="575">
        <v>195238.1</v>
      </c>
      <c r="W2177" s="576" t="s">
        <v>6596</v>
      </c>
      <c r="X2177" s="153">
        <v>195238.1</v>
      </c>
      <c r="Y2177" s="653"/>
    </row>
    <row r="2178" s="95" customFormat="1" ht="37.5" customHeight="1" spans="1:25">
      <c r="A2178" s="467">
        <f t="shared" si="47"/>
        <v>2168</v>
      </c>
      <c r="B2178" s="548">
        <v>2025</v>
      </c>
      <c r="C2178" s="548" t="s">
        <v>79</v>
      </c>
      <c r="D2178" s="652" t="s">
        <v>6597</v>
      </c>
      <c r="E2178" s="1253" t="s">
        <v>6607</v>
      </c>
      <c r="F2178" s="642" t="s">
        <v>1095</v>
      </c>
      <c r="G2178" s="338" t="s">
        <v>1072</v>
      </c>
      <c r="H2178" s="613">
        <v>0.8</v>
      </c>
      <c r="I2178" s="426">
        <v>200000</v>
      </c>
      <c r="J2178" s="574">
        <v>45378</v>
      </c>
      <c r="K2178" s="574">
        <v>46122</v>
      </c>
      <c r="L2178" s="651">
        <v>0.4</v>
      </c>
      <c r="M2178" s="574">
        <v>45666</v>
      </c>
      <c r="N2178" s="575">
        <v>180952.38</v>
      </c>
      <c r="O2178" s="575">
        <v>180952.38</v>
      </c>
      <c r="P2178" s="575">
        <v>144761.9</v>
      </c>
      <c r="Q2178" s="575">
        <v>144761.9</v>
      </c>
      <c r="R2178" s="574">
        <v>45804</v>
      </c>
      <c r="S2178" s="575">
        <v>72380.95</v>
      </c>
      <c r="T2178" s="643">
        <v>45813</v>
      </c>
      <c r="U2178" s="650">
        <v>45818</v>
      </c>
      <c r="V2178" s="575">
        <v>36190.48</v>
      </c>
      <c r="W2178" s="576" t="s">
        <v>6596</v>
      </c>
      <c r="X2178" s="153">
        <v>36190.48</v>
      </c>
      <c r="Y2178" s="653"/>
    </row>
    <row r="2179" s="95" customFormat="1" ht="37.5" customHeight="1" spans="1:25">
      <c r="A2179" s="467">
        <f t="shared" si="47"/>
        <v>2169</v>
      </c>
      <c r="B2179" s="548">
        <v>2025</v>
      </c>
      <c r="C2179" s="548" t="s">
        <v>79</v>
      </c>
      <c r="D2179" s="652" t="s">
        <v>6608</v>
      </c>
      <c r="E2179" s="1253" t="s">
        <v>6609</v>
      </c>
      <c r="F2179" s="642" t="s">
        <v>1095</v>
      </c>
      <c r="G2179" s="338" t="s">
        <v>1072</v>
      </c>
      <c r="H2179" s="613">
        <v>0.8</v>
      </c>
      <c r="I2179" s="426">
        <v>370000</v>
      </c>
      <c r="J2179" s="574">
        <v>45376</v>
      </c>
      <c r="K2179" s="574">
        <v>46106</v>
      </c>
      <c r="L2179" s="651">
        <v>0.4</v>
      </c>
      <c r="M2179" s="574">
        <v>45666</v>
      </c>
      <c r="N2179" s="575">
        <v>334761.9</v>
      </c>
      <c r="O2179" s="575">
        <v>334761.9</v>
      </c>
      <c r="P2179" s="575">
        <v>267809.52</v>
      </c>
      <c r="Q2179" s="575">
        <v>267809.52</v>
      </c>
      <c r="R2179" s="574">
        <v>45804</v>
      </c>
      <c r="S2179" s="575">
        <v>133904.76</v>
      </c>
      <c r="T2179" s="643">
        <v>45813</v>
      </c>
      <c r="U2179" s="650">
        <v>45818</v>
      </c>
      <c r="V2179" s="575">
        <v>66952.38</v>
      </c>
      <c r="W2179" s="576" t="s">
        <v>6596</v>
      </c>
      <c r="X2179" s="153">
        <v>66952.38</v>
      </c>
      <c r="Y2179" s="653"/>
    </row>
    <row r="2180" s="95" customFormat="1" ht="37.5" customHeight="1" spans="1:25">
      <c r="A2180" s="467">
        <f t="shared" si="47"/>
        <v>2170</v>
      </c>
      <c r="B2180" s="548">
        <v>2025</v>
      </c>
      <c r="C2180" s="548" t="s">
        <v>79</v>
      </c>
      <c r="D2180" s="652" t="s">
        <v>6610</v>
      </c>
      <c r="E2180" s="1253" t="s">
        <v>6611</v>
      </c>
      <c r="F2180" s="642" t="s">
        <v>1095</v>
      </c>
      <c r="G2180" s="338" t="s">
        <v>1072</v>
      </c>
      <c r="H2180" s="613">
        <v>0.8</v>
      </c>
      <c r="I2180" s="426">
        <v>280000</v>
      </c>
      <c r="J2180" s="574">
        <v>45449</v>
      </c>
      <c r="K2180" s="574">
        <v>46197</v>
      </c>
      <c r="L2180" s="651">
        <v>0.4</v>
      </c>
      <c r="M2180" s="574">
        <v>45666</v>
      </c>
      <c r="N2180" s="575">
        <v>263240.91</v>
      </c>
      <c r="O2180" s="575">
        <v>263240.91</v>
      </c>
      <c r="P2180" s="575">
        <v>210592.73</v>
      </c>
      <c r="Q2180" s="575">
        <v>210592.73</v>
      </c>
      <c r="R2180" s="574">
        <v>45804</v>
      </c>
      <c r="S2180" s="575">
        <v>105296.36</v>
      </c>
      <c r="T2180" s="643">
        <v>45813</v>
      </c>
      <c r="U2180" s="650">
        <v>45818</v>
      </c>
      <c r="V2180" s="575">
        <v>52648.18</v>
      </c>
      <c r="W2180" s="576" t="s">
        <v>6596</v>
      </c>
      <c r="X2180" s="153">
        <v>52648.18</v>
      </c>
      <c r="Y2180" s="653"/>
    </row>
    <row r="2181" s="95" customFormat="1" ht="37.5" customHeight="1" spans="1:25">
      <c r="A2181" s="467">
        <f t="shared" si="47"/>
        <v>2171</v>
      </c>
      <c r="B2181" s="548">
        <v>2025</v>
      </c>
      <c r="C2181" s="548" t="s">
        <v>79</v>
      </c>
      <c r="D2181" s="652" t="s">
        <v>6610</v>
      </c>
      <c r="E2181" s="1253" t="s">
        <v>6612</v>
      </c>
      <c r="F2181" s="642" t="s">
        <v>1095</v>
      </c>
      <c r="G2181" s="338" t="s">
        <v>1072</v>
      </c>
      <c r="H2181" s="613">
        <v>0.8</v>
      </c>
      <c r="I2181" s="426">
        <v>600000</v>
      </c>
      <c r="J2181" s="574">
        <v>45436</v>
      </c>
      <c r="K2181" s="574">
        <v>46166</v>
      </c>
      <c r="L2181" s="651">
        <v>0.4</v>
      </c>
      <c r="M2181" s="574">
        <v>45666</v>
      </c>
      <c r="N2181" s="575">
        <v>95238.1</v>
      </c>
      <c r="O2181" s="575">
        <v>95238.1</v>
      </c>
      <c r="P2181" s="575">
        <v>76190.48</v>
      </c>
      <c r="Q2181" s="575">
        <v>76190.48</v>
      </c>
      <c r="R2181" s="574">
        <v>45804</v>
      </c>
      <c r="S2181" s="575">
        <v>38095.24</v>
      </c>
      <c r="T2181" s="643">
        <v>45813</v>
      </c>
      <c r="U2181" s="650">
        <v>45818</v>
      </c>
      <c r="V2181" s="575">
        <v>19047.62</v>
      </c>
      <c r="W2181" s="576" t="s">
        <v>6596</v>
      </c>
      <c r="X2181" s="153">
        <v>19047.62</v>
      </c>
      <c r="Y2181" s="653"/>
    </row>
    <row r="2182" s="95" customFormat="1" ht="37.5" customHeight="1" spans="1:25">
      <c r="A2182" s="467">
        <f t="shared" si="47"/>
        <v>2172</v>
      </c>
      <c r="B2182" s="548">
        <v>2025</v>
      </c>
      <c r="C2182" s="548" t="s">
        <v>79</v>
      </c>
      <c r="D2182" s="652" t="s">
        <v>647</v>
      </c>
      <c r="E2182" s="1253" t="s">
        <v>6613</v>
      </c>
      <c r="F2182" s="642" t="s">
        <v>1095</v>
      </c>
      <c r="G2182" s="338" t="s">
        <v>1072</v>
      </c>
      <c r="H2182" s="613">
        <v>0.8</v>
      </c>
      <c r="I2182" s="426">
        <v>800000</v>
      </c>
      <c r="J2182" s="574">
        <v>45379</v>
      </c>
      <c r="K2182" s="574">
        <v>46100</v>
      </c>
      <c r="L2182" s="651">
        <v>0.4</v>
      </c>
      <c r="M2182" s="574">
        <v>45666</v>
      </c>
      <c r="N2182" s="575">
        <v>685714.28</v>
      </c>
      <c r="O2182" s="575">
        <v>685714.28</v>
      </c>
      <c r="P2182" s="575">
        <v>548571.42</v>
      </c>
      <c r="Q2182" s="575">
        <v>548571.42</v>
      </c>
      <c r="R2182" s="574">
        <v>45804</v>
      </c>
      <c r="S2182" s="575">
        <v>274285.71</v>
      </c>
      <c r="T2182" s="643">
        <v>45813</v>
      </c>
      <c r="U2182" s="650">
        <v>45818</v>
      </c>
      <c r="V2182" s="575">
        <v>137142.86</v>
      </c>
      <c r="W2182" s="576" t="s">
        <v>6596</v>
      </c>
      <c r="X2182" s="153">
        <v>137142.86</v>
      </c>
      <c r="Y2182" s="653"/>
    </row>
    <row r="2183" s="95" customFormat="1" ht="37.5" customHeight="1" spans="1:25">
      <c r="A2183" s="467">
        <f t="shared" si="47"/>
        <v>2173</v>
      </c>
      <c r="B2183" s="548">
        <v>2025</v>
      </c>
      <c r="C2183" s="548" t="s">
        <v>79</v>
      </c>
      <c r="D2183" s="652" t="s">
        <v>6614</v>
      </c>
      <c r="E2183" s="1253" t="s">
        <v>6615</v>
      </c>
      <c r="F2183" s="642" t="s">
        <v>1095</v>
      </c>
      <c r="G2183" s="338" t="s">
        <v>1072</v>
      </c>
      <c r="H2183" s="613">
        <v>0.8</v>
      </c>
      <c r="I2183" s="426">
        <v>100000</v>
      </c>
      <c r="J2183" s="574">
        <v>45398</v>
      </c>
      <c r="K2183" s="574">
        <v>46130</v>
      </c>
      <c r="L2183" s="651">
        <v>0.4</v>
      </c>
      <c r="M2183" s="574">
        <v>45666</v>
      </c>
      <c r="N2183" s="575">
        <v>50793.33</v>
      </c>
      <c r="O2183" s="575">
        <v>50793.33</v>
      </c>
      <c r="P2183" s="575">
        <v>40634.66</v>
      </c>
      <c r="Q2183" s="575">
        <v>40634.66</v>
      </c>
      <c r="R2183" s="574">
        <v>45804</v>
      </c>
      <c r="S2183" s="575">
        <v>20317.33</v>
      </c>
      <c r="T2183" s="643">
        <v>45813</v>
      </c>
      <c r="U2183" s="650">
        <v>45818</v>
      </c>
      <c r="V2183" s="575">
        <v>10158.67</v>
      </c>
      <c r="W2183" s="576" t="s">
        <v>6596</v>
      </c>
      <c r="X2183" s="153">
        <v>10158.67</v>
      </c>
      <c r="Y2183" s="653"/>
    </row>
    <row r="2184" s="95" customFormat="1" ht="37.5" customHeight="1" spans="1:25">
      <c r="A2184" s="467">
        <f t="shared" si="47"/>
        <v>2174</v>
      </c>
      <c r="B2184" s="548">
        <v>2025</v>
      </c>
      <c r="C2184" s="548" t="s">
        <v>79</v>
      </c>
      <c r="D2184" s="652" t="s">
        <v>6616</v>
      </c>
      <c r="E2184" s="1253" t="s">
        <v>6617</v>
      </c>
      <c r="F2184" s="642" t="s">
        <v>1095</v>
      </c>
      <c r="G2184" s="338" t="s">
        <v>1072</v>
      </c>
      <c r="H2184" s="613">
        <v>0.8</v>
      </c>
      <c r="I2184" s="426">
        <v>200000</v>
      </c>
      <c r="J2184" s="574">
        <v>45391</v>
      </c>
      <c r="K2184" s="574">
        <v>46131</v>
      </c>
      <c r="L2184" s="651">
        <v>0.4</v>
      </c>
      <c r="M2184" s="574">
        <v>45666</v>
      </c>
      <c r="N2184" s="575">
        <v>190476.19</v>
      </c>
      <c r="O2184" s="575">
        <v>190476.19</v>
      </c>
      <c r="P2184" s="575">
        <v>152380.95</v>
      </c>
      <c r="Q2184" s="575">
        <v>152380.95</v>
      </c>
      <c r="R2184" s="574">
        <v>45804</v>
      </c>
      <c r="S2184" s="575">
        <v>76190.48</v>
      </c>
      <c r="T2184" s="643">
        <v>45813</v>
      </c>
      <c r="U2184" s="650">
        <v>45818</v>
      </c>
      <c r="V2184" s="575">
        <v>38095.24</v>
      </c>
      <c r="W2184" s="576" t="s">
        <v>6596</v>
      </c>
      <c r="X2184" s="153">
        <v>38095.24</v>
      </c>
      <c r="Y2184" s="653"/>
    </row>
    <row r="2185" s="95" customFormat="1" ht="37.5" customHeight="1" spans="1:25">
      <c r="A2185" s="467">
        <f t="shared" si="47"/>
        <v>2175</v>
      </c>
      <c r="B2185" s="548">
        <v>2025</v>
      </c>
      <c r="C2185" s="548" t="s">
        <v>79</v>
      </c>
      <c r="D2185" s="652" t="s">
        <v>6618</v>
      </c>
      <c r="E2185" s="1253" t="s">
        <v>6619</v>
      </c>
      <c r="F2185" s="642" t="s">
        <v>1095</v>
      </c>
      <c r="G2185" s="338" t="s">
        <v>1072</v>
      </c>
      <c r="H2185" s="613">
        <v>0.8</v>
      </c>
      <c r="I2185" s="426">
        <v>100000</v>
      </c>
      <c r="J2185" s="574">
        <v>45449</v>
      </c>
      <c r="K2185" s="574">
        <v>46166</v>
      </c>
      <c r="L2185" s="651">
        <v>0.4</v>
      </c>
      <c r="M2185" s="574">
        <v>45666</v>
      </c>
      <c r="N2185" s="575">
        <v>50000</v>
      </c>
      <c r="O2185" s="575">
        <v>50000</v>
      </c>
      <c r="P2185" s="575">
        <v>40000</v>
      </c>
      <c r="Q2185" s="575">
        <v>40000</v>
      </c>
      <c r="R2185" s="574">
        <v>45804</v>
      </c>
      <c r="S2185" s="575">
        <v>20000</v>
      </c>
      <c r="T2185" s="643">
        <v>45813</v>
      </c>
      <c r="U2185" s="650">
        <v>45818</v>
      </c>
      <c r="V2185" s="575">
        <v>10000</v>
      </c>
      <c r="W2185" s="576" t="s">
        <v>6596</v>
      </c>
      <c r="X2185" s="153">
        <v>10000</v>
      </c>
      <c r="Y2185" s="653"/>
    </row>
    <row r="2186" s="95" customFormat="1" ht="37.5" customHeight="1" spans="1:25">
      <c r="A2186" s="467">
        <f t="shared" si="47"/>
        <v>2176</v>
      </c>
      <c r="B2186" s="548">
        <v>2025</v>
      </c>
      <c r="C2186" s="548" t="s">
        <v>37</v>
      </c>
      <c r="D2186" s="652" t="s">
        <v>6620</v>
      </c>
      <c r="E2186" s="1253" t="s">
        <v>6621</v>
      </c>
      <c r="F2186" s="642" t="s">
        <v>1095</v>
      </c>
      <c r="G2186" s="338" t="s">
        <v>1100</v>
      </c>
      <c r="H2186" s="613">
        <v>0.8</v>
      </c>
      <c r="I2186" s="426">
        <v>80000</v>
      </c>
      <c r="J2186" s="574">
        <v>45160</v>
      </c>
      <c r="K2186" s="574">
        <v>45880</v>
      </c>
      <c r="L2186" s="651">
        <v>0.4</v>
      </c>
      <c r="M2186" s="574">
        <v>45666</v>
      </c>
      <c r="N2186" s="575">
        <v>60952.4</v>
      </c>
      <c r="O2186" s="575">
        <v>60952.4</v>
      </c>
      <c r="P2186" s="575">
        <v>48761.92</v>
      </c>
      <c r="Q2186" s="575">
        <v>48761.92</v>
      </c>
      <c r="R2186" s="574">
        <v>45804</v>
      </c>
      <c r="S2186" s="575">
        <v>24380.96</v>
      </c>
      <c r="T2186" s="643">
        <v>45813</v>
      </c>
      <c r="U2186" s="650">
        <v>45814</v>
      </c>
      <c r="V2186" s="575">
        <v>12190.48</v>
      </c>
      <c r="W2186" s="576" t="s">
        <v>6573</v>
      </c>
      <c r="X2186" s="153">
        <v>12190.48</v>
      </c>
      <c r="Y2186" s="653"/>
    </row>
    <row r="2187" s="95" customFormat="1" ht="37.5" customHeight="1" spans="1:25">
      <c r="A2187" s="467">
        <f t="shared" si="47"/>
        <v>2177</v>
      </c>
      <c r="B2187" s="548">
        <v>2025</v>
      </c>
      <c r="C2187" s="548" t="s">
        <v>37</v>
      </c>
      <c r="D2187" s="652" t="s">
        <v>6620</v>
      </c>
      <c r="E2187" s="1253" t="s">
        <v>6622</v>
      </c>
      <c r="F2187" s="642" t="s">
        <v>1095</v>
      </c>
      <c r="G2187" s="338" t="s">
        <v>1100</v>
      </c>
      <c r="H2187" s="613">
        <v>0.8</v>
      </c>
      <c r="I2187" s="426">
        <v>700000</v>
      </c>
      <c r="J2187" s="574">
        <v>45094</v>
      </c>
      <c r="K2187" s="574">
        <v>45819</v>
      </c>
      <c r="L2187" s="651">
        <v>0.4</v>
      </c>
      <c r="M2187" s="574">
        <v>45666</v>
      </c>
      <c r="N2187" s="575">
        <v>533333.35</v>
      </c>
      <c r="O2187" s="575">
        <v>533333.35</v>
      </c>
      <c r="P2187" s="575">
        <v>426666.68</v>
      </c>
      <c r="Q2187" s="575">
        <v>426666.68</v>
      </c>
      <c r="R2187" s="574">
        <v>45804</v>
      </c>
      <c r="S2187" s="575">
        <v>213333.34</v>
      </c>
      <c r="T2187" s="643">
        <v>45813</v>
      </c>
      <c r="U2187" s="650">
        <v>45814</v>
      </c>
      <c r="V2187" s="575">
        <v>106666.67</v>
      </c>
      <c r="W2187" s="576" t="s">
        <v>6573</v>
      </c>
      <c r="X2187" s="153">
        <v>106666.67</v>
      </c>
      <c r="Y2187" s="653"/>
    </row>
    <row r="2188" s="95" customFormat="1" ht="37.5" customHeight="1" spans="1:25">
      <c r="A2188" s="467">
        <f t="shared" si="47"/>
        <v>2178</v>
      </c>
      <c r="B2188" s="548">
        <v>2025</v>
      </c>
      <c r="C2188" s="548" t="s">
        <v>37</v>
      </c>
      <c r="D2188" s="652" t="s">
        <v>6623</v>
      </c>
      <c r="E2188" s="1253" t="s">
        <v>6624</v>
      </c>
      <c r="F2188" s="642" t="s">
        <v>1095</v>
      </c>
      <c r="G2188" s="338" t="s">
        <v>1100</v>
      </c>
      <c r="H2188" s="613">
        <v>0.8</v>
      </c>
      <c r="I2188" s="426">
        <v>1000000</v>
      </c>
      <c r="J2188" s="574">
        <v>45091</v>
      </c>
      <c r="K2188" s="574">
        <v>45836</v>
      </c>
      <c r="L2188" s="651">
        <v>0.4</v>
      </c>
      <c r="M2188" s="574">
        <v>45666</v>
      </c>
      <c r="N2188" s="575">
        <v>523809.5</v>
      </c>
      <c r="O2188" s="575">
        <v>523809.5</v>
      </c>
      <c r="P2188" s="575">
        <v>419047.6</v>
      </c>
      <c r="Q2188" s="575">
        <v>419047.6</v>
      </c>
      <c r="R2188" s="574">
        <v>45812</v>
      </c>
      <c r="S2188" s="575">
        <v>209523.8</v>
      </c>
      <c r="T2188" s="643">
        <v>45831</v>
      </c>
      <c r="U2188" s="650">
        <v>45832</v>
      </c>
      <c r="V2188" s="575">
        <v>104761.9</v>
      </c>
      <c r="W2188" s="576" t="s">
        <v>6625</v>
      </c>
      <c r="X2188" s="153">
        <v>104761.9</v>
      </c>
      <c r="Y2188" s="653"/>
    </row>
    <row r="2189" s="95" customFormat="1" ht="37.5" customHeight="1" spans="1:25">
      <c r="A2189" s="467">
        <f t="shared" si="47"/>
        <v>2179</v>
      </c>
      <c r="B2189" s="548">
        <v>2025</v>
      </c>
      <c r="C2189" s="548" t="s">
        <v>37</v>
      </c>
      <c r="D2189" s="652" t="s">
        <v>6623</v>
      </c>
      <c r="E2189" s="1253" t="s">
        <v>6626</v>
      </c>
      <c r="F2189" s="642" t="s">
        <v>1095</v>
      </c>
      <c r="G2189" s="338" t="s">
        <v>1100</v>
      </c>
      <c r="H2189" s="613">
        <v>0.8</v>
      </c>
      <c r="I2189" s="426">
        <v>1000000</v>
      </c>
      <c r="J2189" s="574">
        <v>45103</v>
      </c>
      <c r="K2189" s="574">
        <v>45836</v>
      </c>
      <c r="L2189" s="651">
        <v>0.4</v>
      </c>
      <c r="M2189" s="574">
        <v>45666</v>
      </c>
      <c r="N2189" s="575">
        <v>523809.5</v>
      </c>
      <c r="O2189" s="575">
        <v>523809.5</v>
      </c>
      <c r="P2189" s="575">
        <v>419047.6</v>
      </c>
      <c r="Q2189" s="575">
        <v>419047.6</v>
      </c>
      <c r="R2189" s="574">
        <v>45812</v>
      </c>
      <c r="S2189" s="575">
        <v>209523.8</v>
      </c>
      <c r="T2189" s="643">
        <v>45831</v>
      </c>
      <c r="U2189" s="650">
        <v>45832</v>
      </c>
      <c r="V2189" s="575">
        <v>104761.9</v>
      </c>
      <c r="W2189" s="576" t="s">
        <v>6625</v>
      </c>
      <c r="X2189" s="153">
        <v>104761.9</v>
      </c>
      <c r="Y2189" s="653"/>
    </row>
    <row r="2190" s="95" customFormat="1" ht="37.5" customHeight="1" spans="1:25">
      <c r="A2190" s="467">
        <f t="shared" si="47"/>
        <v>2180</v>
      </c>
      <c r="B2190" s="548">
        <v>2025</v>
      </c>
      <c r="C2190" s="548" t="s">
        <v>25</v>
      </c>
      <c r="D2190" s="652" t="s">
        <v>507</v>
      </c>
      <c r="E2190" s="424" t="s">
        <v>6627</v>
      </c>
      <c r="F2190" s="642" t="s">
        <v>1216</v>
      </c>
      <c r="G2190" s="338" t="s">
        <v>1103</v>
      </c>
      <c r="H2190" s="613">
        <v>0.8</v>
      </c>
      <c r="I2190" s="426">
        <v>300000</v>
      </c>
      <c r="J2190" s="574">
        <v>44818</v>
      </c>
      <c r="K2190" s="574" t="s">
        <v>6014</v>
      </c>
      <c r="L2190" s="651">
        <v>0.4</v>
      </c>
      <c r="M2190" s="574">
        <v>45680</v>
      </c>
      <c r="N2190" s="575">
        <v>302868.75</v>
      </c>
      <c r="O2190" s="575">
        <v>300000</v>
      </c>
      <c r="P2190" s="575">
        <v>240000</v>
      </c>
      <c r="Q2190" s="575">
        <v>242295</v>
      </c>
      <c r="R2190" s="574">
        <v>45812</v>
      </c>
      <c r="S2190" s="575">
        <v>120000</v>
      </c>
      <c r="T2190" s="643">
        <v>45831</v>
      </c>
      <c r="U2190" s="650">
        <v>45832</v>
      </c>
      <c r="V2190" s="575">
        <v>60000</v>
      </c>
      <c r="W2190" s="576" t="s">
        <v>6625</v>
      </c>
      <c r="X2190" s="153">
        <v>60000</v>
      </c>
      <c r="Y2190" s="653"/>
    </row>
    <row r="2191" s="95" customFormat="1" ht="37.5" customHeight="1" spans="1:25">
      <c r="A2191" s="467">
        <f t="shared" si="47"/>
        <v>2181</v>
      </c>
      <c r="B2191" s="548">
        <v>2025</v>
      </c>
      <c r="C2191" s="548" t="s">
        <v>25</v>
      </c>
      <c r="D2191" s="652" t="s">
        <v>506</v>
      </c>
      <c r="E2191" s="424" t="s">
        <v>6628</v>
      </c>
      <c r="F2191" s="495" t="s">
        <v>1216</v>
      </c>
      <c r="G2191" s="302" t="s">
        <v>1103</v>
      </c>
      <c r="H2191" s="613">
        <v>0.8</v>
      </c>
      <c r="I2191" s="426">
        <v>1000000</v>
      </c>
      <c r="J2191" s="574">
        <v>44833</v>
      </c>
      <c r="K2191" s="574" t="s">
        <v>6007</v>
      </c>
      <c r="L2191" s="651">
        <v>0.4</v>
      </c>
      <c r="M2191" s="574">
        <v>45680</v>
      </c>
      <c r="N2191" s="575">
        <v>983923.03</v>
      </c>
      <c r="O2191" s="575">
        <v>983923.03</v>
      </c>
      <c r="P2191" s="575">
        <v>787138.42</v>
      </c>
      <c r="Q2191" s="575">
        <v>787138.42</v>
      </c>
      <c r="R2191" s="574">
        <v>45813</v>
      </c>
      <c r="S2191" s="575">
        <v>393569.21</v>
      </c>
      <c r="T2191" s="643">
        <v>45827</v>
      </c>
      <c r="U2191" s="650">
        <v>45832</v>
      </c>
      <c r="V2191" s="575">
        <v>196784.61</v>
      </c>
      <c r="W2191" s="576" t="s">
        <v>6625</v>
      </c>
      <c r="X2191" s="153">
        <v>196784.61</v>
      </c>
      <c r="Y2191" s="653"/>
    </row>
    <row r="2192" s="95" customFormat="1" ht="37.5" customHeight="1" spans="1:25">
      <c r="A2192" s="467">
        <f t="shared" si="47"/>
        <v>2182</v>
      </c>
      <c r="B2192" s="548">
        <v>2025</v>
      </c>
      <c r="C2192" s="548" t="s">
        <v>25</v>
      </c>
      <c r="D2192" s="652" t="s">
        <v>501</v>
      </c>
      <c r="E2192" s="424" t="s">
        <v>6629</v>
      </c>
      <c r="F2192" s="642" t="s">
        <v>1216</v>
      </c>
      <c r="G2192" s="338" t="s">
        <v>6363</v>
      </c>
      <c r="H2192" s="613">
        <v>0.8</v>
      </c>
      <c r="I2192" s="426">
        <v>77000</v>
      </c>
      <c r="J2192" s="574" t="s">
        <v>1824</v>
      </c>
      <c r="K2192" s="574" t="s">
        <v>6630</v>
      </c>
      <c r="L2192" s="651">
        <v>0.4</v>
      </c>
      <c r="M2192" s="574">
        <v>45680</v>
      </c>
      <c r="N2192" s="575">
        <v>77000</v>
      </c>
      <c r="O2192" s="575">
        <v>77000</v>
      </c>
      <c r="P2192" s="575">
        <v>61600</v>
      </c>
      <c r="Q2192" s="575">
        <v>61600</v>
      </c>
      <c r="R2192" s="574">
        <v>45812</v>
      </c>
      <c r="S2192" s="575">
        <v>30800</v>
      </c>
      <c r="T2192" s="643">
        <v>45831</v>
      </c>
      <c r="U2192" s="650">
        <v>45832</v>
      </c>
      <c r="V2192" s="575">
        <v>15400</v>
      </c>
      <c r="W2192" s="576" t="s">
        <v>6625</v>
      </c>
      <c r="X2192" s="153">
        <v>15400</v>
      </c>
      <c r="Y2192" s="653"/>
    </row>
    <row r="2193" s="95" customFormat="1" ht="37.5" customHeight="1" spans="1:25">
      <c r="A2193" s="467">
        <f t="shared" si="47"/>
        <v>2183</v>
      </c>
      <c r="B2193" s="548">
        <v>2025</v>
      </c>
      <c r="C2193" s="548" t="s">
        <v>31</v>
      </c>
      <c r="D2193" s="652" t="s">
        <v>488</v>
      </c>
      <c r="E2193" s="424" t="s">
        <v>6631</v>
      </c>
      <c r="F2193" s="495" t="s">
        <v>6632</v>
      </c>
      <c r="G2193" s="302" t="s">
        <v>6633</v>
      </c>
      <c r="H2193" s="613">
        <v>0.8</v>
      </c>
      <c r="I2193" s="426">
        <v>3000000</v>
      </c>
      <c r="J2193" s="574" t="s">
        <v>3916</v>
      </c>
      <c r="K2193" s="574" t="s">
        <v>6634</v>
      </c>
      <c r="L2193" s="651">
        <v>0.4</v>
      </c>
      <c r="M2193" s="574">
        <v>45681</v>
      </c>
      <c r="N2193" s="575">
        <v>3000829.26</v>
      </c>
      <c r="O2193" s="575">
        <v>3000000</v>
      </c>
      <c r="P2193" s="575">
        <v>2400000</v>
      </c>
      <c r="Q2193" s="575">
        <v>2400663.41</v>
      </c>
      <c r="R2193" s="574">
        <v>45835</v>
      </c>
      <c r="S2193" s="575">
        <v>1200000</v>
      </c>
      <c r="T2193" s="643">
        <v>45841</v>
      </c>
      <c r="U2193" s="650"/>
      <c r="V2193" s="616"/>
      <c r="W2193" s="576"/>
      <c r="X2193" s="153"/>
      <c r="Y2193" s="655" t="s">
        <v>1077</v>
      </c>
    </row>
    <row r="2194" s="95" customFormat="1" ht="37.5" customHeight="1" spans="1:25">
      <c r="A2194" s="467">
        <f t="shared" si="47"/>
        <v>2184</v>
      </c>
      <c r="B2194" s="548">
        <v>2025</v>
      </c>
      <c r="C2194" s="548" t="s">
        <v>15</v>
      </c>
      <c r="D2194" s="652" t="s">
        <v>522</v>
      </c>
      <c r="E2194" s="424" t="s">
        <v>6635</v>
      </c>
      <c r="F2194" s="642" t="s">
        <v>6578</v>
      </c>
      <c r="G2194" s="302" t="s">
        <v>6636</v>
      </c>
      <c r="H2194" s="613">
        <v>0.8</v>
      </c>
      <c r="I2194" s="426">
        <v>1550000</v>
      </c>
      <c r="J2194" s="574" t="s">
        <v>4955</v>
      </c>
      <c r="K2194" s="574" t="s">
        <v>6637</v>
      </c>
      <c r="L2194" s="651">
        <v>0.4</v>
      </c>
      <c r="M2194" s="574">
        <v>45681</v>
      </c>
      <c r="N2194" s="575">
        <v>1549039.03</v>
      </c>
      <c r="O2194" s="575">
        <v>1549039.03</v>
      </c>
      <c r="P2194" s="575">
        <v>1239231.22</v>
      </c>
      <c r="Q2194" s="575">
        <v>1239231.22</v>
      </c>
      <c r="R2194" s="574">
        <v>45828</v>
      </c>
      <c r="S2194" s="575">
        <v>619615.61</v>
      </c>
      <c r="T2194" s="643">
        <v>45839</v>
      </c>
      <c r="U2194" s="650">
        <v>45840</v>
      </c>
      <c r="V2194" s="575">
        <v>309807.81</v>
      </c>
      <c r="W2194" s="576" t="s">
        <v>6638</v>
      </c>
      <c r="X2194" s="153">
        <v>309807.81</v>
      </c>
      <c r="Y2194" s="653"/>
    </row>
    <row r="2195" s="95" customFormat="1" ht="37.5" customHeight="1" spans="1:25">
      <c r="A2195" s="467">
        <f t="shared" si="47"/>
        <v>2185</v>
      </c>
      <c r="B2195" s="548">
        <v>2025</v>
      </c>
      <c r="C2195" s="548" t="s">
        <v>15</v>
      </c>
      <c r="D2195" s="652" t="s">
        <v>524</v>
      </c>
      <c r="E2195" s="424" t="s">
        <v>6639</v>
      </c>
      <c r="F2195" s="642" t="s">
        <v>1174</v>
      </c>
      <c r="G2195" s="302" t="s">
        <v>6636</v>
      </c>
      <c r="H2195" s="613">
        <v>0.8</v>
      </c>
      <c r="I2195" s="426">
        <v>270000</v>
      </c>
      <c r="J2195" s="574">
        <v>45236</v>
      </c>
      <c r="K2195" s="574">
        <v>45601</v>
      </c>
      <c r="L2195" s="651">
        <v>0.4</v>
      </c>
      <c r="M2195" s="574">
        <v>45681</v>
      </c>
      <c r="N2195" s="575">
        <v>249646.46</v>
      </c>
      <c r="O2195" s="575">
        <v>249646.46</v>
      </c>
      <c r="P2195" s="575">
        <v>199717.17</v>
      </c>
      <c r="Q2195" s="575">
        <v>199717.17</v>
      </c>
      <c r="R2195" s="574">
        <v>45826</v>
      </c>
      <c r="S2195" s="575">
        <v>99858.58</v>
      </c>
      <c r="T2195" s="643">
        <v>45834</v>
      </c>
      <c r="U2195" s="650">
        <v>45840</v>
      </c>
      <c r="V2195" s="575">
        <v>49929.29</v>
      </c>
      <c r="W2195" s="576" t="s">
        <v>6640</v>
      </c>
      <c r="X2195" s="153">
        <v>49929.29</v>
      </c>
      <c r="Y2195" s="653"/>
    </row>
    <row r="2196" s="95" customFormat="1" ht="37.5" customHeight="1" spans="1:25">
      <c r="A2196" s="467">
        <f t="shared" si="47"/>
        <v>2186</v>
      </c>
      <c r="B2196" s="548">
        <v>2025</v>
      </c>
      <c r="C2196" s="548" t="s">
        <v>15</v>
      </c>
      <c r="D2196" s="652" t="s">
        <v>525</v>
      </c>
      <c r="E2196" s="424" t="s">
        <v>6641</v>
      </c>
      <c r="F2196" s="642" t="s">
        <v>1088</v>
      </c>
      <c r="G2196" s="302" t="s">
        <v>6636</v>
      </c>
      <c r="H2196" s="613">
        <v>0.8</v>
      </c>
      <c r="I2196" s="426">
        <v>1200000</v>
      </c>
      <c r="J2196" s="574">
        <v>45236</v>
      </c>
      <c r="K2196" s="574">
        <v>45601</v>
      </c>
      <c r="L2196" s="651">
        <v>0.4</v>
      </c>
      <c r="M2196" s="574">
        <v>45681</v>
      </c>
      <c r="N2196" s="575">
        <v>999420.08</v>
      </c>
      <c r="O2196" s="575">
        <v>999420.08</v>
      </c>
      <c r="P2196" s="575">
        <v>799536.06</v>
      </c>
      <c r="Q2196" s="575">
        <v>799536.06</v>
      </c>
      <c r="R2196" s="574">
        <v>45828</v>
      </c>
      <c r="S2196" s="575">
        <v>399768.03</v>
      </c>
      <c r="T2196" s="643">
        <v>45839</v>
      </c>
      <c r="U2196" s="650">
        <v>45842</v>
      </c>
      <c r="V2196" s="575">
        <v>199884.02</v>
      </c>
      <c r="W2196" s="576" t="s">
        <v>6586</v>
      </c>
      <c r="X2196" s="153">
        <v>199884.02</v>
      </c>
      <c r="Y2196" s="653"/>
    </row>
    <row r="2197" s="95" customFormat="1" ht="37.5" customHeight="1" spans="1:25">
      <c r="A2197" s="467">
        <f t="shared" si="47"/>
        <v>2187</v>
      </c>
      <c r="B2197" s="548">
        <v>2025</v>
      </c>
      <c r="C2197" s="548" t="s">
        <v>25</v>
      </c>
      <c r="D2197" s="652" t="s">
        <v>508</v>
      </c>
      <c r="E2197" s="424" t="s">
        <v>6642</v>
      </c>
      <c r="F2197" s="642" t="s">
        <v>6643</v>
      </c>
      <c r="G2197" s="338" t="s">
        <v>6395</v>
      </c>
      <c r="H2197" s="613">
        <v>0.8</v>
      </c>
      <c r="I2197" s="426">
        <v>1000000</v>
      </c>
      <c r="J2197" s="574">
        <v>44776</v>
      </c>
      <c r="K2197" s="574">
        <v>45871</v>
      </c>
      <c r="L2197" s="651">
        <v>0.5</v>
      </c>
      <c r="M2197" s="574">
        <v>45683</v>
      </c>
      <c r="N2197" s="575">
        <v>977567.96</v>
      </c>
      <c r="O2197" s="575">
        <v>977567.96</v>
      </c>
      <c r="P2197" s="575">
        <v>782054.37</v>
      </c>
      <c r="Q2197" s="575">
        <v>782054.37</v>
      </c>
      <c r="R2197" s="574">
        <v>45826</v>
      </c>
      <c r="S2197" s="575">
        <v>488783.98</v>
      </c>
      <c r="T2197" s="643">
        <v>45834</v>
      </c>
      <c r="U2197" s="650">
        <v>45840</v>
      </c>
      <c r="V2197" s="575">
        <v>293270.39</v>
      </c>
      <c r="W2197" s="576" t="s">
        <v>6644</v>
      </c>
      <c r="X2197" s="153">
        <v>293270.39</v>
      </c>
      <c r="Y2197" s="653"/>
    </row>
    <row r="2198" s="95" customFormat="1" ht="37.5" customHeight="1" spans="1:25">
      <c r="A2198" s="467">
        <f t="shared" si="47"/>
        <v>2188</v>
      </c>
      <c r="B2198" s="548">
        <v>2025</v>
      </c>
      <c r="C2198" s="548" t="s">
        <v>25</v>
      </c>
      <c r="D2198" s="652" t="s">
        <v>503</v>
      </c>
      <c r="E2198" s="424" t="s">
        <v>6645</v>
      </c>
      <c r="F2198" s="495" t="s">
        <v>1216</v>
      </c>
      <c r="G2198" s="338" t="s">
        <v>6363</v>
      </c>
      <c r="H2198" s="613">
        <v>0.8</v>
      </c>
      <c r="I2198" s="426">
        <v>81000</v>
      </c>
      <c r="J2198" s="574">
        <v>44465</v>
      </c>
      <c r="K2198" s="574">
        <v>45560</v>
      </c>
      <c r="L2198" s="651">
        <v>0.4</v>
      </c>
      <c r="M2198" s="574">
        <v>45683</v>
      </c>
      <c r="N2198" s="575">
        <v>49579.5</v>
      </c>
      <c r="O2198" s="575">
        <v>49579.5</v>
      </c>
      <c r="P2198" s="575">
        <v>39663.6</v>
      </c>
      <c r="Q2198" s="575">
        <v>39663.6</v>
      </c>
      <c r="R2198" s="574">
        <v>45826</v>
      </c>
      <c r="S2198" s="575">
        <v>19831.8</v>
      </c>
      <c r="T2198" s="643">
        <v>45834</v>
      </c>
      <c r="U2198" s="650">
        <v>45840</v>
      </c>
      <c r="V2198" s="575">
        <v>9915.9</v>
      </c>
      <c r="W2198" s="576" t="s">
        <v>6640</v>
      </c>
      <c r="X2198" s="153">
        <v>9915.9</v>
      </c>
      <c r="Y2198" s="653"/>
    </row>
    <row r="2199" s="95" customFormat="1" ht="37.5" customHeight="1" spans="1:25">
      <c r="A2199" s="467">
        <f t="shared" si="47"/>
        <v>2189</v>
      </c>
      <c r="B2199" s="548">
        <v>2025</v>
      </c>
      <c r="C2199" s="548" t="s">
        <v>15</v>
      </c>
      <c r="D2199" s="652" t="s">
        <v>526</v>
      </c>
      <c r="E2199" s="424" t="s">
        <v>6646</v>
      </c>
      <c r="F2199" s="642" t="s">
        <v>1174</v>
      </c>
      <c r="G2199" s="338" t="s">
        <v>1212</v>
      </c>
      <c r="H2199" s="613">
        <v>0.8</v>
      </c>
      <c r="I2199" s="426">
        <v>500000</v>
      </c>
      <c r="J2199" s="574">
        <v>45230</v>
      </c>
      <c r="K2199" s="574">
        <v>45595</v>
      </c>
      <c r="L2199" s="651">
        <v>0.2</v>
      </c>
      <c r="M2199" s="574">
        <v>45683</v>
      </c>
      <c r="N2199" s="575">
        <v>500573.8</v>
      </c>
      <c r="O2199" s="575">
        <v>499879.36</v>
      </c>
      <c r="P2199" s="575">
        <v>399903.49</v>
      </c>
      <c r="Q2199" s="575">
        <v>400459.04</v>
      </c>
      <c r="R2199" s="574">
        <v>45826</v>
      </c>
      <c r="S2199" s="575">
        <v>99975.87</v>
      </c>
      <c r="T2199" s="643">
        <v>45834</v>
      </c>
      <c r="U2199" s="650"/>
      <c r="V2199" s="616"/>
      <c r="W2199" s="576"/>
      <c r="X2199" s="153"/>
      <c r="Y2199" s="655" t="s">
        <v>786</v>
      </c>
    </row>
    <row r="2200" s="95" customFormat="1" ht="37.5" customHeight="1" spans="1:25">
      <c r="A2200" s="467">
        <f t="shared" si="47"/>
        <v>2190</v>
      </c>
      <c r="B2200" s="548">
        <v>2025</v>
      </c>
      <c r="C2200" s="548" t="s">
        <v>15</v>
      </c>
      <c r="D2200" s="652" t="s">
        <v>527</v>
      </c>
      <c r="E2200" s="424" t="s">
        <v>6647</v>
      </c>
      <c r="F2200" s="642" t="s">
        <v>1197</v>
      </c>
      <c r="G2200" s="338" t="s">
        <v>6636</v>
      </c>
      <c r="H2200" s="613">
        <v>0.8</v>
      </c>
      <c r="I2200" s="426">
        <v>1950000</v>
      </c>
      <c r="J2200" s="574">
        <v>45233</v>
      </c>
      <c r="K2200" s="574">
        <v>45598</v>
      </c>
      <c r="L2200" s="651">
        <v>0.4</v>
      </c>
      <c r="M2200" s="574">
        <v>45683</v>
      </c>
      <c r="N2200" s="575">
        <v>1813488.57</v>
      </c>
      <c r="O2200" s="575">
        <v>1812342.73</v>
      </c>
      <c r="P2200" s="575">
        <v>1449874.18</v>
      </c>
      <c r="Q2200" s="575">
        <v>1450790.85</v>
      </c>
      <c r="R2200" s="574">
        <v>45828</v>
      </c>
      <c r="S2200" s="575">
        <v>724937.09</v>
      </c>
      <c r="T2200" s="643">
        <v>45839</v>
      </c>
      <c r="U2200" s="650">
        <v>45846</v>
      </c>
      <c r="V2200" s="575">
        <v>362468.55</v>
      </c>
      <c r="W2200" s="576" t="s">
        <v>6648</v>
      </c>
      <c r="X2200" s="276">
        <v>362468.55</v>
      </c>
      <c r="Y2200" s="653"/>
    </row>
    <row r="2201" s="95" customFormat="1" ht="37.5" customHeight="1" spans="1:25">
      <c r="A2201" s="467">
        <f t="shared" si="47"/>
        <v>2191</v>
      </c>
      <c r="B2201" s="548">
        <v>2025</v>
      </c>
      <c r="C2201" s="548" t="s">
        <v>28</v>
      </c>
      <c r="D2201" s="652" t="s">
        <v>4422</v>
      </c>
      <c r="E2201" s="424" t="s">
        <v>6649</v>
      </c>
      <c r="F2201" s="642" t="s">
        <v>5968</v>
      </c>
      <c r="G2201" s="338" t="s">
        <v>5943</v>
      </c>
      <c r="H2201" s="613">
        <v>0.8</v>
      </c>
      <c r="I2201" s="426">
        <v>198000</v>
      </c>
      <c r="J2201" s="574">
        <v>44925</v>
      </c>
      <c r="K2201" s="574">
        <v>45501</v>
      </c>
      <c r="L2201" s="651">
        <v>0.4</v>
      </c>
      <c r="M2201" s="574">
        <v>45677</v>
      </c>
      <c r="N2201" s="575">
        <v>211145.25</v>
      </c>
      <c r="O2201" s="575">
        <v>198000</v>
      </c>
      <c r="P2201" s="575">
        <v>158400</v>
      </c>
      <c r="Q2201" s="575">
        <v>168916.2</v>
      </c>
      <c r="R2201" s="574">
        <v>45818</v>
      </c>
      <c r="S2201" s="575">
        <v>79200</v>
      </c>
      <c r="T2201" s="643">
        <v>45824</v>
      </c>
      <c r="U2201" s="650">
        <v>45833</v>
      </c>
      <c r="V2201" s="575">
        <v>39600</v>
      </c>
      <c r="W2201" s="650">
        <v>45833</v>
      </c>
      <c r="X2201" s="153">
        <v>39600</v>
      </c>
      <c r="Y2201" s="653"/>
    </row>
    <row r="2202" s="95" customFormat="1" ht="37.5" customHeight="1" spans="1:25">
      <c r="A2202" s="467">
        <f t="shared" si="47"/>
        <v>2192</v>
      </c>
      <c r="B2202" s="548">
        <v>2025</v>
      </c>
      <c r="C2202" s="548" t="s">
        <v>133</v>
      </c>
      <c r="D2202" s="652" t="s">
        <v>570</v>
      </c>
      <c r="E2202" s="1253" t="s">
        <v>6650</v>
      </c>
      <c r="F2202" s="642" t="s">
        <v>6651</v>
      </c>
      <c r="G2202" s="338" t="s">
        <v>6363</v>
      </c>
      <c r="H2202" s="613">
        <v>0.8</v>
      </c>
      <c r="I2202" s="426">
        <v>180000</v>
      </c>
      <c r="J2202" s="574">
        <v>44468</v>
      </c>
      <c r="K2202" s="574">
        <v>45563</v>
      </c>
      <c r="L2202" s="651">
        <v>0.4</v>
      </c>
      <c r="M2202" s="574">
        <v>45679</v>
      </c>
      <c r="N2202" s="575">
        <v>109792.71</v>
      </c>
      <c r="O2202" s="575">
        <v>108670.39</v>
      </c>
      <c r="P2202" s="575">
        <v>86936.31</v>
      </c>
      <c r="Q2202" s="575">
        <v>87834.17</v>
      </c>
      <c r="R2202" s="574">
        <v>45818</v>
      </c>
      <c r="S2202" s="575">
        <v>43917.09</v>
      </c>
      <c r="T2202" s="643">
        <v>45824</v>
      </c>
      <c r="U2202" s="650">
        <v>45833</v>
      </c>
      <c r="V2202" s="575">
        <v>21734.08</v>
      </c>
      <c r="W2202" s="650">
        <v>45833</v>
      </c>
      <c r="X2202" s="153">
        <v>21734.08</v>
      </c>
      <c r="Y2202" s="653"/>
    </row>
    <row r="2203" s="95" customFormat="1" ht="37.5" customHeight="1" spans="1:25">
      <c r="A2203" s="467">
        <f t="shared" si="47"/>
        <v>2193</v>
      </c>
      <c r="B2203" s="548">
        <v>2025</v>
      </c>
      <c r="C2203" s="548" t="s">
        <v>22</v>
      </c>
      <c r="D2203" s="652" t="s">
        <v>594</v>
      </c>
      <c r="E2203" s="424" t="s">
        <v>6652</v>
      </c>
      <c r="F2203" s="642" t="s">
        <v>6653</v>
      </c>
      <c r="G2203" s="338" t="s">
        <v>6288</v>
      </c>
      <c r="H2203" s="613">
        <v>0.8</v>
      </c>
      <c r="I2203" s="426">
        <v>950000</v>
      </c>
      <c r="J2203" s="574">
        <v>45226</v>
      </c>
      <c r="K2203" s="574">
        <v>45588</v>
      </c>
      <c r="L2203" s="651">
        <v>0.2</v>
      </c>
      <c r="M2203" s="574">
        <v>45765</v>
      </c>
      <c r="N2203" s="575">
        <v>977557.21</v>
      </c>
      <c r="O2203" s="575">
        <v>950000</v>
      </c>
      <c r="P2203" s="575">
        <v>760000</v>
      </c>
      <c r="Q2203" s="575">
        <v>782045.77</v>
      </c>
      <c r="R2203" s="574">
        <v>45834</v>
      </c>
      <c r="S2203" s="575">
        <v>190000</v>
      </c>
      <c r="T2203" s="643">
        <v>45841</v>
      </c>
      <c r="U2203" s="650"/>
      <c r="V2203" s="616"/>
      <c r="W2203" s="576"/>
      <c r="X2203" s="658"/>
      <c r="Y2203" s="655" t="s">
        <v>1077</v>
      </c>
    </row>
    <row r="2204" s="95" customFormat="1" ht="37.5" customHeight="1" spans="1:25">
      <c r="A2204" s="467">
        <f t="shared" si="47"/>
        <v>2194</v>
      </c>
      <c r="B2204" s="548">
        <v>2025</v>
      </c>
      <c r="C2204" s="548" t="s">
        <v>25</v>
      </c>
      <c r="D2204" s="652" t="s">
        <v>556</v>
      </c>
      <c r="E2204" s="424" t="s">
        <v>6654</v>
      </c>
      <c r="F2204" s="642" t="s">
        <v>6655</v>
      </c>
      <c r="G2204" s="338" t="s">
        <v>6363</v>
      </c>
      <c r="H2204" s="613">
        <v>0.8</v>
      </c>
      <c r="I2204" s="426">
        <v>300000</v>
      </c>
      <c r="J2204" s="574">
        <v>44431</v>
      </c>
      <c r="K2204" s="574">
        <v>45526</v>
      </c>
      <c r="L2204" s="651">
        <v>0.4</v>
      </c>
      <c r="M2204" s="574">
        <v>45702</v>
      </c>
      <c r="N2204" s="575">
        <v>301945.25</v>
      </c>
      <c r="O2204" s="575">
        <v>300000</v>
      </c>
      <c r="P2204" s="575">
        <v>240000</v>
      </c>
      <c r="Q2204" s="575">
        <v>241556.2</v>
      </c>
      <c r="R2204" s="574">
        <v>45834</v>
      </c>
      <c r="S2204" s="575">
        <v>120778.1</v>
      </c>
      <c r="T2204" s="643">
        <v>45834</v>
      </c>
      <c r="U2204" s="650">
        <v>45840</v>
      </c>
      <c r="V2204" s="575">
        <v>60000</v>
      </c>
      <c r="W2204" s="576" t="s">
        <v>6640</v>
      </c>
      <c r="X2204" s="575">
        <v>60000</v>
      </c>
      <c r="Y2204" s="653"/>
    </row>
    <row r="2205" s="95" customFormat="1" ht="37.5" customHeight="1" spans="1:25">
      <c r="A2205" s="467">
        <f t="shared" si="47"/>
        <v>2195</v>
      </c>
      <c r="B2205" s="548">
        <v>2025</v>
      </c>
      <c r="C2205" s="548" t="s">
        <v>15</v>
      </c>
      <c r="D2205" s="652" t="s">
        <v>593</v>
      </c>
      <c r="E2205" s="424" t="s">
        <v>6656</v>
      </c>
      <c r="F2205" s="642" t="s">
        <v>1109</v>
      </c>
      <c r="G2205" s="338" t="s">
        <v>6636</v>
      </c>
      <c r="H2205" s="613">
        <v>0.8</v>
      </c>
      <c r="I2205" s="426">
        <v>750000</v>
      </c>
      <c r="J2205" s="574">
        <v>45254</v>
      </c>
      <c r="K2205" s="574">
        <v>45619</v>
      </c>
      <c r="L2205" s="651">
        <v>0.4</v>
      </c>
      <c r="M2205" s="574">
        <v>45707</v>
      </c>
      <c r="N2205" s="575">
        <v>737235.11</v>
      </c>
      <c r="O2205" s="575">
        <v>737235.11</v>
      </c>
      <c r="P2205" s="575">
        <v>589788.08</v>
      </c>
      <c r="Q2205" s="575">
        <v>589788.08</v>
      </c>
      <c r="R2205" s="574">
        <v>45834</v>
      </c>
      <c r="S2205" s="575">
        <v>294894.04</v>
      </c>
      <c r="T2205" s="643">
        <v>45841</v>
      </c>
      <c r="U2205" s="650">
        <v>45846</v>
      </c>
      <c r="V2205" s="575">
        <v>147447.02</v>
      </c>
      <c r="W2205" s="576" t="s">
        <v>6657</v>
      </c>
      <c r="X2205" s="575">
        <v>147447.02</v>
      </c>
      <c r="Y2205" s="653"/>
    </row>
    <row r="2206" s="95" customFormat="1" ht="37.5" customHeight="1" spans="1:25">
      <c r="A2206" s="467">
        <f t="shared" ref="A2206:A2257" si="48">ROW()-10</f>
        <v>2196</v>
      </c>
      <c r="B2206" s="548">
        <v>2025</v>
      </c>
      <c r="C2206" s="548" t="s">
        <v>22</v>
      </c>
      <c r="D2206" s="652" t="s">
        <v>97</v>
      </c>
      <c r="E2206" s="1253" t="s">
        <v>6658</v>
      </c>
      <c r="F2206" s="642" t="s">
        <v>1780</v>
      </c>
      <c r="G2206" s="338" t="s">
        <v>1085</v>
      </c>
      <c r="H2206" s="613">
        <v>1</v>
      </c>
      <c r="I2206" s="426">
        <v>20000000</v>
      </c>
      <c r="J2206" s="574">
        <v>45254</v>
      </c>
      <c r="K2206" s="574">
        <v>45617</v>
      </c>
      <c r="L2206" s="651">
        <v>0.4</v>
      </c>
      <c r="M2206" s="574">
        <v>45678</v>
      </c>
      <c r="N2206" s="575">
        <v>20676769.97</v>
      </c>
      <c r="O2206" s="575">
        <v>20000000</v>
      </c>
      <c r="P2206" s="575">
        <v>20000000</v>
      </c>
      <c r="Q2206" s="575">
        <v>20676769.97</v>
      </c>
      <c r="R2206" s="574">
        <v>45828</v>
      </c>
      <c r="S2206" s="575">
        <v>8000000</v>
      </c>
      <c r="T2206" s="643">
        <v>45839</v>
      </c>
      <c r="U2206" s="650">
        <v>45846</v>
      </c>
      <c r="V2206" s="575">
        <v>4000000</v>
      </c>
      <c r="W2206" s="576" t="s">
        <v>6659</v>
      </c>
      <c r="X2206" s="575">
        <v>4000000</v>
      </c>
      <c r="Y2206" s="653"/>
    </row>
    <row r="2207" s="95" customFormat="1" ht="37.5" customHeight="1" spans="1:25">
      <c r="A2207" s="467">
        <f t="shared" si="48"/>
        <v>2197</v>
      </c>
      <c r="B2207" s="548">
        <v>2025</v>
      </c>
      <c r="C2207" s="548" t="s">
        <v>75</v>
      </c>
      <c r="D2207" s="652" t="s">
        <v>487</v>
      </c>
      <c r="E2207" s="1253" t="s">
        <v>6660</v>
      </c>
      <c r="F2207" s="642" t="s">
        <v>6661</v>
      </c>
      <c r="G2207" s="338" t="s">
        <v>1137</v>
      </c>
      <c r="H2207" s="613">
        <v>0.8</v>
      </c>
      <c r="I2207" s="426">
        <v>5000000</v>
      </c>
      <c r="J2207" s="574">
        <v>44929</v>
      </c>
      <c r="K2207" s="574">
        <v>46024</v>
      </c>
      <c r="L2207" s="651">
        <v>0.4</v>
      </c>
      <c r="M2207" s="574">
        <v>45674</v>
      </c>
      <c r="N2207" s="575">
        <v>4327925.96</v>
      </c>
      <c r="O2207" s="575">
        <v>4300000</v>
      </c>
      <c r="P2207" s="575">
        <v>3440000</v>
      </c>
      <c r="Q2207" s="575">
        <v>3462340.76</v>
      </c>
      <c r="R2207" s="574">
        <v>45835</v>
      </c>
      <c r="S2207" s="575">
        <v>1731170.38</v>
      </c>
      <c r="T2207" s="643">
        <v>45845</v>
      </c>
      <c r="U2207" s="650">
        <v>45846</v>
      </c>
      <c r="V2207" s="575">
        <v>860000</v>
      </c>
      <c r="W2207" s="576" t="s">
        <v>6659</v>
      </c>
      <c r="X2207" s="575">
        <v>860000</v>
      </c>
      <c r="Y2207" s="653"/>
    </row>
    <row r="2208" s="95" customFormat="1" ht="37.5" customHeight="1" spans="1:25">
      <c r="A2208" s="467">
        <f t="shared" si="48"/>
        <v>2198</v>
      </c>
      <c r="B2208" s="548">
        <v>2025</v>
      </c>
      <c r="C2208" s="548" t="s">
        <v>79</v>
      </c>
      <c r="D2208" s="652" t="s">
        <v>500</v>
      </c>
      <c r="E2208" s="1253" t="s">
        <v>6662</v>
      </c>
      <c r="F2208" s="642" t="s">
        <v>6663</v>
      </c>
      <c r="G2208" s="338" t="s">
        <v>6579</v>
      </c>
      <c r="H2208" s="613">
        <v>0.8</v>
      </c>
      <c r="I2208" s="426">
        <v>1500000</v>
      </c>
      <c r="J2208" s="574">
        <v>45222</v>
      </c>
      <c r="K2208" s="574">
        <v>45587</v>
      </c>
      <c r="L2208" s="651">
        <v>0.2</v>
      </c>
      <c r="M2208" s="574">
        <v>45674</v>
      </c>
      <c r="N2208" s="575">
        <v>1141391.48</v>
      </c>
      <c r="O2208" s="575">
        <v>1141391.48</v>
      </c>
      <c r="P2208" s="575">
        <v>913113.18</v>
      </c>
      <c r="Q2208" s="575">
        <v>913113.18</v>
      </c>
      <c r="R2208" s="574">
        <v>45835</v>
      </c>
      <c r="S2208" s="575">
        <v>228278.29</v>
      </c>
      <c r="T2208" s="643">
        <v>45841</v>
      </c>
      <c r="U2208" s="650"/>
      <c r="V2208" s="616"/>
      <c r="W2208" s="576"/>
      <c r="X2208" s="658"/>
      <c r="Y2208" s="655" t="s">
        <v>1077</v>
      </c>
    </row>
    <row r="2209" s="95" customFormat="1" ht="37.5" customHeight="1" spans="1:25">
      <c r="A2209" s="467">
        <f t="shared" si="48"/>
        <v>2199</v>
      </c>
      <c r="B2209" s="548">
        <v>2025</v>
      </c>
      <c r="C2209" s="548" t="s">
        <v>79</v>
      </c>
      <c r="D2209" s="652" t="s">
        <v>515</v>
      </c>
      <c r="E2209" s="1253" t="s">
        <v>6664</v>
      </c>
      <c r="F2209" s="642" t="s">
        <v>1634</v>
      </c>
      <c r="G2209" s="338" t="s">
        <v>6579</v>
      </c>
      <c r="H2209" s="613">
        <v>0.8</v>
      </c>
      <c r="I2209" s="426">
        <v>1700000</v>
      </c>
      <c r="J2209" s="574">
        <v>45226</v>
      </c>
      <c r="K2209" s="574">
        <v>45591</v>
      </c>
      <c r="L2209" s="651">
        <v>0.2</v>
      </c>
      <c r="M2209" s="574">
        <v>45674</v>
      </c>
      <c r="N2209" s="575">
        <v>1699889.38</v>
      </c>
      <c r="O2209" s="575">
        <v>1699889.38</v>
      </c>
      <c r="P2209" s="575">
        <v>1359911.5</v>
      </c>
      <c r="Q2209" s="575">
        <v>1360761.5</v>
      </c>
      <c r="R2209" s="574">
        <v>45828</v>
      </c>
      <c r="S2209" s="575">
        <v>339977.87</v>
      </c>
      <c r="T2209" s="643">
        <v>45839</v>
      </c>
      <c r="U2209" s="650"/>
      <c r="V2209" s="616"/>
      <c r="W2209" s="576"/>
      <c r="X2209" s="658"/>
      <c r="Y2209" s="655" t="s">
        <v>1077</v>
      </c>
    </row>
    <row r="2210" s="95" customFormat="1" ht="37.5" customHeight="1" spans="1:25">
      <c r="A2210" s="467">
        <f t="shared" si="48"/>
        <v>2200</v>
      </c>
      <c r="B2210" s="548">
        <v>2025</v>
      </c>
      <c r="C2210" s="548" t="s">
        <v>79</v>
      </c>
      <c r="D2210" s="652" t="s">
        <v>520</v>
      </c>
      <c r="E2210" s="1253" t="s">
        <v>6665</v>
      </c>
      <c r="F2210" s="642" t="s">
        <v>1174</v>
      </c>
      <c r="G2210" s="338" t="s">
        <v>6579</v>
      </c>
      <c r="H2210" s="613">
        <v>0.8</v>
      </c>
      <c r="I2210" s="426">
        <v>1350000</v>
      </c>
      <c r="J2210" s="574">
        <v>45225</v>
      </c>
      <c r="K2210" s="574">
        <v>45590</v>
      </c>
      <c r="L2210" s="651">
        <v>0.2</v>
      </c>
      <c r="M2210" s="574">
        <v>45679</v>
      </c>
      <c r="N2210" s="575">
        <v>1339983</v>
      </c>
      <c r="O2210" s="575">
        <v>1339983</v>
      </c>
      <c r="P2210" s="575">
        <v>1071986.4</v>
      </c>
      <c r="Q2210" s="575">
        <v>1071986.4</v>
      </c>
      <c r="R2210" s="574">
        <v>45835</v>
      </c>
      <c r="S2210" s="575">
        <v>267996.6</v>
      </c>
      <c r="T2210" s="643">
        <v>45845</v>
      </c>
      <c r="U2210" s="650"/>
      <c r="V2210" s="616"/>
      <c r="W2210" s="576"/>
      <c r="X2210" s="658"/>
      <c r="Y2210" s="655" t="s">
        <v>1077</v>
      </c>
    </row>
    <row r="2211" s="95" customFormat="1" ht="37.5" customHeight="1" spans="1:25">
      <c r="A2211" s="467">
        <f t="shared" si="48"/>
        <v>2201</v>
      </c>
      <c r="B2211" s="548">
        <v>2025</v>
      </c>
      <c r="C2211" s="548" t="s">
        <v>25</v>
      </c>
      <c r="D2211" s="652" t="s">
        <v>509</v>
      </c>
      <c r="E2211" s="1253" t="s">
        <v>6666</v>
      </c>
      <c r="F2211" s="642" t="s">
        <v>1158</v>
      </c>
      <c r="G2211" s="338" t="s">
        <v>1085</v>
      </c>
      <c r="H2211" s="613">
        <v>0.8</v>
      </c>
      <c r="I2211" s="426">
        <v>200000</v>
      </c>
      <c r="J2211" s="574">
        <v>44977</v>
      </c>
      <c r="K2211" s="574">
        <v>46072</v>
      </c>
      <c r="L2211" s="651">
        <v>0.4</v>
      </c>
      <c r="M2211" s="574">
        <v>45683</v>
      </c>
      <c r="N2211" s="575">
        <v>201287.43</v>
      </c>
      <c r="O2211" s="575">
        <v>200000</v>
      </c>
      <c r="P2211" s="575">
        <v>160000</v>
      </c>
      <c r="Q2211" s="575">
        <v>161029.94</v>
      </c>
      <c r="R2211" s="574">
        <v>45828</v>
      </c>
      <c r="S2211" s="575">
        <v>80000</v>
      </c>
      <c r="T2211" s="643">
        <v>45852</v>
      </c>
      <c r="U2211" s="650">
        <v>45856</v>
      </c>
      <c r="V2211" s="575">
        <v>40000</v>
      </c>
      <c r="W2211" s="576" t="s">
        <v>6667</v>
      </c>
      <c r="X2211" s="575">
        <v>40000</v>
      </c>
      <c r="Y2211" s="653"/>
    </row>
    <row r="2212" s="95" customFormat="1" ht="37.5" customHeight="1" spans="1:25">
      <c r="A2212" s="467">
        <f t="shared" si="48"/>
        <v>2202</v>
      </c>
      <c r="B2212" s="548">
        <v>2025</v>
      </c>
      <c r="C2212" s="548" t="s">
        <v>22</v>
      </c>
      <c r="D2212" s="652" t="s">
        <v>589</v>
      </c>
      <c r="E2212" s="1253" t="s">
        <v>6668</v>
      </c>
      <c r="F2212" s="642" t="s">
        <v>6669</v>
      </c>
      <c r="G2212" s="338" t="s">
        <v>1103</v>
      </c>
      <c r="H2212" s="613">
        <v>0.8</v>
      </c>
      <c r="I2212" s="426">
        <v>1000000</v>
      </c>
      <c r="J2212" s="574">
        <v>44830</v>
      </c>
      <c r="K2212" s="574">
        <v>45560</v>
      </c>
      <c r="L2212" s="651">
        <v>0.4</v>
      </c>
      <c r="M2212" s="574">
        <v>45733</v>
      </c>
      <c r="N2212" s="575">
        <v>840314.95</v>
      </c>
      <c r="O2212" s="575">
        <v>799900</v>
      </c>
      <c r="P2212" s="575">
        <v>639920</v>
      </c>
      <c r="Q2212" s="575">
        <v>67225.96</v>
      </c>
      <c r="R2212" s="574">
        <v>45840</v>
      </c>
      <c r="S2212" s="575">
        <v>319960</v>
      </c>
      <c r="T2212" s="643">
        <v>45852</v>
      </c>
      <c r="U2212" s="650">
        <v>45856</v>
      </c>
      <c r="V2212" s="575">
        <v>159980</v>
      </c>
      <c r="W2212" s="576" t="s">
        <v>6670</v>
      </c>
      <c r="X2212" s="575">
        <v>159980</v>
      </c>
      <c r="Y2212" s="653"/>
    </row>
    <row r="2213" s="95" customFormat="1" ht="37.5" customHeight="1" spans="1:25">
      <c r="A2213" s="467">
        <f t="shared" si="48"/>
        <v>2203</v>
      </c>
      <c r="B2213" s="548">
        <v>2025</v>
      </c>
      <c r="C2213" s="548" t="s">
        <v>79</v>
      </c>
      <c r="D2213" s="652" t="s">
        <v>546</v>
      </c>
      <c r="E2213" s="424" t="s">
        <v>6671</v>
      </c>
      <c r="F2213" s="642" t="s">
        <v>6578</v>
      </c>
      <c r="G2213" s="338" t="s">
        <v>6636</v>
      </c>
      <c r="H2213" s="613">
        <v>0.8</v>
      </c>
      <c r="I2213" s="426">
        <v>750000</v>
      </c>
      <c r="J2213" s="574">
        <v>45250</v>
      </c>
      <c r="K2213" s="574">
        <v>45615</v>
      </c>
      <c r="L2213" s="651">
        <v>0.4</v>
      </c>
      <c r="M2213" s="574">
        <v>45702</v>
      </c>
      <c r="N2213" s="575">
        <v>715178.47</v>
      </c>
      <c r="O2213" s="575">
        <v>715178.47</v>
      </c>
      <c r="P2213" s="575">
        <v>572142.78</v>
      </c>
      <c r="Q2213" s="575">
        <v>572142.78</v>
      </c>
      <c r="R2213" s="574">
        <v>45834</v>
      </c>
      <c r="S2213" s="575">
        <v>286071.39</v>
      </c>
      <c r="T2213" s="643">
        <v>45841</v>
      </c>
      <c r="U2213" s="650">
        <v>45846</v>
      </c>
      <c r="V2213" s="575">
        <v>143035.69</v>
      </c>
      <c r="W2213" s="576" t="s">
        <v>6657</v>
      </c>
      <c r="X2213" s="575">
        <v>143035.69</v>
      </c>
      <c r="Y2213" s="653"/>
    </row>
    <row r="2214" s="95" customFormat="1" ht="37.5" customHeight="1" spans="1:25">
      <c r="A2214" s="467">
        <f t="shared" si="48"/>
        <v>2204</v>
      </c>
      <c r="B2214" s="548">
        <v>2025</v>
      </c>
      <c r="C2214" s="548" t="s">
        <v>79</v>
      </c>
      <c r="D2214" s="652" t="s">
        <v>565</v>
      </c>
      <c r="E2214" s="424" t="s">
        <v>6672</v>
      </c>
      <c r="F2214" s="642" t="s">
        <v>1098</v>
      </c>
      <c r="G2214" s="338" t="s">
        <v>6636</v>
      </c>
      <c r="H2214" s="613">
        <v>0.8</v>
      </c>
      <c r="I2214" s="426">
        <v>500000</v>
      </c>
      <c r="J2214" s="574">
        <v>45258</v>
      </c>
      <c r="K2214" s="574">
        <v>45623</v>
      </c>
      <c r="L2214" s="651">
        <v>0.4</v>
      </c>
      <c r="M2214" s="574">
        <v>45707</v>
      </c>
      <c r="N2214" s="575">
        <v>498296.42</v>
      </c>
      <c r="O2214" s="575">
        <v>497879.75</v>
      </c>
      <c r="P2214" s="575">
        <v>398303.8</v>
      </c>
      <c r="Q2214" s="575">
        <v>398637.14</v>
      </c>
      <c r="R2214" s="574">
        <v>45834</v>
      </c>
      <c r="S2214" s="575">
        <v>199151.9</v>
      </c>
      <c r="T2214" s="643">
        <v>45841</v>
      </c>
      <c r="U2214" s="650">
        <v>45846</v>
      </c>
      <c r="V2214" s="575">
        <v>99575.95</v>
      </c>
      <c r="W2214" s="576" t="s">
        <v>6673</v>
      </c>
      <c r="X2214" s="575">
        <v>99575.95</v>
      </c>
      <c r="Y2214" s="653"/>
    </row>
    <row r="2215" s="95" customFormat="1" ht="37.5" customHeight="1" spans="1:25">
      <c r="A2215" s="467">
        <f t="shared" si="48"/>
        <v>2205</v>
      </c>
      <c r="B2215" s="548">
        <v>2025</v>
      </c>
      <c r="C2215" s="548" t="s">
        <v>79</v>
      </c>
      <c r="D2215" s="652" t="s">
        <v>539</v>
      </c>
      <c r="E2215" s="1253" t="s">
        <v>6674</v>
      </c>
      <c r="F2215" s="642" t="s">
        <v>6675</v>
      </c>
      <c r="G2215" s="338" t="s">
        <v>6636</v>
      </c>
      <c r="H2215" s="613">
        <v>0.8</v>
      </c>
      <c r="I2215" s="426">
        <v>450000</v>
      </c>
      <c r="J2215" s="574">
        <v>45239</v>
      </c>
      <c r="K2215" s="574">
        <v>45604</v>
      </c>
      <c r="L2215" s="651">
        <v>0.4</v>
      </c>
      <c r="M2215" s="574">
        <v>45681</v>
      </c>
      <c r="N2215" s="575">
        <v>448187.68</v>
      </c>
      <c r="O2215" s="575">
        <v>447408.52</v>
      </c>
      <c r="P2215" s="575">
        <v>357926.82</v>
      </c>
      <c r="Q2215" s="575">
        <v>358550.15</v>
      </c>
      <c r="R2215" s="574">
        <v>45834</v>
      </c>
      <c r="S2215" s="575">
        <v>178963.41</v>
      </c>
      <c r="T2215" s="643">
        <v>45841</v>
      </c>
      <c r="U2215" s="650">
        <v>45846</v>
      </c>
      <c r="V2215" s="575">
        <v>89481.7</v>
      </c>
      <c r="W2215" s="576" t="s">
        <v>6640</v>
      </c>
      <c r="X2215" s="575">
        <v>89481.7</v>
      </c>
      <c r="Y2215" s="653"/>
    </row>
    <row r="2216" s="95" customFormat="1" ht="37.5" customHeight="1" spans="1:25">
      <c r="A2216" s="467">
        <f t="shared" si="48"/>
        <v>2206</v>
      </c>
      <c r="B2216" s="548">
        <v>2025</v>
      </c>
      <c r="C2216" s="548" t="s">
        <v>15</v>
      </c>
      <c r="D2216" s="652" t="s">
        <v>608</v>
      </c>
      <c r="E2216" s="424" t="s">
        <v>6676</v>
      </c>
      <c r="F2216" s="642" t="s">
        <v>6677</v>
      </c>
      <c r="G2216" s="338" t="s">
        <v>5943</v>
      </c>
      <c r="H2216" s="613">
        <v>0.8</v>
      </c>
      <c r="I2216" s="426">
        <v>2000000</v>
      </c>
      <c r="J2216" s="574">
        <v>45265</v>
      </c>
      <c r="K2216" s="574">
        <v>45630</v>
      </c>
      <c r="L2216" s="651">
        <v>0.4</v>
      </c>
      <c r="M2216" s="574">
        <v>45712</v>
      </c>
      <c r="N2216" s="575">
        <v>1923193.09</v>
      </c>
      <c r="O2216" s="575">
        <v>1923193.09</v>
      </c>
      <c r="P2216" s="575">
        <v>1538554.47</v>
      </c>
      <c r="Q2216" s="575">
        <v>1538554.47</v>
      </c>
      <c r="R2216" s="574">
        <v>45856</v>
      </c>
      <c r="S2216" s="575">
        <v>769277.23</v>
      </c>
      <c r="T2216" s="643">
        <v>45861</v>
      </c>
      <c r="U2216" s="650">
        <v>45861</v>
      </c>
      <c r="V2216" s="575">
        <v>384638.62</v>
      </c>
      <c r="W2216" s="576" t="s">
        <v>6638</v>
      </c>
      <c r="X2216" s="575">
        <v>384638.62</v>
      </c>
      <c r="Y2216" s="653"/>
    </row>
    <row r="2217" s="95" customFormat="1" ht="37.5" customHeight="1" spans="1:25">
      <c r="A2217" s="467">
        <f t="shared" si="48"/>
        <v>2207</v>
      </c>
      <c r="B2217" s="548">
        <v>2025</v>
      </c>
      <c r="C2217" s="548" t="s">
        <v>25</v>
      </c>
      <c r="D2217" s="652" t="s">
        <v>559</v>
      </c>
      <c r="E2217" s="424" t="s">
        <v>6678</v>
      </c>
      <c r="F2217" s="642" t="s">
        <v>6679</v>
      </c>
      <c r="G2217" s="338" t="s">
        <v>6363</v>
      </c>
      <c r="H2217" s="613">
        <v>0.8</v>
      </c>
      <c r="I2217" s="426">
        <v>400000</v>
      </c>
      <c r="J2217" s="574">
        <v>44456</v>
      </c>
      <c r="K2217" s="574">
        <v>45551</v>
      </c>
      <c r="L2217" s="651">
        <v>0.4</v>
      </c>
      <c r="M2217" s="574">
        <v>45730</v>
      </c>
      <c r="N2217" s="575">
        <v>349938.91</v>
      </c>
      <c r="O2217" s="575">
        <v>349938.91</v>
      </c>
      <c r="P2217" s="575">
        <v>279951.13</v>
      </c>
      <c r="Q2217" s="575">
        <v>279951.13</v>
      </c>
      <c r="R2217" s="574">
        <v>45839</v>
      </c>
      <c r="S2217" s="575">
        <v>139975.56</v>
      </c>
      <c r="T2217" s="643">
        <v>45848</v>
      </c>
      <c r="U2217" s="650">
        <v>45853</v>
      </c>
      <c r="V2217" s="575">
        <v>69987.78</v>
      </c>
      <c r="W2217" s="576" t="s">
        <v>6680</v>
      </c>
      <c r="X2217" s="575">
        <v>69987.78</v>
      </c>
      <c r="Y2217" s="653"/>
    </row>
    <row r="2218" s="95" customFormat="1" ht="37.5" customHeight="1" spans="1:25">
      <c r="A2218" s="467">
        <f t="shared" si="48"/>
        <v>2208</v>
      </c>
      <c r="B2218" s="548">
        <v>2025</v>
      </c>
      <c r="C2218" s="548" t="s">
        <v>25</v>
      </c>
      <c r="D2218" s="652" t="s">
        <v>557</v>
      </c>
      <c r="E2218" s="424" t="s">
        <v>6681</v>
      </c>
      <c r="F2218" s="642" t="s">
        <v>6498</v>
      </c>
      <c r="G2218" s="338" t="s">
        <v>6363</v>
      </c>
      <c r="H2218" s="613">
        <v>0.8</v>
      </c>
      <c r="I2218" s="426">
        <v>300000</v>
      </c>
      <c r="J2218" s="574">
        <v>44441</v>
      </c>
      <c r="K2218" s="574">
        <v>45536</v>
      </c>
      <c r="L2218" s="651">
        <v>0.4</v>
      </c>
      <c r="M2218" s="574">
        <v>45713</v>
      </c>
      <c r="N2218" s="575">
        <v>296429.32</v>
      </c>
      <c r="O2218" s="575">
        <v>295009.88</v>
      </c>
      <c r="P2218" s="575">
        <v>236007.9</v>
      </c>
      <c r="Q2218" s="575">
        <v>237143.46</v>
      </c>
      <c r="R2218" s="574">
        <v>45840</v>
      </c>
      <c r="S2218" s="575">
        <v>118571.73</v>
      </c>
      <c r="T2218" s="643">
        <v>45845</v>
      </c>
      <c r="U2218" s="650">
        <v>45853</v>
      </c>
      <c r="V2218" s="575">
        <v>59001.98</v>
      </c>
      <c r="W2218" s="576" t="s">
        <v>6586</v>
      </c>
      <c r="X2218" s="575">
        <v>59001.98</v>
      </c>
      <c r="Y2218" s="653"/>
    </row>
    <row r="2219" s="95" customFormat="1" ht="37.5" customHeight="1" spans="1:25">
      <c r="A2219" s="467">
        <f t="shared" si="48"/>
        <v>2209</v>
      </c>
      <c r="B2219" s="548">
        <v>2025</v>
      </c>
      <c r="C2219" s="548" t="s">
        <v>28</v>
      </c>
      <c r="D2219" s="652" t="s">
        <v>595</v>
      </c>
      <c r="E2219" s="424" t="s">
        <v>6682</v>
      </c>
      <c r="F2219" s="642" t="s">
        <v>1129</v>
      </c>
      <c r="G2219" s="338" t="s">
        <v>1085</v>
      </c>
      <c r="H2219" s="613">
        <v>0.8</v>
      </c>
      <c r="I2219" s="426">
        <v>300000</v>
      </c>
      <c r="J2219" s="574">
        <v>45089</v>
      </c>
      <c r="K2219" s="574">
        <v>46184</v>
      </c>
      <c r="L2219" s="651">
        <v>0.4</v>
      </c>
      <c r="M2219" s="574">
        <v>45719</v>
      </c>
      <c r="N2219" s="575">
        <v>297371.56</v>
      </c>
      <c r="O2219" s="575">
        <v>297371.56</v>
      </c>
      <c r="P2219" s="575">
        <v>237897.25</v>
      </c>
      <c r="Q2219" s="575">
        <v>237897.25</v>
      </c>
      <c r="R2219" s="574">
        <v>45840</v>
      </c>
      <c r="S2219" s="575">
        <v>118948.62</v>
      </c>
      <c r="T2219" s="643">
        <v>45848</v>
      </c>
      <c r="U2219" s="650">
        <v>45853</v>
      </c>
      <c r="V2219" s="575">
        <v>59474.31</v>
      </c>
      <c r="W2219" s="576" t="s">
        <v>6586</v>
      </c>
      <c r="X2219" s="575">
        <v>59474.31</v>
      </c>
      <c r="Y2219" s="653"/>
    </row>
    <row r="2220" s="95" customFormat="1" ht="37.5" customHeight="1" spans="1:25">
      <c r="A2220" s="467">
        <f t="shared" si="48"/>
        <v>2210</v>
      </c>
      <c r="B2220" s="548">
        <v>2025</v>
      </c>
      <c r="C2220" s="548" t="s">
        <v>79</v>
      </c>
      <c r="D2220" s="652" t="s">
        <v>537</v>
      </c>
      <c r="E2220" s="1253" t="s">
        <v>6683</v>
      </c>
      <c r="F2220" s="642" t="s">
        <v>1174</v>
      </c>
      <c r="G2220" s="338" t="s">
        <v>6636</v>
      </c>
      <c r="H2220" s="613">
        <v>0.8</v>
      </c>
      <c r="I2220" s="426">
        <v>1830000</v>
      </c>
      <c r="J2220" s="574">
        <v>45226</v>
      </c>
      <c r="K2220" s="574">
        <v>45591</v>
      </c>
      <c r="L2220" s="651">
        <v>0.2</v>
      </c>
      <c r="M2220" s="574">
        <v>45681</v>
      </c>
      <c r="N2220" s="575">
        <v>1831177.79</v>
      </c>
      <c r="O2220" s="575">
        <v>1829805.29</v>
      </c>
      <c r="P2220" s="575">
        <v>1463844.23</v>
      </c>
      <c r="Q2220" s="575">
        <v>1464942.23</v>
      </c>
      <c r="R2220" s="574">
        <v>45856</v>
      </c>
      <c r="S2220" s="575">
        <v>365961.06</v>
      </c>
      <c r="T2220" s="643">
        <v>45861</v>
      </c>
      <c r="U2220" s="650"/>
      <c r="V2220" s="616"/>
      <c r="W2220" s="576"/>
      <c r="X2220" s="658"/>
      <c r="Y2220" s="655" t="s">
        <v>1077</v>
      </c>
    </row>
    <row r="2221" s="95" customFormat="1" ht="37.5" customHeight="1" spans="1:25">
      <c r="A2221" s="467">
        <f t="shared" si="48"/>
        <v>2211</v>
      </c>
      <c r="B2221" s="548">
        <v>2025</v>
      </c>
      <c r="C2221" s="548" t="s">
        <v>79</v>
      </c>
      <c r="D2221" s="652" t="s">
        <v>564</v>
      </c>
      <c r="E2221" s="1253" t="s">
        <v>6684</v>
      </c>
      <c r="F2221" s="642" t="s">
        <v>1194</v>
      </c>
      <c r="G2221" s="338" t="s">
        <v>6636</v>
      </c>
      <c r="H2221" s="613">
        <v>0.8</v>
      </c>
      <c r="I2221" s="426">
        <v>1320000</v>
      </c>
      <c r="J2221" s="574">
        <v>45252</v>
      </c>
      <c r="K2221" s="574">
        <v>45617</v>
      </c>
      <c r="L2221" s="651">
        <v>0.4</v>
      </c>
      <c r="M2221" s="574">
        <v>45706</v>
      </c>
      <c r="N2221" s="575">
        <v>1314142.7</v>
      </c>
      <c r="O2221" s="575">
        <v>1309892.71</v>
      </c>
      <c r="P2221" s="575">
        <v>1047914.17</v>
      </c>
      <c r="Q2221" s="575">
        <v>1051314.16</v>
      </c>
      <c r="R2221" s="574">
        <v>45856</v>
      </c>
      <c r="S2221" s="575">
        <v>523957.08</v>
      </c>
      <c r="T2221" s="643">
        <v>45861</v>
      </c>
      <c r="U2221" s="650">
        <v>45861</v>
      </c>
      <c r="V2221" s="575">
        <v>261978.54</v>
      </c>
      <c r="W2221" s="576" t="s">
        <v>6648</v>
      </c>
      <c r="X2221" s="575">
        <v>261978.54</v>
      </c>
      <c r="Y2221" s="653"/>
    </row>
    <row r="2222" s="95" customFormat="1" ht="37.5" customHeight="1" spans="1:25">
      <c r="A2222" s="467">
        <f t="shared" si="48"/>
        <v>2212</v>
      </c>
      <c r="B2222" s="548">
        <v>2025</v>
      </c>
      <c r="C2222" s="548" t="s">
        <v>15</v>
      </c>
      <c r="D2222" s="652" t="s">
        <v>592</v>
      </c>
      <c r="E2222" s="424" t="s">
        <v>6685</v>
      </c>
      <c r="F2222" s="642" t="s">
        <v>1131</v>
      </c>
      <c r="G2222" s="338" t="s">
        <v>1085</v>
      </c>
      <c r="H2222" s="613">
        <v>0.8</v>
      </c>
      <c r="I2222" s="426">
        <v>2000000</v>
      </c>
      <c r="J2222" s="574">
        <v>45156</v>
      </c>
      <c r="K2222" s="574">
        <v>45522</v>
      </c>
      <c r="L2222" s="651">
        <v>0.4</v>
      </c>
      <c r="M2222" s="574">
        <v>45694</v>
      </c>
      <c r="N2222" s="575">
        <v>2047297.24</v>
      </c>
      <c r="O2222" s="575">
        <v>1999991</v>
      </c>
      <c r="P2222" s="575">
        <v>1599992.8</v>
      </c>
      <c r="Q2222" s="575">
        <v>1637837.79</v>
      </c>
      <c r="R2222" s="574">
        <v>45856</v>
      </c>
      <c r="S2222" s="575">
        <v>799996.4</v>
      </c>
      <c r="T2222" s="643">
        <v>45861</v>
      </c>
      <c r="U2222" s="650">
        <v>45861</v>
      </c>
      <c r="V2222" s="575">
        <v>399998.2</v>
      </c>
      <c r="W2222" s="576" t="s">
        <v>6686</v>
      </c>
      <c r="X2222" s="575">
        <v>399998.2</v>
      </c>
      <c r="Y2222" s="653"/>
    </row>
    <row r="2223" s="95" customFormat="1" ht="37.5" customHeight="1" spans="1:25">
      <c r="A2223" s="467">
        <f t="shared" si="48"/>
        <v>2213</v>
      </c>
      <c r="B2223" s="548">
        <v>2025</v>
      </c>
      <c r="C2223" s="548" t="s">
        <v>25</v>
      </c>
      <c r="D2223" s="652" t="s">
        <v>560</v>
      </c>
      <c r="E2223" s="424" t="s">
        <v>6687</v>
      </c>
      <c r="F2223" s="642" t="s">
        <v>1158</v>
      </c>
      <c r="G2223" s="338" t="s">
        <v>6363</v>
      </c>
      <c r="H2223" s="613">
        <v>0.8</v>
      </c>
      <c r="I2223" s="426">
        <v>300000</v>
      </c>
      <c r="J2223" s="574">
        <v>44466</v>
      </c>
      <c r="K2223" s="574">
        <v>45561</v>
      </c>
      <c r="L2223" s="651">
        <v>0.4</v>
      </c>
      <c r="M2223" s="574">
        <v>45734</v>
      </c>
      <c r="N2223" s="575">
        <v>285888.62</v>
      </c>
      <c r="O2223" s="575">
        <v>285820.43</v>
      </c>
      <c r="P2223" s="575">
        <v>228656.34</v>
      </c>
      <c r="Q2223" s="575">
        <v>228710.89</v>
      </c>
      <c r="R2223" s="574">
        <v>45842</v>
      </c>
      <c r="S2223" s="575">
        <v>114355.45</v>
      </c>
      <c r="T2223" s="643">
        <v>45852</v>
      </c>
      <c r="U2223" s="659" t="s">
        <v>6688</v>
      </c>
      <c r="V2223" s="575">
        <v>57164.09</v>
      </c>
      <c r="W2223" s="576" t="s">
        <v>6586</v>
      </c>
      <c r="X2223" s="575">
        <v>57164.09</v>
      </c>
      <c r="Y2223" s="653"/>
    </row>
    <row r="2224" s="95" customFormat="1" ht="37.5" customHeight="1" spans="1:25">
      <c r="A2224" s="467">
        <f t="shared" si="48"/>
        <v>2214</v>
      </c>
      <c r="B2224" s="548">
        <v>2025</v>
      </c>
      <c r="C2224" s="548" t="s">
        <v>25</v>
      </c>
      <c r="D2224" s="652" t="s">
        <v>562</v>
      </c>
      <c r="E2224" s="424" t="s">
        <v>6689</v>
      </c>
      <c r="F2224" s="642" t="s">
        <v>6366</v>
      </c>
      <c r="G2224" s="338" t="s">
        <v>6363</v>
      </c>
      <c r="H2224" s="613">
        <v>0.8</v>
      </c>
      <c r="I2224" s="426">
        <v>300000</v>
      </c>
      <c r="J2224" s="574">
        <v>44464</v>
      </c>
      <c r="K2224" s="574">
        <v>45559</v>
      </c>
      <c r="L2224" s="651">
        <v>0.4</v>
      </c>
      <c r="M2224" s="574">
        <v>45734</v>
      </c>
      <c r="N2224" s="575">
        <v>297598.42</v>
      </c>
      <c r="O2224" s="575">
        <v>295708.42</v>
      </c>
      <c r="P2224" s="575">
        <v>236566.74</v>
      </c>
      <c r="Q2224" s="575">
        <v>238078.74</v>
      </c>
      <c r="R2224" s="574">
        <v>45842</v>
      </c>
      <c r="S2224" s="575">
        <v>119039.37</v>
      </c>
      <c r="T2224" s="643">
        <v>45848</v>
      </c>
      <c r="U2224" s="650">
        <v>45853</v>
      </c>
      <c r="V2224" s="575">
        <v>59141.68</v>
      </c>
      <c r="W2224" s="576" t="s">
        <v>6680</v>
      </c>
      <c r="X2224" s="575">
        <v>59141.68</v>
      </c>
      <c r="Y2224" s="653"/>
    </row>
    <row r="2225" s="95" customFormat="1" ht="37.5" customHeight="1" spans="1:25">
      <c r="A2225" s="467">
        <f t="shared" si="48"/>
        <v>2215</v>
      </c>
      <c r="B2225" s="548">
        <v>2025</v>
      </c>
      <c r="C2225" s="548" t="s">
        <v>133</v>
      </c>
      <c r="D2225" s="652" t="s">
        <v>620</v>
      </c>
      <c r="E2225" s="424" t="s">
        <v>6690</v>
      </c>
      <c r="F2225" s="642" t="s">
        <v>6691</v>
      </c>
      <c r="G2225" s="338" t="s">
        <v>1137</v>
      </c>
      <c r="H2225" s="613">
        <v>0.8</v>
      </c>
      <c r="I2225" s="426">
        <v>300000</v>
      </c>
      <c r="J2225" s="574">
        <v>44504</v>
      </c>
      <c r="K2225" s="574">
        <v>45599</v>
      </c>
      <c r="L2225" s="651">
        <v>0.4</v>
      </c>
      <c r="M2225" s="574">
        <v>45715</v>
      </c>
      <c r="N2225" s="575">
        <v>303697.42</v>
      </c>
      <c r="O2225" s="575">
        <v>299916.67</v>
      </c>
      <c r="P2225" s="575">
        <v>239933.34</v>
      </c>
      <c r="Q2225" s="575">
        <v>242957.94</v>
      </c>
      <c r="R2225" s="574">
        <v>45849</v>
      </c>
      <c r="S2225" s="575">
        <v>121478.97</v>
      </c>
      <c r="T2225" s="643">
        <v>45854</v>
      </c>
      <c r="U2225" s="650">
        <v>45873</v>
      </c>
      <c r="V2225" s="575">
        <v>59983.33</v>
      </c>
      <c r="W2225" s="576" t="s">
        <v>6670</v>
      </c>
      <c r="X2225" s="575">
        <v>59983.33</v>
      </c>
      <c r="Y2225" s="653"/>
    </row>
    <row r="2226" s="95" customFormat="1" ht="37.5" customHeight="1" spans="1:25">
      <c r="A2226" s="467">
        <f t="shared" si="48"/>
        <v>2216</v>
      </c>
      <c r="B2226" s="548">
        <v>2025</v>
      </c>
      <c r="C2226" s="548" t="s">
        <v>133</v>
      </c>
      <c r="D2226" s="652" t="s">
        <v>619</v>
      </c>
      <c r="E2226" s="424" t="s">
        <v>6692</v>
      </c>
      <c r="F2226" s="642" t="s">
        <v>6691</v>
      </c>
      <c r="G2226" s="338" t="s">
        <v>1137</v>
      </c>
      <c r="H2226" s="613">
        <v>0.8</v>
      </c>
      <c r="I2226" s="426">
        <v>280000</v>
      </c>
      <c r="J2226" s="574">
        <v>44502</v>
      </c>
      <c r="K2226" s="574">
        <v>45597</v>
      </c>
      <c r="L2226" s="651">
        <v>0.4</v>
      </c>
      <c r="M2226" s="574">
        <v>45715</v>
      </c>
      <c r="N2226" s="575">
        <v>281841.17</v>
      </c>
      <c r="O2226" s="575">
        <v>279991.51</v>
      </c>
      <c r="P2226" s="575">
        <v>223993.21</v>
      </c>
      <c r="Q2226" s="575">
        <v>225472.94</v>
      </c>
      <c r="R2226" s="574">
        <v>45849</v>
      </c>
      <c r="S2226" s="575">
        <v>112736.47</v>
      </c>
      <c r="T2226" s="643">
        <v>45859</v>
      </c>
      <c r="U2226" s="650">
        <v>45873</v>
      </c>
      <c r="V2226" s="575">
        <v>55998.3</v>
      </c>
      <c r="W2226" s="576" t="s">
        <v>6693</v>
      </c>
      <c r="X2226" s="575">
        <v>55998.3</v>
      </c>
      <c r="Y2226" s="653"/>
    </row>
    <row r="2227" s="95" customFormat="1" ht="37.5" customHeight="1" spans="1:25">
      <c r="A2227" s="467">
        <f t="shared" si="48"/>
        <v>2217</v>
      </c>
      <c r="B2227" s="548">
        <v>2025</v>
      </c>
      <c r="C2227" s="548" t="s">
        <v>15</v>
      </c>
      <c r="D2227" s="652" t="s">
        <v>528</v>
      </c>
      <c r="E2227" s="1253" t="s">
        <v>6694</v>
      </c>
      <c r="F2227" s="642" t="s">
        <v>1174</v>
      </c>
      <c r="G2227" s="338" t="s">
        <v>6636</v>
      </c>
      <c r="H2227" s="613">
        <v>0.8</v>
      </c>
      <c r="I2227" s="426">
        <v>1500000</v>
      </c>
      <c r="J2227" s="574">
        <v>45231</v>
      </c>
      <c r="K2227" s="574">
        <v>45596</v>
      </c>
      <c r="L2227" s="651">
        <v>0.4</v>
      </c>
      <c r="M2227" s="574">
        <v>45683</v>
      </c>
      <c r="N2227" s="575">
        <v>1529821.18</v>
      </c>
      <c r="O2227" s="575">
        <v>1497900</v>
      </c>
      <c r="P2227" s="575">
        <v>1198320</v>
      </c>
      <c r="Q2227" s="575">
        <v>1223856.94</v>
      </c>
      <c r="R2227" s="574">
        <v>45856</v>
      </c>
      <c r="S2227" s="575">
        <v>599160</v>
      </c>
      <c r="T2227" s="657">
        <v>45861</v>
      </c>
      <c r="U2227" s="650">
        <v>45861</v>
      </c>
      <c r="V2227" s="575">
        <v>299580</v>
      </c>
      <c r="W2227" s="576" t="s">
        <v>6638</v>
      </c>
      <c r="X2227" s="575">
        <v>299580</v>
      </c>
      <c r="Y2227" s="653"/>
    </row>
    <row r="2228" s="95" customFormat="1" ht="37.5" customHeight="1" spans="1:25">
      <c r="A2228" s="467">
        <f t="shared" si="48"/>
        <v>2218</v>
      </c>
      <c r="B2228" s="548">
        <v>2025</v>
      </c>
      <c r="C2228" s="548" t="s">
        <v>15</v>
      </c>
      <c r="D2228" s="652" t="s">
        <v>529</v>
      </c>
      <c r="E2228" s="1253" t="s">
        <v>6695</v>
      </c>
      <c r="F2228" s="642" t="s">
        <v>6578</v>
      </c>
      <c r="G2228" s="338" t="s">
        <v>6636</v>
      </c>
      <c r="H2228" s="613">
        <v>0.8</v>
      </c>
      <c r="I2228" s="426">
        <v>500000</v>
      </c>
      <c r="J2228" s="574">
        <v>45243</v>
      </c>
      <c r="K2228" s="574">
        <v>45608</v>
      </c>
      <c r="L2228" s="651">
        <v>0.4</v>
      </c>
      <c r="M2228" s="574">
        <v>45694</v>
      </c>
      <c r="N2228" s="575">
        <v>495528.17</v>
      </c>
      <c r="O2228" s="575" t="s">
        <v>6696</v>
      </c>
      <c r="P2228" s="575">
        <v>396422.54</v>
      </c>
      <c r="Q2228" s="575">
        <v>396422.54</v>
      </c>
      <c r="R2228" s="574">
        <v>45842</v>
      </c>
      <c r="S2228" s="575">
        <v>198211.27</v>
      </c>
      <c r="T2228" s="643">
        <v>45852</v>
      </c>
      <c r="U2228" s="650">
        <v>45853</v>
      </c>
      <c r="V2228" s="575">
        <v>99105.63</v>
      </c>
      <c r="W2228" s="576" t="s">
        <v>6586</v>
      </c>
      <c r="X2228" s="575">
        <v>99105.63</v>
      </c>
      <c r="Y2228" s="653"/>
    </row>
    <row r="2229" s="95" customFormat="1" ht="37.5" customHeight="1" spans="1:25">
      <c r="A2229" s="467">
        <f t="shared" si="48"/>
        <v>2219</v>
      </c>
      <c r="B2229" s="548">
        <v>2025</v>
      </c>
      <c r="C2229" s="548" t="s">
        <v>430</v>
      </c>
      <c r="D2229" s="652" t="s">
        <v>433</v>
      </c>
      <c r="E2229" s="1253" t="s">
        <v>6697</v>
      </c>
      <c r="F2229" s="642" t="s">
        <v>6698</v>
      </c>
      <c r="G2229" s="338" t="s">
        <v>6585</v>
      </c>
      <c r="H2229" s="613">
        <v>0.8</v>
      </c>
      <c r="I2229" s="426">
        <v>800000</v>
      </c>
      <c r="J2229" s="574">
        <v>45240</v>
      </c>
      <c r="K2229" s="574">
        <v>45605</v>
      </c>
      <c r="L2229" s="651">
        <v>0.4</v>
      </c>
      <c r="M2229" s="574">
        <v>45695</v>
      </c>
      <c r="N2229" s="575">
        <v>792554.84</v>
      </c>
      <c r="O2229" s="575">
        <v>790000</v>
      </c>
      <c r="P2229" s="575">
        <v>632000</v>
      </c>
      <c r="Q2229" s="575">
        <v>6340403.87</v>
      </c>
      <c r="R2229" s="574">
        <v>45835</v>
      </c>
      <c r="S2229" s="575">
        <v>316000</v>
      </c>
      <c r="T2229" s="643">
        <v>45845</v>
      </c>
      <c r="U2229" s="650">
        <v>45846</v>
      </c>
      <c r="V2229" s="575">
        <v>158000</v>
      </c>
      <c r="W2229" s="576" t="s">
        <v>6699</v>
      </c>
      <c r="X2229" s="575">
        <v>158000</v>
      </c>
      <c r="Y2229" s="653"/>
    </row>
    <row r="2230" s="95" customFormat="1" ht="37.5" customHeight="1" spans="1:25">
      <c r="A2230" s="467">
        <f t="shared" si="48"/>
        <v>2220</v>
      </c>
      <c r="B2230" s="548">
        <v>2025</v>
      </c>
      <c r="C2230" s="548" t="s">
        <v>15</v>
      </c>
      <c r="D2230" s="652" t="s">
        <v>621</v>
      </c>
      <c r="E2230" s="424" t="s">
        <v>6700</v>
      </c>
      <c r="F2230" s="642" t="s">
        <v>1148</v>
      </c>
      <c r="G2230" s="338" t="s">
        <v>5943</v>
      </c>
      <c r="H2230" s="613">
        <v>0.8</v>
      </c>
      <c r="I2230" s="426">
        <v>650000</v>
      </c>
      <c r="J2230" s="574">
        <v>45273</v>
      </c>
      <c r="K2230" s="574">
        <v>45638</v>
      </c>
      <c r="L2230" s="651">
        <v>0.4</v>
      </c>
      <c r="M2230" s="574">
        <v>45728</v>
      </c>
      <c r="N2230" s="575">
        <v>656557.13</v>
      </c>
      <c r="O2230" s="575">
        <v>650000</v>
      </c>
      <c r="P2230" s="575">
        <v>520000</v>
      </c>
      <c r="Q2230" s="575">
        <v>525245.7</v>
      </c>
      <c r="R2230" s="574">
        <v>45852</v>
      </c>
      <c r="S2230" s="575">
        <v>260000</v>
      </c>
      <c r="T2230" s="643">
        <v>45859</v>
      </c>
      <c r="U2230" s="650">
        <v>45873</v>
      </c>
      <c r="V2230" s="575">
        <v>130000</v>
      </c>
      <c r="W2230" s="576" t="s">
        <v>6693</v>
      </c>
      <c r="X2230" s="575">
        <v>130000</v>
      </c>
      <c r="Y2230" s="653"/>
    </row>
    <row r="2231" s="95" customFormat="1" ht="37.5" customHeight="1" spans="1:25">
      <c r="A2231" s="467">
        <f t="shared" si="48"/>
        <v>2221</v>
      </c>
      <c r="B2231" s="548">
        <v>2025</v>
      </c>
      <c r="C2231" s="548" t="s">
        <v>79</v>
      </c>
      <c r="D2231" s="652" t="s">
        <v>596</v>
      </c>
      <c r="E2231" s="424" t="s">
        <v>6701</v>
      </c>
      <c r="F2231" s="642" t="s">
        <v>1869</v>
      </c>
      <c r="G2231" s="338" t="s">
        <v>5943</v>
      </c>
      <c r="H2231" s="613">
        <v>0.8</v>
      </c>
      <c r="I2231" s="426">
        <v>2000000</v>
      </c>
      <c r="J2231" s="574">
        <v>45285</v>
      </c>
      <c r="K2231" s="574">
        <v>45650</v>
      </c>
      <c r="L2231" s="651">
        <v>0.4</v>
      </c>
      <c r="M2231" s="574">
        <v>45733</v>
      </c>
      <c r="N2231" s="575">
        <v>2031854.84</v>
      </c>
      <c r="O2231" s="575">
        <v>2000000</v>
      </c>
      <c r="P2231" s="575">
        <v>1600000</v>
      </c>
      <c r="Q2231" s="575">
        <v>1625483.87</v>
      </c>
      <c r="R2231" s="574">
        <v>45859</v>
      </c>
      <c r="S2231" s="575">
        <v>800000</v>
      </c>
      <c r="T2231" s="643">
        <v>45862</v>
      </c>
      <c r="U2231" s="650">
        <v>45882</v>
      </c>
      <c r="V2231" s="575">
        <v>400000</v>
      </c>
      <c r="W2231" s="576" t="s">
        <v>6702</v>
      </c>
      <c r="X2231" s="575">
        <v>400000</v>
      </c>
      <c r="Y2231" s="653"/>
    </row>
    <row r="2232" s="95" customFormat="1" ht="37.5" customHeight="1" spans="1:25">
      <c r="A2232" s="467">
        <f t="shared" si="48"/>
        <v>2222</v>
      </c>
      <c r="B2232" s="548">
        <v>2025</v>
      </c>
      <c r="C2232" s="548" t="s">
        <v>22</v>
      </c>
      <c r="D2232" s="652" t="s">
        <v>571</v>
      </c>
      <c r="E2232" s="424" t="s">
        <v>6703</v>
      </c>
      <c r="F2232" s="642" t="s">
        <v>6704</v>
      </c>
      <c r="G2232" s="338" t="s">
        <v>6363</v>
      </c>
      <c r="H2232" s="613">
        <v>0.8</v>
      </c>
      <c r="I2232" s="426">
        <v>1600000</v>
      </c>
      <c r="J2232" s="574">
        <v>44469</v>
      </c>
      <c r="K2232" s="574">
        <v>45561</v>
      </c>
      <c r="L2232" s="651">
        <v>0.4</v>
      </c>
      <c r="M2232" s="574">
        <v>45734</v>
      </c>
      <c r="N2232" s="575">
        <v>1626683.08</v>
      </c>
      <c r="O2232" s="575">
        <v>1600000</v>
      </c>
      <c r="P2232" s="575">
        <v>1280000</v>
      </c>
      <c r="Q2232" s="575">
        <v>1301346.47</v>
      </c>
      <c r="R2232" s="574">
        <v>45859</v>
      </c>
      <c r="S2232" s="575">
        <v>650673.23</v>
      </c>
      <c r="T2232" s="643">
        <v>45862</v>
      </c>
      <c r="U2232" s="650">
        <v>45882</v>
      </c>
      <c r="V2232" s="575">
        <v>320000</v>
      </c>
      <c r="W2232" s="576" t="s">
        <v>6705</v>
      </c>
      <c r="X2232" s="575">
        <v>320000</v>
      </c>
      <c r="Y2232" s="653"/>
    </row>
    <row r="2233" s="95" customFormat="1" ht="37.5" customHeight="1" spans="1:25">
      <c r="A2233" s="467">
        <f t="shared" si="48"/>
        <v>2223</v>
      </c>
      <c r="B2233" s="548">
        <v>2025</v>
      </c>
      <c r="C2233" s="548" t="s">
        <v>41</v>
      </c>
      <c r="D2233" s="652" t="s">
        <v>543</v>
      </c>
      <c r="E2233" s="1295" t="s">
        <v>6706</v>
      </c>
      <c r="F2233" s="642" t="s">
        <v>1163</v>
      </c>
      <c r="G2233" s="338" t="s">
        <v>1137</v>
      </c>
      <c r="H2233" s="613">
        <v>0.8</v>
      </c>
      <c r="I2233" s="426">
        <v>100000</v>
      </c>
      <c r="J2233" s="574">
        <v>44902</v>
      </c>
      <c r="K2233" s="574">
        <v>45632</v>
      </c>
      <c r="L2233" s="651">
        <v>0.4</v>
      </c>
      <c r="M2233" s="574">
        <v>45713</v>
      </c>
      <c r="N2233" s="575">
        <v>602242.77</v>
      </c>
      <c r="O2233" s="575">
        <v>60000</v>
      </c>
      <c r="P2233" s="575">
        <v>48000</v>
      </c>
      <c r="Q2233" s="575">
        <v>491794.22</v>
      </c>
      <c r="R2233" s="574">
        <v>45849</v>
      </c>
      <c r="S2233" s="575">
        <v>24000</v>
      </c>
      <c r="T2233" s="643">
        <v>45859</v>
      </c>
      <c r="U2233" s="650">
        <v>45873</v>
      </c>
      <c r="V2233" s="575">
        <v>12000</v>
      </c>
      <c r="W2233" s="576" t="s">
        <v>6707</v>
      </c>
      <c r="X2233" s="575">
        <v>12000</v>
      </c>
      <c r="Y2233" s="653"/>
    </row>
    <row r="2234" s="95" customFormat="1" ht="37.5" customHeight="1" spans="1:25">
      <c r="A2234" s="467">
        <f t="shared" si="48"/>
        <v>2224</v>
      </c>
      <c r="B2234" s="548">
        <v>2025</v>
      </c>
      <c r="C2234" s="548" t="s">
        <v>41</v>
      </c>
      <c r="D2234" s="652" t="s">
        <v>545</v>
      </c>
      <c r="E2234" s="1295" t="s">
        <v>6708</v>
      </c>
      <c r="F2234" s="642" t="s">
        <v>1172</v>
      </c>
      <c r="G2234" s="338" t="s">
        <v>1137</v>
      </c>
      <c r="H2234" s="613">
        <v>0.8</v>
      </c>
      <c r="I2234" s="426">
        <v>300000</v>
      </c>
      <c r="J2234" s="574">
        <v>45041</v>
      </c>
      <c r="K2234" s="574">
        <v>45765</v>
      </c>
      <c r="L2234" s="651">
        <v>0.4</v>
      </c>
      <c r="M2234" s="574">
        <v>45713</v>
      </c>
      <c r="N2234" s="575">
        <v>308359.28</v>
      </c>
      <c r="O2234" s="575">
        <v>299970.18</v>
      </c>
      <c r="P2234" s="575">
        <v>239976.14</v>
      </c>
      <c r="Q2234" s="575">
        <v>246687.44</v>
      </c>
      <c r="R2234" s="574">
        <v>45849</v>
      </c>
      <c r="S2234" s="575">
        <v>119988.07</v>
      </c>
      <c r="T2234" s="643">
        <v>45854</v>
      </c>
      <c r="U2234" s="650">
        <v>45873</v>
      </c>
      <c r="V2234" s="575">
        <v>59994.04</v>
      </c>
      <c r="W2234" s="576" t="s">
        <v>6707</v>
      </c>
      <c r="X2234" s="575">
        <v>59994.04</v>
      </c>
      <c r="Y2234" s="653"/>
    </row>
    <row r="2235" s="95" customFormat="1" ht="37.5" customHeight="1" spans="1:25">
      <c r="A2235" s="467">
        <f t="shared" si="48"/>
        <v>2225</v>
      </c>
      <c r="B2235" s="548">
        <v>2025</v>
      </c>
      <c r="C2235" s="548" t="s">
        <v>25</v>
      </c>
      <c r="D2235" s="652" t="s">
        <v>577</v>
      </c>
      <c r="E2235" s="424" t="s">
        <v>6709</v>
      </c>
      <c r="F2235" s="642" t="s">
        <v>6710</v>
      </c>
      <c r="G2235" s="338" t="s">
        <v>6363</v>
      </c>
      <c r="H2235" s="613">
        <v>0.8</v>
      </c>
      <c r="I2235" s="426">
        <v>300000</v>
      </c>
      <c r="J2235" s="574">
        <v>44463</v>
      </c>
      <c r="K2235" s="574">
        <v>45558</v>
      </c>
      <c r="L2235" s="651">
        <v>0.4</v>
      </c>
      <c r="M2235" s="574">
        <v>45737</v>
      </c>
      <c r="N2235" s="575">
        <v>299569.41</v>
      </c>
      <c r="O2235" s="575">
        <v>299569.41</v>
      </c>
      <c r="P2235" s="575">
        <v>239655.53</v>
      </c>
      <c r="Q2235" s="575">
        <v>239655.53</v>
      </c>
      <c r="R2235" s="574">
        <v>45859</v>
      </c>
      <c r="S2235" s="575">
        <v>119827.76</v>
      </c>
      <c r="T2235" s="643">
        <v>45862</v>
      </c>
      <c r="U2235" s="650">
        <v>45873</v>
      </c>
      <c r="V2235" s="575">
        <v>59913.88</v>
      </c>
      <c r="W2235" s="576" t="s">
        <v>6707</v>
      </c>
      <c r="X2235" s="575">
        <v>59913.88</v>
      </c>
      <c r="Y2235" s="653"/>
    </row>
    <row r="2236" s="95" customFormat="1" ht="37.5" customHeight="1" spans="1:25">
      <c r="A2236" s="467">
        <f t="shared" si="48"/>
        <v>2226</v>
      </c>
      <c r="B2236" s="548">
        <v>2025</v>
      </c>
      <c r="C2236" s="548" t="s">
        <v>25</v>
      </c>
      <c r="D2236" s="652" t="s">
        <v>175</v>
      </c>
      <c r="E2236" s="424" t="s">
        <v>6711</v>
      </c>
      <c r="F2236" s="642" t="s">
        <v>6712</v>
      </c>
      <c r="G2236" s="338" t="s">
        <v>6363</v>
      </c>
      <c r="H2236" s="613">
        <v>0.8</v>
      </c>
      <c r="I2236" s="426">
        <v>200000</v>
      </c>
      <c r="J2236" s="574">
        <v>44467</v>
      </c>
      <c r="K2236" s="574">
        <v>45562</v>
      </c>
      <c r="L2236" s="651">
        <v>0.4</v>
      </c>
      <c r="M2236" s="574">
        <v>45742</v>
      </c>
      <c r="N2236" s="575">
        <v>148040.86</v>
      </c>
      <c r="O2236" s="575">
        <v>147963.23</v>
      </c>
      <c r="P2236" s="575">
        <v>118370.58</v>
      </c>
      <c r="Q2236" s="575">
        <v>118432.69</v>
      </c>
      <c r="R2236" s="574">
        <v>45859</v>
      </c>
      <c r="S2236" s="575">
        <v>59216.34</v>
      </c>
      <c r="T2236" s="643">
        <v>45862</v>
      </c>
      <c r="U2236" s="650">
        <v>45873</v>
      </c>
      <c r="V2236" s="575">
        <v>29592.65</v>
      </c>
      <c r="W2236" s="576" t="s">
        <v>6638</v>
      </c>
      <c r="X2236" s="575">
        <v>29592.65</v>
      </c>
      <c r="Y2236" s="653"/>
    </row>
    <row r="2237" s="95" customFormat="1" ht="37.5" customHeight="1" spans="1:25">
      <c r="A2237" s="467">
        <f t="shared" si="48"/>
        <v>2227</v>
      </c>
      <c r="B2237" s="548">
        <v>2025</v>
      </c>
      <c r="C2237" s="548" t="s">
        <v>25</v>
      </c>
      <c r="D2237" s="652" t="s">
        <v>579</v>
      </c>
      <c r="E2237" s="424" t="s">
        <v>6713</v>
      </c>
      <c r="F2237" s="642" t="s">
        <v>6714</v>
      </c>
      <c r="G2237" s="338" t="s">
        <v>6363</v>
      </c>
      <c r="H2237" s="613">
        <v>0.8</v>
      </c>
      <c r="I2237" s="426">
        <v>100000</v>
      </c>
      <c r="J2237" s="574">
        <v>44466</v>
      </c>
      <c r="K2237" s="574">
        <v>45561</v>
      </c>
      <c r="L2237" s="651">
        <v>0.4</v>
      </c>
      <c r="M2237" s="574">
        <v>45737</v>
      </c>
      <c r="N2237" s="575">
        <v>100000</v>
      </c>
      <c r="O2237" s="575">
        <v>100000</v>
      </c>
      <c r="P2237" s="575">
        <v>80000</v>
      </c>
      <c r="Q2237" s="575">
        <v>80000</v>
      </c>
      <c r="R2237" s="574">
        <v>45862</v>
      </c>
      <c r="S2237" s="575">
        <v>40000</v>
      </c>
      <c r="T2237" s="643">
        <v>45869</v>
      </c>
      <c r="U2237" s="650">
        <v>45873</v>
      </c>
      <c r="V2237" s="575">
        <v>20000</v>
      </c>
      <c r="W2237" s="576" t="s">
        <v>6638</v>
      </c>
      <c r="X2237" s="575">
        <v>20000</v>
      </c>
      <c r="Y2237" s="653"/>
    </row>
    <row r="2238" s="95" customFormat="1" ht="37.5" customHeight="1" spans="1:25">
      <c r="A2238" s="467">
        <f t="shared" si="48"/>
        <v>2228</v>
      </c>
      <c r="B2238" s="548">
        <v>2025</v>
      </c>
      <c r="C2238" s="548" t="s">
        <v>25</v>
      </c>
      <c r="D2238" s="652" t="s">
        <v>563</v>
      </c>
      <c r="E2238" s="424" t="s">
        <v>6715</v>
      </c>
      <c r="F2238" s="642" t="s">
        <v>6366</v>
      </c>
      <c r="G2238" s="338" t="s">
        <v>6363</v>
      </c>
      <c r="H2238" s="613">
        <v>0.8</v>
      </c>
      <c r="I2238" s="426">
        <v>1000000</v>
      </c>
      <c r="J2238" s="574">
        <v>44461</v>
      </c>
      <c r="K2238" s="574">
        <v>45556</v>
      </c>
      <c r="L2238" s="651">
        <v>0.4</v>
      </c>
      <c r="M2238" s="574">
        <v>45736</v>
      </c>
      <c r="N2238" s="575">
        <v>1010125</v>
      </c>
      <c r="O2238" s="575">
        <v>1000000</v>
      </c>
      <c r="P2238" s="575">
        <v>800000</v>
      </c>
      <c r="Q2238" s="575">
        <v>808100</v>
      </c>
      <c r="R2238" s="574">
        <v>45863</v>
      </c>
      <c r="S2238" s="575">
        <v>404050</v>
      </c>
      <c r="T2238" s="643">
        <v>45873</v>
      </c>
      <c r="U2238" s="650">
        <v>45873</v>
      </c>
      <c r="V2238" s="575">
        <v>200000</v>
      </c>
      <c r="W2238" s="576" t="s">
        <v>6707</v>
      </c>
      <c r="X2238" s="575">
        <v>200000</v>
      </c>
      <c r="Y2238" s="653"/>
    </row>
    <row r="2239" s="95" customFormat="1" ht="37.5" customHeight="1" spans="1:25">
      <c r="A2239" s="467">
        <f t="shared" si="48"/>
        <v>2229</v>
      </c>
      <c r="B2239" s="548">
        <v>2025</v>
      </c>
      <c r="C2239" s="548" t="s">
        <v>25</v>
      </c>
      <c r="D2239" s="652" t="s">
        <v>581</v>
      </c>
      <c r="E2239" s="424" t="s">
        <v>6716</v>
      </c>
      <c r="F2239" s="642" t="s">
        <v>6712</v>
      </c>
      <c r="G2239" s="338" t="s">
        <v>6363</v>
      </c>
      <c r="H2239" s="613">
        <v>0.8</v>
      </c>
      <c r="I2239" s="426">
        <v>200000</v>
      </c>
      <c r="J2239" s="574">
        <v>44466</v>
      </c>
      <c r="K2239" s="574">
        <v>45561</v>
      </c>
      <c r="L2239" s="651">
        <v>0.4</v>
      </c>
      <c r="M2239" s="574">
        <v>45741</v>
      </c>
      <c r="N2239" s="575">
        <v>200430.13</v>
      </c>
      <c r="O2239" s="575">
        <v>199606.92</v>
      </c>
      <c r="P2239" s="575">
        <v>159685.54</v>
      </c>
      <c r="Q2239" s="575">
        <v>160344.1</v>
      </c>
      <c r="R2239" s="574">
        <v>45863</v>
      </c>
      <c r="S2239" s="575">
        <v>80172.05</v>
      </c>
      <c r="T2239" s="643">
        <v>45873</v>
      </c>
      <c r="U2239" s="650">
        <v>45873</v>
      </c>
      <c r="V2239" s="575">
        <v>39921.38</v>
      </c>
      <c r="W2239" s="576" t="s">
        <v>6638</v>
      </c>
      <c r="X2239" s="575">
        <v>39921.38</v>
      </c>
      <c r="Y2239" s="653"/>
    </row>
    <row r="2240" s="95" customFormat="1" ht="37.5" customHeight="1" spans="1:25">
      <c r="A2240" s="467">
        <f t="shared" si="48"/>
        <v>2230</v>
      </c>
      <c r="B2240" s="548">
        <v>2025</v>
      </c>
      <c r="C2240" s="548" t="s">
        <v>79</v>
      </c>
      <c r="D2240" s="652" t="s">
        <v>602</v>
      </c>
      <c r="E2240" s="424" t="s">
        <v>6717</v>
      </c>
      <c r="F2240" s="642" t="s">
        <v>1194</v>
      </c>
      <c r="G2240" s="338" t="s">
        <v>5943</v>
      </c>
      <c r="H2240" s="613">
        <v>0.8</v>
      </c>
      <c r="I2240" s="426">
        <v>490000</v>
      </c>
      <c r="J2240" s="574">
        <v>45285</v>
      </c>
      <c r="K2240" s="574">
        <v>45650</v>
      </c>
      <c r="L2240" s="651">
        <v>0.4</v>
      </c>
      <c r="M2240" s="574">
        <v>45737</v>
      </c>
      <c r="N2240" s="575">
        <v>487650.11</v>
      </c>
      <c r="O2240" s="575">
        <v>487650.11</v>
      </c>
      <c r="P2240" s="575">
        <v>390120.09</v>
      </c>
      <c r="Q2240" s="575">
        <v>390120.09</v>
      </c>
      <c r="R2240" s="574">
        <v>45870</v>
      </c>
      <c r="S2240" s="575">
        <v>195060.04</v>
      </c>
      <c r="T2240" s="643">
        <v>45876</v>
      </c>
      <c r="U2240" s="650">
        <v>45882</v>
      </c>
      <c r="V2240" s="575">
        <v>97530.02</v>
      </c>
      <c r="W2240" s="650">
        <v>45882</v>
      </c>
      <c r="X2240" s="575">
        <v>97530.02</v>
      </c>
      <c r="Y2240" s="653"/>
    </row>
    <row r="2241" s="95" customFormat="1" ht="37.5" customHeight="1" spans="1:25">
      <c r="A2241" s="467">
        <f t="shared" si="48"/>
        <v>2231</v>
      </c>
      <c r="B2241" s="548">
        <v>2025</v>
      </c>
      <c r="C2241" s="548" t="s">
        <v>79</v>
      </c>
      <c r="D2241" s="652" t="s">
        <v>548</v>
      </c>
      <c r="E2241" s="424" t="s">
        <v>6718</v>
      </c>
      <c r="F2241" s="642" t="s">
        <v>6663</v>
      </c>
      <c r="G2241" s="338" t="s">
        <v>5943</v>
      </c>
      <c r="H2241" s="613">
        <v>0.8</v>
      </c>
      <c r="I2241" s="426">
        <v>280000</v>
      </c>
      <c r="J2241" s="574">
        <v>45288</v>
      </c>
      <c r="K2241" s="574">
        <v>45653</v>
      </c>
      <c r="L2241" s="651">
        <v>0.4</v>
      </c>
      <c r="M2241" s="574">
        <v>45740</v>
      </c>
      <c r="N2241" s="575">
        <v>276966.12</v>
      </c>
      <c r="O2241" s="575">
        <v>276966.12</v>
      </c>
      <c r="P2241" s="575">
        <v>221572.9</v>
      </c>
      <c r="Q2241" s="575">
        <v>221572.9</v>
      </c>
      <c r="R2241" s="574">
        <v>45870</v>
      </c>
      <c r="S2241" s="575">
        <v>110786.45</v>
      </c>
      <c r="T2241" s="643">
        <v>45876</v>
      </c>
      <c r="U2241" s="650">
        <v>45882</v>
      </c>
      <c r="V2241" s="575">
        <v>55393.22</v>
      </c>
      <c r="W2241" s="650">
        <v>45882</v>
      </c>
      <c r="X2241" s="575">
        <v>55393.22</v>
      </c>
      <c r="Y2241" s="653"/>
    </row>
    <row r="2242" s="95" customFormat="1" ht="37.5" customHeight="1" spans="1:25">
      <c r="A2242" s="467">
        <f t="shared" si="48"/>
        <v>2232</v>
      </c>
      <c r="B2242" s="548">
        <v>2025</v>
      </c>
      <c r="C2242" s="548" t="s">
        <v>79</v>
      </c>
      <c r="D2242" s="652" t="s">
        <v>601</v>
      </c>
      <c r="E2242" s="424" t="s">
        <v>6719</v>
      </c>
      <c r="F2242" s="642" t="s">
        <v>1098</v>
      </c>
      <c r="G2242" s="338" t="s">
        <v>5943</v>
      </c>
      <c r="H2242" s="613">
        <v>0.8</v>
      </c>
      <c r="I2242" s="426">
        <v>500000</v>
      </c>
      <c r="J2242" s="574">
        <v>45282</v>
      </c>
      <c r="K2242" s="574">
        <v>45647</v>
      </c>
      <c r="L2242" s="651">
        <v>0.4</v>
      </c>
      <c r="M2242" s="574">
        <v>45735</v>
      </c>
      <c r="N2242" s="575">
        <v>502083.33</v>
      </c>
      <c r="O2242" s="575">
        <v>500000</v>
      </c>
      <c r="P2242" s="575">
        <v>400000</v>
      </c>
      <c r="Q2242" s="575">
        <v>401666.66</v>
      </c>
      <c r="R2242" s="574">
        <v>45870</v>
      </c>
      <c r="S2242" s="575">
        <v>200000</v>
      </c>
      <c r="T2242" s="643">
        <v>45876</v>
      </c>
      <c r="U2242" s="650">
        <v>45882</v>
      </c>
      <c r="V2242" s="575">
        <v>100000</v>
      </c>
      <c r="W2242" s="650">
        <v>45882</v>
      </c>
      <c r="X2242" s="575">
        <v>100000</v>
      </c>
      <c r="Y2242" s="653"/>
    </row>
    <row r="2243" s="95" customFormat="1" ht="37.5" customHeight="1" spans="1:25">
      <c r="A2243" s="467">
        <f t="shared" si="48"/>
        <v>2233</v>
      </c>
      <c r="B2243" s="548">
        <v>2025</v>
      </c>
      <c r="C2243" s="548" t="s">
        <v>287</v>
      </c>
      <c r="D2243" s="652" t="s">
        <v>567</v>
      </c>
      <c r="E2243" s="424" t="s">
        <v>6720</v>
      </c>
      <c r="F2243" s="642" t="s">
        <v>6721</v>
      </c>
      <c r="G2243" s="338" t="s">
        <v>5943</v>
      </c>
      <c r="H2243" s="613">
        <v>0.8</v>
      </c>
      <c r="I2243" s="426">
        <v>200000</v>
      </c>
      <c r="J2243" s="574">
        <v>45351</v>
      </c>
      <c r="K2243" s="574">
        <v>45716</v>
      </c>
      <c r="L2243" s="651">
        <v>0.4</v>
      </c>
      <c r="M2243" s="574">
        <v>45775</v>
      </c>
      <c r="N2243" s="575">
        <v>159340</v>
      </c>
      <c r="O2243" s="575">
        <v>159340</v>
      </c>
      <c r="P2243" s="575">
        <v>127472</v>
      </c>
      <c r="Q2243" s="575">
        <v>127472</v>
      </c>
      <c r="R2243" s="574">
        <v>45870</v>
      </c>
      <c r="S2243" s="575">
        <v>63736</v>
      </c>
      <c r="T2243" s="643">
        <v>45876</v>
      </c>
      <c r="U2243" s="650">
        <v>45882</v>
      </c>
      <c r="V2243" s="575">
        <v>31868</v>
      </c>
      <c r="W2243" s="650">
        <v>45882</v>
      </c>
      <c r="X2243" s="575">
        <v>31868</v>
      </c>
      <c r="Y2243" s="653"/>
    </row>
    <row r="2244" s="95" customFormat="1" ht="37.5" customHeight="1" spans="1:25">
      <c r="A2244" s="467">
        <f t="shared" si="48"/>
        <v>2234</v>
      </c>
      <c r="B2244" s="548">
        <v>2025</v>
      </c>
      <c r="C2244" s="548" t="s">
        <v>28</v>
      </c>
      <c r="D2244" s="652" t="s">
        <v>566</v>
      </c>
      <c r="E2244" s="424" t="s">
        <v>6722</v>
      </c>
      <c r="F2244" s="642" t="s">
        <v>6407</v>
      </c>
      <c r="G2244" s="338" t="s">
        <v>5943</v>
      </c>
      <c r="H2244" s="613">
        <v>0.8</v>
      </c>
      <c r="I2244" s="426">
        <v>500000</v>
      </c>
      <c r="J2244" s="574">
        <v>45261</v>
      </c>
      <c r="K2244" s="574">
        <v>45626</v>
      </c>
      <c r="L2244" s="651">
        <v>0.4</v>
      </c>
      <c r="M2244" s="574">
        <v>45744</v>
      </c>
      <c r="N2244" s="575">
        <v>483821.06</v>
      </c>
      <c r="O2244" s="575">
        <v>483689.67</v>
      </c>
      <c r="P2244" s="575">
        <v>386951.74</v>
      </c>
      <c r="Q2244" s="575">
        <v>387056.85</v>
      </c>
      <c r="R2244" s="574">
        <v>45870</v>
      </c>
      <c r="S2244" s="575">
        <v>193475.87</v>
      </c>
      <c r="T2244" s="643">
        <v>45876</v>
      </c>
      <c r="U2244" s="650">
        <v>45882</v>
      </c>
      <c r="V2244" s="575">
        <v>96737.93</v>
      </c>
      <c r="W2244" s="650">
        <v>45882</v>
      </c>
      <c r="X2244" s="575">
        <v>96737.93</v>
      </c>
      <c r="Y2244" s="653"/>
    </row>
    <row r="2245" s="95" customFormat="1" ht="37.5" customHeight="1" spans="1:25">
      <c r="A2245" s="467">
        <f t="shared" si="48"/>
        <v>2235</v>
      </c>
      <c r="B2245" s="548">
        <v>2025</v>
      </c>
      <c r="C2245" s="548" t="s">
        <v>28</v>
      </c>
      <c r="D2245" s="652" t="s">
        <v>623</v>
      </c>
      <c r="E2245" s="424" t="s">
        <v>6723</v>
      </c>
      <c r="F2245" s="642" t="s">
        <v>6287</v>
      </c>
      <c r="G2245" s="338" t="s">
        <v>5946</v>
      </c>
      <c r="H2245" s="613">
        <v>0.8</v>
      </c>
      <c r="I2245" s="426">
        <v>700000</v>
      </c>
      <c r="J2245" s="574">
        <v>45282</v>
      </c>
      <c r="K2245" s="574">
        <v>45648</v>
      </c>
      <c r="L2245" s="651">
        <v>0.4</v>
      </c>
      <c r="M2245" s="574">
        <v>45747</v>
      </c>
      <c r="N2245" s="575">
        <v>704038.62</v>
      </c>
      <c r="O2245" s="575">
        <v>697623.25</v>
      </c>
      <c r="P2245" s="575">
        <v>558098.6</v>
      </c>
      <c r="Q2245" s="575">
        <v>563230.9</v>
      </c>
      <c r="R2245" s="574">
        <v>45877</v>
      </c>
      <c r="S2245" s="575">
        <v>279049.3</v>
      </c>
      <c r="T2245" s="643">
        <v>45887</v>
      </c>
      <c r="U2245" s="650">
        <v>45901</v>
      </c>
      <c r="V2245" s="575">
        <v>139524.65</v>
      </c>
      <c r="W2245" s="576" t="s">
        <v>6724</v>
      </c>
      <c r="X2245" s="575">
        <v>139524.65</v>
      </c>
      <c r="Y2245" s="653"/>
    </row>
    <row r="2246" s="95" customFormat="1" ht="37.5" customHeight="1" spans="1:25">
      <c r="A2246" s="467">
        <f t="shared" si="48"/>
        <v>2236</v>
      </c>
      <c r="B2246" s="548">
        <v>2025</v>
      </c>
      <c r="C2246" s="548" t="s">
        <v>28</v>
      </c>
      <c r="D2246" s="652" t="s">
        <v>627</v>
      </c>
      <c r="E2246" s="424" t="s">
        <v>6725</v>
      </c>
      <c r="F2246" s="642" t="s">
        <v>6287</v>
      </c>
      <c r="G2246" s="338" t="s">
        <v>5946</v>
      </c>
      <c r="H2246" s="613">
        <v>1</v>
      </c>
      <c r="I2246" s="426">
        <v>800000</v>
      </c>
      <c r="J2246" s="574">
        <v>45268</v>
      </c>
      <c r="K2246" s="574">
        <v>45604</v>
      </c>
      <c r="L2246" s="651">
        <v>0.4</v>
      </c>
      <c r="M2246" s="574">
        <v>45747</v>
      </c>
      <c r="N2246" s="575">
        <v>750261.13</v>
      </c>
      <c r="O2246" s="575">
        <v>730000</v>
      </c>
      <c r="P2246" s="575">
        <v>730000</v>
      </c>
      <c r="Q2246" s="575">
        <v>750261.13</v>
      </c>
      <c r="R2246" s="574">
        <v>45888</v>
      </c>
      <c r="S2246" s="575">
        <v>292000</v>
      </c>
      <c r="T2246" s="643">
        <v>45897</v>
      </c>
      <c r="U2246" s="650">
        <v>45902</v>
      </c>
      <c r="V2246" s="575">
        <v>146000</v>
      </c>
      <c r="W2246" s="576" t="s">
        <v>6726</v>
      </c>
      <c r="X2246" s="575">
        <v>146000</v>
      </c>
      <c r="Y2246" s="655"/>
    </row>
    <row r="2247" s="95" customFormat="1" ht="37.5" customHeight="1" spans="1:25">
      <c r="A2247" s="467">
        <f t="shared" si="48"/>
        <v>2237</v>
      </c>
      <c r="B2247" s="548">
        <v>2025</v>
      </c>
      <c r="C2247" s="548" t="s">
        <v>37</v>
      </c>
      <c r="D2247" s="652" t="s">
        <v>6618</v>
      </c>
      <c r="E2247" s="1253" t="s">
        <v>6727</v>
      </c>
      <c r="F2247" s="642" t="s">
        <v>1095</v>
      </c>
      <c r="G2247" s="338" t="s">
        <v>1199</v>
      </c>
      <c r="H2247" s="613">
        <v>0.8</v>
      </c>
      <c r="I2247" s="426">
        <v>656043</v>
      </c>
      <c r="J2247" s="574">
        <v>45195</v>
      </c>
      <c r="K2247" s="574">
        <v>45924</v>
      </c>
      <c r="L2247" s="651">
        <v>0.2</v>
      </c>
      <c r="M2247" s="574">
        <v>45737</v>
      </c>
      <c r="N2247" s="575">
        <v>398866.56</v>
      </c>
      <c r="O2247" s="575">
        <v>398866.56</v>
      </c>
      <c r="P2247" s="575">
        <v>319093.25</v>
      </c>
      <c r="Q2247" s="575">
        <v>319093.25</v>
      </c>
      <c r="R2247" s="574">
        <v>45873</v>
      </c>
      <c r="S2247" s="575">
        <v>79773.31</v>
      </c>
      <c r="T2247" s="643">
        <v>45877</v>
      </c>
      <c r="U2247" s="650"/>
      <c r="V2247" s="575"/>
      <c r="W2247" s="576"/>
      <c r="X2247" s="658"/>
      <c r="Y2247" s="655" t="s">
        <v>1077</v>
      </c>
    </row>
    <row r="2248" s="95" customFormat="1" ht="37.5" customHeight="1" spans="1:25">
      <c r="A2248" s="467">
        <f t="shared" si="48"/>
        <v>2238</v>
      </c>
      <c r="B2248" s="548">
        <v>2025</v>
      </c>
      <c r="C2248" s="548" t="s">
        <v>28</v>
      </c>
      <c r="D2248" s="652" t="s">
        <v>568</v>
      </c>
      <c r="E2248" s="424" t="s">
        <v>6728</v>
      </c>
      <c r="F2248" s="642" t="s">
        <v>6729</v>
      </c>
      <c r="G2248" s="338" t="s">
        <v>5943</v>
      </c>
      <c r="H2248" s="613">
        <v>0.8</v>
      </c>
      <c r="I2248" s="426">
        <v>500000</v>
      </c>
      <c r="J2248" s="574">
        <v>45288</v>
      </c>
      <c r="K2248" s="574">
        <v>46383</v>
      </c>
      <c r="L2248" s="651">
        <v>0.4</v>
      </c>
      <c r="M2248" s="574">
        <v>45750</v>
      </c>
      <c r="N2248" s="575">
        <v>505365.26</v>
      </c>
      <c r="O2248" s="575">
        <v>500000</v>
      </c>
      <c r="P2248" s="575">
        <v>400000</v>
      </c>
      <c r="Q2248" s="575">
        <v>404292.21</v>
      </c>
      <c r="R2248" s="574">
        <v>45877</v>
      </c>
      <c r="S2248" s="575">
        <v>200000</v>
      </c>
      <c r="T2248" s="643">
        <v>45887</v>
      </c>
      <c r="U2248" s="650">
        <v>45887</v>
      </c>
      <c r="V2248" s="575">
        <v>100000</v>
      </c>
      <c r="W2248" s="576" t="s">
        <v>6724</v>
      </c>
      <c r="X2248" s="575">
        <v>100000</v>
      </c>
      <c r="Y2248" s="653"/>
    </row>
    <row r="2249" s="95" customFormat="1" ht="37.5" customHeight="1" spans="1:25">
      <c r="A2249" s="467">
        <f t="shared" si="48"/>
        <v>2239</v>
      </c>
      <c r="B2249" s="548">
        <v>2025</v>
      </c>
      <c r="C2249" s="548" t="s">
        <v>15</v>
      </c>
      <c r="D2249" s="652" t="s">
        <v>622</v>
      </c>
      <c r="E2249" s="424" t="s">
        <v>6730</v>
      </c>
      <c r="F2249" s="642" t="s">
        <v>1174</v>
      </c>
      <c r="G2249" s="338" t="s">
        <v>5943</v>
      </c>
      <c r="H2249" s="613">
        <v>0.8</v>
      </c>
      <c r="I2249" s="426">
        <v>830000</v>
      </c>
      <c r="J2249" s="574">
        <v>45293</v>
      </c>
      <c r="K2249" s="574">
        <v>45658</v>
      </c>
      <c r="L2249" s="651">
        <v>0.4</v>
      </c>
      <c r="M2249" s="574">
        <v>45744</v>
      </c>
      <c r="N2249" s="575">
        <v>828349.14</v>
      </c>
      <c r="O2249" s="575">
        <v>827196.46</v>
      </c>
      <c r="P2249" s="575">
        <v>661757.17</v>
      </c>
      <c r="Q2249" s="575">
        <v>662679.31</v>
      </c>
      <c r="R2249" s="574">
        <v>45889</v>
      </c>
      <c r="S2249" s="575">
        <v>330878.58</v>
      </c>
      <c r="T2249" s="643">
        <v>45897</v>
      </c>
      <c r="U2249" s="650">
        <v>45902</v>
      </c>
      <c r="V2249" s="575">
        <v>165439.29</v>
      </c>
      <c r="W2249" s="576" t="s">
        <v>6724</v>
      </c>
      <c r="X2249" s="575">
        <v>165439.29</v>
      </c>
      <c r="Y2249" s="653"/>
    </row>
    <row r="2250" s="95" customFormat="1" ht="37.5" customHeight="1" spans="1:25">
      <c r="A2250" s="467">
        <f t="shared" si="48"/>
        <v>2240</v>
      </c>
      <c r="B2250" s="548">
        <v>2025</v>
      </c>
      <c r="C2250" s="548" t="s">
        <v>79</v>
      </c>
      <c r="D2250" s="652" t="s">
        <v>6618</v>
      </c>
      <c r="E2250" s="1253" t="s">
        <v>6731</v>
      </c>
      <c r="F2250" s="642" t="s">
        <v>1095</v>
      </c>
      <c r="G2250" s="338" t="s">
        <v>5943</v>
      </c>
      <c r="H2250" s="613">
        <v>0.8</v>
      </c>
      <c r="I2250" s="426">
        <v>100000</v>
      </c>
      <c r="J2250" s="574">
        <v>45497</v>
      </c>
      <c r="K2250" s="574">
        <v>46227</v>
      </c>
      <c r="L2250" s="651">
        <v>0.4</v>
      </c>
      <c r="M2250" s="574">
        <v>45735</v>
      </c>
      <c r="N2250" s="575">
        <v>19523</v>
      </c>
      <c r="O2250" s="575">
        <v>19523</v>
      </c>
      <c r="P2250" s="575">
        <v>15618.4</v>
      </c>
      <c r="Q2250" s="575">
        <v>15618.4</v>
      </c>
      <c r="R2250" s="574">
        <v>45876</v>
      </c>
      <c r="S2250" s="575">
        <v>7809.2</v>
      </c>
      <c r="T2250" s="643">
        <v>45887</v>
      </c>
      <c r="U2250" s="650">
        <v>45901</v>
      </c>
      <c r="V2250" s="575">
        <v>3904.6</v>
      </c>
      <c r="W2250" s="576" t="s">
        <v>6724</v>
      </c>
      <c r="X2250" s="575">
        <v>3904.6</v>
      </c>
      <c r="Y2250" s="653"/>
    </row>
    <row r="2251" s="95" customFormat="1" ht="37.5" customHeight="1" spans="1:25">
      <c r="A2251" s="467">
        <f t="shared" si="48"/>
        <v>2241</v>
      </c>
      <c r="B2251" s="548">
        <v>2025</v>
      </c>
      <c r="C2251" s="548" t="s">
        <v>79</v>
      </c>
      <c r="D2251" s="652" t="s">
        <v>6732</v>
      </c>
      <c r="E2251" s="1253" t="s">
        <v>6733</v>
      </c>
      <c r="F2251" s="642" t="s">
        <v>1095</v>
      </c>
      <c r="G2251" s="338" t="s">
        <v>5943</v>
      </c>
      <c r="H2251" s="613">
        <v>0.8</v>
      </c>
      <c r="I2251" s="426">
        <v>100000</v>
      </c>
      <c r="J2251" s="574">
        <v>45343</v>
      </c>
      <c r="K2251" s="574">
        <v>46081</v>
      </c>
      <c r="L2251" s="651">
        <v>0.4</v>
      </c>
      <c r="M2251" s="574">
        <v>45735</v>
      </c>
      <c r="N2251" s="575">
        <v>71428.6</v>
      </c>
      <c r="O2251" s="575">
        <v>71428.6</v>
      </c>
      <c r="P2251" s="575">
        <v>57142.88</v>
      </c>
      <c r="Q2251" s="575">
        <v>57142.88</v>
      </c>
      <c r="R2251" s="574">
        <v>45876</v>
      </c>
      <c r="S2251" s="575">
        <v>28571.44</v>
      </c>
      <c r="T2251" s="643">
        <v>45887</v>
      </c>
      <c r="U2251" s="650">
        <v>45901</v>
      </c>
      <c r="V2251" s="575">
        <v>14285.72</v>
      </c>
      <c r="W2251" s="576" t="s">
        <v>6724</v>
      </c>
      <c r="X2251" s="575">
        <v>14285.72</v>
      </c>
      <c r="Y2251" s="653"/>
    </row>
    <row r="2252" s="95" customFormat="1" ht="37.5" customHeight="1" spans="1:25">
      <c r="A2252" s="467">
        <f t="shared" si="48"/>
        <v>2242</v>
      </c>
      <c r="B2252" s="548">
        <v>2025</v>
      </c>
      <c r="C2252" s="548" t="s">
        <v>79</v>
      </c>
      <c r="D2252" s="652" t="s">
        <v>6732</v>
      </c>
      <c r="E2252" s="1253" t="s">
        <v>6734</v>
      </c>
      <c r="F2252" s="642" t="s">
        <v>1095</v>
      </c>
      <c r="G2252" s="338" t="s">
        <v>1072</v>
      </c>
      <c r="H2252" s="613">
        <v>0.8</v>
      </c>
      <c r="I2252" s="426">
        <v>120000</v>
      </c>
      <c r="J2252" s="574">
        <v>45406</v>
      </c>
      <c r="K2252" s="574">
        <v>46140</v>
      </c>
      <c r="L2252" s="651">
        <v>0.4</v>
      </c>
      <c r="M2252" s="574">
        <v>45735</v>
      </c>
      <c r="N2252" s="575">
        <v>97142.88</v>
      </c>
      <c r="O2252" s="575">
        <v>97142.88</v>
      </c>
      <c r="P2252" s="575">
        <v>77714.31</v>
      </c>
      <c r="Q2252" s="575">
        <v>77714.31</v>
      </c>
      <c r="R2252" s="574">
        <v>45876</v>
      </c>
      <c r="S2252" s="575">
        <v>38857.15</v>
      </c>
      <c r="T2252" s="643">
        <v>45887</v>
      </c>
      <c r="U2252" s="650">
        <v>45901</v>
      </c>
      <c r="V2252" s="575">
        <v>19428.576</v>
      </c>
      <c r="W2252" s="576" t="s">
        <v>6724</v>
      </c>
      <c r="X2252" s="575">
        <v>19428.576</v>
      </c>
      <c r="Y2252" s="653"/>
    </row>
    <row r="2253" s="95" customFormat="1" ht="37.5" customHeight="1" spans="1:25">
      <c r="A2253" s="467">
        <f t="shared" si="48"/>
        <v>2243</v>
      </c>
      <c r="B2253" s="548">
        <v>2025</v>
      </c>
      <c r="C2253" s="548" t="s">
        <v>79</v>
      </c>
      <c r="D2253" s="652" t="s">
        <v>6735</v>
      </c>
      <c r="E2253" s="1253" t="s">
        <v>6736</v>
      </c>
      <c r="F2253" s="642" t="s">
        <v>1095</v>
      </c>
      <c r="G2253" s="338" t="s">
        <v>1072</v>
      </c>
      <c r="H2253" s="613">
        <v>0.8</v>
      </c>
      <c r="I2253" s="426">
        <v>100000</v>
      </c>
      <c r="J2253" s="574">
        <v>45375</v>
      </c>
      <c r="K2253" s="574">
        <v>46105</v>
      </c>
      <c r="L2253" s="651">
        <v>0.4</v>
      </c>
      <c r="M2253" s="574">
        <v>45735</v>
      </c>
      <c r="N2253" s="575">
        <v>66349.12</v>
      </c>
      <c r="O2253" s="575">
        <v>66349.12</v>
      </c>
      <c r="P2253" s="575">
        <v>53079.3</v>
      </c>
      <c r="Q2253" s="575">
        <v>53079.3</v>
      </c>
      <c r="R2253" s="574">
        <v>45876</v>
      </c>
      <c r="S2253" s="575">
        <v>26539.65</v>
      </c>
      <c r="T2253" s="643">
        <v>45887</v>
      </c>
      <c r="U2253" s="650">
        <v>45901</v>
      </c>
      <c r="V2253" s="575">
        <v>13269.824</v>
      </c>
      <c r="W2253" s="576" t="s">
        <v>6724</v>
      </c>
      <c r="X2253" s="575">
        <v>13269.824</v>
      </c>
      <c r="Y2253" s="653"/>
    </row>
    <row r="2254" s="95" customFormat="1" ht="37.5" customHeight="1" spans="1:25">
      <c r="A2254" s="467">
        <f t="shared" si="48"/>
        <v>2244</v>
      </c>
      <c r="B2254" s="548">
        <v>2025</v>
      </c>
      <c r="C2254" s="548" t="s">
        <v>79</v>
      </c>
      <c r="D2254" s="652" t="s">
        <v>6737</v>
      </c>
      <c r="E2254" s="1253" t="s">
        <v>6738</v>
      </c>
      <c r="F2254" s="642" t="s">
        <v>1095</v>
      </c>
      <c r="G2254" s="338" t="s">
        <v>1072</v>
      </c>
      <c r="H2254" s="613">
        <v>0.8</v>
      </c>
      <c r="I2254" s="426">
        <v>250000</v>
      </c>
      <c r="J2254" s="574">
        <v>45441</v>
      </c>
      <c r="K2254" s="574">
        <v>46181</v>
      </c>
      <c r="L2254" s="651">
        <v>0.4</v>
      </c>
      <c r="M2254" s="574">
        <v>45735</v>
      </c>
      <c r="N2254" s="575">
        <v>47619.05</v>
      </c>
      <c r="O2254" s="575">
        <v>47619.05</v>
      </c>
      <c r="P2254" s="575">
        <v>38095.24</v>
      </c>
      <c r="Q2254" s="575">
        <v>38095.24</v>
      </c>
      <c r="R2254" s="574">
        <v>45876</v>
      </c>
      <c r="S2254" s="575">
        <v>19047.62</v>
      </c>
      <c r="T2254" s="643">
        <v>45887</v>
      </c>
      <c r="U2254" s="650">
        <v>45901</v>
      </c>
      <c r="V2254" s="575">
        <v>9523.81</v>
      </c>
      <c r="W2254" s="576" t="s">
        <v>6724</v>
      </c>
      <c r="X2254" s="575">
        <v>9523.81</v>
      </c>
      <c r="Y2254" s="653"/>
    </row>
    <row r="2255" s="95" customFormat="1" ht="37.5" customHeight="1" spans="1:25">
      <c r="A2255" s="467">
        <f t="shared" si="48"/>
        <v>2245</v>
      </c>
      <c r="B2255" s="548">
        <v>2025</v>
      </c>
      <c r="C2255" s="548" t="s">
        <v>79</v>
      </c>
      <c r="D2255" s="652" t="s">
        <v>6739</v>
      </c>
      <c r="E2255" s="1253" t="s">
        <v>6740</v>
      </c>
      <c r="F2255" s="642" t="s">
        <v>1095</v>
      </c>
      <c r="G2255" s="338" t="s">
        <v>1072</v>
      </c>
      <c r="H2255" s="613">
        <v>0.8</v>
      </c>
      <c r="I2255" s="426">
        <v>110000</v>
      </c>
      <c r="J2255" s="574">
        <v>45457</v>
      </c>
      <c r="K2255" s="574">
        <v>46187</v>
      </c>
      <c r="L2255" s="651">
        <v>0.4</v>
      </c>
      <c r="M2255" s="574">
        <v>45735</v>
      </c>
      <c r="N2255" s="575">
        <v>104761.9</v>
      </c>
      <c r="O2255" s="575">
        <v>104761.9</v>
      </c>
      <c r="P2255" s="575">
        <v>83809.52</v>
      </c>
      <c r="Q2255" s="575">
        <v>83809.52</v>
      </c>
      <c r="R2255" s="574">
        <v>45876</v>
      </c>
      <c r="S2255" s="575">
        <v>41904.76</v>
      </c>
      <c r="T2255" s="643">
        <v>45887</v>
      </c>
      <c r="U2255" s="650">
        <v>45901</v>
      </c>
      <c r="V2255" s="575">
        <v>20952.38</v>
      </c>
      <c r="W2255" s="576" t="s">
        <v>6724</v>
      </c>
      <c r="X2255" s="575">
        <v>20952.38</v>
      </c>
      <c r="Y2255" s="653"/>
    </row>
    <row r="2256" s="95" customFormat="1" ht="37.5" customHeight="1" spans="1:25">
      <c r="A2256" s="467">
        <f t="shared" si="48"/>
        <v>2246</v>
      </c>
      <c r="B2256" s="548">
        <v>2025</v>
      </c>
      <c r="C2256" s="548" t="s">
        <v>79</v>
      </c>
      <c r="D2256" s="652" t="s">
        <v>6737</v>
      </c>
      <c r="E2256" s="1253" t="s">
        <v>6741</v>
      </c>
      <c r="F2256" s="642" t="s">
        <v>1095</v>
      </c>
      <c r="G2256" s="338" t="s">
        <v>1072</v>
      </c>
      <c r="H2256" s="613">
        <v>0.8</v>
      </c>
      <c r="I2256" s="426">
        <v>100000</v>
      </c>
      <c r="J2256" s="574">
        <v>45460</v>
      </c>
      <c r="K2256" s="574">
        <v>46181</v>
      </c>
      <c r="L2256" s="651">
        <v>0.4</v>
      </c>
      <c r="M2256" s="574">
        <v>45735</v>
      </c>
      <c r="N2256" s="575">
        <v>41666.68</v>
      </c>
      <c r="O2256" s="575">
        <v>41666.68</v>
      </c>
      <c r="P2256" s="575">
        <v>33333.34</v>
      </c>
      <c r="Q2256" s="575">
        <v>33333.34</v>
      </c>
      <c r="R2256" s="574">
        <v>45876</v>
      </c>
      <c r="S2256" s="575">
        <v>16666.67</v>
      </c>
      <c r="T2256" s="643">
        <v>45887</v>
      </c>
      <c r="U2256" s="650">
        <v>45901</v>
      </c>
      <c r="V2256" s="575">
        <v>8333.336</v>
      </c>
      <c r="W2256" s="576" t="s">
        <v>6724</v>
      </c>
      <c r="X2256" s="575">
        <v>8333.336</v>
      </c>
      <c r="Y2256" s="653"/>
    </row>
    <row r="2257" s="95" customFormat="1" ht="37.5" customHeight="1" spans="1:25">
      <c r="A2257" s="467">
        <f t="shared" si="48"/>
        <v>2247</v>
      </c>
      <c r="B2257" s="548">
        <v>2025</v>
      </c>
      <c r="C2257" s="548" t="s">
        <v>79</v>
      </c>
      <c r="D2257" s="652" t="s">
        <v>6739</v>
      </c>
      <c r="E2257" s="1253" t="s">
        <v>6742</v>
      </c>
      <c r="F2257" s="642" t="s">
        <v>1095</v>
      </c>
      <c r="G2257" s="338" t="s">
        <v>1072</v>
      </c>
      <c r="H2257" s="613">
        <v>0.8</v>
      </c>
      <c r="I2257" s="426">
        <v>770000</v>
      </c>
      <c r="J2257" s="574">
        <v>45426</v>
      </c>
      <c r="K2257" s="574">
        <v>46156</v>
      </c>
      <c r="L2257" s="651">
        <v>0.4</v>
      </c>
      <c r="M2257" s="574">
        <v>45735</v>
      </c>
      <c r="N2257" s="575">
        <v>171904.76</v>
      </c>
      <c r="O2257" s="575">
        <v>171904.76</v>
      </c>
      <c r="P2257" s="575">
        <v>137523.81</v>
      </c>
      <c r="Q2257" s="575">
        <v>137523.81</v>
      </c>
      <c r="R2257" s="574">
        <v>45876</v>
      </c>
      <c r="S2257" s="575">
        <v>68761.9</v>
      </c>
      <c r="T2257" s="643">
        <v>45887</v>
      </c>
      <c r="U2257" s="650">
        <v>45901</v>
      </c>
      <c r="V2257" s="575">
        <v>34380.952</v>
      </c>
      <c r="W2257" s="576" t="s">
        <v>6724</v>
      </c>
      <c r="X2257" s="575">
        <v>34380.952</v>
      </c>
      <c r="Y2257" s="653"/>
    </row>
    <row r="2258" s="95" customFormat="1" ht="37.5" customHeight="1" spans="1:25">
      <c r="A2258" s="467">
        <f t="shared" ref="A2258:A2270" si="49">ROW()-10</f>
        <v>2248</v>
      </c>
      <c r="B2258" s="548">
        <v>2025</v>
      </c>
      <c r="C2258" s="548" t="s">
        <v>37</v>
      </c>
      <c r="D2258" s="652" t="s">
        <v>609</v>
      </c>
      <c r="E2258" s="1253" t="s">
        <v>6743</v>
      </c>
      <c r="F2258" s="642" t="s">
        <v>6744</v>
      </c>
      <c r="G2258" s="338" t="s">
        <v>1188</v>
      </c>
      <c r="H2258" s="613">
        <v>1</v>
      </c>
      <c r="I2258" s="426">
        <v>1600000</v>
      </c>
      <c r="J2258" s="574">
        <v>45329</v>
      </c>
      <c r="K2258" s="574">
        <v>45691</v>
      </c>
      <c r="L2258" s="651">
        <v>0.4</v>
      </c>
      <c r="M2258" s="574">
        <v>45712</v>
      </c>
      <c r="N2258" s="575">
        <v>1614073.34</v>
      </c>
      <c r="O2258" s="575">
        <v>1600000</v>
      </c>
      <c r="P2258" s="575">
        <v>1600000</v>
      </c>
      <c r="Q2258" s="575">
        <v>1614073.34</v>
      </c>
      <c r="R2258" s="574">
        <v>45880</v>
      </c>
      <c r="S2258" s="575">
        <v>640000</v>
      </c>
      <c r="T2258" s="643">
        <v>45887</v>
      </c>
      <c r="U2258" s="650">
        <v>45888</v>
      </c>
      <c r="V2258" s="575">
        <v>320000</v>
      </c>
      <c r="W2258" s="576" t="s">
        <v>6745</v>
      </c>
      <c r="X2258" s="575">
        <v>320000</v>
      </c>
      <c r="Y2258" s="653"/>
    </row>
    <row r="2259" s="95" customFormat="1" ht="37.5" customHeight="1" spans="1:25">
      <c r="A2259" s="467">
        <f t="shared" si="49"/>
        <v>2249</v>
      </c>
      <c r="B2259" s="548">
        <v>2025</v>
      </c>
      <c r="C2259" s="548" t="s">
        <v>127</v>
      </c>
      <c r="D2259" s="652" t="s">
        <v>516</v>
      </c>
      <c r="E2259" s="424" t="s">
        <v>6746</v>
      </c>
      <c r="F2259" s="642" t="s">
        <v>1182</v>
      </c>
      <c r="G2259" s="338" t="s">
        <v>6747</v>
      </c>
      <c r="H2259" s="613">
        <v>0.8</v>
      </c>
      <c r="I2259" s="426">
        <v>30000</v>
      </c>
      <c r="J2259" s="574">
        <v>44906</v>
      </c>
      <c r="K2259" s="574">
        <v>45636</v>
      </c>
      <c r="L2259" s="651">
        <v>0.4</v>
      </c>
      <c r="M2259" s="574">
        <v>45729</v>
      </c>
      <c r="N2259" s="575">
        <v>26541.35</v>
      </c>
      <c r="O2259" s="575">
        <v>26024.49</v>
      </c>
      <c r="P2259" s="575">
        <v>20819.59</v>
      </c>
      <c r="Q2259" s="575">
        <v>21233.08</v>
      </c>
      <c r="R2259" s="574">
        <v>45877</v>
      </c>
      <c r="S2259" s="575">
        <v>10409.8</v>
      </c>
      <c r="T2259" s="643">
        <v>45887</v>
      </c>
      <c r="U2259" s="650">
        <v>45901</v>
      </c>
      <c r="V2259" s="575">
        <v>5204.9</v>
      </c>
      <c r="W2259" s="576" t="s">
        <v>6748</v>
      </c>
      <c r="X2259" s="575">
        <v>5204.9</v>
      </c>
      <c r="Y2259" s="653"/>
    </row>
    <row r="2260" s="95" customFormat="1" ht="37.5" customHeight="1" spans="1:25">
      <c r="A2260" s="467">
        <f t="shared" si="49"/>
        <v>2250</v>
      </c>
      <c r="B2260" s="548">
        <v>2025</v>
      </c>
      <c r="C2260" s="548" t="s">
        <v>15</v>
      </c>
      <c r="D2260" s="652" t="s">
        <v>664</v>
      </c>
      <c r="E2260" s="424" t="s">
        <v>6749</v>
      </c>
      <c r="F2260" s="642" t="s">
        <v>1131</v>
      </c>
      <c r="G2260" s="338" t="s">
        <v>6288</v>
      </c>
      <c r="H2260" s="613">
        <v>0.8</v>
      </c>
      <c r="I2260" s="426">
        <v>260000</v>
      </c>
      <c r="J2260" s="574">
        <v>45223</v>
      </c>
      <c r="K2260" s="574">
        <v>45588</v>
      </c>
      <c r="L2260" s="651">
        <v>0.2</v>
      </c>
      <c r="M2260" s="574">
        <v>45761</v>
      </c>
      <c r="N2260" s="575">
        <v>259871.66</v>
      </c>
      <c r="O2260" s="575">
        <v>259871.66</v>
      </c>
      <c r="P2260" s="575">
        <v>207897.33</v>
      </c>
      <c r="Q2260" s="575">
        <v>207897.33</v>
      </c>
      <c r="R2260" s="574">
        <v>45888</v>
      </c>
      <c r="S2260" s="575">
        <v>51974.33</v>
      </c>
      <c r="T2260" s="643">
        <v>45877</v>
      </c>
      <c r="U2260" s="650"/>
      <c r="V2260" s="575"/>
      <c r="W2260" s="576"/>
      <c r="X2260" s="658"/>
      <c r="Y2260" s="655" t="s">
        <v>1077</v>
      </c>
    </row>
    <row r="2261" s="95" customFormat="1" ht="37.5" customHeight="1" spans="1:25">
      <c r="A2261" s="467">
        <f t="shared" si="49"/>
        <v>2251</v>
      </c>
      <c r="B2261" s="548">
        <v>2025</v>
      </c>
      <c r="C2261" s="548" t="s">
        <v>15</v>
      </c>
      <c r="D2261" s="652" t="s">
        <v>665</v>
      </c>
      <c r="E2261" s="424" t="s">
        <v>6750</v>
      </c>
      <c r="F2261" s="642" t="s">
        <v>1109</v>
      </c>
      <c r="G2261" s="338" t="s">
        <v>5943</v>
      </c>
      <c r="H2261" s="613">
        <v>0.8</v>
      </c>
      <c r="I2261" s="426">
        <v>310000</v>
      </c>
      <c r="J2261" s="574">
        <v>45313</v>
      </c>
      <c r="K2261" s="574">
        <v>45678</v>
      </c>
      <c r="L2261" s="651">
        <v>0.4</v>
      </c>
      <c r="M2261" s="574">
        <v>45763</v>
      </c>
      <c r="N2261" s="575">
        <v>309749.45</v>
      </c>
      <c r="O2261" s="575">
        <v>309749.45</v>
      </c>
      <c r="P2261" s="575">
        <v>247799.56</v>
      </c>
      <c r="Q2261" s="575">
        <v>247799.56</v>
      </c>
      <c r="R2261" s="574">
        <v>45889</v>
      </c>
      <c r="S2261" s="575">
        <v>123899.78</v>
      </c>
      <c r="T2261" s="643">
        <v>45897</v>
      </c>
      <c r="U2261" s="650">
        <v>45902</v>
      </c>
      <c r="V2261" s="575">
        <v>61949.89</v>
      </c>
      <c r="W2261" s="576" t="s">
        <v>6748</v>
      </c>
      <c r="X2261" s="575">
        <v>61949.89</v>
      </c>
      <c r="Y2261" s="653"/>
    </row>
    <row r="2262" s="95" customFormat="1" ht="37.5" customHeight="1" spans="1:25">
      <c r="A2262" s="467">
        <f t="shared" si="49"/>
        <v>2252</v>
      </c>
      <c r="B2262" s="548">
        <v>2025</v>
      </c>
      <c r="C2262" s="548" t="s">
        <v>31</v>
      </c>
      <c r="D2262" s="652" t="s">
        <v>573</v>
      </c>
      <c r="E2262" s="424" t="s">
        <v>6751</v>
      </c>
      <c r="F2262" s="642" t="s">
        <v>6752</v>
      </c>
      <c r="G2262" s="338" t="s">
        <v>5943</v>
      </c>
      <c r="H2262" s="613">
        <v>0.8</v>
      </c>
      <c r="I2262" s="426">
        <v>1500000</v>
      </c>
      <c r="J2262" s="574">
        <v>45309</v>
      </c>
      <c r="K2262" s="574">
        <v>45675</v>
      </c>
      <c r="L2262" s="651">
        <v>0.4</v>
      </c>
      <c r="M2262" s="574">
        <v>45762</v>
      </c>
      <c r="N2262" s="575">
        <v>1505165.73</v>
      </c>
      <c r="O2262" s="575">
        <v>1500000</v>
      </c>
      <c r="P2262" s="575">
        <v>1200000</v>
      </c>
      <c r="Q2262" s="575">
        <v>1204132.58</v>
      </c>
      <c r="R2262" s="574">
        <v>45901</v>
      </c>
      <c r="S2262" s="575">
        <v>600000</v>
      </c>
      <c r="T2262" s="643">
        <v>45904</v>
      </c>
      <c r="U2262" s="650">
        <v>45918</v>
      </c>
      <c r="V2262" s="575">
        <v>300000</v>
      </c>
      <c r="W2262" s="576" t="s">
        <v>6753</v>
      </c>
      <c r="X2262" s="575">
        <v>300000</v>
      </c>
      <c r="Y2262" s="653"/>
    </row>
    <row r="2263" s="95" customFormat="1" ht="37.5" customHeight="1" spans="1:25">
      <c r="A2263" s="467">
        <f t="shared" si="49"/>
        <v>2253</v>
      </c>
      <c r="B2263" s="548">
        <v>2025</v>
      </c>
      <c r="C2263" s="548" t="s">
        <v>31</v>
      </c>
      <c r="D2263" s="652" t="s">
        <v>606</v>
      </c>
      <c r="E2263" s="424" t="s">
        <v>6754</v>
      </c>
      <c r="F2263" s="642" t="s">
        <v>1211</v>
      </c>
      <c r="G2263" s="338" t="s">
        <v>5982</v>
      </c>
      <c r="H2263" s="613">
        <v>0.8</v>
      </c>
      <c r="I2263" s="426">
        <v>100000</v>
      </c>
      <c r="J2263" s="574">
        <v>44992</v>
      </c>
      <c r="K2263" s="574">
        <v>45723</v>
      </c>
      <c r="L2263" s="651">
        <v>0.4</v>
      </c>
      <c r="M2263" s="574">
        <v>45763</v>
      </c>
      <c r="N2263" s="575">
        <v>101540.39</v>
      </c>
      <c r="O2263" s="575">
        <v>100000</v>
      </c>
      <c r="P2263" s="575">
        <v>80000</v>
      </c>
      <c r="Q2263" s="575">
        <v>81232.31</v>
      </c>
      <c r="R2263" s="574">
        <v>45890</v>
      </c>
      <c r="S2263" s="575">
        <v>40616.16</v>
      </c>
      <c r="T2263" s="643">
        <v>45897</v>
      </c>
      <c r="U2263" s="650">
        <v>45902</v>
      </c>
      <c r="V2263" s="575">
        <v>20000</v>
      </c>
      <c r="W2263" s="576" t="s">
        <v>6748</v>
      </c>
      <c r="X2263" s="575">
        <v>20000</v>
      </c>
      <c r="Y2263" s="653"/>
    </row>
    <row r="2264" s="95" customFormat="1" ht="37.5" customHeight="1" spans="1:25">
      <c r="A2264" s="467">
        <f t="shared" si="49"/>
        <v>2254</v>
      </c>
      <c r="B2264" s="548">
        <v>2025</v>
      </c>
      <c r="C2264" s="548" t="s">
        <v>15</v>
      </c>
      <c r="D2264" s="652" t="s">
        <v>668</v>
      </c>
      <c r="E2264" s="424" t="s">
        <v>6755</v>
      </c>
      <c r="F2264" s="642" t="s">
        <v>1148</v>
      </c>
      <c r="G2264" s="338" t="s">
        <v>5943</v>
      </c>
      <c r="H2264" s="613">
        <v>0.8</v>
      </c>
      <c r="I2264" s="426">
        <v>850000</v>
      </c>
      <c r="J2264" s="574">
        <v>45314</v>
      </c>
      <c r="K2264" s="574">
        <v>45679</v>
      </c>
      <c r="L2264" s="651">
        <v>0.4</v>
      </c>
      <c r="M2264" s="574">
        <v>45768</v>
      </c>
      <c r="N2264" s="575">
        <v>856335.06</v>
      </c>
      <c r="O2264" s="575">
        <v>850000</v>
      </c>
      <c r="P2264" s="575">
        <v>680000</v>
      </c>
      <c r="Q2264" s="575">
        <v>685068.05</v>
      </c>
      <c r="R2264" s="574">
        <v>45894</v>
      </c>
      <c r="S2264" s="575">
        <v>340000</v>
      </c>
      <c r="T2264" s="643">
        <v>45908</v>
      </c>
      <c r="U2264" s="650">
        <v>45916</v>
      </c>
      <c r="V2264" s="575">
        <v>170000</v>
      </c>
      <c r="W2264" s="576" t="s">
        <v>6756</v>
      </c>
      <c r="X2264" s="575">
        <v>170000</v>
      </c>
      <c r="Y2264" s="653"/>
    </row>
    <row r="2265" s="95" customFormat="1" ht="37.5" customHeight="1" spans="1:25">
      <c r="A2265" s="467">
        <f t="shared" si="49"/>
        <v>2255</v>
      </c>
      <c r="B2265" s="548">
        <v>2025</v>
      </c>
      <c r="C2265" s="548" t="s">
        <v>15</v>
      </c>
      <c r="D2265" s="652" t="s">
        <v>629</v>
      </c>
      <c r="E2265" s="424" t="s">
        <v>6757</v>
      </c>
      <c r="F2265" s="642" t="s">
        <v>1240</v>
      </c>
      <c r="G2265" s="338" t="s">
        <v>5943</v>
      </c>
      <c r="H2265" s="613">
        <v>0.8</v>
      </c>
      <c r="I2265" s="426">
        <v>1000000</v>
      </c>
      <c r="J2265" s="574">
        <v>45324</v>
      </c>
      <c r="K2265" s="574">
        <v>45689</v>
      </c>
      <c r="L2265" s="651">
        <v>0.4</v>
      </c>
      <c r="M2265" s="574">
        <v>45764</v>
      </c>
      <c r="N2265" s="575">
        <v>1001740.46</v>
      </c>
      <c r="O2265" s="575">
        <v>1000000</v>
      </c>
      <c r="P2265" s="575">
        <v>800000</v>
      </c>
      <c r="Q2265" s="575">
        <v>801392.37</v>
      </c>
      <c r="R2265" s="574">
        <v>45894</v>
      </c>
      <c r="S2265" s="575">
        <v>400000</v>
      </c>
      <c r="T2265" s="643">
        <v>45908</v>
      </c>
      <c r="U2265" s="650">
        <v>45916</v>
      </c>
      <c r="V2265" s="575">
        <v>200000</v>
      </c>
      <c r="W2265" s="576" t="s">
        <v>6758</v>
      </c>
      <c r="X2265" s="575">
        <v>200000</v>
      </c>
      <c r="Y2265" s="653"/>
    </row>
    <row r="2266" s="95" customFormat="1" ht="37.5" customHeight="1" spans="1:25">
      <c r="A2266" s="467">
        <f t="shared" si="49"/>
        <v>2256</v>
      </c>
      <c r="B2266" s="548">
        <v>2025</v>
      </c>
      <c r="C2266" s="548" t="s">
        <v>15</v>
      </c>
      <c r="D2266" s="652" t="s">
        <v>667</v>
      </c>
      <c r="E2266" s="424" t="s">
        <v>6759</v>
      </c>
      <c r="F2266" s="642" t="s">
        <v>1194</v>
      </c>
      <c r="G2266" s="338" t="s">
        <v>5943</v>
      </c>
      <c r="H2266" s="613">
        <v>0.8</v>
      </c>
      <c r="I2266" s="426">
        <v>1500000</v>
      </c>
      <c r="J2266" s="574">
        <v>45314</v>
      </c>
      <c r="K2266" s="574">
        <v>45679</v>
      </c>
      <c r="L2266" s="651">
        <v>0.4</v>
      </c>
      <c r="M2266" s="574">
        <v>45768</v>
      </c>
      <c r="N2266" s="575">
        <v>1491115.74</v>
      </c>
      <c r="O2266" s="575">
        <v>1491115.74</v>
      </c>
      <c r="P2266" s="575">
        <v>1192892.59</v>
      </c>
      <c r="Q2266" s="575">
        <v>1192892.59</v>
      </c>
      <c r="R2266" s="574">
        <v>45912</v>
      </c>
      <c r="S2266" s="575">
        <v>596446.3</v>
      </c>
      <c r="T2266" s="643">
        <v>45916</v>
      </c>
      <c r="U2266" s="650">
        <v>45918</v>
      </c>
      <c r="V2266" s="575">
        <v>298223.15</v>
      </c>
      <c r="W2266" s="576" t="s">
        <v>6760</v>
      </c>
      <c r="X2266" s="575">
        <v>298223.15</v>
      </c>
      <c r="Y2266" s="653"/>
    </row>
    <row r="2267" s="95" customFormat="1" ht="37.5" customHeight="1" spans="1:25">
      <c r="A2267" s="467">
        <f t="shared" si="49"/>
        <v>2257</v>
      </c>
      <c r="B2267" s="548">
        <v>2025</v>
      </c>
      <c r="C2267" s="548" t="s">
        <v>28</v>
      </c>
      <c r="D2267" s="652" t="s">
        <v>587</v>
      </c>
      <c r="E2267" s="424" t="s">
        <v>6761</v>
      </c>
      <c r="F2267" s="642" t="s">
        <v>6729</v>
      </c>
      <c r="G2267" s="338" t="s">
        <v>6762</v>
      </c>
      <c r="H2267" s="613">
        <v>0.8</v>
      </c>
      <c r="I2267" s="426">
        <v>500000</v>
      </c>
      <c r="J2267" s="574">
        <v>45257</v>
      </c>
      <c r="K2267" s="574">
        <v>46352</v>
      </c>
      <c r="L2267" s="651">
        <v>0.4</v>
      </c>
      <c r="M2267" s="574">
        <v>45769</v>
      </c>
      <c r="N2267" s="575">
        <v>458315.03</v>
      </c>
      <c r="O2267" s="575">
        <v>453918.02</v>
      </c>
      <c r="P2267" s="575">
        <v>363134.42</v>
      </c>
      <c r="Q2267" s="575">
        <v>366652.03</v>
      </c>
      <c r="R2267" s="574">
        <v>45894</v>
      </c>
      <c r="S2267" s="575">
        <v>181567.21</v>
      </c>
      <c r="T2267" s="643">
        <v>45908</v>
      </c>
      <c r="U2267" s="650">
        <v>45916</v>
      </c>
      <c r="V2267" s="575">
        <v>90783.6</v>
      </c>
      <c r="W2267" s="576" t="s">
        <v>6756</v>
      </c>
      <c r="X2267" s="575">
        <v>90783.6</v>
      </c>
      <c r="Y2267" s="653"/>
    </row>
    <row r="2268" s="95" customFormat="1" ht="37.5" customHeight="1" spans="1:25">
      <c r="A2268" s="467">
        <f t="shared" si="49"/>
        <v>2258</v>
      </c>
      <c r="B2268" s="548">
        <v>2025</v>
      </c>
      <c r="C2268" s="548" t="s">
        <v>22</v>
      </c>
      <c r="D2268" s="652" t="s">
        <v>616</v>
      </c>
      <c r="E2268" s="424" t="s">
        <v>6763</v>
      </c>
      <c r="F2268" s="642" t="s">
        <v>6764</v>
      </c>
      <c r="G2268" s="338" t="s">
        <v>6537</v>
      </c>
      <c r="H2268" s="613">
        <v>0.8</v>
      </c>
      <c r="I2268" s="426">
        <v>800000</v>
      </c>
      <c r="J2268" s="574">
        <v>45246</v>
      </c>
      <c r="K2268" s="574">
        <v>45611</v>
      </c>
      <c r="L2268" s="651">
        <v>0.5</v>
      </c>
      <c r="M2268" s="574">
        <v>45768</v>
      </c>
      <c r="N2268" s="575">
        <v>821723.79</v>
      </c>
      <c r="O2268" s="575">
        <v>799959.22</v>
      </c>
      <c r="P2268" s="575">
        <v>639967.38</v>
      </c>
      <c r="Q2268" s="575">
        <v>657379.03</v>
      </c>
      <c r="R2268" s="574">
        <v>45895</v>
      </c>
      <c r="S2268" s="575">
        <v>399979.61</v>
      </c>
      <c r="T2268" s="643">
        <v>45908</v>
      </c>
      <c r="U2268" s="650">
        <v>45916</v>
      </c>
      <c r="V2268" s="575">
        <v>239987.77</v>
      </c>
      <c r="W2268" s="576" t="s">
        <v>6765</v>
      </c>
      <c r="X2268" s="575">
        <v>239987.77</v>
      </c>
      <c r="Y2268" s="653"/>
    </row>
    <row r="2269" s="95" customFormat="1" ht="37.5" customHeight="1" spans="1:25">
      <c r="A2269" s="467">
        <f t="shared" si="49"/>
        <v>2259</v>
      </c>
      <c r="B2269" s="548">
        <v>2025</v>
      </c>
      <c r="C2269" s="548" t="s">
        <v>582</v>
      </c>
      <c r="D2269" s="652" t="s">
        <v>585</v>
      </c>
      <c r="E2269" s="1253" t="s">
        <v>6766</v>
      </c>
      <c r="F2269" s="642" t="s">
        <v>6767</v>
      </c>
      <c r="G2269" s="338" t="s">
        <v>6768</v>
      </c>
      <c r="H2269" s="613">
        <v>0.8</v>
      </c>
      <c r="I2269" s="426">
        <v>5000000</v>
      </c>
      <c r="J2269" s="574">
        <v>45019</v>
      </c>
      <c r="K2269" s="574">
        <v>45750</v>
      </c>
      <c r="L2269" s="651">
        <v>0.2</v>
      </c>
      <c r="M2269" s="574">
        <v>45744</v>
      </c>
      <c r="N2269" s="575">
        <v>5000000</v>
      </c>
      <c r="O2269" s="575">
        <v>5000000</v>
      </c>
      <c r="P2269" s="575">
        <v>4000000</v>
      </c>
      <c r="Q2269" s="575">
        <v>4000000</v>
      </c>
      <c r="R2269" s="574">
        <v>45901</v>
      </c>
      <c r="S2269" s="575">
        <v>1000000</v>
      </c>
      <c r="T2269" s="643">
        <v>45904</v>
      </c>
      <c r="U2269" s="650"/>
      <c r="V2269" s="575"/>
      <c r="W2269" s="576"/>
      <c r="X2269" s="658"/>
      <c r="Y2269" s="655" t="s">
        <v>1077</v>
      </c>
    </row>
    <row r="2270" s="95" customFormat="1" ht="37.5" customHeight="1" spans="1:25">
      <c r="A2270" s="467">
        <f t="shared" si="49"/>
        <v>2260</v>
      </c>
      <c r="B2270" s="548">
        <v>2025</v>
      </c>
      <c r="C2270" s="548" t="s">
        <v>133</v>
      </c>
      <c r="D2270" s="652" t="s">
        <v>6769</v>
      </c>
      <c r="E2270" s="1253" t="s">
        <v>6770</v>
      </c>
      <c r="F2270" s="642" t="s">
        <v>6771</v>
      </c>
      <c r="G2270" s="338" t="s">
        <v>6772</v>
      </c>
      <c r="H2270" s="613">
        <v>0.8</v>
      </c>
      <c r="I2270" s="426">
        <v>180000</v>
      </c>
      <c r="J2270" s="574">
        <v>44905</v>
      </c>
      <c r="K2270" s="574">
        <v>45635</v>
      </c>
      <c r="L2270" s="651">
        <v>0.4</v>
      </c>
      <c r="M2270" s="574">
        <v>45747</v>
      </c>
      <c r="N2270" s="575">
        <v>181717.6</v>
      </c>
      <c r="O2270" s="575">
        <v>180000</v>
      </c>
      <c r="P2270" s="575">
        <v>144000</v>
      </c>
      <c r="Q2270" s="575">
        <v>145374.08</v>
      </c>
      <c r="R2270" s="574">
        <v>45895</v>
      </c>
      <c r="S2270" s="575">
        <v>72000</v>
      </c>
      <c r="T2270" s="643">
        <v>45904</v>
      </c>
      <c r="U2270" s="650">
        <v>45916</v>
      </c>
      <c r="V2270" s="575">
        <v>36000</v>
      </c>
      <c r="W2270" s="576" t="s">
        <v>6756</v>
      </c>
      <c r="X2270" s="575">
        <v>36000</v>
      </c>
      <c r="Y2270" s="653"/>
    </row>
    <row r="2271" s="95" customFormat="1" ht="37.5" customHeight="1" spans="1:25">
      <c r="A2271" s="467">
        <f t="shared" ref="A2271:A2278" si="50">ROW()-10</f>
        <v>2261</v>
      </c>
      <c r="B2271" s="548">
        <v>2025</v>
      </c>
      <c r="C2271" s="548" t="s">
        <v>28</v>
      </c>
      <c r="D2271" s="652" t="s">
        <v>630</v>
      </c>
      <c r="E2271" s="424" t="s">
        <v>6773</v>
      </c>
      <c r="F2271" s="642" t="s">
        <v>1179</v>
      </c>
      <c r="G2271" s="338" t="s">
        <v>6762</v>
      </c>
      <c r="H2271" s="613">
        <v>0.8</v>
      </c>
      <c r="I2271" s="426">
        <v>80000</v>
      </c>
      <c r="J2271" s="574">
        <v>45244</v>
      </c>
      <c r="K2271" s="574">
        <v>45606</v>
      </c>
      <c r="L2271" s="651">
        <v>0.4</v>
      </c>
      <c r="M2271" s="574">
        <v>45772</v>
      </c>
      <c r="N2271" s="575">
        <v>79463.76</v>
      </c>
      <c r="O2271" s="575">
        <v>76500</v>
      </c>
      <c r="P2271" s="575">
        <v>61200</v>
      </c>
      <c r="Q2271" s="575">
        <v>61636.66</v>
      </c>
      <c r="R2271" s="574">
        <v>45911</v>
      </c>
      <c r="S2271" s="575">
        <v>30600</v>
      </c>
      <c r="T2271" s="643">
        <v>45916</v>
      </c>
      <c r="U2271" s="650">
        <v>45926</v>
      </c>
      <c r="V2271" s="575">
        <v>15300</v>
      </c>
      <c r="W2271" s="576" t="s">
        <v>6774</v>
      </c>
      <c r="X2271" s="575">
        <v>15300</v>
      </c>
      <c r="Y2271" s="653"/>
    </row>
    <row r="2272" s="95" customFormat="1" ht="37.5" customHeight="1" spans="1:25">
      <c r="A2272" s="467">
        <f t="shared" si="50"/>
        <v>2262</v>
      </c>
      <c r="B2272" s="548">
        <v>2025</v>
      </c>
      <c r="C2272" s="548" t="s">
        <v>28</v>
      </c>
      <c r="D2272" s="652" t="s">
        <v>632</v>
      </c>
      <c r="E2272" s="424" t="s">
        <v>6775</v>
      </c>
      <c r="F2272" s="642" t="s">
        <v>6729</v>
      </c>
      <c r="G2272" s="338" t="s">
        <v>5943</v>
      </c>
      <c r="H2272" s="613">
        <v>0.8</v>
      </c>
      <c r="I2272" s="426">
        <v>497000</v>
      </c>
      <c r="J2272" s="574">
        <v>45289</v>
      </c>
      <c r="K2272" s="574">
        <v>46384</v>
      </c>
      <c r="L2272" s="651">
        <v>0.4</v>
      </c>
      <c r="M2272" s="574">
        <v>45772</v>
      </c>
      <c r="N2272" s="575">
        <v>513877.03</v>
      </c>
      <c r="O2272" s="575">
        <v>497000</v>
      </c>
      <c r="P2272" s="575">
        <v>397600</v>
      </c>
      <c r="Q2272" s="575">
        <v>411101.62</v>
      </c>
      <c r="R2272" s="574">
        <v>45918</v>
      </c>
      <c r="S2272" s="575">
        <v>198800</v>
      </c>
      <c r="T2272" s="643">
        <v>45923</v>
      </c>
      <c r="U2272" s="650">
        <v>45926</v>
      </c>
      <c r="V2272" s="575">
        <v>99400</v>
      </c>
      <c r="W2272" s="576" t="s">
        <v>6776</v>
      </c>
      <c r="X2272" s="575">
        <v>99400</v>
      </c>
      <c r="Y2272" s="653"/>
    </row>
    <row r="2273" s="95" customFormat="1" ht="37.5" customHeight="1" spans="1:25">
      <c r="A2273" s="467">
        <f t="shared" si="50"/>
        <v>2263</v>
      </c>
      <c r="B2273" s="548">
        <v>2025</v>
      </c>
      <c r="C2273" s="548" t="s">
        <v>79</v>
      </c>
      <c r="D2273" s="652" t="s">
        <v>645</v>
      </c>
      <c r="E2273" s="424" t="s">
        <v>6777</v>
      </c>
      <c r="F2273" s="642" t="s">
        <v>6778</v>
      </c>
      <c r="G2273" s="338" t="s">
        <v>5943</v>
      </c>
      <c r="H2273" s="613">
        <v>0.8</v>
      </c>
      <c r="I2273" s="426">
        <v>960000</v>
      </c>
      <c r="J2273" s="574">
        <v>45324</v>
      </c>
      <c r="K2273" s="574">
        <v>45689</v>
      </c>
      <c r="L2273" s="651">
        <v>0.4</v>
      </c>
      <c r="M2273" s="574">
        <v>45772</v>
      </c>
      <c r="N2273" s="575">
        <v>654536.36</v>
      </c>
      <c r="O2273" s="575">
        <v>653396.63</v>
      </c>
      <c r="P2273" s="575">
        <v>522717.3</v>
      </c>
      <c r="Q2273" s="575">
        <v>523629.09</v>
      </c>
      <c r="R2273" s="574">
        <v>45918</v>
      </c>
      <c r="S2273" s="575">
        <v>261358.65</v>
      </c>
      <c r="T2273" s="643">
        <v>45923</v>
      </c>
      <c r="U2273" s="650">
        <v>45926</v>
      </c>
      <c r="V2273" s="575">
        <v>130679.33</v>
      </c>
      <c r="W2273" s="576" t="s">
        <v>6779</v>
      </c>
      <c r="X2273" s="575">
        <v>130679.33</v>
      </c>
      <c r="Y2273" s="653"/>
    </row>
    <row r="2274" s="95" customFormat="1" ht="37.5" customHeight="1" spans="1:25">
      <c r="A2274" s="467">
        <f t="shared" si="50"/>
        <v>2264</v>
      </c>
      <c r="B2274" s="548">
        <v>2025</v>
      </c>
      <c r="C2274" s="548" t="s">
        <v>57</v>
      </c>
      <c r="D2274" s="652" t="s">
        <v>646</v>
      </c>
      <c r="E2274" s="1253" t="s">
        <v>6780</v>
      </c>
      <c r="F2274" s="642" t="s">
        <v>6593</v>
      </c>
      <c r="G2274" s="338" t="s">
        <v>5946</v>
      </c>
      <c r="H2274" s="613">
        <v>1</v>
      </c>
      <c r="I2274" s="426">
        <v>3000000</v>
      </c>
      <c r="J2274" s="574">
        <v>45352</v>
      </c>
      <c r="K2274" s="574">
        <v>45717</v>
      </c>
      <c r="L2274" s="651">
        <v>0.4</v>
      </c>
      <c r="M2274" s="574">
        <v>45754</v>
      </c>
      <c r="N2274" s="575">
        <v>3030126</v>
      </c>
      <c r="O2274" s="575">
        <v>3000000</v>
      </c>
      <c r="P2274" s="575">
        <v>3000000</v>
      </c>
      <c r="Q2274" s="575">
        <v>3030126</v>
      </c>
      <c r="R2274" s="574">
        <v>45912</v>
      </c>
      <c r="S2274" s="575">
        <v>1200000</v>
      </c>
      <c r="T2274" s="643">
        <v>45916</v>
      </c>
      <c r="U2274" s="650">
        <v>45919</v>
      </c>
      <c r="V2274" s="575">
        <v>600000</v>
      </c>
      <c r="W2274" s="576" t="s">
        <v>6781</v>
      </c>
      <c r="X2274" s="575">
        <v>600000</v>
      </c>
      <c r="Y2274" s="653"/>
    </row>
    <row r="2275" s="95" customFormat="1" ht="37.5" customHeight="1" spans="1:25">
      <c r="A2275" s="467">
        <f t="shared" si="50"/>
        <v>2265</v>
      </c>
      <c r="B2275" s="548">
        <v>2025</v>
      </c>
      <c r="C2275" s="548" t="s">
        <v>37</v>
      </c>
      <c r="D2275" s="652" t="s">
        <v>611</v>
      </c>
      <c r="E2275" s="1253" t="s">
        <v>6782</v>
      </c>
      <c r="F2275" s="642" t="s">
        <v>1909</v>
      </c>
      <c r="G2275" s="338" t="s">
        <v>1085</v>
      </c>
      <c r="H2275" s="613">
        <v>1</v>
      </c>
      <c r="I2275" s="426">
        <v>8000000</v>
      </c>
      <c r="J2275" s="574">
        <v>45028</v>
      </c>
      <c r="K2275" s="574">
        <v>45759</v>
      </c>
      <c r="L2275" s="651">
        <v>0.4</v>
      </c>
      <c r="M2275" s="574">
        <v>45743</v>
      </c>
      <c r="N2275" s="575">
        <v>6063823.61</v>
      </c>
      <c r="O2275" s="575">
        <v>5999923.62</v>
      </c>
      <c r="P2275" s="575">
        <v>5999923.62</v>
      </c>
      <c r="Q2275" s="575">
        <v>6063823.61</v>
      </c>
      <c r="R2275" s="574">
        <v>45912</v>
      </c>
      <c r="S2275" s="575">
        <v>2399969.45</v>
      </c>
      <c r="T2275" s="643">
        <v>45916</v>
      </c>
      <c r="U2275" s="650">
        <v>45918</v>
      </c>
      <c r="V2275" s="575">
        <v>1199984.72</v>
      </c>
      <c r="W2275" s="576" t="s">
        <v>6760</v>
      </c>
      <c r="X2275" s="575">
        <v>1199984.72</v>
      </c>
      <c r="Y2275" s="653"/>
    </row>
    <row r="2276" s="95" customFormat="1" ht="37.5" customHeight="1" spans="1:25">
      <c r="A2276" s="467">
        <f t="shared" si="50"/>
        <v>2266</v>
      </c>
      <c r="B2276" s="548">
        <v>2025</v>
      </c>
      <c r="C2276" s="548" t="s">
        <v>79</v>
      </c>
      <c r="D2276" s="652" t="s">
        <v>624</v>
      </c>
      <c r="E2276" s="1253" t="s">
        <v>6783</v>
      </c>
      <c r="F2276" s="642" t="s">
        <v>1174</v>
      </c>
      <c r="G2276" s="338" t="s">
        <v>5943</v>
      </c>
      <c r="H2276" s="613">
        <v>0.8</v>
      </c>
      <c r="I2276" s="426">
        <v>2000000</v>
      </c>
      <c r="J2276" s="574">
        <v>45299</v>
      </c>
      <c r="K2276" s="574">
        <v>45664</v>
      </c>
      <c r="L2276" s="651">
        <v>0.4</v>
      </c>
      <c r="M2276" s="574">
        <v>45754</v>
      </c>
      <c r="N2276" s="575">
        <v>1545996.62</v>
      </c>
      <c r="O2276" s="575">
        <v>1545996.62</v>
      </c>
      <c r="P2276" s="575">
        <v>1236797.3</v>
      </c>
      <c r="Q2276" s="575">
        <v>1236797.3</v>
      </c>
      <c r="R2276" s="574">
        <v>45912</v>
      </c>
      <c r="S2276" s="575">
        <v>618398.65</v>
      </c>
      <c r="T2276" s="643">
        <v>45916</v>
      </c>
      <c r="U2276" s="650">
        <v>45919</v>
      </c>
      <c r="V2276" s="575">
        <v>309199.32</v>
      </c>
      <c r="W2276" s="576" t="s">
        <v>6760</v>
      </c>
      <c r="X2276" s="575">
        <v>309199.32</v>
      </c>
      <c r="Y2276" s="653"/>
    </row>
    <row r="2277" s="95" customFormat="1" ht="37.5" customHeight="1" spans="1:25">
      <c r="A2277" s="467">
        <f t="shared" si="50"/>
        <v>2267</v>
      </c>
      <c r="B2277" s="548">
        <v>2025</v>
      </c>
      <c r="C2277" s="548" t="s">
        <v>75</v>
      </c>
      <c r="D2277" s="652" t="s">
        <v>617</v>
      </c>
      <c r="E2277" s="1253" t="s">
        <v>6784</v>
      </c>
      <c r="F2277" s="642" t="s">
        <v>1185</v>
      </c>
      <c r="G2277" s="338" t="s">
        <v>1072</v>
      </c>
      <c r="H2277" s="613">
        <v>0.8</v>
      </c>
      <c r="I2277" s="426">
        <v>500000</v>
      </c>
      <c r="J2277" s="574">
        <v>45328</v>
      </c>
      <c r="K2277" s="574">
        <v>46423</v>
      </c>
      <c r="L2277" s="651">
        <v>0.0116</v>
      </c>
      <c r="M2277" s="574">
        <v>45743</v>
      </c>
      <c r="N2277" s="575">
        <v>517847.55</v>
      </c>
      <c r="O2277" s="575">
        <v>500000</v>
      </c>
      <c r="P2277" s="575">
        <v>11586.42</v>
      </c>
      <c r="Q2277" s="575">
        <v>12000</v>
      </c>
      <c r="R2277" s="574">
        <v>45905</v>
      </c>
      <c r="S2277" s="575">
        <v>5793.21</v>
      </c>
      <c r="T2277" s="657">
        <v>45911</v>
      </c>
      <c r="U2277" s="650">
        <v>45916</v>
      </c>
      <c r="V2277" s="575">
        <v>2900</v>
      </c>
      <c r="W2277" s="576" t="s">
        <v>6758</v>
      </c>
      <c r="X2277" s="575">
        <v>2900</v>
      </c>
      <c r="Y2277" s="656" t="s">
        <v>6785</v>
      </c>
    </row>
    <row r="2278" s="95" customFormat="1" ht="37.5" customHeight="1" spans="1:25">
      <c r="A2278" s="467">
        <f t="shared" si="50"/>
        <v>2268</v>
      </c>
      <c r="B2278" s="548">
        <v>2025</v>
      </c>
      <c r="C2278" s="548" t="s">
        <v>75</v>
      </c>
      <c r="D2278" s="652" t="s">
        <v>618</v>
      </c>
      <c r="E2278" s="1253" t="s">
        <v>6786</v>
      </c>
      <c r="F2278" s="642" t="s">
        <v>1185</v>
      </c>
      <c r="G2278" s="338" t="s">
        <v>1072</v>
      </c>
      <c r="H2278" s="613">
        <v>0.8</v>
      </c>
      <c r="I2278" s="426">
        <v>400000</v>
      </c>
      <c r="J2278" s="574">
        <v>45427</v>
      </c>
      <c r="K2278" s="574">
        <v>46521</v>
      </c>
      <c r="L2278" s="651">
        <v>0.0116</v>
      </c>
      <c r="M2278" s="574">
        <v>45743</v>
      </c>
      <c r="N2278" s="575">
        <v>408428.65</v>
      </c>
      <c r="O2278" s="575">
        <v>400000</v>
      </c>
      <c r="P2278" s="575">
        <v>9269.14</v>
      </c>
      <c r="Q2278" s="575">
        <v>9600</v>
      </c>
      <c r="R2278" s="574">
        <v>45905</v>
      </c>
      <c r="S2278" s="575">
        <v>4634.57</v>
      </c>
      <c r="T2278" s="657">
        <v>45911</v>
      </c>
      <c r="U2278" s="650">
        <v>45916</v>
      </c>
      <c r="V2278" s="575">
        <v>2320</v>
      </c>
      <c r="W2278" s="576" t="s">
        <v>6758</v>
      </c>
      <c r="X2278" s="575">
        <v>2320</v>
      </c>
      <c r="Y2278" s="656" t="s">
        <v>6785</v>
      </c>
    </row>
    <row r="2279" s="95" customFormat="1" ht="37.5" customHeight="1" spans="1:25">
      <c r="A2279" s="467">
        <f t="shared" ref="A2279:A2320" si="51">ROW()-10</f>
        <v>2269</v>
      </c>
      <c r="B2279" s="548">
        <v>2025</v>
      </c>
      <c r="C2279" s="548" t="s">
        <v>22</v>
      </c>
      <c r="D2279" s="652" t="s">
        <v>575</v>
      </c>
      <c r="E2279" s="424" t="s">
        <v>6787</v>
      </c>
      <c r="F2279" s="642" t="s">
        <v>6252</v>
      </c>
      <c r="G2279" s="338" t="s">
        <v>6537</v>
      </c>
      <c r="H2279" s="613">
        <v>0.8</v>
      </c>
      <c r="I2279" s="426">
        <v>600000</v>
      </c>
      <c r="J2279" s="574">
        <v>44876</v>
      </c>
      <c r="K2279" s="574">
        <v>45605</v>
      </c>
      <c r="L2279" s="651">
        <v>0.5</v>
      </c>
      <c r="M2279" s="574">
        <v>45777</v>
      </c>
      <c r="N2279" s="575">
        <v>609815.46</v>
      </c>
      <c r="O2279" s="575">
        <v>600000</v>
      </c>
      <c r="P2279" s="575">
        <v>480000</v>
      </c>
      <c r="Q2279" s="575">
        <v>487852.37</v>
      </c>
      <c r="R2279" s="574">
        <v>45918</v>
      </c>
      <c r="S2279" s="575">
        <v>300000</v>
      </c>
      <c r="T2279" s="643">
        <v>45923</v>
      </c>
      <c r="U2279" s="650">
        <v>45926</v>
      </c>
      <c r="V2279" s="575">
        <v>180000</v>
      </c>
      <c r="W2279" s="576" t="s">
        <v>6788</v>
      </c>
      <c r="X2279" s="575">
        <v>180000</v>
      </c>
      <c r="Y2279" s="653"/>
    </row>
    <row r="2280" s="95" customFormat="1" ht="37.5" customHeight="1" spans="1:25">
      <c r="A2280" s="467">
        <f t="shared" si="51"/>
        <v>2270</v>
      </c>
      <c r="B2280" s="548">
        <v>2025</v>
      </c>
      <c r="C2280" s="548" t="s">
        <v>79</v>
      </c>
      <c r="D2280" s="652" t="s">
        <v>663</v>
      </c>
      <c r="E2280" s="424" t="s">
        <v>6789</v>
      </c>
      <c r="F2280" s="642" t="s">
        <v>1109</v>
      </c>
      <c r="G2280" s="338" t="s">
        <v>5943</v>
      </c>
      <c r="H2280" s="613">
        <v>0.8</v>
      </c>
      <c r="I2280" s="426">
        <v>1100000</v>
      </c>
      <c r="J2280" s="574">
        <v>45327</v>
      </c>
      <c r="K2280" s="574">
        <v>45692</v>
      </c>
      <c r="L2280" s="651">
        <v>0.4</v>
      </c>
      <c r="M2280" s="574">
        <v>45777</v>
      </c>
      <c r="N2280" s="575">
        <v>1113542.27</v>
      </c>
      <c r="O2280" s="575">
        <v>1093797.68</v>
      </c>
      <c r="P2280" s="575">
        <v>875038.14</v>
      </c>
      <c r="Q2280" s="575">
        <v>890833.81</v>
      </c>
      <c r="R2280" s="574">
        <v>45925</v>
      </c>
      <c r="S2280" s="575">
        <v>437519.07</v>
      </c>
      <c r="T2280" s="643">
        <v>45929</v>
      </c>
      <c r="U2280" s="650">
        <v>45940</v>
      </c>
      <c r="V2280" s="575">
        <v>218759.54</v>
      </c>
      <c r="W2280" s="576" t="s">
        <v>6790</v>
      </c>
      <c r="X2280" s="575">
        <v>218759.54</v>
      </c>
      <c r="Y2280" s="653"/>
    </row>
    <row r="2281" s="95" customFormat="1" ht="37.5" customHeight="1" spans="1:25">
      <c r="A2281" s="467">
        <f t="shared" si="51"/>
        <v>2271</v>
      </c>
      <c r="B2281" s="548">
        <v>2025</v>
      </c>
      <c r="C2281" s="548" t="s">
        <v>15</v>
      </c>
      <c r="D2281" s="652" t="s">
        <v>681</v>
      </c>
      <c r="E2281" s="424" t="s">
        <v>6791</v>
      </c>
      <c r="F2281" s="642" t="s">
        <v>1109</v>
      </c>
      <c r="G2281" s="338" t="s">
        <v>5943</v>
      </c>
      <c r="H2281" s="613">
        <v>0.8</v>
      </c>
      <c r="I2281" s="426">
        <v>170000</v>
      </c>
      <c r="J2281" s="574">
        <v>45328</v>
      </c>
      <c r="K2281" s="574">
        <v>45693</v>
      </c>
      <c r="L2281" s="651">
        <v>0.4</v>
      </c>
      <c r="M2281" s="574">
        <v>45777</v>
      </c>
      <c r="N2281" s="575">
        <v>169432.59</v>
      </c>
      <c r="O2281" s="575">
        <v>169432.59</v>
      </c>
      <c r="P2281" s="575">
        <v>135546.07</v>
      </c>
      <c r="Q2281" s="575">
        <v>135546.07</v>
      </c>
      <c r="R2281" s="574">
        <v>45918</v>
      </c>
      <c r="S2281" s="575">
        <v>67773.04</v>
      </c>
      <c r="T2281" s="643">
        <v>45923</v>
      </c>
      <c r="U2281" s="650">
        <v>45926</v>
      </c>
      <c r="V2281" s="575">
        <v>33886.52</v>
      </c>
      <c r="W2281" s="576" t="s">
        <v>6774</v>
      </c>
      <c r="X2281" s="575">
        <v>33886.52</v>
      </c>
      <c r="Y2281" s="653"/>
    </row>
    <row r="2282" s="95" customFormat="1" ht="37.5" customHeight="1" spans="1:25">
      <c r="A2282" s="467">
        <f t="shared" si="51"/>
        <v>2272</v>
      </c>
      <c r="B2282" s="548">
        <v>2025</v>
      </c>
      <c r="C2282" s="548" t="s">
        <v>233</v>
      </c>
      <c r="D2282" s="652" t="s">
        <v>597</v>
      </c>
      <c r="E2282" s="424" t="s">
        <v>6792</v>
      </c>
      <c r="F2282" s="642" t="s">
        <v>5942</v>
      </c>
      <c r="G2282" s="338" t="s">
        <v>5943</v>
      </c>
      <c r="H2282" s="613">
        <v>0.8</v>
      </c>
      <c r="I2282" s="426">
        <v>700000</v>
      </c>
      <c r="J2282" s="574">
        <v>45355</v>
      </c>
      <c r="K2282" s="574">
        <v>45719</v>
      </c>
      <c r="L2282" s="651">
        <v>0.4</v>
      </c>
      <c r="M2282" s="574">
        <v>45777</v>
      </c>
      <c r="N2282" s="575">
        <v>704464.51</v>
      </c>
      <c r="O2282" s="575">
        <v>700000</v>
      </c>
      <c r="P2282" s="575">
        <v>560000</v>
      </c>
      <c r="Q2282" s="575">
        <v>563571.61</v>
      </c>
      <c r="R2282" s="574">
        <v>45922</v>
      </c>
      <c r="S2282" s="575">
        <v>280000</v>
      </c>
      <c r="T2282" s="643">
        <v>45928</v>
      </c>
      <c r="U2282" s="650">
        <v>45939</v>
      </c>
      <c r="V2282" s="575">
        <v>140000</v>
      </c>
      <c r="W2282" s="576" t="s">
        <v>6793</v>
      </c>
      <c r="X2282" s="575">
        <v>140000</v>
      </c>
      <c r="Y2282" s="653"/>
    </row>
    <row r="2283" s="95" customFormat="1" ht="37.5" customHeight="1" spans="1:25">
      <c r="A2283" s="467">
        <f t="shared" si="51"/>
        <v>2273</v>
      </c>
      <c r="B2283" s="548">
        <v>2025</v>
      </c>
      <c r="C2283" s="548" t="s">
        <v>79</v>
      </c>
      <c r="D2283" s="652" t="s">
        <v>6794</v>
      </c>
      <c r="E2283" s="1253" t="s">
        <v>6795</v>
      </c>
      <c r="F2283" s="642" t="s">
        <v>1095</v>
      </c>
      <c r="G2283" s="338" t="s">
        <v>1072</v>
      </c>
      <c r="H2283" s="613">
        <v>0.8</v>
      </c>
      <c r="I2283" s="426">
        <v>3000000</v>
      </c>
      <c r="J2283" s="574">
        <v>45422</v>
      </c>
      <c r="K2283" s="574">
        <v>46152</v>
      </c>
      <c r="L2283" s="651">
        <v>0.4</v>
      </c>
      <c r="M2283" s="574">
        <v>45771</v>
      </c>
      <c r="N2283" s="575">
        <v>685714.3</v>
      </c>
      <c r="O2283" s="575">
        <v>685714.3</v>
      </c>
      <c r="P2283" s="575">
        <v>548571.44</v>
      </c>
      <c r="Q2283" s="575">
        <v>548571.44</v>
      </c>
      <c r="R2283" s="574">
        <v>45923</v>
      </c>
      <c r="S2283" s="575">
        <v>274285.72</v>
      </c>
      <c r="T2283" s="643">
        <v>45929</v>
      </c>
      <c r="U2283" s="650">
        <v>45940</v>
      </c>
      <c r="V2283" s="575">
        <v>137142.86</v>
      </c>
      <c r="W2283" s="576" t="s">
        <v>6753</v>
      </c>
      <c r="X2283" s="575">
        <v>137142.86</v>
      </c>
      <c r="Y2283" s="653"/>
    </row>
    <row r="2284" s="95" customFormat="1" ht="37.5" customHeight="1" spans="1:25">
      <c r="A2284" s="467">
        <f t="shared" si="51"/>
        <v>2274</v>
      </c>
      <c r="B2284" s="548">
        <v>2025</v>
      </c>
      <c r="C2284" s="548" t="s">
        <v>79</v>
      </c>
      <c r="D2284" s="652" t="s">
        <v>6796</v>
      </c>
      <c r="E2284" s="1253" t="s">
        <v>6797</v>
      </c>
      <c r="F2284" s="642" t="s">
        <v>1095</v>
      </c>
      <c r="G2284" s="338" t="s">
        <v>6798</v>
      </c>
      <c r="H2284" s="613">
        <v>0.8</v>
      </c>
      <c r="I2284" s="426">
        <v>100000</v>
      </c>
      <c r="J2284" s="574">
        <v>45469</v>
      </c>
      <c r="K2284" s="574">
        <v>46201</v>
      </c>
      <c r="L2284" s="651">
        <v>0.4</v>
      </c>
      <c r="M2284" s="574">
        <v>45771</v>
      </c>
      <c r="N2284" s="575">
        <v>40476.2</v>
      </c>
      <c r="O2284" s="575">
        <v>40476.2</v>
      </c>
      <c r="P2284" s="575">
        <v>32380.96</v>
      </c>
      <c r="Q2284" s="575">
        <v>32380.96</v>
      </c>
      <c r="R2284" s="574">
        <v>45923</v>
      </c>
      <c r="S2284" s="575">
        <v>16190.48</v>
      </c>
      <c r="T2284" s="643">
        <v>45929</v>
      </c>
      <c r="U2284" s="650">
        <v>45939</v>
      </c>
      <c r="V2284" s="575">
        <v>8095.24</v>
      </c>
      <c r="W2284" s="576" t="s">
        <v>6776</v>
      </c>
      <c r="X2284" s="575">
        <v>8095.24</v>
      </c>
      <c r="Y2284" s="653"/>
    </row>
    <row r="2285" s="95" customFormat="1" ht="37.5" customHeight="1" spans="1:25">
      <c r="A2285" s="467">
        <f t="shared" si="51"/>
        <v>2275</v>
      </c>
      <c r="B2285" s="548">
        <v>2025</v>
      </c>
      <c r="C2285" s="548" t="s">
        <v>79</v>
      </c>
      <c r="D2285" s="652" t="s">
        <v>6796</v>
      </c>
      <c r="E2285" s="1253" t="s">
        <v>6799</v>
      </c>
      <c r="F2285" s="642" t="s">
        <v>1095</v>
      </c>
      <c r="G2285" s="338" t="s">
        <v>6798</v>
      </c>
      <c r="H2285" s="613">
        <v>0.8</v>
      </c>
      <c r="I2285" s="426">
        <v>150000</v>
      </c>
      <c r="J2285" s="574">
        <v>45505</v>
      </c>
      <c r="K2285" s="574">
        <v>46231</v>
      </c>
      <c r="L2285" s="651">
        <v>0.4</v>
      </c>
      <c r="M2285" s="574">
        <v>45771</v>
      </c>
      <c r="N2285" s="575">
        <v>128571.42</v>
      </c>
      <c r="O2285" s="575">
        <v>128571.42</v>
      </c>
      <c r="P2285" s="575">
        <v>102857.14</v>
      </c>
      <c r="Q2285" s="575">
        <v>102857.14</v>
      </c>
      <c r="R2285" s="574">
        <v>45923</v>
      </c>
      <c r="S2285" s="575">
        <v>51428.57</v>
      </c>
      <c r="T2285" s="643">
        <v>45929</v>
      </c>
      <c r="U2285" s="650">
        <v>45939</v>
      </c>
      <c r="V2285" s="575">
        <v>25714.28</v>
      </c>
      <c r="W2285" s="576" t="s">
        <v>6776</v>
      </c>
      <c r="X2285" s="575">
        <v>25714.28</v>
      </c>
      <c r="Y2285" s="653"/>
    </row>
    <row r="2286" s="95" customFormat="1" ht="37.5" customHeight="1" spans="1:25">
      <c r="A2286" s="467">
        <f t="shared" si="51"/>
        <v>2276</v>
      </c>
      <c r="B2286" s="548">
        <v>2025</v>
      </c>
      <c r="C2286" s="548" t="s">
        <v>79</v>
      </c>
      <c r="D2286" s="652" t="s">
        <v>6800</v>
      </c>
      <c r="E2286" s="1253" t="s">
        <v>6801</v>
      </c>
      <c r="F2286" s="642" t="s">
        <v>1095</v>
      </c>
      <c r="G2286" s="338" t="s">
        <v>6798</v>
      </c>
      <c r="H2286" s="613">
        <v>0.8</v>
      </c>
      <c r="I2286" s="426">
        <v>190000</v>
      </c>
      <c r="J2286" s="574">
        <v>45488</v>
      </c>
      <c r="K2286" s="574">
        <v>46218</v>
      </c>
      <c r="L2286" s="651">
        <v>0.4</v>
      </c>
      <c r="M2286" s="574">
        <v>45771</v>
      </c>
      <c r="N2286" s="575">
        <v>162825.26</v>
      </c>
      <c r="O2286" s="575">
        <v>162825.26</v>
      </c>
      <c r="P2286" s="575">
        <v>130260.21</v>
      </c>
      <c r="Q2286" s="575">
        <v>130260.21</v>
      </c>
      <c r="R2286" s="574">
        <v>45923</v>
      </c>
      <c r="S2286" s="575">
        <v>65130.1</v>
      </c>
      <c r="T2286" s="643">
        <v>45929</v>
      </c>
      <c r="U2286" s="650">
        <v>45939</v>
      </c>
      <c r="V2286" s="575">
        <v>32565.05</v>
      </c>
      <c r="W2286" s="576" t="s">
        <v>6776</v>
      </c>
      <c r="X2286" s="575">
        <v>32565.05</v>
      </c>
      <c r="Y2286" s="653"/>
    </row>
    <row r="2287" s="95" customFormat="1" ht="37.5" customHeight="1" spans="1:25">
      <c r="A2287" s="467">
        <f t="shared" si="51"/>
        <v>2277</v>
      </c>
      <c r="B2287" s="548">
        <v>2025</v>
      </c>
      <c r="C2287" s="548" t="s">
        <v>233</v>
      </c>
      <c r="D2287" s="652" t="s">
        <v>603</v>
      </c>
      <c r="E2287" s="1253" t="s">
        <v>6802</v>
      </c>
      <c r="F2287" s="642" t="s">
        <v>6443</v>
      </c>
      <c r="G2287" s="338" t="s">
        <v>5943</v>
      </c>
      <c r="H2287" s="613">
        <v>0.8</v>
      </c>
      <c r="I2287" s="426">
        <v>1000000</v>
      </c>
      <c r="J2287" s="574">
        <v>45330</v>
      </c>
      <c r="K2287" s="574">
        <v>45693</v>
      </c>
      <c r="L2287" s="651">
        <v>0.4</v>
      </c>
      <c r="M2287" s="574">
        <v>45750</v>
      </c>
      <c r="N2287" s="575">
        <v>760000</v>
      </c>
      <c r="O2287" s="575">
        <v>760000</v>
      </c>
      <c r="P2287" s="575">
        <v>608000</v>
      </c>
      <c r="Q2287" s="575">
        <v>608000</v>
      </c>
      <c r="R2287" s="574">
        <v>45918</v>
      </c>
      <c r="S2287" s="575">
        <v>304000</v>
      </c>
      <c r="T2287" s="643">
        <v>45923</v>
      </c>
      <c r="U2287" s="650">
        <v>45926</v>
      </c>
      <c r="V2287" s="575">
        <v>152000</v>
      </c>
      <c r="W2287" s="576" t="s">
        <v>6776</v>
      </c>
      <c r="X2287" s="575">
        <v>152000</v>
      </c>
      <c r="Y2287" s="653"/>
    </row>
    <row r="2288" s="95" customFormat="1" ht="37.5" customHeight="1" spans="1:25">
      <c r="A2288" s="467">
        <f t="shared" si="51"/>
        <v>2278</v>
      </c>
      <c r="B2288" s="548">
        <v>2025</v>
      </c>
      <c r="C2288" s="548" t="s">
        <v>15</v>
      </c>
      <c r="D2288" s="652" t="s">
        <v>637</v>
      </c>
      <c r="E2288" s="1253" t="s">
        <v>6803</v>
      </c>
      <c r="F2288" s="642" t="s">
        <v>6804</v>
      </c>
      <c r="G2288" s="338" t="s">
        <v>5943</v>
      </c>
      <c r="H2288" s="613">
        <v>0.8</v>
      </c>
      <c r="I2288" s="426">
        <v>4000000</v>
      </c>
      <c r="J2288" s="574">
        <v>45328</v>
      </c>
      <c r="K2288" s="574">
        <v>45689</v>
      </c>
      <c r="L2288" s="651">
        <v>0.4</v>
      </c>
      <c r="M2288" s="574">
        <v>45764</v>
      </c>
      <c r="N2288" s="575">
        <v>3900000</v>
      </c>
      <c r="O2288" s="575">
        <v>3900000</v>
      </c>
      <c r="P2288" s="575">
        <v>3120000</v>
      </c>
      <c r="Q2288" s="575">
        <v>3120000</v>
      </c>
      <c r="R2288" s="574">
        <v>45930</v>
      </c>
      <c r="S2288" s="575">
        <v>1560000</v>
      </c>
      <c r="T2288" s="643">
        <v>45940</v>
      </c>
      <c r="U2288" s="650">
        <v>45943</v>
      </c>
      <c r="V2288" s="575">
        <v>780000</v>
      </c>
      <c r="W2288" s="576" t="s">
        <v>6805</v>
      </c>
      <c r="X2288" s="575">
        <v>780000</v>
      </c>
      <c r="Y2288" s="653"/>
    </row>
    <row r="2289" s="95" customFormat="1" ht="37.5" customHeight="1" spans="1:25">
      <c r="A2289" s="467">
        <f t="shared" si="51"/>
        <v>2279</v>
      </c>
      <c r="B2289" s="548">
        <v>2025</v>
      </c>
      <c r="C2289" s="548" t="s">
        <v>15</v>
      </c>
      <c r="D2289" s="652" t="s">
        <v>666</v>
      </c>
      <c r="E2289" s="1253" t="s">
        <v>6806</v>
      </c>
      <c r="F2289" s="642" t="s">
        <v>1098</v>
      </c>
      <c r="G2289" s="338" t="s">
        <v>5943</v>
      </c>
      <c r="H2289" s="613">
        <v>0.8</v>
      </c>
      <c r="I2289" s="426">
        <v>650000</v>
      </c>
      <c r="J2289" s="574">
        <v>45309</v>
      </c>
      <c r="K2289" s="574">
        <v>45674</v>
      </c>
      <c r="L2289" s="651">
        <v>0.4</v>
      </c>
      <c r="M2289" s="574">
        <v>45763</v>
      </c>
      <c r="N2289" s="575">
        <v>652111.48</v>
      </c>
      <c r="O2289" s="575">
        <v>649998.98</v>
      </c>
      <c r="P2289" s="575">
        <v>519999.18</v>
      </c>
      <c r="Q2289" s="575">
        <v>521689.18</v>
      </c>
      <c r="R2289" s="574">
        <v>45918</v>
      </c>
      <c r="S2289" s="575">
        <v>259999.59</v>
      </c>
      <c r="T2289" s="643">
        <v>45918</v>
      </c>
      <c r="U2289" s="650">
        <v>45926</v>
      </c>
      <c r="V2289" s="575">
        <v>129999.8</v>
      </c>
      <c r="W2289" s="576" t="s">
        <v>6753</v>
      </c>
      <c r="X2289" s="575">
        <v>129999.8</v>
      </c>
      <c r="Y2289" s="653"/>
    </row>
    <row r="2290" s="95" customFormat="1" ht="37.5" customHeight="1" spans="1:25">
      <c r="A2290" s="467">
        <f t="shared" si="51"/>
        <v>2280</v>
      </c>
      <c r="B2290" s="548">
        <v>2025</v>
      </c>
      <c r="C2290" s="548" t="s">
        <v>15</v>
      </c>
      <c r="D2290" s="652" t="s">
        <v>682</v>
      </c>
      <c r="E2290" s="424" t="s">
        <v>6807</v>
      </c>
      <c r="F2290" s="642" t="s">
        <v>1109</v>
      </c>
      <c r="G2290" s="338" t="s">
        <v>5943</v>
      </c>
      <c r="H2290" s="613">
        <v>0.8</v>
      </c>
      <c r="I2290" s="426">
        <v>2000000</v>
      </c>
      <c r="J2290" s="574">
        <v>45327</v>
      </c>
      <c r="K2290" s="574">
        <v>45692</v>
      </c>
      <c r="L2290" s="651">
        <v>0.4</v>
      </c>
      <c r="M2290" s="574">
        <v>45777</v>
      </c>
      <c r="N2290" s="575">
        <v>1982194.57</v>
      </c>
      <c r="O2290" s="575">
        <v>1982194.57</v>
      </c>
      <c r="P2290" s="575">
        <v>1585755.66</v>
      </c>
      <c r="Q2290" s="575">
        <v>1585755.66</v>
      </c>
      <c r="R2290" s="574">
        <v>45951</v>
      </c>
      <c r="S2290" s="575">
        <v>792877.83</v>
      </c>
      <c r="T2290" s="643">
        <v>45953</v>
      </c>
      <c r="U2290" s="660">
        <v>45953</v>
      </c>
      <c r="V2290" s="575">
        <v>396438.91</v>
      </c>
      <c r="W2290" s="576" t="s">
        <v>6779</v>
      </c>
      <c r="X2290" s="575">
        <v>396438.91</v>
      </c>
      <c r="Y2290" s="653"/>
    </row>
    <row r="2291" s="95" customFormat="1" ht="37.5" customHeight="1" spans="1:25">
      <c r="A2291" s="467">
        <f t="shared" si="51"/>
        <v>2281</v>
      </c>
      <c r="B2291" s="548">
        <v>2025</v>
      </c>
      <c r="C2291" s="548" t="s">
        <v>15</v>
      </c>
      <c r="D2291" s="652" t="s">
        <v>615</v>
      </c>
      <c r="E2291" s="424" t="s">
        <v>6808</v>
      </c>
      <c r="F2291" s="642" t="s">
        <v>6534</v>
      </c>
      <c r="G2291" s="338" t="s">
        <v>5943</v>
      </c>
      <c r="H2291" s="613">
        <v>0.8</v>
      </c>
      <c r="I2291" s="426">
        <v>800000</v>
      </c>
      <c r="J2291" s="574">
        <v>45329</v>
      </c>
      <c r="K2291" s="574">
        <v>45695</v>
      </c>
      <c r="L2291" s="651">
        <v>0.4</v>
      </c>
      <c r="M2291" s="574">
        <v>45783</v>
      </c>
      <c r="N2291" s="575">
        <v>807613.14</v>
      </c>
      <c r="O2291" s="575">
        <v>800000</v>
      </c>
      <c r="P2291" s="575">
        <v>640000</v>
      </c>
      <c r="Q2291" s="575">
        <v>646090.51</v>
      </c>
      <c r="R2291" s="574">
        <v>45944</v>
      </c>
      <c r="S2291" s="661">
        <v>320000</v>
      </c>
      <c r="T2291" s="643">
        <v>45953</v>
      </c>
      <c r="U2291" s="504">
        <v>45953</v>
      </c>
      <c r="V2291" s="662">
        <v>160000</v>
      </c>
      <c r="W2291" s="576" t="s">
        <v>6809</v>
      </c>
      <c r="X2291" s="662">
        <v>160000</v>
      </c>
      <c r="Y2291" s="653"/>
    </row>
    <row r="2292" s="95" customFormat="1" ht="37.5" customHeight="1" spans="1:25">
      <c r="A2292" s="467">
        <f t="shared" si="51"/>
        <v>2282</v>
      </c>
      <c r="B2292" s="548">
        <v>2025</v>
      </c>
      <c r="C2292" s="548" t="s">
        <v>22</v>
      </c>
      <c r="D2292" s="652" t="s">
        <v>677</v>
      </c>
      <c r="E2292" s="424" t="s">
        <v>6810</v>
      </c>
      <c r="F2292" s="642" t="s">
        <v>1780</v>
      </c>
      <c r="G2292" s="338" t="s">
        <v>6259</v>
      </c>
      <c r="H2292" s="613">
        <v>0.8</v>
      </c>
      <c r="I2292" s="426">
        <v>3000000</v>
      </c>
      <c r="J2292" s="574">
        <v>45002</v>
      </c>
      <c r="K2292" s="574">
        <v>45731</v>
      </c>
      <c r="L2292" s="651">
        <v>0.4</v>
      </c>
      <c r="M2292" s="574">
        <v>45786</v>
      </c>
      <c r="N2292" s="575">
        <v>3032615.4</v>
      </c>
      <c r="O2292" s="575">
        <v>3000000</v>
      </c>
      <c r="P2292" s="575">
        <v>2400000</v>
      </c>
      <c r="Q2292" s="575">
        <v>2426092.32</v>
      </c>
      <c r="R2292" s="574">
        <v>45951</v>
      </c>
      <c r="S2292" s="575">
        <v>1200000</v>
      </c>
      <c r="T2292" s="643">
        <v>45953</v>
      </c>
      <c r="U2292" s="650">
        <v>45953</v>
      </c>
      <c r="V2292" s="575">
        <v>600000</v>
      </c>
      <c r="W2292" s="576" t="s">
        <v>6790</v>
      </c>
      <c r="X2292" s="575">
        <v>600000</v>
      </c>
      <c r="Y2292" s="653"/>
    </row>
    <row r="2293" s="95" customFormat="1" ht="37.5" customHeight="1" spans="1:25">
      <c r="A2293" s="467">
        <f t="shared" si="51"/>
        <v>2283</v>
      </c>
      <c r="B2293" s="548">
        <v>2025</v>
      </c>
      <c r="C2293" s="548" t="s">
        <v>287</v>
      </c>
      <c r="D2293" s="652" t="s">
        <v>590</v>
      </c>
      <c r="E2293" s="424" t="s">
        <v>6811</v>
      </c>
      <c r="F2293" s="642" t="s">
        <v>6721</v>
      </c>
      <c r="G2293" s="338" t="s">
        <v>5982</v>
      </c>
      <c r="H2293" s="613">
        <v>0.8</v>
      </c>
      <c r="I2293" s="426">
        <v>100000</v>
      </c>
      <c r="J2293" s="574">
        <v>44995</v>
      </c>
      <c r="K2293" s="574">
        <v>45726</v>
      </c>
      <c r="L2293" s="651">
        <v>0.4</v>
      </c>
      <c r="M2293" s="574">
        <v>45786</v>
      </c>
      <c r="N2293" s="575">
        <v>100000</v>
      </c>
      <c r="O2293" s="575">
        <v>100000</v>
      </c>
      <c r="P2293" s="575">
        <v>80000</v>
      </c>
      <c r="Q2293" s="575">
        <v>80000</v>
      </c>
      <c r="R2293" s="574">
        <v>45925</v>
      </c>
      <c r="S2293" s="575">
        <v>40000</v>
      </c>
      <c r="T2293" s="650">
        <v>45929</v>
      </c>
      <c r="U2293" s="650">
        <v>45939</v>
      </c>
      <c r="V2293" s="575">
        <v>20000</v>
      </c>
      <c r="W2293" s="576" t="s">
        <v>6812</v>
      </c>
      <c r="X2293" s="575">
        <v>20000</v>
      </c>
      <c r="Y2293" s="653"/>
    </row>
    <row r="2294" s="95" customFormat="1" ht="37.5" customHeight="1" spans="1:25">
      <c r="A2294" s="467">
        <f t="shared" si="51"/>
        <v>2284</v>
      </c>
      <c r="B2294" s="548">
        <v>2025</v>
      </c>
      <c r="C2294" s="548" t="s">
        <v>41</v>
      </c>
      <c r="D2294" s="652" t="s">
        <v>607</v>
      </c>
      <c r="E2294" s="424" t="s">
        <v>6813</v>
      </c>
      <c r="F2294" s="642" t="s">
        <v>1172</v>
      </c>
      <c r="G2294" s="338" t="s">
        <v>6814</v>
      </c>
      <c r="H2294" s="613">
        <v>0.8</v>
      </c>
      <c r="I2294" s="426">
        <v>300000</v>
      </c>
      <c r="J2294" s="574">
        <v>45401</v>
      </c>
      <c r="K2294" s="574">
        <v>45762</v>
      </c>
      <c r="L2294" s="651">
        <v>0.4</v>
      </c>
      <c r="M2294" s="574">
        <v>45772</v>
      </c>
      <c r="N2294" s="575">
        <v>306455.49</v>
      </c>
      <c r="O2294" s="575">
        <v>300000</v>
      </c>
      <c r="P2294" s="575">
        <v>240000</v>
      </c>
      <c r="Q2294" s="575">
        <v>245164.39</v>
      </c>
      <c r="R2294" s="574">
        <v>45923</v>
      </c>
      <c r="S2294" s="575">
        <v>120000</v>
      </c>
      <c r="T2294" s="650">
        <v>45928</v>
      </c>
      <c r="U2294" s="650">
        <v>45939</v>
      </c>
      <c r="V2294" s="575">
        <v>60000</v>
      </c>
      <c r="W2294" s="576" t="s">
        <v>6012</v>
      </c>
      <c r="X2294" s="575">
        <v>60000</v>
      </c>
      <c r="Y2294" s="653"/>
    </row>
    <row r="2295" s="95" customFormat="1" ht="37.5" customHeight="1" spans="1:25">
      <c r="A2295" s="467">
        <f t="shared" si="51"/>
        <v>2285</v>
      </c>
      <c r="B2295" s="548">
        <v>2025</v>
      </c>
      <c r="C2295" s="548" t="s">
        <v>37</v>
      </c>
      <c r="D2295" s="652" t="s">
        <v>6815</v>
      </c>
      <c r="E2295" s="1253" t="s">
        <v>6816</v>
      </c>
      <c r="F2295" s="642" t="s">
        <v>1095</v>
      </c>
      <c r="G2295" s="338" t="s">
        <v>6817</v>
      </c>
      <c r="H2295" s="613">
        <v>0.8</v>
      </c>
      <c r="I2295" s="426">
        <v>120000</v>
      </c>
      <c r="J2295" s="574">
        <v>45166</v>
      </c>
      <c r="K2295" s="574">
        <v>45897</v>
      </c>
      <c r="L2295" s="651">
        <v>0.4</v>
      </c>
      <c r="M2295" s="574">
        <v>45771</v>
      </c>
      <c r="N2295" s="575">
        <v>35000</v>
      </c>
      <c r="O2295" s="575">
        <v>35000</v>
      </c>
      <c r="P2295" s="575">
        <v>28000</v>
      </c>
      <c r="Q2295" s="575">
        <v>28000</v>
      </c>
      <c r="R2295" s="574">
        <v>45925</v>
      </c>
      <c r="S2295" s="575">
        <v>14000</v>
      </c>
      <c r="T2295" s="650">
        <v>45929</v>
      </c>
      <c r="U2295" s="650">
        <v>45939</v>
      </c>
      <c r="V2295" s="575">
        <v>7000</v>
      </c>
      <c r="W2295" s="576" t="s">
        <v>6818</v>
      </c>
      <c r="X2295" s="575">
        <v>7000</v>
      </c>
      <c r="Y2295" s="653"/>
    </row>
    <row r="2296" s="95" customFormat="1" ht="37.5" customHeight="1" spans="1:25">
      <c r="A2296" s="467">
        <f t="shared" si="51"/>
        <v>2286</v>
      </c>
      <c r="B2296" s="548">
        <v>2025</v>
      </c>
      <c r="C2296" s="548" t="s">
        <v>37</v>
      </c>
      <c r="D2296" s="652" t="s">
        <v>6819</v>
      </c>
      <c r="E2296" s="1253" t="s">
        <v>6820</v>
      </c>
      <c r="F2296" s="642" t="s">
        <v>1095</v>
      </c>
      <c r="G2296" s="338" t="s">
        <v>6817</v>
      </c>
      <c r="H2296" s="613">
        <v>0.8</v>
      </c>
      <c r="I2296" s="426">
        <v>600000</v>
      </c>
      <c r="J2296" s="574">
        <v>45009</v>
      </c>
      <c r="K2296" s="574">
        <v>45749</v>
      </c>
      <c r="L2296" s="651">
        <v>0.4</v>
      </c>
      <c r="M2296" s="574">
        <v>45771</v>
      </c>
      <c r="N2296" s="575">
        <v>225000</v>
      </c>
      <c r="O2296" s="575">
        <v>225000</v>
      </c>
      <c r="P2296" s="575">
        <v>180000</v>
      </c>
      <c r="Q2296" s="575">
        <v>180000</v>
      </c>
      <c r="R2296" s="574">
        <v>45925</v>
      </c>
      <c r="S2296" s="575">
        <v>90000</v>
      </c>
      <c r="T2296" s="650">
        <v>45929</v>
      </c>
      <c r="U2296" s="650">
        <v>45939</v>
      </c>
      <c r="V2296" s="575">
        <v>45000</v>
      </c>
      <c r="W2296" s="576" t="s">
        <v>6818</v>
      </c>
      <c r="X2296" s="575">
        <v>45000</v>
      </c>
      <c r="Y2296" s="653"/>
    </row>
    <row r="2297" s="95" customFormat="1" ht="37.5" customHeight="1" spans="1:25">
      <c r="A2297" s="467">
        <f t="shared" si="51"/>
        <v>2287</v>
      </c>
      <c r="B2297" s="548">
        <v>2025</v>
      </c>
      <c r="C2297" s="548" t="s">
        <v>28</v>
      </c>
      <c r="D2297" s="652" t="s">
        <v>636</v>
      </c>
      <c r="E2297" s="424" t="s">
        <v>6821</v>
      </c>
      <c r="F2297" s="642" t="s">
        <v>1129</v>
      </c>
      <c r="G2297" s="338" t="s">
        <v>1085</v>
      </c>
      <c r="H2297" s="613">
        <v>0.8</v>
      </c>
      <c r="I2297" s="426">
        <v>162000</v>
      </c>
      <c r="J2297" s="574">
        <v>45013</v>
      </c>
      <c r="K2297" s="574">
        <v>46108</v>
      </c>
      <c r="L2297" s="651">
        <v>0.4</v>
      </c>
      <c r="M2297" s="574">
        <v>45796</v>
      </c>
      <c r="N2297" s="575">
        <v>168636.19</v>
      </c>
      <c r="O2297" s="575">
        <v>156500</v>
      </c>
      <c r="P2297" s="575">
        <v>125200</v>
      </c>
      <c r="Q2297" s="575">
        <v>134908.95</v>
      </c>
      <c r="R2297" s="574">
        <v>45929</v>
      </c>
      <c r="S2297" s="575">
        <v>62600</v>
      </c>
      <c r="T2297" s="650">
        <v>45944</v>
      </c>
      <c r="U2297" s="650">
        <v>45947</v>
      </c>
      <c r="V2297" s="575">
        <v>31300</v>
      </c>
      <c r="W2297" s="576" t="s">
        <v>6822</v>
      </c>
      <c r="X2297" s="575">
        <v>31300</v>
      </c>
      <c r="Y2297" s="653"/>
    </row>
    <row r="2298" s="95" customFormat="1" ht="37.5" customHeight="1" spans="1:25">
      <c r="A2298" s="467">
        <f t="shared" si="51"/>
        <v>2288</v>
      </c>
      <c r="B2298" s="548">
        <v>2025</v>
      </c>
      <c r="C2298" s="548" t="s">
        <v>15</v>
      </c>
      <c r="D2298" s="652" t="s">
        <v>690</v>
      </c>
      <c r="E2298" s="424" t="s">
        <v>6823</v>
      </c>
      <c r="F2298" s="642" t="s">
        <v>6824</v>
      </c>
      <c r="G2298" s="338" t="s">
        <v>5943</v>
      </c>
      <c r="H2298" s="613">
        <v>0.8</v>
      </c>
      <c r="I2298" s="426">
        <v>1290000</v>
      </c>
      <c r="J2298" s="574">
        <v>45364</v>
      </c>
      <c r="K2298" s="574">
        <v>45729</v>
      </c>
      <c r="L2298" s="651">
        <v>0.4</v>
      </c>
      <c r="M2298" s="574">
        <v>45799</v>
      </c>
      <c r="N2298" s="575">
        <v>1302416.25</v>
      </c>
      <c r="O2298" s="575">
        <v>1290000</v>
      </c>
      <c r="P2298" s="575">
        <v>1032000</v>
      </c>
      <c r="Q2298" s="575">
        <v>1041933</v>
      </c>
      <c r="R2298" s="574">
        <v>45943</v>
      </c>
      <c r="S2298" s="575">
        <v>516000</v>
      </c>
      <c r="T2298" s="650">
        <v>45946</v>
      </c>
      <c r="U2298" s="650">
        <v>45952</v>
      </c>
      <c r="V2298" s="575">
        <v>258000</v>
      </c>
      <c r="W2298" s="576" t="s">
        <v>6781</v>
      </c>
      <c r="X2298" s="575">
        <v>258000</v>
      </c>
      <c r="Y2298" s="653"/>
    </row>
    <row r="2299" s="95" customFormat="1" ht="37.5" customHeight="1" spans="1:25">
      <c r="A2299" s="467">
        <f t="shared" si="51"/>
        <v>2289</v>
      </c>
      <c r="B2299" s="548">
        <v>2025</v>
      </c>
      <c r="C2299" s="548" t="s">
        <v>57</v>
      </c>
      <c r="D2299" s="652" t="s">
        <v>643</v>
      </c>
      <c r="E2299" s="424" t="s">
        <v>6825</v>
      </c>
      <c r="F2299" s="642" t="s">
        <v>6826</v>
      </c>
      <c r="G2299" s="338" t="s">
        <v>6827</v>
      </c>
      <c r="H2299" s="613">
        <v>1</v>
      </c>
      <c r="I2299" s="426">
        <v>2000000</v>
      </c>
      <c r="J2299" s="574">
        <v>45401</v>
      </c>
      <c r="K2299" s="574">
        <v>45766</v>
      </c>
      <c r="L2299" s="651">
        <v>0.4</v>
      </c>
      <c r="M2299" s="574">
        <v>45793</v>
      </c>
      <c r="N2299" s="575">
        <v>2015250.92</v>
      </c>
      <c r="O2299" s="575">
        <v>2000000</v>
      </c>
      <c r="P2299" s="575">
        <v>2000000</v>
      </c>
      <c r="Q2299" s="575">
        <v>2015250.92</v>
      </c>
      <c r="R2299" s="574">
        <v>45951</v>
      </c>
      <c r="S2299" s="575">
        <v>800000</v>
      </c>
      <c r="T2299" s="650">
        <v>45953</v>
      </c>
      <c r="U2299" s="650">
        <v>45953</v>
      </c>
      <c r="V2299" s="575">
        <v>400000</v>
      </c>
      <c r="W2299" s="576" t="s">
        <v>6805</v>
      </c>
      <c r="X2299" s="575">
        <v>400000</v>
      </c>
      <c r="Y2299" s="653"/>
    </row>
    <row r="2300" s="95" customFormat="1" ht="37.5" customHeight="1" spans="1:25">
      <c r="A2300" s="467">
        <f t="shared" si="51"/>
        <v>2290</v>
      </c>
      <c r="B2300" s="548">
        <v>2025</v>
      </c>
      <c r="C2300" s="548" t="s">
        <v>25</v>
      </c>
      <c r="D2300" s="424" t="s">
        <v>598</v>
      </c>
      <c r="E2300" s="1253" t="s">
        <v>6828</v>
      </c>
      <c r="F2300" s="642" t="s">
        <v>6380</v>
      </c>
      <c r="G2300" s="338" t="s">
        <v>6829</v>
      </c>
      <c r="H2300" s="613">
        <v>1</v>
      </c>
      <c r="I2300" s="426">
        <v>8000000</v>
      </c>
      <c r="J2300" s="574">
        <v>45259</v>
      </c>
      <c r="K2300" s="574">
        <v>45616</v>
      </c>
      <c r="L2300" s="651">
        <v>0.4</v>
      </c>
      <c r="M2300" s="574">
        <v>45771</v>
      </c>
      <c r="N2300" s="575">
        <v>8261424.19</v>
      </c>
      <c r="O2300" s="575">
        <v>8000000</v>
      </c>
      <c r="P2300" s="575">
        <v>8000000</v>
      </c>
      <c r="Q2300" s="575">
        <v>8261424.19</v>
      </c>
      <c r="R2300" s="574">
        <v>45943</v>
      </c>
      <c r="S2300" s="575">
        <v>3200000</v>
      </c>
      <c r="T2300" s="650">
        <v>45944</v>
      </c>
      <c r="U2300" s="650">
        <v>45947</v>
      </c>
      <c r="V2300" s="575">
        <v>1600000</v>
      </c>
      <c r="W2300" s="576" t="s">
        <v>6779</v>
      </c>
      <c r="X2300" s="575">
        <v>1600000</v>
      </c>
      <c r="Y2300" s="653"/>
    </row>
    <row r="2301" s="95" customFormat="1" ht="37.5" customHeight="1" spans="1:25">
      <c r="A2301" s="467">
        <f t="shared" si="51"/>
        <v>2291</v>
      </c>
      <c r="B2301" s="548">
        <v>2025</v>
      </c>
      <c r="C2301" s="548" t="s">
        <v>28</v>
      </c>
      <c r="D2301" s="424" t="s">
        <v>678</v>
      </c>
      <c r="E2301" s="1253" t="s">
        <v>6830</v>
      </c>
      <c r="F2301" s="642" t="s">
        <v>6831</v>
      </c>
      <c r="G2301" s="338" t="s">
        <v>6762</v>
      </c>
      <c r="H2301" s="613">
        <v>0.8</v>
      </c>
      <c r="I2301" s="426">
        <v>500000</v>
      </c>
      <c r="J2301" s="574">
        <v>45251</v>
      </c>
      <c r="K2301" s="574">
        <v>45616</v>
      </c>
      <c r="L2301" s="651">
        <v>0.4</v>
      </c>
      <c r="M2301" s="574">
        <v>45792</v>
      </c>
      <c r="N2301" s="575">
        <v>379247.09</v>
      </c>
      <c r="O2301" s="575">
        <v>371552.62</v>
      </c>
      <c r="P2301" s="575">
        <v>297242.1</v>
      </c>
      <c r="Q2301" s="575">
        <v>303397.68</v>
      </c>
      <c r="R2301" s="574">
        <v>45941</v>
      </c>
      <c r="S2301" s="575">
        <v>148621.05</v>
      </c>
      <c r="T2301" s="650">
        <v>45944</v>
      </c>
      <c r="U2301" s="650">
        <v>45947</v>
      </c>
      <c r="V2301" s="575">
        <v>74310.52</v>
      </c>
      <c r="W2301" s="576" t="s">
        <v>6012</v>
      </c>
      <c r="X2301" s="575">
        <v>74310.52</v>
      </c>
      <c r="Y2301" s="653"/>
    </row>
    <row r="2302" s="95" customFormat="1" ht="37.5" customHeight="1" spans="1:25">
      <c r="A2302" s="467">
        <f t="shared" si="51"/>
        <v>2292</v>
      </c>
      <c r="B2302" s="548">
        <v>2025</v>
      </c>
      <c r="C2302" s="548" t="s">
        <v>79</v>
      </c>
      <c r="D2302" s="424" t="s">
        <v>701</v>
      </c>
      <c r="E2302" s="1253" t="s">
        <v>6832</v>
      </c>
      <c r="F2302" s="642" t="s">
        <v>1869</v>
      </c>
      <c r="G2302" s="338" t="s">
        <v>5943</v>
      </c>
      <c r="H2302" s="613">
        <v>0.8</v>
      </c>
      <c r="I2302" s="426">
        <v>1350000</v>
      </c>
      <c r="J2302" s="574">
        <v>45351</v>
      </c>
      <c r="K2302" s="574">
        <v>45715</v>
      </c>
      <c r="L2302" s="651">
        <v>0.4</v>
      </c>
      <c r="M2302" s="574">
        <v>45789</v>
      </c>
      <c r="N2302" s="575">
        <v>1351125</v>
      </c>
      <c r="O2302" s="575">
        <v>1350000</v>
      </c>
      <c r="P2302" s="575">
        <v>1080000</v>
      </c>
      <c r="Q2302" s="575">
        <v>1080900.02</v>
      </c>
      <c r="R2302" s="574">
        <v>45943</v>
      </c>
      <c r="S2302" s="575">
        <v>540000</v>
      </c>
      <c r="T2302" s="650">
        <v>45946</v>
      </c>
      <c r="U2302" s="650">
        <v>45947</v>
      </c>
      <c r="V2302" s="575">
        <v>270000</v>
      </c>
      <c r="W2302" s="576" t="s">
        <v>6809</v>
      </c>
      <c r="X2302" s="575">
        <v>270000</v>
      </c>
      <c r="Y2302" s="653"/>
    </row>
    <row r="2303" s="95" customFormat="1" ht="37.5" customHeight="1" spans="1:25">
      <c r="A2303" s="467">
        <f t="shared" si="51"/>
        <v>2293</v>
      </c>
      <c r="B2303" s="548">
        <v>2025</v>
      </c>
      <c r="C2303" s="548" t="s">
        <v>79</v>
      </c>
      <c r="D2303" s="424" t="s">
        <v>6833</v>
      </c>
      <c r="E2303" s="1253" t="s">
        <v>6834</v>
      </c>
      <c r="F2303" s="642" t="s">
        <v>1095</v>
      </c>
      <c r="G2303" s="338" t="s">
        <v>1072</v>
      </c>
      <c r="H2303" s="613">
        <v>0.8</v>
      </c>
      <c r="I2303" s="426">
        <v>370000</v>
      </c>
      <c r="J2303" s="574">
        <v>45509</v>
      </c>
      <c r="K2303" s="574">
        <v>46239</v>
      </c>
      <c r="L2303" s="651">
        <v>0.4</v>
      </c>
      <c r="M2303" s="574">
        <v>45827</v>
      </c>
      <c r="N2303" s="575">
        <v>299523.8</v>
      </c>
      <c r="O2303" s="575">
        <v>299523.8</v>
      </c>
      <c r="P2303" s="575">
        <v>239619.04</v>
      </c>
      <c r="Q2303" s="575">
        <v>239619.04</v>
      </c>
      <c r="R2303" s="574">
        <v>45941</v>
      </c>
      <c r="S2303" s="575">
        <v>80000</v>
      </c>
      <c r="T2303" s="650">
        <v>45944</v>
      </c>
      <c r="U2303" s="650">
        <v>45947</v>
      </c>
      <c r="V2303" s="575">
        <v>59904.76</v>
      </c>
      <c r="W2303" s="576" t="s">
        <v>6818</v>
      </c>
      <c r="X2303" s="575">
        <v>59904.76</v>
      </c>
      <c r="Y2303" s="653"/>
    </row>
    <row r="2304" s="95" customFormat="1" ht="37.5" customHeight="1" spans="1:25">
      <c r="A2304" s="467">
        <f t="shared" si="51"/>
        <v>2294</v>
      </c>
      <c r="B2304" s="548">
        <v>2025</v>
      </c>
      <c r="C2304" s="548" t="s">
        <v>15</v>
      </c>
      <c r="D2304" s="584" t="s">
        <v>702</v>
      </c>
      <c r="E2304" s="424" t="s">
        <v>6835</v>
      </c>
      <c r="F2304" s="642" t="s">
        <v>1174</v>
      </c>
      <c r="G2304" s="338" t="s">
        <v>5943</v>
      </c>
      <c r="H2304" s="613">
        <v>0.8</v>
      </c>
      <c r="I2304" s="426">
        <v>330000</v>
      </c>
      <c r="J2304" s="574">
        <v>45364</v>
      </c>
      <c r="K2304" s="574">
        <v>45728</v>
      </c>
      <c r="L2304" s="651">
        <v>0.4</v>
      </c>
      <c r="M2304" s="574">
        <v>45803</v>
      </c>
      <c r="N2304" s="575">
        <v>275132.43</v>
      </c>
      <c r="O2304" s="575">
        <v>275132.43</v>
      </c>
      <c r="P2304" s="575">
        <v>220105.94</v>
      </c>
      <c r="Q2304" s="575">
        <v>220105.94</v>
      </c>
      <c r="R2304" s="574">
        <v>45953</v>
      </c>
      <c r="S2304" s="575">
        <v>110052.97</v>
      </c>
      <c r="T2304" s="650">
        <v>45960</v>
      </c>
      <c r="U2304" s="650">
        <v>45960</v>
      </c>
      <c r="V2304" s="575">
        <v>55026.49</v>
      </c>
      <c r="W2304" s="576" t="s">
        <v>6836</v>
      </c>
      <c r="X2304" s="575">
        <v>55026.49</v>
      </c>
      <c r="Y2304" s="653"/>
    </row>
    <row r="2305" s="95" customFormat="1" ht="37.5" customHeight="1" spans="1:25">
      <c r="A2305" s="467">
        <f t="shared" si="51"/>
        <v>2295</v>
      </c>
      <c r="B2305" s="548">
        <v>2025</v>
      </c>
      <c r="C2305" s="548" t="s">
        <v>15</v>
      </c>
      <c r="D2305" s="584" t="s">
        <v>703</v>
      </c>
      <c r="E2305" s="424" t="s">
        <v>6837</v>
      </c>
      <c r="F2305" s="642" t="s">
        <v>1634</v>
      </c>
      <c r="G2305" s="338" t="s">
        <v>5943</v>
      </c>
      <c r="H2305" s="613">
        <v>0.8</v>
      </c>
      <c r="I2305" s="426">
        <v>540000</v>
      </c>
      <c r="J2305" s="574">
        <v>45358</v>
      </c>
      <c r="K2305" s="574">
        <v>45722</v>
      </c>
      <c r="L2305" s="651">
        <v>0.4</v>
      </c>
      <c r="M2305" s="574">
        <v>45804</v>
      </c>
      <c r="N2305" s="575">
        <v>536764.08</v>
      </c>
      <c r="O2305" s="575">
        <v>535789.94</v>
      </c>
      <c r="P2305" s="575">
        <v>428631.95</v>
      </c>
      <c r="Q2305" s="575">
        <v>429411.26</v>
      </c>
      <c r="R2305" s="574">
        <v>45959</v>
      </c>
      <c r="S2305" s="575">
        <v>214315.98</v>
      </c>
      <c r="T2305" s="650">
        <v>45964</v>
      </c>
      <c r="U2305" s="650">
        <v>45968</v>
      </c>
      <c r="V2305" s="575">
        <v>107157.99</v>
      </c>
      <c r="W2305" s="576" t="s">
        <v>6838</v>
      </c>
      <c r="X2305" s="575">
        <v>107157.99</v>
      </c>
      <c r="Y2305" s="653"/>
    </row>
    <row r="2306" s="95" customFormat="1" ht="37.5" customHeight="1" spans="1:25">
      <c r="A2306" s="467">
        <f t="shared" si="51"/>
        <v>2296</v>
      </c>
      <c r="B2306" s="548">
        <v>2025</v>
      </c>
      <c r="C2306" s="548" t="s">
        <v>25</v>
      </c>
      <c r="D2306" s="584" t="s">
        <v>651</v>
      </c>
      <c r="E2306" s="424" t="s">
        <v>6839</v>
      </c>
      <c r="F2306" s="642" t="s">
        <v>6643</v>
      </c>
      <c r="G2306" s="338" t="s">
        <v>6395</v>
      </c>
      <c r="H2306" s="613">
        <v>0.8</v>
      </c>
      <c r="I2306" s="426">
        <v>500000</v>
      </c>
      <c r="J2306" s="574">
        <v>44558</v>
      </c>
      <c r="K2306" s="574">
        <v>45653</v>
      </c>
      <c r="L2306" s="651">
        <v>0.5</v>
      </c>
      <c r="M2306" s="574">
        <v>45804</v>
      </c>
      <c r="N2306" s="575">
        <v>505119.11</v>
      </c>
      <c r="O2306" s="575">
        <v>500000</v>
      </c>
      <c r="P2306" s="575">
        <v>400000</v>
      </c>
      <c r="Q2306" s="575">
        <v>404095.29</v>
      </c>
      <c r="R2306" s="574">
        <v>45958</v>
      </c>
      <c r="S2306" s="575">
        <v>250000</v>
      </c>
      <c r="T2306" s="650">
        <v>45964</v>
      </c>
      <c r="U2306" s="650">
        <v>45968</v>
      </c>
      <c r="V2306" s="575">
        <v>150000</v>
      </c>
      <c r="W2306" s="576" t="s">
        <v>6840</v>
      </c>
      <c r="X2306" s="575">
        <v>150000</v>
      </c>
      <c r="Y2306" s="653"/>
    </row>
    <row r="2307" s="95" customFormat="1" ht="37.5" customHeight="1" spans="1:25">
      <c r="A2307" s="467">
        <f t="shared" si="51"/>
        <v>2297</v>
      </c>
      <c r="B2307" s="548">
        <v>2025</v>
      </c>
      <c r="C2307" s="548" t="s">
        <v>25</v>
      </c>
      <c r="D2307" s="584" t="s">
        <v>6841</v>
      </c>
      <c r="E2307" s="424" t="s">
        <v>6842</v>
      </c>
      <c r="F2307" s="642" t="s">
        <v>6843</v>
      </c>
      <c r="G2307" s="338" t="s">
        <v>1076</v>
      </c>
      <c r="H2307" s="613">
        <v>0.8</v>
      </c>
      <c r="I2307" s="426">
        <v>3000000</v>
      </c>
      <c r="J2307" s="574">
        <v>45033</v>
      </c>
      <c r="K2307" s="574">
        <v>45763</v>
      </c>
      <c r="L2307" s="651">
        <v>0.2</v>
      </c>
      <c r="M2307" s="574">
        <v>45804</v>
      </c>
      <c r="N2307" s="575">
        <v>3041795.83</v>
      </c>
      <c r="O2307" s="575">
        <v>3000000</v>
      </c>
      <c r="P2307" s="575">
        <v>2400000</v>
      </c>
      <c r="Q2307" s="575">
        <v>2433436.66</v>
      </c>
      <c r="R2307" s="574">
        <v>45964</v>
      </c>
      <c r="S2307" s="575">
        <v>600000</v>
      </c>
      <c r="T2307" s="650">
        <v>45971</v>
      </c>
      <c r="U2307" s="650"/>
      <c r="V2307" s="616"/>
      <c r="W2307" s="576"/>
      <c r="X2307" s="658"/>
      <c r="Y2307" s="655" t="s">
        <v>1077</v>
      </c>
    </row>
    <row r="2308" s="95" customFormat="1" ht="37.5" customHeight="1" spans="1:25">
      <c r="A2308" s="467">
        <f t="shared" si="51"/>
        <v>2298</v>
      </c>
      <c r="B2308" s="548">
        <v>2025</v>
      </c>
      <c r="C2308" s="548" t="s">
        <v>6844</v>
      </c>
      <c r="D2308" s="584" t="s">
        <v>625</v>
      </c>
      <c r="E2308" s="1253" t="s">
        <v>6845</v>
      </c>
      <c r="F2308" s="642" t="s">
        <v>5968</v>
      </c>
      <c r="G2308" s="338" t="s">
        <v>5943</v>
      </c>
      <c r="H2308" s="613">
        <v>0.8</v>
      </c>
      <c r="I2308" s="426">
        <v>66935</v>
      </c>
      <c r="J2308" s="574">
        <v>45296</v>
      </c>
      <c r="K2308" s="574">
        <v>45661</v>
      </c>
      <c r="L2308" s="651">
        <v>0.4</v>
      </c>
      <c r="M2308" s="574">
        <v>45806</v>
      </c>
      <c r="N2308" s="575">
        <v>57453.27</v>
      </c>
      <c r="O2308" s="575">
        <v>56923.88</v>
      </c>
      <c r="P2308" s="575">
        <v>45539.1</v>
      </c>
      <c r="Q2308" s="575">
        <v>45962.61</v>
      </c>
      <c r="R2308" s="574">
        <v>45953</v>
      </c>
      <c r="S2308" s="575">
        <v>22769.55</v>
      </c>
      <c r="T2308" s="650">
        <v>45960</v>
      </c>
      <c r="U2308" s="650">
        <v>45960</v>
      </c>
      <c r="V2308" s="575">
        <v>11384.78</v>
      </c>
      <c r="W2308" s="576" t="s">
        <v>6846</v>
      </c>
      <c r="X2308" s="575">
        <v>11384.78</v>
      </c>
      <c r="Y2308" s="653"/>
    </row>
    <row r="2309" s="95" customFormat="1" ht="37.5" customHeight="1" spans="1:25">
      <c r="A2309" s="467">
        <f t="shared" si="51"/>
        <v>2299</v>
      </c>
      <c r="B2309" s="548">
        <v>2025</v>
      </c>
      <c r="C2309" s="548" t="s">
        <v>15</v>
      </c>
      <c r="D2309" s="584" t="s">
        <v>710</v>
      </c>
      <c r="E2309" s="1253" t="s">
        <v>6847</v>
      </c>
      <c r="F2309" s="642" t="s">
        <v>1174</v>
      </c>
      <c r="G2309" s="338" t="s">
        <v>5943</v>
      </c>
      <c r="H2309" s="613">
        <v>0.8</v>
      </c>
      <c r="I2309" s="426">
        <v>800000</v>
      </c>
      <c r="J2309" s="574">
        <v>45351</v>
      </c>
      <c r="K2309" s="574">
        <v>45715</v>
      </c>
      <c r="L2309" s="651">
        <v>0.4</v>
      </c>
      <c r="M2309" s="574">
        <v>45805</v>
      </c>
      <c r="N2309" s="575">
        <v>727734.53</v>
      </c>
      <c r="O2309" s="575">
        <v>727209.53</v>
      </c>
      <c r="P2309" s="575">
        <v>581767.62</v>
      </c>
      <c r="Q2309" s="575">
        <v>582187.62</v>
      </c>
      <c r="R2309" s="574">
        <v>45960</v>
      </c>
      <c r="S2309" s="575">
        <v>290883.81</v>
      </c>
      <c r="T2309" s="650">
        <v>45971</v>
      </c>
      <c r="U2309" s="650">
        <v>45971</v>
      </c>
      <c r="V2309" s="575">
        <v>145441.91</v>
      </c>
      <c r="W2309" s="576" t="s">
        <v>6848</v>
      </c>
      <c r="X2309" s="575">
        <v>145441.91</v>
      </c>
      <c r="Y2309" s="653"/>
    </row>
    <row r="2310" s="95" customFormat="1" ht="37.5" customHeight="1" spans="1:25">
      <c r="A2310" s="467">
        <f t="shared" si="51"/>
        <v>2300</v>
      </c>
      <c r="B2310" s="548">
        <v>2025</v>
      </c>
      <c r="C2310" s="548" t="s">
        <v>6844</v>
      </c>
      <c r="D2310" s="584" t="s">
        <v>6849</v>
      </c>
      <c r="E2310" s="1253" t="s">
        <v>6850</v>
      </c>
      <c r="F2310" s="642" t="s">
        <v>1129</v>
      </c>
      <c r="G2310" s="338" t="s">
        <v>6762</v>
      </c>
      <c r="H2310" s="613">
        <v>0.8</v>
      </c>
      <c r="I2310" s="426">
        <v>135000</v>
      </c>
      <c r="J2310" s="574">
        <v>44964</v>
      </c>
      <c r="K2310" s="574">
        <v>46059</v>
      </c>
      <c r="L2310" s="651">
        <v>0.4</v>
      </c>
      <c r="M2310" s="574">
        <v>45800</v>
      </c>
      <c r="N2310" s="575">
        <v>145657.99</v>
      </c>
      <c r="O2310" s="575">
        <v>134984.69</v>
      </c>
      <c r="P2310" s="575" t="s">
        <v>6851</v>
      </c>
      <c r="Q2310" s="575">
        <v>116526.38</v>
      </c>
      <c r="R2310" s="574">
        <v>45960</v>
      </c>
      <c r="S2310" s="575">
        <v>53993.88</v>
      </c>
      <c r="T2310" s="650">
        <v>45967</v>
      </c>
      <c r="U2310" s="650">
        <v>45968</v>
      </c>
      <c r="V2310" s="575">
        <v>26996.94</v>
      </c>
      <c r="W2310" s="576" t="s">
        <v>6852</v>
      </c>
      <c r="X2310" s="575">
        <v>26996.94</v>
      </c>
      <c r="Y2310" s="653"/>
    </row>
    <row r="2311" s="95" customFormat="1" ht="37.5" customHeight="1" spans="1:25">
      <c r="A2311" s="467">
        <f t="shared" si="51"/>
        <v>2301</v>
      </c>
      <c r="B2311" s="548">
        <v>2025</v>
      </c>
      <c r="C2311" s="548" t="s">
        <v>25</v>
      </c>
      <c r="D2311" s="584" t="s">
        <v>655</v>
      </c>
      <c r="E2311" s="424" t="s">
        <v>6853</v>
      </c>
      <c r="F2311" s="642" t="s">
        <v>6509</v>
      </c>
      <c r="G2311" s="338" t="s">
        <v>1103</v>
      </c>
      <c r="H2311" s="613">
        <v>0.8</v>
      </c>
      <c r="I2311" s="426">
        <v>140000</v>
      </c>
      <c r="J2311" s="574">
        <v>44558</v>
      </c>
      <c r="K2311" s="574">
        <v>45653</v>
      </c>
      <c r="L2311" s="651">
        <v>0.4</v>
      </c>
      <c r="M2311" s="574">
        <v>45807</v>
      </c>
      <c r="N2311" s="575">
        <v>142922.01</v>
      </c>
      <c r="O2311" s="575">
        <v>140000</v>
      </c>
      <c r="P2311" s="575">
        <v>112000</v>
      </c>
      <c r="Q2311" s="575">
        <v>114337.61</v>
      </c>
      <c r="R2311" s="574">
        <v>45974</v>
      </c>
      <c r="S2311" s="575">
        <v>56000</v>
      </c>
      <c r="T2311" s="650">
        <v>45981</v>
      </c>
      <c r="U2311" s="650">
        <v>45981</v>
      </c>
      <c r="V2311" s="575">
        <v>28000</v>
      </c>
      <c r="W2311" s="576" t="s">
        <v>6854</v>
      </c>
      <c r="X2311" s="575">
        <v>28000</v>
      </c>
      <c r="Y2311" s="653"/>
    </row>
    <row r="2312" s="95" customFormat="1" ht="37.5" customHeight="1" spans="1:25">
      <c r="A2312" s="467">
        <f t="shared" si="51"/>
        <v>2302</v>
      </c>
      <c r="B2312" s="548">
        <v>2025</v>
      </c>
      <c r="C2312" s="548" t="s">
        <v>25</v>
      </c>
      <c r="D2312" s="584" t="s">
        <v>6855</v>
      </c>
      <c r="E2312" s="424" t="s">
        <v>6856</v>
      </c>
      <c r="F2312" s="642" t="s">
        <v>6857</v>
      </c>
      <c r="G2312" s="338" t="s">
        <v>1076</v>
      </c>
      <c r="H2312" s="613">
        <v>0.8</v>
      </c>
      <c r="I2312" s="426">
        <v>200000</v>
      </c>
      <c r="J2312" s="574">
        <v>45040</v>
      </c>
      <c r="K2312" s="574">
        <v>45770</v>
      </c>
      <c r="L2312" s="651">
        <v>0.2</v>
      </c>
      <c r="M2312" s="574">
        <v>45807</v>
      </c>
      <c r="N2312" s="575">
        <v>200356.78</v>
      </c>
      <c r="O2312" s="575">
        <v>200000</v>
      </c>
      <c r="P2312" s="575">
        <v>160000</v>
      </c>
      <c r="Q2312" s="575">
        <v>160285.42</v>
      </c>
      <c r="R2312" s="574">
        <v>45974</v>
      </c>
      <c r="S2312" s="575">
        <v>40000</v>
      </c>
      <c r="T2312" s="650">
        <v>45981</v>
      </c>
      <c r="U2312" s="650"/>
      <c r="V2312" s="616"/>
      <c r="W2312" s="576"/>
      <c r="X2312" s="658"/>
      <c r="Y2312" s="655" t="s">
        <v>4184</v>
      </c>
    </row>
    <row r="2313" s="95" customFormat="1" ht="37.5" customHeight="1" spans="1:25">
      <c r="A2313" s="467">
        <f t="shared" si="51"/>
        <v>2303</v>
      </c>
      <c r="B2313" s="548">
        <v>2025</v>
      </c>
      <c r="C2313" s="548" t="s">
        <v>25</v>
      </c>
      <c r="D2313" s="584" t="s">
        <v>657</v>
      </c>
      <c r="E2313" s="424" t="s">
        <v>6858</v>
      </c>
      <c r="F2313" s="642" t="s">
        <v>1102</v>
      </c>
      <c r="G2313" s="338" t="s">
        <v>1103</v>
      </c>
      <c r="H2313" s="613">
        <v>0.8</v>
      </c>
      <c r="I2313" s="426">
        <v>300000</v>
      </c>
      <c r="J2313" s="574">
        <v>44562</v>
      </c>
      <c r="K2313" s="574">
        <v>45657</v>
      </c>
      <c r="L2313" s="651">
        <v>0.4</v>
      </c>
      <c r="M2313" s="574">
        <v>45813</v>
      </c>
      <c r="N2313" s="575">
        <v>295363.04</v>
      </c>
      <c r="O2313" s="575">
        <v>295363.04</v>
      </c>
      <c r="P2313" s="575">
        <v>236290.43</v>
      </c>
      <c r="Q2313" s="575">
        <v>236290.43</v>
      </c>
      <c r="R2313" s="574">
        <v>45971</v>
      </c>
      <c r="S2313" s="575">
        <v>118145.22</v>
      </c>
      <c r="T2313" s="650">
        <v>45974</v>
      </c>
      <c r="U2313" s="650">
        <v>45981</v>
      </c>
      <c r="V2313" s="575">
        <v>59072.61</v>
      </c>
      <c r="W2313" s="576" t="s">
        <v>6840</v>
      </c>
      <c r="X2313" s="575">
        <v>59072.61</v>
      </c>
      <c r="Y2313" s="653"/>
    </row>
    <row r="2314" s="95" customFormat="1" ht="37.5" customHeight="1" spans="1:25">
      <c r="A2314" s="467">
        <f t="shared" si="51"/>
        <v>2304</v>
      </c>
      <c r="B2314" s="548">
        <v>2025</v>
      </c>
      <c r="C2314" s="548" t="s">
        <v>22</v>
      </c>
      <c r="D2314" s="584" t="s">
        <v>683</v>
      </c>
      <c r="E2314" s="1253" t="s">
        <v>6859</v>
      </c>
      <c r="F2314" s="642" t="s">
        <v>6860</v>
      </c>
      <c r="G2314" s="338" t="s">
        <v>1103</v>
      </c>
      <c r="H2314" s="613">
        <v>0.8</v>
      </c>
      <c r="I2314" s="426">
        <v>4500000</v>
      </c>
      <c r="J2314" s="574">
        <v>44544</v>
      </c>
      <c r="K2314" s="574">
        <v>45611</v>
      </c>
      <c r="L2314" s="651">
        <v>0.4</v>
      </c>
      <c r="M2314" s="574">
        <v>45789</v>
      </c>
      <c r="N2314" s="575">
        <v>4622416.54</v>
      </c>
      <c r="O2314" s="575">
        <v>4490000</v>
      </c>
      <c r="P2314" s="575">
        <v>3592000</v>
      </c>
      <c r="Q2314" s="575">
        <v>3697933.23</v>
      </c>
      <c r="R2314" s="574">
        <v>45964</v>
      </c>
      <c r="S2314" s="575">
        <v>1848966.62</v>
      </c>
      <c r="T2314" s="650">
        <v>45967</v>
      </c>
      <c r="U2314" s="650">
        <v>45968</v>
      </c>
      <c r="V2314" s="575">
        <v>898000</v>
      </c>
      <c r="W2314" s="576" t="s">
        <v>6861</v>
      </c>
      <c r="X2314" s="575">
        <v>898000</v>
      </c>
      <c r="Y2314" s="653"/>
    </row>
    <row r="2315" s="95" customFormat="1" ht="37.5" customHeight="1" spans="1:25">
      <c r="A2315" s="467">
        <f t="shared" si="51"/>
        <v>2305</v>
      </c>
      <c r="B2315" s="548">
        <v>2025</v>
      </c>
      <c r="C2315" s="548" t="s">
        <v>25</v>
      </c>
      <c r="D2315" s="652" t="s">
        <v>653</v>
      </c>
      <c r="E2315" s="424" t="s">
        <v>6862</v>
      </c>
      <c r="F2315" s="642" t="s">
        <v>6509</v>
      </c>
      <c r="G2315" s="338" t="s">
        <v>1103</v>
      </c>
      <c r="H2315" s="613">
        <v>0.8</v>
      </c>
      <c r="I2315" s="426">
        <v>300000</v>
      </c>
      <c r="J2315" s="574">
        <v>44553</v>
      </c>
      <c r="K2315" s="574">
        <v>45648</v>
      </c>
      <c r="L2315" s="651">
        <v>0.4</v>
      </c>
      <c r="M2315" s="574">
        <v>45807</v>
      </c>
      <c r="N2315" s="575">
        <v>300000</v>
      </c>
      <c r="O2315" s="575">
        <v>3000000</v>
      </c>
      <c r="P2315" s="575">
        <v>240000</v>
      </c>
      <c r="Q2315" s="575">
        <v>240000</v>
      </c>
      <c r="R2315" s="574">
        <v>45974</v>
      </c>
      <c r="S2315" s="575">
        <v>120000</v>
      </c>
      <c r="T2315" s="650">
        <v>45981</v>
      </c>
      <c r="U2315" s="650">
        <v>45985</v>
      </c>
      <c r="V2315" s="575">
        <v>60000</v>
      </c>
      <c r="W2315" s="576" t="s">
        <v>6863</v>
      </c>
      <c r="X2315" s="575">
        <v>60000</v>
      </c>
      <c r="Y2315" s="653"/>
    </row>
    <row r="2316" s="95" customFormat="1" ht="37.5" customHeight="1" spans="1:25">
      <c r="A2316" s="467">
        <f t="shared" si="51"/>
        <v>2306</v>
      </c>
      <c r="B2316" s="548">
        <v>2025</v>
      </c>
      <c r="C2316" s="548" t="s">
        <v>28</v>
      </c>
      <c r="D2316" s="652" t="s">
        <v>659</v>
      </c>
      <c r="E2316" s="424" t="s">
        <v>6864</v>
      </c>
      <c r="F2316" s="642" t="s">
        <v>1179</v>
      </c>
      <c r="G2316" s="338" t="s">
        <v>5943</v>
      </c>
      <c r="H2316" s="613">
        <v>0.8</v>
      </c>
      <c r="I2316" s="426">
        <v>500000</v>
      </c>
      <c r="J2316" s="574">
        <v>45289</v>
      </c>
      <c r="K2316" s="574">
        <v>45654</v>
      </c>
      <c r="L2316" s="651">
        <v>0.4</v>
      </c>
      <c r="M2316" s="574">
        <v>45813</v>
      </c>
      <c r="N2316" s="575">
        <v>59453.51</v>
      </c>
      <c r="O2316" s="575">
        <v>58917.58</v>
      </c>
      <c r="P2316" s="575">
        <v>47134.06</v>
      </c>
      <c r="Q2316" s="575">
        <v>47562.8</v>
      </c>
      <c r="R2316" s="574">
        <v>45980</v>
      </c>
      <c r="S2316" s="575">
        <v>23567.03</v>
      </c>
      <c r="T2316" s="650">
        <v>45985</v>
      </c>
      <c r="U2316" s="650">
        <v>45989</v>
      </c>
      <c r="V2316" s="575">
        <v>11783.52</v>
      </c>
      <c r="W2316" s="576" t="s">
        <v>6865</v>
      </c>
      <c r="X2316" s="575">
        <v>11783.52</v>
      </c>
      <c r="Y2316" s="653"/>
    </row>
    <row r="2317" s="95" customFormat="1" ht="37.5" customHeight="1" spans="1:25">
      <c r="A2317" s="467">
        <f t="shared" si="51"/>
        <v>2307</v>
      </c>
      <c r="B2317" s="548">
        <v>2025</v>
      </c>
      <c r="C2317" s="548" t="s">
        <v>28</v>
      </c>
      <c r="D2317" s="652" t="s">
        <v>680</v>
      </c>
      <c r="E2317" s="424" t="s">
        <v>6866</v>
      </c>
      <c r="F2317" s="642" t="s">
        <v>6831</v>
      </c>
      <c r="G2317" s="338" t="s">
        <v>5943</v>
      </c>
      <c r="H2317" s="613">
        <v>0.8</v>
      </c>
      <c r="I2317" s="426">
        <v>500000</v>
      </c>
      <c r="J2317" s="574">
        <v>45271</v>
      </c>
      <c r="K2317" s="574">
        <v>45636</v>
      </c>
      <c r="L2317" s="651">
        <v>0.4</v>
      </c>
      <c r="M2317" s="574">
        <v>45814</v>
      </c>
      <c r="N2317" s="575">
        <v>503205.93</v>
      </c>
      <c r="O2317" s="575">
        <v>491338.96</v>
      </c>
      <c r="P2317" s="575">
        <v>393071.17</v>
      </c>
      <c r="Q2317" s="575">
        <v>402564.75</v>
      </c>
      <c r="R2317" s="574">
        <v>45980</v>
      </c>
      <c r="S2317" s="575">
        <v>196535.58</v>
      </c>
      <c r="T2317" s="650">
        <v>45985</v>
      </c>
      <c r="U2317" s="650">
        <v>45989</v>
      </c>
      <c r="V2317" s="575">
        <v>98267.79</v>
      </c>
      <c r="W2317" s="576" t="s">
        <v>6852</v>
      </c>
      <c r="X2317" s="575">
        <v>98267.79</v>
      </c>
      <c r="Y2317" s="653"/>
    </row>
    <row r="2318" s="95" customFormat="1" ht="37.5" customHeight="1" spans="1:25">
      <c r="A2318" s="467">
        <f t="shared" si="51"/>
        <v>2308</v>
      </c>
      <c r="B2318" s="548">
        <v>2025</v>
      </c>
      <c r="C2318" s="548" t="s">
        <v>15</v>
      </c>
      <c r="D2318" s="652" t="s">
        <v>744</v>
      </c>
      <c r="E2318" s="424" t="s">
        <v>6867</v>
      </c>
      <c r="F2318" s="642" t="s">
        <v>6534</v>
      </c>
      <c r="G2318" s="338" t="s">
        <v>5943</v>
      </c>
      <c r="H2318" s="613">
        <v>0.8</v>
      </c>
      <c r="I2318" s="426">
        <v>1000000</v>
      </c>
      <c r="J2318" s="574">
        <v>45364</v>
      </c>
      <c r="K2318" s="574">
        <v>45729</v>
      </c>
      <c r="L2318" s="651">
        <v>0.4</v>
      </c>
      <c r="M2318" s="574">
        <v>45817</v>
      </c>
      <c r="N2318" s="575">
        <v>902063.9</v>
      </c>
      <c r="O2318" s="575">
        <v>902063.9</v>
      </c>
      <c r="P2318" s="575">
        <v>721651.12</v>
      </c>
      <c r="Q2318" s="575">
        <v>721651.12</v>
      </c>
      <c r="R2318" s="574">
        <v>45979</v>
      </c>
      <c r="S2318" s="575">
        <v>360825.56</v>
      </c>
      <c r="T2318" s="650">
        <v>45985</v>
      </c>
      <c r="U2318" s="650">
        <v>45989</v>
      </c>
      <c r="V2318" s="575">
        <v>180412.78</v>
      </c>
      <c r="W2318" s="576" t="s">
        <v>6779</v>
      </c>
      <c r="X2318" s="575">
        <v>180412.78</v>
      </c>
      <c r="Y2318" s="653"/>
    </row>
    <row r="2319" s="95" customFormat="1" ht="37.5" customHeight="1" spans="1:25">
      <c r="A2319" s="467">
        <f t="shared" si="51"/>
        <v>2309</v>
      </c>
      <c r="B2319" s="548">
        <v>2025</v>
      </c>
      <c r="C2319" s="548" t="s">
        <v>102</v>
      </c>
      <c r="D2319" s="652" t="s">
        <v>733</v>
      </c>
      <c r="E2319" s="424" t="s">
        <v>6868</v>
      </c>
      <c r="F2319" s="642" t="s">
        <v>6869</v>
      </c>
      <c r="G2319" s="338" t="s">
        <v>1140</v>
      </c>
      <c r="H2319" s="613">
        <v>0.8</v>
      </c>
      <c r="I2319" s="426">
        <v>1700000</v>
      </c>
      <c r="J2319" s="574">
        <v>45075</v>
      </c>
      <c r="K2319" s="574">
        <v>45805</v>
      </c>
      <c r="L2319" s="651">
        <v>0.4</v>
      </c>
      <c r="M2319" s="574">
        <v>45806</v>
      </c>
      <c r="N2319" s="575">
        <v>1764965.35</v>
      </c>
      <c r="O2319" s="575">
        <v>1700000</v>
      </c>
      <c r="P2319" s="575">
        <v>1360000</v>
      </c>
      <c r="Q2319" s="575">
        <v>1411972.28</v>
      </c>
      <c r="R2319" s="574">
        <v>45980</v>
      </c>
      <c r="S2319" s="575">
        <v>680000</v>
      </c>
      <c r="T2319" s="650">
        <v>45985</v>
      </c>
      <c r="U2319" s="650">
        <v>45985</v>
      </c>
      <c r="V2319" s="575">
        <v>340000</v>
      </c>
      <c r="W2319" s="576"/>
      <c r="X2319" s="658"/>
      <c r="Y2319" s="653"/>
    </row>
    <row r="2320" s="95" customFormat="1" ht="37.5" customHeight="1" spans="1:25">
      <c r="A2320" s="467">
        <f t="shared" si="51"/>
        <v>2310</v>
      </c>
      <c r="B2320" s="548">
        <v>2025</v>
      </c>
      <c r="C2320" s="548" t="s">
        <v>25</v>
      </c>
      <c r="D2320" s="652" t="s">
        <v>6870</v>
      </c>
      <c r="E2320" s="424" t="s">
        <v>6871</v>
      </c>
      <c r="F2320" s="642" t="s">
        <v>1102</v>
      </c>
      <c r="G2320" s="338" t="s">
        <v>1103</v>
      </c>
      <c r="H2320" s="613">
        <v>0.8</v>
      </c>
      <c r="I2320" s="426">
        <v>300000</v>
      </c>
      <c r="J2320" s="574">
        <v>44586</v>
      </c>
      <c r="K2320" s="574">
        <v>45681</v>
      </c>
      <c r="L2320" s="651">
        <v>0.4</v>
      </c>
      <c r="M2320" s="574">
        <v>45813</v>
      </c>
      <c r="N2320" s="575">
        <v>303799.36</v>
      </c>
      <c r="O2320" s="575">
        <v>300000</v>
      </c>
      <c r="P2320" s="575">
        <v>240000</v>
      </c>
      <c r="Q2320" s="575">
        <v>243039.49</v>
      </c>
      <c r="R2320" s="574">
        <v>45978</v>
      </c>
      <c r="S2320" s="575">
        <v>120000</v>
      </c>
      <c r="T2320" s="650">
        <v>45981</v>
      </c>
      <c r="U2320" s="650">
        <v>45985</v>
      </c>
      <c r="V2320" s="575">
        <v>60000</v>
      </c>
      <c r="W2320" s="576" t="s">
        <v>6779</v>
      </c>
      <c r="X2320" s="575">
        <v>60000</v>
      </c>
      <c r="Y2320" s="653"/>
    </row>
    <row r="2321" s="95" customFormat="1" ht="37.5" customHeight="1" spans="1:25">
      <c r="A2321" s="467">
        <f t="shared" ref="A2321:A2328" si="52">ROW()-10</f>
        <v>2311</v>
      </c>
      <c r="B2321" s="548">
        <v>2025</v>
      </c>
      <c r="C2321" s="548" t="s">
        <v>15</v>
      </c>
      <c r="D2321" s="652" t="s">
        <v>6872</v>
      </c>
      <c r="E2321" s="424" t="s">
        <v>6873</v>
      </c>
      <c r="F2321" s="642" t="s">
        <v>6874</v>
      </c>
      <c r="G2321" s="338" t="s">
        <v>6633</v>
      </c>
      <c r="H2321" s="613">
        <v>0.8</v>
      </c>
      <c r="I2321" s="426">
        <v>3300000</v>
      </c>
      <c r="J2321" s="574">
        <v>45370</v>
      </c>
      <c r="K2321" s="574">
        <v>45734</v>
      </c>
      <c r="L2321" s="651">
        <v>0.4</v>
      </c>
      <c r="M2321" s="574">
        <v>45820</v>
      </c>
      <c r="N2321" s="575">
        <v>3298913.75</v>
      </c>
      <c r="O2321" s="575">
        <v>3298913.75</v>
      </c>
      <c r="P2321" s="575">
        <v>2639131</v>
      </c>
      <c r="Q2321" s="575">
        <v>2639131</v>
      </c>
      <c r="R2321" s="574">
        <v>45993</v>
      </c>
      <c r="S2321" s="575">
        <v>1319565.5</v>
      </c>
      <c r="T2321" s="650">
        <v>46002</v>
      </c>
      <c r="U2321" s="650"/>
      <c r="V2321" s="616"/>
      <c r="W2321" s="576"/>
      <c r="X2321" s="658"/>
      <c r="Y2321" s="655" t="s">
        <v>4184</v>
      </c>
    </row>
    <row r="2322" s="95" customFormat="1" ht="37.5" customHeight="1" spans="1:25">
      <c r="A2322" s="467">
        <f t="shared" si="52"/>
        <v>2312</v>
      </c>
      <c r="B2322" s="548">
        <v>2025</v>
      </c>
      <c r="C2322" s="548" t="s">
        <v>28</v>
      </c>
      <c r="D2322" s="652" t="s">
        <v>699</v>
      </c>
      <c r="E2322" s="424" t="s">
        <v>6875</v>
      </c>
      <c r="F2322" s="642" t="s">
        <v>5973</v>
      </c>
      <c r="G2322" s="338" t="s">
        <v>5943</v>
      </c>
      <c r="H2322" s="613">
        <v>0.8</v>
      </c>
      <c r="I2322" s="426">
        <v>270000</v>
      </c>
      <c r="J2322" s="574">
        <v>45289</v>
      </c>
      <c r="K2322" s="574">
        <v>45654</v>
      </c>
      <c r="L2322" s="651">
        <v>0.4</v>
      </c>
      <c r="M2322" s="574">
        <v>45821</v>
      </c>
      <c r="N2322" s="575">
        <v>253076.18</v>
      </c>
      <c r="O2322" s="575">
        <v>253076.18</v>
      </c>
      <c r="P2322" s="575">
        <v>202460.94</v>
      </c>
      <c r="Q2322" s="575">
        <v>202460.94</v>
      </c>
      <c r="R2322" s="574">
        <v>45985</v>
      </c>
      <c r="S2322" s="575">
        <v>101230.47</v>
      </c>
      <c r="T2322" s="650">
        <v>45992</v>
      </c>
      <c r="U2322" s="650">
        <v>45995</v>
      </c>
      <c r="V2322" s="575">
        <v>50615.24</v>
      </c>
      <c r="W2322" s="576" t="s">
        <v>6793</v>
      </c>
      <c r="X2322" s="575">
        <v>50615.24</v>
      </c>
      <c r="Y2322" s="653"/>
    </row>
    <row r="2323" s="95" customFormat="1" ht="37.5" customHeight="1" spans="1:25">
      <c r="A2323" s="467">
        <f t="shared" si="52"/>
        <v>2313</v>
      </c>
      <c r="B2323" s="548">
        <v>2025</v>
      </c>
      <c r="C2323" s="548" t="s">
        <v>28</v>
      </c>
      <c r="D2323" s="652" t="s">
        <v>715</v>
      </c>
      <c r="E2323" s="424" t="s">
        <v>6876</v>
      </c>
      <c r="F2323" s="642" t="s">
        <v>6509</v>
      </c>
      <c r="G2323" s="338" t="s">
        <v>1103</v>
      </c>
      <c r="H2323" s="613">
        <v>0.8</v>
      </c>
      <c r="I2323" s="426">
        <v>195000</v>
      </c>
      <c r="J2323" s="574">
        <v>44623</v>
      </c>
      <c r="K2323" s="574">
        <v>45718</v>
      </c>
      <c r="L2323" s="651">
        <v>0.4</v>
      </c>
      <c r="M2323" s="574">
        <v>45821</v>
      </c>
      <c r="N2323" s="575">
        <v>196139.61</v>
      </c>
      <c r="O2323" s="575">
        <v>194998.25</v>
      </c>
      <c r="P2323" s="575">
        <v>155998.6</v>
      </c>
      <c r="Q2323" s="575">
        <v>156911.69</v>
      </c>
      <c r="R2323" s="574">
        <v>45985</v>
      </c>
      <c r="S2323" s="575">
        <v>77999.3</v>
      </c>
      <c r="T2323" s="650">
        <v>45992</v>
      </c>
      <c r="U2323" s="650">
        <v>45995</v>
      </c>
      <c r="V2323" s="575">
        <v>38999.65</v>
      </c>
      <c r="W2323" s="576" t="s">
        <v>6805</v>
      </c>
      <c r="X2323" s="575">
        <v>38999.65</v>
      </c>
      <c r="Y2323" s="653"/>
    </row>
    <row r="2324" s="95" customFormat="1" ht="37.5" customHeight="1" spans="1:25">
      <c r="A2324" s="467">
        <f t="shared" si="52"/>
        <v>2314</v>
      </c>
      <c r="B2324" s="548">
        <v>2025</v>
      </c>
      <c r="C2324" s="548" t="s">
        <v>15</v>
      </c>
      <c r="D2324" s="652" t="s">
        <v>740</v>
      </c>
      <c r="E2324" s="424" t="s">
        <v>6877</v>
      </c>
      <c r="F2324" s="642" t="s">
        <v>6878</v>
      </c>
      <c r="G2324" s="338" t="s">
        <v>5943</v>
      </c>
      <c r="H2324" s="613">
        <v>0.8</v>
      </c>
      <c r="I2324" s="426">
        <v>3000000</v>
      </c>
      <c r="J2324" s="574">
        <v>45380</v>
      </c>
      <c r="K2324" s="574">
        <v>45744</v>
      </c>
      <c r="L2324" s="651">
        <v>0.4</v>
      </c>
      <c r="M2324" s="574">
        <v>45824</v>
      </c>
      <c r="N2324" s="575">
        <v>3000417.08</v>
      </c>
      <c r="O2324" s="575">
        <v>3000000</v>
      </c>
      <c r="P2324" s="575">
        <v>2400000</v>
      </c>
      <c r="Q2324" s="575">
        <v>2400333.66</v>
      </c>
      <c r="R2324" s="574">
        <v>45993</v>
      </c>
      <c r="S2324" s="575">
        <v>1200000</v>
      </c>
      <c r="T2324" s="650">
        <v>46002</v>
      </c>
      <c r="U2324" s="650">
        <v>46003</v>
      </c>
      <c r="V2324" s="575">
        <v>600000</v>
      </c>
      <c r="W2324" s="576" t="s">
        <v>6879</v>
      </c>
      <c r="X2324" s="575">
        <v>600000</v>
      </c>
      <c r="Y2324" s="653"/>
    </row>
    <row r="2325" s="95" customFormat="1" ht="37.5" customHeight="1" spans="1:25">
      <c r="A2325" s="467">
        <f t="shared" si="52"/>
        <v>2315</v>
      </c>
      <c r="B2325" s="548">
        <v>2025</v>
      </c>
      <c r="C2325" s="548" t="s">
        <v>28</v>
      </c>
      <c r="D2325" s="652" t="s">
        <v>639</v>
      </c>
      <c r="E2325" s="424" t="s">
        <v>6880</v>
      </c>
      <c r="F2325" s="642" t="s">
        <v>5968</v>
      </c>
      <c r="G2325" s="338" t="s">
        <v>5943</v>
      </c>
      <c r="H2325" s="613">
        <v>0.8</v>
      </c>
      <c r="I2325" s="426">
        <v>600000</v>
      </c>
      <c r="J2325" s="574">
        <v>45297</v>
      </c>
      <c r="K2325" s="574">
        <v>45662</v>
      </c>
      <c r="L2325" s="651">
        <v>0.4</v>
      </c>
      <c r="M2325" s="574">
        <v>45826</v>
      </c>
      <c r="N2325" s="575">
        <v>561356.4</v>
      </c>
      <c r="O2325" s="575">
        <v>550960</v>
      </c>
      <c r="P2325" s="575">
        <v>440768</v>
      </c>
      <c r="Q2325" s="575">
        <v>449085.12</v>
      </c>
      <c r="R2325" s="574">
        <v>45993</v>
      </c>
      <c r="S2325" s="575">
        <v>220384</v>
      </c>
      <c r="T2325" s="650">
        <v>46002</v>
      </c>
      <c r="U2325" s="650">
        <v>46002</v>
      </c>
      <c r="V2325" s="575">
        <v>110192</v>
      </c>
      <c r="W2325" s="576" t="s">
        <v>6881</v>
      </c>
      <c r="X2325" s="575">
        <v>110192</v>
      </c>
      <c r="Y2325" s="653"/>
    </row>
    <row r="2326" s="95" customFormat="1" ht="37.5" customHeight="1" spans="1:25">
      <c r="A2326" s="467">
        <f t="shared" si="52"/>
        <v>2316</v>
      </c>
      <c r="B2326" s="548">
        <v>2025</v>
      </c>
      <c r="C2326" s="548" t="s">
        <v>15</v>
      </c>
      <c r="D2326" s="652" t="s">
        <v>746</v>
      </c>
      <c r="E2326" s="424" t="s">
        <v>6882</v>
      </c>
      <c r="F2326" s="642" t="s">
        <v>1194</v>
      </c>
      <c r="G2326" s="338" t="s">
        <v>5943</v>
      </c>
      <c r="H2326" s="613">
        <v>0.8</v>
      </c>
      <c r="I2326" s="426">
        <v>400000</v>
      </c>
      <c r="J2326" s="574">
        <v>45372</v>
      </c>
      <c r="K2326" s="574">
        <v>45736</v>
      </c>
      <c r="L2326" s="651">
        <v>0.4</v>
      </c>
      <c r="M2326" s="574">
        <v>45826</v>
      </c>
      <c r="N2326" s="575">
        <v>370026.37</v>
      </c>
      <c r="O2326" s="575">
        <v>370026.37</v>
      </c>
      <c r="P2326" s="575">
        <v>296021.09</v>
      </c>
      <c r="Q2326" s="575">
        <v>296021.09</v>
      </c>
      <c r="R2326" s="574">
        <v>45988</v>
      </c>
      <c r="S2326" s="575">
        <v>148010.55</v>
      </c>
      <c r="T2326" s="650">
        <v>45995</v>
      </c>
      <c r="U2326" s="650">
        <v>45995</v>
      </c>
      <c r="V2326" s="575">
        <v>74005.27</v>
      </c>
      <c r="W2326" s="576" t="s">
        <v>6805</v>
      </c>
      <c r="X2326" s="575">
        <v>74005.27</v>
      </c>
      <c r="Y2326" s="653"/>
    </row>
    <row r="2327" s="95" customFormat="1" ht="37.5" customHeight="1" spans="1:25">
      <c r="A2327" s="467">
        <f t="shared" si="52"/>
        <v>2317</v>
      </c>
      <c r="B2327" s="548">
        <v>2025</v>
      </c>
      <c r="C2327" s="548" t="s">
        <v>15</v>
      </c>
      <c r="D2327" s="652" t="s">
        <v>747</v>
      </c>
      <c r="E2327" s="424" t="s">
        <v>6883</v>
      </c>
      <c r="F2327" s="642" t="s">
        <v>1148</v>
      </c>
      <c r="G2327" s="338" t="s">
        <v>5943</v>
      </c>
      <c r="H2327" s="613">
        <v>0.8</v>
      </c>
      <c r="I2327" s="426">
        <v>800000</v>
      </c>
      <c r="J2327" s="574">
        <v>45378</v>
      </c>
      <c r="K2327" s="574">
        <v>45742</v>
      </c>
      <c r="L2327" s="651">
        <v>0.4</v>
      </c>
      <c r="M2327" s="574">
        <v>45828</v>
      </c>
      <c r="N2327" s="575">
        <v>767949</v>
      </c>
      <c r="O2327" s="575">
        <v>767636.5</v>
      </c>
      <c r="P2327" s="575">
        <v>614109.2</v>
      </c>
      <c r="Q2327" s="575">
        <v>614359.2</v>
      </c>
      <c r="R2327" s="574">
        <v>45992</v>
      </c>
      <c r="S2327" s="575">
        <v>307054.6</v>
      </c>
      <c r="T2327" s="650">
        <v>45995</v>
      </c>
      <c r="U2327" s="650">
        <v>46001</v>
      </c>
      <c r="V2327" s="575">
        <v>153527.3</v>
      </c>
      <c r="W2327" s="576" t="s">
        <v>6884</v>
      </c>
      <c r="X2327" s="575">
        <v>153527.3</v>
      </c>
      <c r="Y2327" s="653"/>
    </row>
    <row r="2328" s="95" customFormat="1" ht="37.5" customHeight="1" spans="1:25">
      <c r="A2328" s="467">
        <f t="shared" si="52"/>
        <v>2318</v>
      </c>
      <c r="B2328" s="548">
        <v>2025</v>
      </c>
      <c r="C2328" s="548" t="s">
        <v>133</v>
      </c>
      <c r="D2328" s="652" t="s">
        <v>752</v>
      </c>
      <c r="E2328" s="1253" t="s">
        <v>6885</v>
      </c>
      <c r="F2328" s="642" t="s">
        <v>6886</v>
      </c>
      <c r="G2328" s="338" t="s">
        <v>1140</v>
      </c>
      <c r="H2328" s="613">
        <v>0.8</v>
      </c>
      <c r="I2328" s="426">
        <v>150000</v>
      </c>
      <c r="J2328" s="574">
        <v>44974</v>
      </c>
      <c r="K2328" s="574">
        <v>45704</v>
      </c>
      <c r="L2328" s="651">
        <v>0.4</v>
      </c>
      <c r="M2328" s="574">
        <v>45821</v>
      </c>
      <c r="N2328" s="575">
        <v>111424.59</v>
      </c>
      <c r="O2328" s="575">
        <v>110682.07</v>
      </c>
      <c r="P2328" s="575">
        <v>88545.66</v>
      </c>
      <c r="Q2328" s="575">
        <v>89139.67</v>
      </c>
      <c r="R2328" s="574">
        <v>45988</v>
      </c>
      <c r="S2328" s="575">
        <v>44272.83</v>
      </c>
      <c r="T2328" s="650">
        <v>45995</v>
      </c>
      <c r="U2328" s="650">
        <v>45995</v>
      </c>
      <c r="V2328" s="575">
        <v>22136.41</v>
      </c>
      <c r="W2328" s="576" t="s">
        <v>6887</v>
      </c>
      <c r="X2328" s="575">
        <v>22136.41</v>
      </c>
      <c r="Y2328" s="653"/>
    </row>
    <row r="2329" s="95" customFormat="1" ht="37.5" customHeight="1" spans="1:25">
      <c r="A2329" s="467">
        <f t="shared" ref="A2329:A2336" si="53">ROW()-10</f>
        <v>2319</v>
      </c>
      <c r="B2329" s="548">
        <v>2025</v>
      </c>
      <c r="C2329" s="548" t="s">
        <v>25</v>
      </c>
      <c r="D2329" s="652" t="s">
        <v>688</v>
      </c>
      <c r="E2329" s="424" t="s">
        <v>6888</v>
      </c>
      <c r="F2329" s="642" t="s">
        <v>6889</v>
      </c>
      <c r="G2329" s="338" t="s">
        <v>6259</v>
      </c>
      <c r="H2329" s="613">
        <v>0.8</v>
      </c>
      <c r="I2329" s="426">
        <v>3000000</v>
      </c>
      <c r="J2329" s="574">
        <v>45029</v>
      </c>
      <c r="K2329" s="574">
        <v>45759</v>
      </c>
      <c r="L2329" s="651">
        <v>0.4</v>
      </c>
      <c r="M2329" s="574">
        <v>45819</v>
      </c>
      <c r="N2329" s="575">
        <v>3003941.67</v>
      </c>
      <c r="O2329" s="575">
        <v>3000000</v>
      </c>
      <c r="P2329" s="575">
        <v>2400000</v>
      </c>
      <c r="Q2329" s="575">
        <v>2403153.33</v>
      </c>
      <c r="R2329" s="574">
        <v>45993</v>
      </c>
      <c r="S2329" s="575">
        <v>1200000</v>
      </c>
      <c r="T2329" s="650">
        <v>45995</v>
      </c>
      <c r="U2329" s="650">
        <v>45995</v>
      </c>
      <c r="V2329" s="575">
        <v>600000</v>
      </c>
      <c r="W2329" s="576" t="s">
        <v>6890</v>
      </c>
      <c r="X2329" s="575">
        <v>600000</v>
      </c>
      <c r="Y2329" s="653"/>
    </row>
    <row r="2330" s="95" customFormat="1" ht="37.5" customHeight="1" spans="1:25">
      <c r="A2330" s="467">
        <f t="shared" si="53"/>
        <v>2320</v>
      </c>
      <c r="B2330" s="548">
        <v>2025</v>
      </c>
      <c r="C2330" s="548" t="s">
        <v>37</v>
      </c>
      <c r="D2330" s="652" t="s">
        <v>6891</v>
      </c>
      <c r="E2330" s="424" t="s">
        <v>6892</v>
      </c>
      <c r="F2330" s="642" t="s">
        <v>6893</v>
      </c>
      <c r="G2330" s="338" t="s">
        <v>6894</v>
      </c>
      <c r="H2330" s="613">
        <v>0.8</v>
      </c>
      <c r="I2330" s="426">
        <v>300000</v>
      </c>
      <c r="J2330" s="574">
        <v>45524</v>
      </c>
      <c r="K2330" s="574">
        <v>46285</v>
      </c>
      <c r="L2330" s="651">
        <v>0.2</v>
      </c>
      <c r="M2330" s="574">
        <v>45828</v>
      </c>
      <c r="N2330" s="575">
        <v>304108.55</v>
      </c>
      <c r="O2330" s="575">
        <v>300000</v>
      </c>
      <c r="P2330" s="575">
        <v>240000</v>
      </c>
      <c r="Q2330" s="575">
        <v>243418.38</v>
      </c>
      <c r="R2330" s="574">
        <v>46001</v>
      </c>
      <c r="S2330" s="575">
        <v>60000</v>
      </c>
      <c r="T2330" s="650">
        <v>46006</v>
      </c>
      <c r="U2330" s="650"/>
      <c r="V2330" s="616"/>
      <c r="W2330" s="576"/>
      <c r="X2330" s="658"/>
      <c r="Y2330" s="655" t="s">
        <v>4184</v>
      </c>
    </row>
    <row r="2331" s="95" customFormat="1" ht="37.5" customHeight="1" spans="1:25">
      <c r="A2331" s="467">
        <f t="shared" si="53"/>
        <v>2321</v>
      </c>
      <c r="B2331" s="548">
        <v>2025</v>
      </c>
      <c r="C2331" s="548" t="s">
        <v>15</v>
      </c>
      <c r="D2331" s="652" t="s">
        <v>741</v>
      </c>
      <c r="E2331" s="424" t="s">
        <v>6895</v>
      </c>
      <c r="F2331" s="642" t="s">
        <v>1133</v>
      </c>
      <c r="G2331" s="338" t="s">
        <v>5943</v>
      </c>
      <c r="H2331" s="613">
        <v>0.8</v>
      </c>
      <c r="I2331" s="426">
        <v>2600000</v>
      </c>
      <c r="J2331" s="574">
        <v>45379</v>
      </c>
      <c r="K2331" s="574">
        <v>45744</v>
      </c>
      <c r="L2331" s="651">
        <v>0.362</v>
      </c>
      <c r="M2331" s="574">
        <v>45831</v>
      </c>
      <c r="N2331" s="575">
        <v>2600000</v>
      </c>
      <c r="O2331" s="575">
        <v>2600000</v>
      </c>
      <c r="P2331" s="575">
        <v>1882655.41</v>
      </c>
      <c r="Q2331" s="575">
        <v>1882655.41</v>
      </c>
      <c r="R2331" s="574">
        <v>46000</v>
      </c>
      <c r="S2331" s="575">
        <v>941327.7</v>
      </c>
      <c r="T2331" s="650">
        <v>46002</v>
      </c>
      <c r="U2331" s="650">
        <v>46009</v>
      </c>
      <c r="V2331" s="575">
        <v>470600</v>
      </c>
      <c r="W2331" s="576"/>
      <c r="X2331" s="658"/>
      <c r="Y2331" s="656" t="s">
        <v>6785</v>
      </c>
    </row>
    <row r="2332" s="95" customFormat="1" ht="37.5" customHeight="1" spans="1:25">
      <c r="A2332" s="467">
        <f t="shared" si="53"/>
        <v>2322</v>
      </c>
      <c r="B2332" s="548">
        <v>2025</v>
      </c>
      <c r="C2332" s="548" t="s">
        <v>15</v>
      </c>
      <c r="D2332" s="652" t="s">
        <v>748</v>
      </c>
      <c r="E2332" s="424" t="s">
        <v>6896</v>
      </c>
      <c r="F2332" s="642" t="s">
        <v>1197</v>
      </c>
      <c r="G2332" s="338" t="s">
        <v>5943</v>
      </c>
      <c r="H2332" s="613">
        <v>0.8</v>
      </c>
      <c r="I2332" s="426">
        <v>100000</v>
      </c>
      <c r="J2332" s="574">
        <v>45378</v>
      </c>
      <c r="K2332" s="574">
        <v>45742</v>
      </c>
      <c r="L2332" s="651">
        <v>0.4</v>
      </c>
      <c r="M2332" s="574">
        <v>45832</v>
      </c>
      <c r="N2332" s="575">
        <v>98812.15</v>
      </c>
      <c r="O2332" s="575">
        <v>98812.15</v>
      </c>
      <c r="P2332" s="575">
        <v>79049.72</v>
      </c>
      <c r="Q2332" s="575">
        <v>79049.72</v>
      </c>
      <c r="R2332" s="574">
        <v>45996</v>
      </c>
      <c r="S2332" s="575">
        <v>39524.86</v>
      </c>
      <c r="T2332" s="650">
        <v>46002</v>
      </c>
      <c r="U2332" s="650">
        <v>46003</v>
      </c>
      <c r="V2332" s="575">
        <v>19762.43</v>
      </c>
      <c r="W2332" s="576" t="s">
        <v>6492</v>
      </c>
      <c r="X2332" s="575">
        <v>19762.43</v>
      </c>
      <c r="Y2332" s="653"/>
    </row>
    <row r="2333" s="95" customFormat="1" ht="37.5" customHeight="1" spans="1:25">
      <c r="A2333" s="467">
        <f t="shared" si="53"/>
        <v>2323</v>
      </c>
      <c r="B2333" s="548">
        <v>2025</v>
      </c>
      <c r="C2333" s="548" t="s">
        <v>28</v>
      </c>
      <c r="D2333" s="652" t="s">
        <v>704</v>
      </c>
      <c r="E2333" s="424" t="s">
        <v>6897</v>
      </c>
      <c r="F2333" s="642" t="s">
        <v>5968</v>
      </c>
      <c r="G2333" s="338" t="s">
        <v>5943</v>
      </c>
      <c r="H2333" s="613">
        <v>0.8</v>
      </c>
      <c r="I2333" s="426">
        <v>1000000</v>
      </c>
      <c r="J2333" s="574">
        <v>45292</v>
      </c>
      <c r="K2333" s="574">
        <v>45653</v>
      </c>
      <c r="L2333" s="651">
        <v>0.4</v>
      </c>
      <c r="M2333" s="574">
        <v>45832</v>
      </c>
      <c r="N2333" s="575">
        <v>1019530.49</v>
      </c>
      <c r="O2333" s="575">
        <v>1000000</v>
      </c>
      <c r="P2333" s="575">
        <v>800000</v>
      </c>
      <c r="Q2333" s="575">
        <v>815624.39</v>
      </c>
      <c r="R2333" s="574">
        <v>46001</v>
      </c>
      <c r="S2333" s="575">
        <v>400000</v>
      </c>
      <c r="T2333" s="650">
        <v>46006</v>
      </c>
      <c r="U2333" s="650">
        <v>46009</v>
      </c>
      <c r="V2333" s="575">
        <v>200000</v>
      </c>
      <c r="W2333" s="576"/>
      <c r="X2333" s="658"/>
      <c r="Y2333" s="653"/>
    </row>
    <row r="2334" s="95" customFormat="1" ht="37.5" customHeight="1" spans="1:25">
      <c r="A2334" s="467">
        <f t="shared" si="53"/>
        <v>2324</v>
      </c>
      <c r="B2334" s="548">
        <v>2025</v>
      </c>
      <c r="C2334" s="548" t="s">
        <v>15</v>
      </c>
      <c r="D2334" s="652" t="s">
        <v>745</v>
      </c>
      <c r="E2334" s="1253" t="s">
        <v>6898</v>
      </c>
      <c r="F2334" s="642" t="s">
        <v>1174</v>
      </c>
      <c r="G2334" s="338" t="s">
        <v>5943</v>
      </c>
      <c r="H2334" s="613">
        <v>0.8</v>
      </c>
      <c r="I2334" s="426">
        <v>1100000</v>
      </c>
      <c r="J2334" s="574">
        <v>45369</v>
      </c>
      <c r="K2334" s="574">
        <v>45733</v>
      </c>
      <c r="L2334" s="651">
        <v>0.4</v>
      </c>
      <c r="M2334" s="574">
        <v>45824</v>
      </c>
      <c r="N2334" s="575">
        <v>1104201.39</v>
      </c>
      <c r="O2334" s="575">
        <v>1100000</v>
      </c>
      <c r="P2334" s="575">
        <v>880000</v>
      </c>
      <c r="Q2334" s="575">
        <v>883361.11</v>
      </c>
      <c r="R2334" s="574">
        <v>45995</v>
      </c>
      <c r="S2334" s="575">
        <v>440000</v>
      </c>
      <c r="T2334" s="650">
        <v>46002</v>
      </c>
      <c r="U2334" s="650">
        <v>46003</v>
      </c>
      <c r="V2334" s="575">
        <v>220000</v>
      </c>
      <c r="W2334" s="576" t="s">
        <v>6879</v>
      </c>
      <c r="X2334" s="575">
        <v>220000</v>
      </c>
      <c r="Y2334" s="653"/>
    </row>
    <row r="2335" s="95" customFormat="1" ht="37.5" customHeight="1" spans="1:25">
      <c r="A2335" s="467">
        <f t="shared" si="53"/>
        <v>2325</v>
      </c>
      <c r="B2335" s="548">
        <v>2025</v>
      </c>
      <c r="C2335" s="548" t="s">
        <v>28</v>
      </c>
      <c r="D2335" s="652" t="s">
        <v>762</v>
      </c>
      <c r="E2335" s="1253" t="s">
        <v>6899</v>
      </c>
      <c r="F2335" s="642" t="s">
        <v>1179</v>
      </c>
      <c r="G2335" s="338" t="s">
        <v>1103</v>
      </c>
      <c r="H2335" s="613">
        <v>0.8</v>
      </c>
      <c r="I2335" s="426">
        <v>300000</v>
      </c>
      <c r="J2335" s="574">
        <v>44932</v>
      </c>
      <c r="K2335" s="574">
        <v>45676</v>
      </c>
      <c r="L2335" s="651">
        <v>0.4</v>
      </c>
      <c r="M2335" s="574">
        <v>45826</v>
      </c>
      <c r="N2335" s="575">
        <v>299834.14</v>
      </c>
      <c r="O2335" s="575">
        <v>299674.14</v>
      </c>
      <c r="P2335" s="575">
        <v>239739.31</v>
      </c>
      <c r="Q2335" s="575">
        <v>239867.31</v>
      </c>
      <c r="R2335" s="574">
        <v>45995</v>
      </c>
      <c r="S2335" s="575">
        <v>119869.66</v>
      </c>
      <c r="T2335" s="650">
        <v>46002</v>
      </c>
      <c r="U2335" s="650">
        <v>46003</v>
      </c>
      <c r="V2335" s="575">
        <v>59934.83</v>
      </c>
      <c r="W2335" s="576" t="s">
        <v>6900</v>
      </c>
      <c r="X2335" s="575">
        <v>59934.83</v>
      </c>
      <c r="Y2335" s="653"/>
    </row>
    <row r="2336" s="95" customFormat="1" ht="37.5" customHeight="1" spans="1:25">
      <c r="A2336" s="467">
        <f t="shared" si="53"/>
        <v>2326</v>
      </c>
      <c r="B2336" s="548">
        <v>2025</v>
      </c>
      <c r="C2336" s="548" t="s">
        <v>28</v>
      </c>
      <c r="D2336" s="652" t="s">
        <v>641</v>
      </c>
      <c r="E2336" s="1253" t="s">
        <v>6901</v>
      </c>
      <c r="F2336" s="642" t="s">
        <v>6902</v>
      </c>
      <c r="G2336" s="338" t="s">
        <v>1103</v>
      </c>
      <c r="H2336" s="613">
        <v>0.8</v>
      </c>
      <c r="I2336" s="426">
        <v>110000</v>
      </c>
      <c r="J2336" s="574">
        <v>45291</v>
      </c>
      <c r="K2336" s="574">
        <v>45656</v>
      </c>
      <c r="L2336" s="651">
        <v>0.4</v>
      </c>
      <c r="M2336" s="574">
        <v>45828</v>
      </c>
      <c r="N2336" s="575">
        <v>110000</v>
      </c>
      <c r="O2336" s="575">
        <v>110000</v>
      </c>
      <c r="P2336" s="575">
        <v>88000</v>
      </c>
      <c r="Q2336" s="575">
        <v>88000</v>
      </c>
      <c r="R2336" s="574">
        <v>45999</v>
      </c>
      <c r="S2336" s="575">
        <v>44000</v>
      </c>
      <c r="T2336" s="650">
        <v>46002</v>
      </c>
      <c r="U2336" s="650">
        <v>46003</v>
      </c>
      <c r="V2336" s="575">
        <v>22000</v>
      </c>
      <c r="W2336" s="576" t="s">
        <v>6903</v>
      </c>
      <c r="X2336" s="575">
        <v>22000</v>
      </c>
      <c r="Y2336" s="653"/>
    </row>
    <row r="2337" s="95" customFormat="1" ht="37.5" customHeight="1" spans="1:25 16384:16384">
      <c r="A2337" s="467">
        <f t="shared" ref="A2337:A2346" si="54">ROW()-10</f>
        <v>2327</v>
      </c>
      <c r="B2337" s="548">
        <v>2025</v>
      </c>
      <c r="C2337" s="548" t="s">
        <v>25</v>
      </c>
      <c r="D2337" s="652" t="s">
        <v>6904</v>
      </c>
      <c r="E2337" s="424" t="s">
        <v>6905</v>
      </c>
      <c r="F2337" s="642" t="s">
        <v>6906</v>
      </c>
      <c r="G2337" s="338" t="s">
        <v>1076</v>
      </c>
      <c r="H2337" s="613">
        <v>0.8</v>
      </c>
      <c r="I2337" s="426">
        <v>3000000</v>
      </c>
      <c r="J2337" s="574">
        <v>45044</v>
      </c>
      <c r="K2337" s="574">
        <v>45774</v>
      </c>
      <c r="L2337" s="651">
        <v>0.2</v>
      </c>
      <c r="M2337" s="574">
        <v>45833</v>
      </c>
      <c r="N2337" s="575">
        <v>2999573.82</v>
      </c>
      <c r="O2337" s="575">
        <v>2999573.82</v>
      </c>
      <c r="P2337" s="575">
        <v>2399659.06</v>
      </c>
      <c r="Q2337" s="575">
        <v>2399659.06</v>
      </c>
      <c r="R2337" s="574">
        <v>46007</v>
      </c>
      <c r="S2337" s="575">
        <v>599914.76</v>
      </c>
      <c r="T2337" s="650">
        <v>46013</v>
      </c>
      <c r="U2337" s="650"/>
      <c r="V2337" s="616"/>
      <c r="W2337" s="576"/>
      <c r="X2337" s="658"/>
      <c r="Y2337" s="655" t="s">
        <v>4184</v>
      </c>
    </row>
    <row r="2338" s="95" customFormat="1" ht="37.5" customHeight="1" spans="1:25 16384:16384">
      <c r="A2338" s="467">
        <f t="shared" si="54"/>
        <v>2328</v>
      </c>
      <c r="B2338" s="548">
        <v>2025</v>
      </c>
      <c r="C2338" s="548" t="s">
        <v>31</v>
      </c>
      <c r="D2338" s="652" t="s">
        <v>774</v>
      </c>
      <c r="E2338" s="424" t="s">
        <v>6907</v>
      </c>
      <c r="F2338" s="642" t="s">
        <v>6908</v>
      </c>
      <c r="G2338" s="338" t="s">
        <v>5946</v>
      </c>
      <c r="H2338" s="613">
        <v>1</v>
      </c>
      <c r="I2338" s="426">
        <v>4500000</v>
      </c>
      <c r="J2338" s="574">
        <v>45377</v>
      </c>
      <c r="K2338" s="574">
        <v>45737</v>
      </c>
      <c r="L2338" s="651">
        <v>0.4</v>
      </c>
      <c r="M2338" s="574">
        <v>45838</v>
      </c>
      <c r="N2338" s="575">
        <v>4691860.82</v>
      </c>
      <c r="O2338" s="575">
        <v>4500000</v>
      </c>
      <c r="P2338" s="575">
        <v>4500000</v>
      </c>
      <c r="Q2338" s="575">
        <v>4691860.82</v>
      </c>
      <c r="R2338" s="574">
        <v>46015</v>
      </c>
      <c r="S2338" s="575">
        <v>1800000</v>
      </c>
      <c r="T2338" s="650">
        <v>46017</v>
      </c>
      <c r="U2338" s="650">
        <v>46017</v>
      </c>
      <c r="V2338" s="575">
        <v>900000</v>
      </c>
      <c r="W2338" s="576"/>
      <c r="X2338" s="658"/>
      <c r="Y2338" s="653"/>
    </row>
    <row r="2339" s="95" customFormat="1" ht="37.5" customHeight="1" spans="1:25 16384:16384">
      <c r="A2339" s="467">
        <f t="shared" si="54"/>
        <v>2329</v>
      </c>
      <c r="B2339" s="548">
        <v>2025</v>
      </c>
      <c r="C2339" s="548" t="s">
        <v>15</v>
      </c>
      <c r="D2339" s="652" t="s">
        <v>781</v>
      </c>
      <c r="E2339" s="424" t="s">
        <v>6909</v>
      </c>
      <c r="F2339" s="642" t="s">
        <v>6910</v>
      </c>
      <c r="G2339" s="338" t="s">
        <v>1072</v>
      </c>
      <c r="H2339" s="613">
        <v>0.8</v>
      </c>
      <c r="I2339" s="426">
        <v>2000000</v>
      </c>
      <c r="J2339" s="574">
        <v>45422</v>
      </c>
      <c r="K2339" s="574">
        <v>45782</v>
      </c>
      <c r="L2339" s="651">
        <v>0.4</v>
      </c>
      <c r="M2339" s="574">
        <v>45849</v>
      </c>
      <c r="N2339" s="575">
        <v>2010022.72</v>
      </c>
      <c r="O2339" s="575">
        <v>2000000</v>
      </c>
      <c r="P2339" s="575">
        <v>1600000</v>
      </c>
      <c r="Q2339" s="575">
        <v>1608018.18</v>
      </c>
      <c r="R2339" s="574">
        <v>46015</v>
      </c>
      <c r="S2339" s="575">
        <v>800000</v>
      </c>
      <c r="T2339" s="650">
        <v>46017</v>
      </c>
      <c r="U2339" s="650">
        <v>46017</v>
      </c>
      <c r="V2339" s="575">
        <v>400000</v>
      </c>
      <c r="W2339" s="576" t="s">
        <v>6911</v>
      </c>
      <c r="X2339" s="575">
        <v>400000</v>
      </c>
      <c r="Y2339" s="653"/>
    </row>
    <row r="2340" s="95" customFormat="1" ht="37.5" customHeight="1" spans="1:25 16384:16384">
      <c r="A2340" s="467">
        <f t="shared" si="54"/>
        <v>2330</v>
      </c>
      <c r="B2340" s="548">
        <v>2025</v>
      </c>
      <c r="C2340" s="548" t="s">
        <v>79</v>
      </c>
      <c r="D2340" s="652" t="s">
        <v>750</v>
      </c>
      <c r="E2340" s="1253" t="s">
        <v>6912</v>
      </c>
      <c r="F2340" s="642" t="s">
        <v>6913</v>
      </c>
      <c r="G2340" s="338" t="s">
        <v>1072</v>
      </c>
      <c r="H2340" s="613">
        <v>0.8</v>
      </c>
      <c r="I2340" s="426">
        <v>2000000</v>
      </c>
      <c r="J2340" s="574">
        <v>45564</v>
      </c>
      <c r="K2340" s="574">
        <v>45927</v>
      </c>
      <c r="L2340" s="651">
        <v>0.3917</v>
      </c>
      <c r="M2340" s="574">
        <v>45834</v>
      </c>
      <c r="N2340" s="575">
        <v>2010333.33</v>
      </c>
      <c r="O2340" s="575">
        <v>2000000</v>
      </c>
      <c r="P2340" s="575">
        <v>1566622.23</v>
      </c>
      <c r="Q2340" s="575">
        <v>1608266.66</v>
      </c>
      <c r="R2340" s="574">
        <v>46007</v>
      </c>
      <c r="S2340" s="575">
        <v>783311.12</v>
      </c>
      <c r="T2340" s="650">
        <v>46009</v>
      </c>
      <c r="U2340" s="650">
        <v>46009</v>
      </c>
      <c r="V2340" s="575">
        <v>391600</v>
      </c>
      <c r="W2340" s="576"/>
      <c r="X2340" s="658"/>
      <c r="Y2340" s="656" t="s">
        <v>6914</v>
      </c>
    </row>
    <row r="2341" s="95" customFormat="1" ht="37.5" customHeight="1" spans="1:25 16384:16384">
      <c r="A2341" s="467">
        <f t="shared" si="54"/>
        <v>2331</v>
      </c>
      <c r="B2341" s="548">
        <v>2025</v>
      </c>
      <c r="C2341" s="548" t="s">
        <v>147</v>
      </c>
      <c r="D2341" s="652" t="s">
        <v>694</v>
      </c>
      <c r="E2341" s="1253" t="s">
        <v>6915</v>
      </c>
      <c r="F2341" s="642" t="s">
        <v>6916</v>
      </c>
      <c r="G2341" s="338" t="s">
        <v>5946</v>
      </c>
      <c r="H2341" s="613">
        <v>1</v>
      </c>
      <c r="I2341" s="426">
        <v>9000000</v>
      </c>
      <c r="J2341" s="574">
        <v>45397</v>
      </c>
      <c r="K2341" s="574">
        <v>45761</v>
      </c>
      <c r="L2341" s="651">
        <v>0.4</v>
      </c>
      <c r="M2341" s="574">
        <v>45821</v>
      </c>
      <c r="N2341" s="575">
        <v>9056136.44</v>
      </c>
      <c r="O2341" s="575">
        <v>9000000</v>
      </c>
      <c r="P2341" s="575">
        <v>9000000</v>
      </c>
      <c r="Q2341" s="575">
        <v>9000000</v>
      </c>
      <c r="R2341" s="574">
        <v>46015</v>
      </c>
      <c r="S2341" s="575">
        <v>3600000</v>
      </c>
      <c r="T2341" s="650">
        <v>46016</v>
      </c>
      <c r="U2341" s="650">
        <v>46020</v>
      </c>
      <c r="V2341" s="575">
        <v>180000</v>
      </c>
      <c r="W2341" s="576"/>
      <c r="X2341" s="658"/>
      <c r="Y2341" s="653"/>
    </row>
    <row r="2342" s="95" customFormat="1" ht="37.5" customHeight="1" spans="1:25 16384:16384">
      <c r="A2342" s="467">
        <f t="shared" si="54"/>
        <v>2332</v>
      </c>
      <c r="B2342" s="548">
        <v>2025</v>
      </c>
      <c r="C2342" s="548" t="s">
        <v>228</v>
      </c>
      <c r="D2342" s="652" t="s">
        <v>669</v>
      </c>
      <c r="E2342" s="1253" t="s">
        <v>6917</v>
      </c>
      <c r="F2342" s="642" t="s">
        <v>6918</v>
      </c>
      <c r="G2342" s="338" t="s">
        <v>6827</v>
      </c>
      <c r="H2342" s="613">
        <v>1</v>
      </c>
      <c r="I2342" s="426">
        <v>1400000</v>
      </c>
      <c r="J2342" s="574">
        <v>45468</v>
      </c>
      <c r="K2342" s="574">
        <v>45832</v>
      </c>
      <c r="L2342" s="651">
        <v>0.4</v>
      </c>
      <c r="M2342" s="574">
        <v>45838</v>
      </c>
      <c r="N2342" s="575">
        <v>1406653.38</v>
      </c>
      <c r="O2342" s="575">
        <v>1400000</v>
      </c>
      <c r="P2342" s="575">
        <v>1400000</v>
      </c>
      <c r="Q2342" s="575">
        <v>1406653.38</v>
      </c>
      <c r="R2342" s="574">
        <v>46015</v>
      </c>
      <c r="S2342" s="575">
        <v>560000</v>
      </c>
      <c r="T2342" s="650">
        <v>46016</v>
      </c>
      <c r="U2342" s="650">
        <v>46017</v>
      </c>
      <c r="V2342" s="575">
        <v>280000</v>
      </c>
      <c r="W2342" s="576" t="s">
        <v>6919</v>
      </c>
      <c r="X2342" s="658">
        <v>280000</v>
      </c>
      <c r="Y2342" s="653"/>
    </row>
    <row r="2343" s="95" customFormat="1" ht="37.5" customHeight="1" spans="1:25 16384:16384">
      <c r="A2343" s="467">
        <f t="shared" si="54"/>
        <v>2333</v>
      </c>
      <c r="B2343" s="548">
        <v>2025</v>
      </c>
      <c r="C2343" s="548" t="s">
        <v>15</v>
      </c>
      <c r="D2343" s="663" t="s">
        <v>742</v>
      </c>
      <c r="E2343" s="424" t="s">
        <v>6920</v>
      </c>
      <c r="F2343" s="642" t="s">
        <v>1131</v>
      </c>
      <c r="G2343" s="338" t="s">
        <v>5943</v>
      </c>
      <c r="H2343" s="613">
        <v>0.8</v>
      </c>
      <c r="I2343" s="426">
        <v>280000</v>
      </c>
      <c r="J2343" s="574" t="s">
        <v>6921</v>
      </c>
      <c r="K2343" s="574" t="s">
        <v>6922</v>
      </c>
      <c r="L2343" s="651">
        <v>0.4</v>
      </c>
      <c r="M2343" s="574" t="s">
        <v>6567</v>
      </c>
      <c r="N2343" s="575">
        <v>279910.8</v>
      </c>
      <c r="O2343" s="575">
        <v>279910.8</v>
      </c>
      <c r="P2343" s="575">
        <v>223928.64</v>
      </c>
      <c r="Q2343" s="575">
        <v>223928.64</v>
      </c>
      <c r="R2343" s="574">
        <v>46003</v>
      </c>
      <c r="S2343" s="575">
        <v>111964.32</v>
      </c>
      <c r="T2343" s="574">
        <v>46009</v>
      </c>
      <c r="U2343" s="574">
        <v>46009</v>
      </c>
      <c r="V2343" s="575">
        <v>55982.16</v>
      </c>
      <c r="W2343" s="576" t="s">
        <v>6923</v>
      </c>
      <c r="X2343" s="658">
        <v>55982.16</v>
      </c>
      <c r="Y2343" s="653"/>
    </row>
    <row r="2344" s="95" customFormat="1" ht="37.5" customHeight="1" spans="1:25 16384:16384">
      <c r="A2344" s="467">
        <f t="shared" si="54"/>
        <v>2334</v>
      </c>
      <c r="B2344" s="548">
        <v>2025</v>
      </c>
      <c r="C2344" s="548" t="s">
        <v>15</v>
      </c>
      <c r="D2344" s="652" t="s">
        <v>749</v>
      </c>
      <c r="E2344" s="424" t="s">
        <v>6924</v>
      </c>
      <c r="F2344" s="642" t="s">
        <v>1098</v>
      </c>
      <c r="G2344" s="338" t="s">
        <v>6925</v>
      </c>
      <c r="H2344" s="613">
        <v>0.8</v>
      </c>
      <c r="I2344" s="426">
        <v>600000</v>
      </c>
      <c r="J2344" s="574">
        <v>45380</v>
      </c>
      <c r="K2344" s="574">
        <v>45744</v>
      </c>
      <c r="L2344" s="651">
        <v>0.4</v>
      </c>
      <c r="M2344" s="574">
        <v>45834</v>
      </c>
      <c r="N2344" s="575">
        <v>598195.22</v>
      </c>
      <c r="O2344" s="575">
        <v>598195.22</v>
      </c>
      <c r="P2344" s="575">
        <v>478556.18</v>
      </c>
      <c r="Q2344" s="575">
        <v>479069.5</v>
      </c>
      <c r="R2344" s="574">
        <v>46002</v>
      </c>
      <c r="S2344" s="575">
        <v>239278.08</v>
      </c>
      <c r="T2344" s="650">
        <v>46006</v>
      </c>
      <c r="U2344" s="574">
        <v>46009</v>
      </c>
      <c r="V2344" s="575">
        <v>119639.04</v>
      </c>
      <c r="W2344" s="576" t="s">
        <v>6926</v>
      </c>
      <c r="X2344" s="658">
        <v>119639.04</v>
      </c>
      <c r="Y2344" s="653"/>
    </row>
    <row r="2345" s="95" customFormat="1" ht="37.5" customHeight="1" spans="1:25 16384:16384">
      <c r="A2345" s="467">
        <f t="shared" ref="A2345:A2358" si="55">ROW()-10</f>
        <v>2335</v>
      </c>
      <c r="B2345" s="548">
        <v>2025</v>
      </c>
      <c r="C2345" s="548" t="s">
        <v>28</v>
      </c>
      <c r="D2345" s="652" t="s">
        <v>711</v>
      </c>
      <c r="E2345" s="424" t="s">
        <v>6927</v>
      </c>
      <c r="F2345" s="642" t="s">
        <v>5973</v>
      </c>
      <c r="G2345" s="338" t="s">
        <v>5943</v>
      </c>
      <c r="H2345" s="613">
        <v>0.8</v>
      </c>
      <c r="I2345" s="426">
        <v>348000</v>
      </c>
      <c r="J2345" s="574">
        <v>45298</v>
      </c>
      <c r="K2345" s="574">
        <v>45663</v>
      </c>
      <c r="L2345" s="651">
        <v>0.4</v>
      </c>
      <c r="M2345" s="574">
        <v>45839</v>
      </c>
      <c r="N2345" s="575">
        <v>351723.6</v>
      </c>
      <c r="O2345" s="575">
        <v>348000</v>
      </c>
      <c r="P2345" s="575">
        <v>278400</v>
      </c>
      <c r="Q2345" s="575">
        <v>281378.88</v>
      </c>
      <c r="R2345" s="574">
        <v>46008</v>
      </c>
      <c r="S2345" s="575">
        <v>139200</v>
      </c>
      <c r="T2345" s="650">
        <v>46013</v>
      </c>
      <c r="U2345" s="650">
        <v>46015</v>
      </c>
      <c r="V2345" s="575">
        <v>69600</v>
      </c>
      <c r="W2345" s="576" t="s">
        <v>6928</v>
      </c>
      <c r="X2345" s="658">
        <v>69600</v>
      </c>
      <c r="Y2345" s="653"/>
    </row>
    <row r="2346" s="95" customFormat="1" ht="37.5" customHeight="1" spans="1:25 16384:16384">
      <c r="A2346" s="467">
        <f t="shared" si="55"/>
        <v>2336</v>
      </c>
      <c r="B2346" s="548">
        <v>2025</v>
      </c>
      <c r="C2346" s="548" t="s">
        <v>15</v>
      </c>
      <c r="D2346" s="652" t="s">
        <v>795</v>
      </c>
      <c r="E2346" s="424" t="s">
        <v>6929</v>
      </c>
      <c r="F2346" s="642" t="s">
        <v>1131</v>
      </c>
      <c r="G2346" s="338" t="s">
        <v>1072</v>
      </c>
      <c r="H2346" s="613">
        <v>0.8</v>
      </c>
      <c r="I2346" s="426">
        <v>2410000</v>
      </c>
      <c r="J2346" s="574">
        <v>45601</v>
      </c>
      <c r="K2346" s="574">
        <v>45966</v>
      </c>
      <c r="L2346" s="651">
        <v>0.4</v>
      </c>
      <c r="M2346" s="574">
        <v>45860</v>
      </c>
      <c r="N2346" s="575">
        <v>2431690</v>
      </c>
      <c r="O2346" s="575">
        <v>2410000</v>
      </c>
      <c r="P2346" s="575">
        <v>1928000</v>
      </c>
      <c r="Q2346" s="575">
        <v>1945352</v>
      </c>
      <c r="R2346" s="574">
        <v>46015</v>
      </c>
      <c r="S2346" s="575">
        <v>964000</v>
      </c>
      <c r="T2346" s="650">
        <v>46017</v>
      </c>
      <c r="U2346" s="650">
        <v>46017</v>
      </c>
      <c r="V2346" s="575">
        <v>482000</v>
      </c>
      <c r="W2346" s="576"/>
      <c r="X2346" s="658"/>
      <c r="Y2346" s="653"/>
    </row>
    <row r="2347" s="95" customFormat="1" ht="37.5" customHeight="1" spans="1:25 16384:16384">
      <c r="A2347" s="467">
        <f t="shared" si="55"/>
        <v>2337</v>
      </c>
      <c r="B2347" s="548">
        <v>2025</v>
      </c>
      <c r="C2347" s="548" t="s">
        <v>25</v>
      </c>
      <c r="D2347" s="652" t="s">
        <v>716</v>
      </c>
      <c r="E2347" s="1253" t="s">
        <v>6930</v>
      </c>
      <c r="F2347" s="642" t="s">
        <v>1084</v>
      </c>
      <c r="G2347" s="338" t="s">
        <v>1103</v>
      </c>
      <c r="H2347" s="613">
        <v>0.8</v>
      </c>
      <c r="I2347" s="426">
        <v>350000</v>
      </c>
      <c r="J2347" s="574" t="s">
        <v>2027</v>
      </c>
      <c r="K2347" s="574" t="s">
        <v>6931</v>
      </c>
      <c r="L2347" s="651">
        <v>0.4</v>
      </c>
      <c r="M2347" s="574" t="s">
        <v>6567</v>
      </c>
      <c r="N2347" s="575">
        <v>352919.37</v>
      </c>
      <c r="O2347" s="575">
        <v>350000</v>
      </c>
      <c r="P2347" s="575">
        <v>280000</v>
      </c>
      <c r="Q2347" s="575">
        <v>282335.5</v>
      </c>
      <c r="R2347" s="574">
        <v>46001</v>
      </c>
      <c r="S2347" s="575">
        <v>140000</v>
      </c>
      <c r="T2347" s="650">
        <v>46009</v>
      </c>
      <c r="U2347" s="650">
        <v>46010</v>
      </c>
      <c r="V2347" s="575">
        <v>70000</v>
      </c>
      <c r="W2347" s="576" t="s">
        <v>6865</v>
      </c>
      <c r="X2347" s="658">
        <v>70000</v>
      </c>
      <c r="Y2347" s="653"/>
    </row>
    <row r="2348" s="95" customFormat="1" ht="37.5" customHeight="1" spans="1:25 16384:16384">
      <c r="A2348" s="467">
        <f t="shared" si="55"/>
        <v>2338</v>
      </c>
      <c r="B2348" s="548">
        <v>2025</v>
      </c>
      <c r="C2348" s="548" t="s">
        <v>25</v>
      </c>
      <c r="D2348" s="652" t="s">
        <v>722</v>
      </c>
      <c r="E2348" s="1253" t="s">
        <v>6932</v>
      </c>
      <c r="F2348" s="642" t="s">
        <v>1158</v>
      </c>
      <c r="G2348" s="338" t="s">
        <v>6933</v>
      </c>
      <c r="H2348" s="613">
        <v>0.8</v>
      </c>
      <c r="I2348" s="426">
        <v>300000</v>
      </c>
      <c r="J2348" s="574" t="s">
        <v>5211</v>
      </c>
      <c r="K2348" s="574" t="s">
        <v>6934</v>
      </c>
      <c r="L2348" s="651">
        <v>0.4</v>
      </c>
      <c r="M2348" s="574" t="s">
        <v>6935</v>
      </c>
      <c r="N2348" s="575">
        <v>303109.06</v>
      </c>
      <c r="O2348" s="575">
        <v>300000</v>
      </c>
      <c r="P2348" s="575">
        <v>240000</v>
      </c>
      <c r="Q2348" s="575">
        <v>242487.24</v>
      </c>
      <c r="R2348" s="574">
        <v>46001</v>
      </c>
      <c r="S2348" s="575">
        <v>120000</v>
      </c>
      <c r="T2348" s="650">
        <v>46009</v>
      </c>
      <c r="U2348" s="650">
        <v>46010</v>
      </c>
      <c r="V2348" s="575">
        <v>60000</v>
      </c>
      <c r="W2348" s="576" t="s">
        <v>6879</v>
      </c>
      <c r="X2348" s="658">
        <v>60000</v>
      </c>
      <c r="Y2348" s="653"/>
    </row>
    <row r="2349" s="95" customFormat="1" ht="37.5" customHeight="1" spans="1:25 16384:16384">
      <c r="A2349" s="467">
        <f t="shared" si="55"/>
        <v>2339</v>
      </c>
      <c r="B2349" s="548">
        <v>2025</v>
      </c>
      <c r="C2349" s="548" t="s">
        <v>25</v>
      </c>
      <c r="D2349" s="652" t="s">
        <v>720</v>
      </c>
      <c r="E2349" s="1253" t="s">
        <v>6936</v>
      </c>
      <c r="F2349" s="642" t="s">
        <v>1216</v>
      </c>
      <c r="G2349" s="338" t="s">
        <v>1103</v>
      </c>
      <c r="H2349" s="613">
        <v>0.8</v>
      </c>
      <c r="I2349" s="426">
        <v>220000</v>
      </c>
      <c r="J2349" s="574" t="s">
        <v>1987</v>
      </c>
      <c r="K2349" s="574" t="s">
        <v>6937</v>
      </c>
      <c r="L2349" s="651">
        <v>0.4</v>
      </c>
      <c r="M2349" s="574" t="s">
        <v>6935</v>
      </c>
      <c r="N2349" s="575">
        <v>221096.33</v>
      </c>
      <c r="O2349" s="575">
        <v>220000</v>
      </c>
      <c r="P2349" s="575">
        <v>176000</v>
      </c>
      <c r="Q2349" s="575">
        <v>176877.06</v>
      </c>
      <c r="R2349" s="574">
        <v>46008</v>
      </c>
      <c r="S2349" s="575">
        <v>88000</v>
      </c>
      <c r="T2349" s="650">
        <v>46013</v>
      </c>
      <c r="U2349" s="650">
        <v>46013</v>
      </c>
      <c r="V2349" s="575">
        <v>44000</v>
      </c>
      <c r="W2349" s="576"/>
      <c r="X2349" s="658"/>
      <c r="Y2349" s="653"/>
    </row>
    <row r="2350" s="95" customFormat="1" ht="37.5" customHeight="1" spans="1:25 16384:16384">
      <c r="A2350" s="467">
        <f t="shared" si="55"/>
        <v>2340</v>
      </c>
      <c r="B2350" s="548">
        <v>2025</v>
      </c>
      <c r="C2350" s="548" t="s">
        <v>25</v>
      </c>
      <c r="D2350" s="652" t="s">
        <v>751</v>
      </c>
      <c r="E2350" s="1253" t="s">
        <v>6938</v>
      </c>
      <c r="F2350" s="642" t="s">
        <v>1216</v>
      </c>
      <c r="G2350" s="338" t="s">
        <v>6933</v>
      </c>
      <c r="H2350" s="613">
        <v>0.8</v>
      </c>
      <c r="I2350" s="426">
        <v>300000</v>
      </c>
      <c r="J2350" s="574" t="s">
        <v>5347</v>
      </c>
      <c r="K2350" s="574" t="s">
        <v>6939</v>
      </c>
      <c r="L2350" s="651">
        <v>0.4</v>
      </c>
      <c r="M2350" s="574" t="s">
        <v>6935</v>
      </c>
      <c r="N2350" s="575">
        <v>302957.5</v>
      </c>
      <c r="O2350" s="575">
        <v>300000</v>
      </c>
      <c r="P2350" s="575">
        <v>240000</v>
      </c>
      <c r="Q2350" s="575">
        <v>242366</v>
      </c>
      <c r="R2350" s="574">
        <v>46008</v>
      </c>
      <c r="S2350" s="575">
        <v>120000</v>
      </c>
      <c r="T2350" s="650">
        <v>46013</v>
      </c>
      <c r="U2350" s="650">
        <v>46013</v>
      </c>
      <c r="V2350" s="575">
        <v>60000</v>
      </c>
      <c r="W2350" s="576" t="s">
        <v>6884</v>
      </c>
      <c r="X2350" s="658">
        <v>60000</v>
      </c>
      <c r="Y2350" s="653"/>
    </row>
    <row r="2351" s="95" customFormat="1" ht="37.5" customHeight="1" spans="1:25 16384:16384">
      <c r="A2351" s="467">
        <f t="shared" si="55"/>
        <v>2341</v>
      </c>
      <c r="B2351" s="548">
        <v>2025</v>
      </c>
      <c r="C2351" s="548" t="s">
        <v>25</v>
      </c>
      <c r="D2351" s="652" t="s">
        <v>721</v>
      </c>
      <c r="E2351" s="1253" t="s">
        <v>6940</v>
      </c>
      <c r="F2351" s="642" t="s">
        <v>1216</v>
      </c>
      <c r="G2351" s="338" t="s">
        <v>6933</v>
      </c>
      <c r="H2351" s="613">
        <v>0.8</v>
      </c>
      <c r="I2351" s="426">
        <v>300000</v>
      </c>
      <c r="J2351" s="574" t="s">
        <v>3229</v>
      </c>
      <c r="K2351" s="574" t="s">
        <v>6941</v>
      </c>
      <c r="L2351" s="651">
        <v>0.4</v>
      </c>
      <c r="M2351" s="574" t="s">
        <v>6935</v>
      </c>
      <c r="N2351" s="575">
        <v>152258.75</v>
      </c>
      <c r="O2351" s="575">
        <v>150000</v>
      </c>
      <c r="P2351" s="575">
        <v>120000</v>
      </c>
      <c r="Q2351" s="575">
        <v>121807</v>
      </c>
      <c r="R2351" s="574">
        <v>46009</v>
      </c>
      <c r="S2351" s="575">
        <v>60000</v>
      </c>
      <c r="T2351" s="650">
        <v>46016</v>
      </c>
      <c r="U2351" s="650">
        <v>46016</v>
      </c>
      <c r="V2351" s="575">
        <v>30000</v>
      </c>
      <c r="W2351" s="576" t="s">
        <v>6485</v>
      </c>
      <c r="X2351" s="658">
        <v>30000</v>
      </c>
      <c r="Y2351" s="653"/>
    </row>
    <row r="2352" s="89" customFormat="1" ht="37.5" customHeight="1" spans="1:25 16384:16384">
      <c r="A2352" s="467">
        <f t="shared" si="55"/>
        <v>2342</v>
      </c>
      <c r="B2352" s="664">
        <v>2025</v>
      </c>
      <c r="C2352" s="664" t="s">
        <v>15</v>
      </c>
      <c r="D2352" s="665" t="s">
        <v>782</v>
      </c>
      <c r="E2352" s="424" t="s">
        <v>6942</v>
      </c>
      <c r="F2352" s="642" t="s">
        <v>6943</v>
      </c>
      <c r="G2352" s="338" t="s">
        <v>1072</v>
      </c>
      <c r="H2352" s="613">
        <v>0.8</v>
      </c>
      <c r="I2352" s="426">
        <v>450000</v>
      </c>
      <c r="J2352" s="574" t="s">
        <v>4925</v>
      </c>
      <c r="K2352" s="574" t="s">
        <v>6472</v>
      </c>
      <c r="L2352" s="651">
        <v>0.4</v>
      </c>
      <c r="M2352" s="574">
        <v>45852</v>
      </c>
      <c r="N2352" s="575">
        <v>454034.33</v>
      </c>
      <c r="O2352" s="575">
        <v>450000</v>
      </c>
      <c r="P2352" s="575">
        <v>360000</v>
      </c>
      <c r="Q2352" s="575">
        <v>363227.55</v>
      </c>
      <c r="R2352" s="574">
        <v>46003</v>
      </c>
      <c r="S2352" s="575">
        <v>180000</v>
      </c>
      <c r="T2352" s="650">
        <v>46013</v>
      </c>
      <c r="U2352" s="650">
        <v>46016</v>
      </c>
      <c r="V2352" s="575">
        <v>90000</v>
      </c>
      <c r="W2352" s="576" t="s">
        <v>6944</v>
      </c>
      <c r="X2352" s="658">
        <v>90000</v>
      </c>
      <c r="Y2352" s="653"/>
      <c r="XFD2352" s="95"/>
    </row>
    <row r="2353" s="95" customFormat="1" ht="37.5" customHeight="1" spans="1:25">
      <c r="A2353" s="467">
        <f t="shared" ref="A2353:A2360" si="56">ROW()-10</f>
        <v>2343</v>
      </c>
      <c r="B2353" s="548">
        <v>2025</v>
      </c>
      <c r="C2353" s="548" t="s">
        <v>28</v>
      </c>
      <c r="D2353" s="652" t="s">
        <v>753</v>
      </c>
      <c r="E2353" s="424" t="s">
        <v>6945</v>
      </c>
      <c r="F2353" s="642" t="s">
        <v>5973</v>
      </c>
      <c r="G2353" s="338" t="s">
        <v>5943</v>
      </c>
      <c r="H2353" s="613">
        <v>0.8</v>
      </c>
      <c r="I2353" s="426">
        <v>400000</v>
      </c>
      <c r="J2353" s="574">
        <v>45295</v>
      </c>
      <c r="K2353" s="574">
        <v>45660</v>
      </c>
      <c r="L2353" s="651">
        <v>0.4</v>
      </c>
      <c r="M2353" s="574">
        <v>45839</v>
      </c>
      <c r="N2353" s="575">
        <v>399164.01</v>
      </c>
      <c r="O2353" s="575">
        <v>399164.01</v>
      </c>
      <c r="P2353" s="575">
        <v>319331.21</v>
      </c>
      <c r="Q2353" s="575">
        <v>319331.21</v>
      </c>
      <c r="R2353" s="574">
        <v>46008</v>
      </c>
      <c r="S2353" s="575">
        <v>159665.6</v>
      </c>
      <c r="T2353" s="650">
        <v>46013</v>
      </c>
      <c r="U2353" s="650">
        <v>46015</v>
      </c>
      <c r="V2353" s="575">
        <v>79832.8</v>
      </c>
      <c r="W2353" s="576" t="s">
        <v>6946</v>
      </c>
      <c r="X2353" s="658">
        <v>79832.8</v>
      </c>
      <c r="Y2353" s="653"/>
    </row>
    <row r="2354" s="95" customFormat="1" ht="37.5" customHeight="1" spans="1:25">
      <c r="A2354" s="467">
        <f t="shared" si="56"/>
        <v>2344</v>
      </c>
      <c r="B2354" s="548">
        <v>2025</v>
      </c>
      <c r="C2354" s="548" t="s">
        <v>28</v>
      </c>
      <c r="D2354" s="652" t="s">
        <v>766</v>
      </c>
      <c r="E2354" s="424" t="s">
        <v>6947</v>
      </c>
      <c r="F2354" s="642" t="s">
        <v>1179</v>
      </c>
      <c r="G2354" s="338" t="s">
        <v>5943</v>
      </c>
      <c r="H2354" s="613">
        <v>0.8</v>
      </c>
      <c r="I2354" s="426">
        <v>300000</v>
      </c>
      <c r="J2354" s="574">
        <v>44955</v>
      </c>
      <c r="K2354" s="574">
        <v>45684</v>
      </c>
      <c r="L2354" s="651">
        <v>0.4</v>
      </c>
      <c r="M2354" s="574">
        <v>45840</v>
      </c>
      <c r="N2354" s="575">
        <v>301170</v>
      </c>
      <c r="O2354" s="575">
        <v>299760</v>
      </c>
      <c r="P2354" s="575">
        <v>239808</v>
      </c>
      <c r="Q2354" s="575">
        <v>240936</v>
      </c>
      <c r="R2354" s="574">
        <v>46008</v>
      </c>
      <c r="S2354" s="575">
        <v>119904</v>
      </c>
      <c r="T2354" s="650">
        <v>46013</v>
      </c>
      <c r="U2354" s="650">
        <v>46015</v>
      </c>
      <c r="V2354" s="575">
        <v>59952</v>
      </c>
      <c r="W2354" s="576" t="s">
        <v>6903</v>
      </c>
      <c r="X2354" s="658">
        <v>59952</v>
      </c>
      <c r="Y2354" s="653"/>
    </row>
    <row r="2355" s="95" customFormat="1" ht="37.5" customHeight="1" spans="1:25">
      <c r="A2355" s="467">
        <f t="shared" si="56"/>
        <v>2345</v>
      </c>
      <c r="B2355" s="548">
        <v>2025</v>
      </c>
      <c r="C2355" s="548" t="s">
        <v>28</v>
      </c>
      <c r="D2355" s="652" t="s">
        <v>743</v>
      </c>
      <c r="E2355" s="424" t="s">
        <v>6948</v>
      </c>
      <c r="F2355" s="666" t="s">
        <v>5978</v>
      </c>
      <c r="G2355" s="573" t="s">
        <v>6949</v>
      </c>
      <c r="H2355" s="613">
        <v>1</v>
      </c>
      <c r="I2355" s="426">
        <v>450000</v>
      </c>
      <c r="J2355" s="574">
        <v>45420</v>
      </c>
      <c r="K2355" s="574">
        <v>45776</v>
      </c>
      <c r="L2355" s="651">
        <v>0.4</v>
      </c>
      <c r="M2355" s="574">
        <v>45841</v>
      </c>
      <c r="N2355" s="575">
        <v>435989.28</v>
      </c>
      <c r="O2355" s="575">
        <v>432378.91</v>
      </c>
      <c r="P2355" s="575">
        <v>432378.91</v>
      </c>
      <c r="Q2355" s="575">
        <v>435989.28</v>
      </c>
      <c r="R2355" s="574">
        <v>46014</v>
      </c>
      <c r="S2355" s="575">
        <v>172951.56</v>
      </c>
      <c r="T2355" s="650">
        <v>46016</v>
      </c>
      <c r="U2355" s="650">
        <v>46016</v>
      </c>
      <c r="V2355" s="575">
        <v>86475.78</v>
      </c>
      <c r="W2355" s="576" t="s">
        <v>6950</v>
      </c>
      <c r="X2355" s="658">
        <v>86475.78</v>
      </c>
      <c r="Y2355" s="653"/>
    </row>
    <row r="2356" s="95" customFormat="1" ht="37.5" customHeight="1" spans="1:25">
      <c r="A2356" s="467">
        <f t="shared" si="56"/>
        <v>2346</v>
      </c>
      <c r="B2356" s="548">
        <v>2025</v>
      </c>
      <c r="C2356" s="548" t="s">
        <v>28</v>
      </c>
      <c r="D2356" s="652" t="s">
        <v>779</v>
      </c>
      <c r="E2356" s="424" t="s">
        <v>6951</v>
      </c>
      <c r="F2356" s="642" t="s">
        <v>1129</v>
      </c>
      <c r="G2356" s="338" t="s">
        <v>5943</v>
      </c>
      <c r="H2356" s="613">
        <v>0.8</v>
      </c>
      <c r="I2356" s="426">
        <v>200000</v>
      </c>
      <c r="J2356" s="574">
        <v>44943</v>
      </c>
      <c r="K2356" s="574">
        <v>46038</v>
      </c>
      <c r="L2356" s="651">
        <v>0.4</v>
      </c>
      <c r="M2356" s="574">
        <v>45848</v>
      </c>
      <c r="N2356" s="575">
        <v>200607.45</v>
      </c>
      <c r="O2356" s="426">
        <v>200000</v>
      </c>
      <c r="P2356" s="575">
        <v>160000</v>
      </c>
      <c r="Q2356" s="575">
        <v>160485.96</v>
      </c>
      <c r="R2356" s="574">
        <v>46014</v>
      </c>
      <c r="S2356" s="575">
        <v>80000</v>
      </c>
      <c r="T2356" s="650">
        <v>46016</v>
      </c>
      <c r="U2356" s="650">
        <v>46016</v>
      </c>
      <c r="V2356" s="575">
        <v>40000</v>
      </c>
      <c r="W2356" s="576" t="s">
        <v>6946</v>
      </c>
      <c r="X2356" s="575">
        <v>40000</v>
      </c>
      <c r="Y2356" s="653"/>
    </row>
    <row r="2357" s="95" customFormat="1" ht="37.5" customHeight="1" spans="1:25">
      <c r="A2357" s="467">
        <f t="shared" si="56"/>
        <v>2347</v>
      </c>
      <c r="B2357" s="548">
        <v>2025</v>
      </c>
      <c r="C2357" s="548" t="s">
        <v>25</v>
      </c>
      <c r="D2357" s="652" t="s">
        <v>784</v>
      </c>
      <c r="E2357" s="1253" t="s">
        <v>6952</v>
      </c>
      <c r="F2357" s="642" t="s">
        <v>6953</v>
      </c>
      <c r="G2357" s="338" t="s">
        <v>1076</v>
      </c>
      <c r="H2357" s="613">
        <v>0.8</v>
      </c>
      <c r="I2357" s="426">
        <v>100000</v>
      </c>
      <c r="J2357" s="574">
        <v>45084</v>
      </c>
      <c r="K2357" s="574">
        <v>45814</v>
      </c>
      <c r="L2357" s="651">
        <v>0.2</v>
      </c>
      <c r="M2357" s="574">
        <v>45860</v>
      </c>
      <c r="N2357" s="575">
        <v>99706.68</v>
      </c>
      <c r="O2357" s="575">
        <v>99706.68</v>
      </c>
      <c r="P2357" s="575">
        <v>79765.34</v>
      </c>
      <c r="Q2357" s="575">
        <v>79765.34</v>
      </c>
      <c r="R2357" s="574">
        <v>46016</v>
      </c>
      <c r="S2357" s="575">
        <v>19941.34</v>
      </c>
      <c r="T2357" s="650">
        <v>46020</v>
      </c>
      <c r="U2357" s="650"/>
      <c r="V2357" s="616"/>
      <c r="W2357" s="576"/>
      <c r="X2357" s="658"/>
      <c r="Y2357" s="655" t="s">
        <v>1077</v>
      </c>
    </row>
    <row r="2358" s="95" customFormat="1" ht="37.5" customHeight="1" spans="1:25">
      <c r="A2358" s="467">
        <f t="shared" si="56"/>
        <v>2348</v>
      </c>
      <c r="B2358" s="548">
        <v>2025</v>
      </c>
      <c r="C2358" s="548" t="s">
        <v>25</v>
      </c>
      <c r="D2358" s="652" t="s">
        <v>787</v>
      </c>
      <c r="E2358" s="424" t="s">
        <v>6954</v>
      </c>
      <c r="F2358" s="642" t="s">
        <v>1102</v>
      </c>
      <c r="G2358" s="338" t="s">
        <v>1103</v>
      </c>
      <c r="H2358" s="613">
        <v>0.8</v>
      </c>
      <c r="I2358" s="426">
        <v>300000</v>
      </c>
      <c r="J2358" s="574">
        <v>44623</v>
      </c>
      <c r="K2358" s="574">
        <v>45718</v>
      </c>
      <c r="L2358" s="651">
        <v>0.4</v>
      </c>
      <c r="M2358" s="574">
        <v>45867</v>
      </c>
      <c r="N2358" s="575">
        <v>300459.62</v>
      </c>
      <c r="O2358" s="575">
        <v>300000</v>
      </c>
      <c r="P2358" s="575">
        <v>240000</v>
      </c>
      <c r="Q2358" s="575">
        <v>240367.7</v>
      </c>
      <c r="R2358" s="574">
        <v>46021</v>
      </c>
      <c r="S2358" s="575">
        <v>120000</v>
      </c>
      <c r="T2358" s="650">
        <v>46022</v>
      </c>
      <c r="U2358" s="650">
        <v>46029</v>
      </c>
      <c r="V2358" s="575">
        <v>60000</v>
      </c>
      <c r="W2358" s="576" t="s">
        <v>6955</v>
      </c>
      <c r="X2358" s="575">
        <v>60000</v>
      </c>
      <c r="Y2358" s="653"/>
    </row>
    <row r="2359" s="95" customFormat="1" ht="37.5" customHeight="1" spans="1:25">
      <c r="A2359" s="467">
        <f t="shared" si="56"/>
        <v>2349</v>
      </c>
      <c r="B2359" s="548">
        <v>2025</v>
      </c>
      <c r="C2359" s="548" t="s">
        <v>31</v>
      </c>
      <c r="D2359" s="652" t="s">
        <v>737</v>
      </c>
      <c r="E2359" s="424" t="s">
        <v>6956</v>
      </c>
      <c r="F2359" s="642" t="s">
        <v>6258</v>
      </c>
      <c r="G2359" s="338" t="s">
        <v>6957</v>
      </c>
      <c r="H2359" s="613">
        <v>0.8</v>
      </c>
      <c r="I2359" s="426">
        <v>700000</v>
      </c>
      <c r="J2359" s="574">
        <v>45105</v>
      </c>
      <c r="K2359" s="574">
        <v>45835</v>
      </c>
      <c r="L2359" s="651">
        <v>0.4</v>
      </c>
      <c r="M2359" s="574">
        <v>45868</v>
      </c>
      <c r="N2359" s="575">
        <v>708575</v>
      </c>
      <c r="O2359" s="575">
        <v>700000</v>
      </c>
      <c r="P2359" s="575">
        <v>560000</v>
      </c>
      <c r="Q2359" s="575">
        <v>566860</v>
      </c>
      <c r="R2359" s="574">
        <v>46021</v>
      </c>
      <c r="S2359" s="575">
        <v>280000</v>
      </c>
      <c r="T2359" s="650">
        <v>46022</v>
      </c>
      <c r="U2359" s="650">
        <v>46029</v>
      </c>
      <c r="V2359" s="575">
        <v>140000</v>
      </c>
      <c r="W2359" s="576" t="s">
        <v>6958</v>
      </c>
      <c r="X2359" s="575">
        <v>140000</v>
      </c>
      <c r="Y2359" s="653"/>
    </row>
    <row r="2360" s="95" customFormat="1" ht="37.5" customHeight="1" spans="1:25">
      <c r="A2360" s="467">
        <f t="shared" si="56"/>
        <v>2350</v>
      </c>
      <c r="B2360" s="548">
        <v>2025</v>
      </c>
      <c r="C2360" s="548" t="s">
        <v>15</v>
      </c>
      <c r="D2360" s="652" t="s">
        <v>796</v>
      </c>
      <c r="E2360" s="424" t="s">
        <v>6959</v>
      </c>
      <c r="F2360" s="642" t="s">
        <v>1131</v>
      </c>
      <c r="G2360" s="338" t="s">
        <v>1072</v>
      </c>
      <c r="H2360" s="613">
        <v>0.8</v>
      </c>
      <c r="I2360" s="426">
        <v>325000</v>
      </c>
      <c r="J2360" s="574">
        <v>45443</v>
      </c>
      <c r="K2360" s="574">
        <v>45808</v>
      </c>
      <c r="L2360" s="651">
        <v>0.4</v>
      </c>
      <c r="M2360" s="574">
        <v>45870</v>
      </c>
      <c r="N2360" s="575">
        <v>326390.28</v>
      </c>
      <c r="O2360" s="575">
        <v>325000</v>
      </c>
      <c r="P2360" s="575">
        <v>260000</v>
      </c>
      <c r="Q2360" s="575">
        <v>261112.22</v>
      </c>
      <c r="R2360" s="574">
        <v>46021</v>
      </c>
      <c r="S2360" s="575">
        <v>130000</v>
      </c>
      <c r="T2360" s="650">
        <v>46022</v>
      </c>
      <c r="U2360" s="650">
        <v>46029</v>
      </c>
      <c r="V2360" s="575">
        <v>65000</v>
      </c>
      <c r="W2360" s="576" t="s">
        <v>6958</v>
      </c>
      <c r="X2360" s="575">
        <v>65000</v>
      </c>
      <c r="Y2360" s="653"/>
    </row>
    <row r="2361" s="100" customFormat="1" ht="37.5" customHeight="1" spans="1:25">
      <c r="A2361" s="156"/>
      <c r="B2361" s="155"/>
      <c r="C2361" s="318" t="s">
        <v>1266</v>
      </c>
      <c r="D2361" s="293"/>
      <c r="E2361" s="320"/>
      <c r="F2361" s="159"/>
      <c r="G2361" s="160"/>
      <c r="H2361" s="161"/>
      <c r="I2361" s="162">
        <f>SUM(I2099:I2360)</f>
        <v>290904264</v>
      </c>
      <c r="J2361" s="667"/>
      <c r="K2361" s="667"/>
      <c r="L2361" s="667"/>
      <c r="M2361" s="668"/>
      <c r="N2361" s="162">
        <f>SUM(N2099:N2360)</f>
        <v>278968873.93</v>
      </c>
      <c r="O2361" s="162">
        <f>SUM(O2099:O2360)</f>
        <v>277397571.46</v>
      </c>
      <c r="P2361" s="162">
        <f>SUM(P2099:P2360)</f>
        <v>236205268.48</v>
      </c>
      <c r="Q2361" s="162">
        <f>SUM(Q2099:Q2360)</f>
        <v>244528914.59</v>
      </c>
      <c r="R2361" s="162"/>
      <c r="S2361" s="162">
        <f>SUM(S2099:S2360)</f>
        <v>102027237.77</v>
      </c>
      <c r="T2361" s="162"/>
      <c r="U2361" s="162"/>
      <c r="V2361" s="162">
        <f>SUM(V2099:V2360)</f>
        <v>44654072.778</v>
      </c>
      <c r="W2361" s="162"/>
      <c r="X2361" s="162">
        <f>SUM(X2099:X2360)</f>
        <v>41645872.778</v>
      </c>
      <c r="Y2361" s="669"/>
    </row>
    <row r="2362" s="95" customFormat="1" ht="37.5" customHeight="1" spans="1:25">
      <c r="A2362" s="467">
        <f>ROW()-11</f>
        <v>2351</v>
      </c>
      <c r="B2362" s="548">
        <v>2026</v>
      </c>
      <c r="C2362" s="548" t="s">
        <v>22</v>
      </c>
      <c r="D2362" s="652" t="s">
        <v>799</v>
      </c>
      <c r="E2362" s="424" t="s">
        <v>1070</v>
      </c>
      <c r="F2362" s="642" t="s">
        <v>1071</v>
      </c>
      <c r="G2362" s="338" t="s">
        <v>1072</v>
      </c>
      <c r="H2362" s="613">
        <v>0.8</v>
      </c>
      <c r="I2362" s="426">
        <v>600000</v>
      </c>
      <c r="J2362" s="574">
        <v>45446</v>
      </c>
      <c r="K2362" s="574">
        <v>45810</v>
      </c>
      <c r="L2362" s="651">
        <v>0.4</v>
      </c>
      <c r="M2362" s="574">
        <v>45870</v>
      </c>
      <c r="N2362" s="575">
        <v>613200</v>
      </c>
      <c r="O2362" s="575">
        <v>600000</v>
      </c>
      <c r="P2362" s="575">
        <v>480000</v>
      </c>
      <c r="Q2362" s="575">
        <v>490560</v>
      </c>
      <c r="R2362" s="574">
        <v>46021</v>
      </c>
      <c r="S2362" s="575">
        <v>240000</v>
      </c>
      <c r="T2362" s="650">
        <v>46028</v>
      </c>
      <c r="U2362" s="650">
        <v>46029</v>
      </c>
      <c r="V2362" s="575">
        <v>120000</v>
      </c>
      <c r="W2362" s="576"/>
      <c r="X2362" s="658"/>
      <c r="Y2362" s="653"/>
    </row>
    <row r="2363" s="95" customFormat="1" ht="37.5" customHeight="1" spans="1:25">
      <c r="A2363" s="467">
        <f>ROW()-11</f>
        <v>2352</v>
      </c>
      <c r="B2363" s="548">
        <v>2026</v>
      </c>
      <c r="C2363" s="548" t="s">
        <v>31</v>
      </c>
      <c r="D2363" s="652" t="s">
        <v>1073</v>
      </c>
      <c r="E2363" s="424" t="s">
        <v>1074</v>
      </c>
      <c r="F2363" s="642" t="s">
        <v>1075</v>
      </c>
      <c r="G2363" s="338" t="s">
        <v>1076</v>
      </c>
      <c r="H2363" s="613">
        <v>0.8</v>
      </c>
      <c r="I2363" s="426">
        <v>1600000</v>
      </c>
      <c r="J2363" s="574">
        <v>45072</v>
      </c>
      <c r="K2363" s="574">
        <v>45801</v>
      </c>
      <c r="L2363" s="651">
        <v>0.2</v>
      </c>
      <c r="M2363" s="574">
        <v>45915</v>
      </c>
      <c r="N2363" s="575">
        <v>1502917.47</v>
      </c>
      <c r="O2363" s="575">
        <v>1500000</v>
      </c>
      <c r="P2363" s="575">
        <v>1200000</v>
      </c>
      <c r="Q2363" s="575">
        <v>1202333.98</v>
      </c>
      <c r="R2363" s="574">
        <v>46021</v>
      </c>
      <c r="S2363" s="575">
        <v>300000</v>
      </c>
      <c r="T2363" s="650">
        <v>46028</v>
      </c>
      <c r="U2363" s="650"/>
      <c r="V2363" s="575"/>
      <c r="W2363" s="576"/>
      <c r="X2363" s="658"/>
      <c r="Y2363" s="655" t="s">
        <v>1077</v>
      </c>
    </row>
    <row r="2364" s="95" customFormat="1" ht="37.5" customHeight="1" spans="1:25">
      <c r="A2364" s="467">
        <f t="shared" ref="A2364:A2385" si="57">ROW()-11</f>
        <v>2353</v>
      </c>
      <c r="B2364" s="548">
        <v>2026</v>
      </c>
      <c r="C2364" s="548" t="s">
        <v>25</v>
      </c>
      <c r="D2364" s="652" t="s">
        <v>1078</v>
      </c>
      <c r="E2364" s="424" t="s">
        <v>1079</v>
      </c>
      <c r="F2364" s="642" t="s">
        <v>1080</v>
      </c>
      <c r="G2364" s="338" t="s">
        <v>1076</v>
      </c>
      <c r="H2364" s="613">
        <v>0.8</v>
      </c>
      <c r="I2364" s="426">
        <v>5000000</v>
      </c>
      <c r="J2364" s="574">
        <v>45072</v>
      </c>
      <c r="K2364" s="574">
        <v>45802</v>
      </c>
      <c r="L2364" s="651">
        <v>0.2</v>
      </c>
      <c r="M2364" s="574">
        <v>45861</v>
      </c>
      <c r="N2364" s="575">
        <v>5030243.06</v>
      </c>
      <c r="O2364" s="575">
        <v>5000000</v>
      </c>
      <c r="P2364" s="575">
        <v>4000000</v>
      </c>
      <c r="Q2364" s="575">
        <v>4024194.45</v>
      </c>
      <c r="R2364" s="574">
        <v>46043</v>
      </c>
      <c r="S2364" s="575">
        <v>1000000</v>
      </c>
      <c r="T2364" s="650"/>
      <c r="U2364" s="650"/>
      <c r="V2364" s="575"/>
      <c r="W2364" s="576"/>
      <c r="X2364" s="658"/>
      <c r="Y2364" s="655" t="s">
        <v>1077</v>
      </c>
    </row>
    <row r="2365" s="95" customFormat="1" ht="37.5" customHeight="1" spans="1:25">
      <c r="A2365" s="467">
        <f t="shared" si="57"/>
        <v>2354</v>
      </c>
      <c r="B2365" s="548">
        <v>2026</v>
      </c>
      <c r="C2365" s="548" t="s">
        <v>79</v>
      </c>
      <c r="D2365" s="652" t="s">
        <v>755</v>
      </c>
      <c r="E2365" s="424" t="s">
        <v>1081</v>
      </c>
      <c r="F2365" s="642" t="s">
        <v>1082</v>
      </c>
      <c r="G2365" s="338" t="s">
        <v>1072</v>
      </c>
      <c r="H2365" s="613">
        <v>0.8</v>
      </c>
      <c r="I2365" s="426">
        <v>1350000</v>
      </c>
      <c r="J2365" s="574">
        <v>45421</v>
      </c>
      <c r="K2365" s="574">
        <v>45785</v>
      </c>
      <c r="L2365" s="651">
        <v>0.2</v>
      </c>
      <c r="M2365" s="574">
        <v>45874</v>
      </c>
      <c r="N2365" s="575">
        <v>1336895.87</v>
      </c>
      <c r="O2365" s="575">
        <v>1333708.34</v>
      </c>
      <c r="P2365" s="575">
        <v>1066966.67</v>
      </c>
      <c r="Q2365" s="575">
        <v>1069516.69</v>
      </c>
      <c r="R2365" s="574">
        <v>46043</v>
      </c>
      <c r="S2365" s="575">
        <v>533483.34</v>
      </c>
      <c r="T2365" s="650"/>
      <c r="U2365" s="650"/>
      <c r="V2365" s="616"/>
      <c r="W2365" s="576"/>
      <c r="X2365" s="658"/>
      <c r="Y2365" s="655" t="s">
        <v>1077</v>
      </c>
    </row>
    <row r="2366" s="95" customFormat="1" ht="37.5" customHeight="1" spans="1:25">
      <c r="A2366" s="467">
        <f t="shared" si="57"/>
        <v>2355</v>
      </c>
      <c r="B2366" s="548">
        <v>2026</v>
      </c>
      <c r="C2366" s="548" t="s">
        <v>25</v>
      </c>
      <c r="D2366" s="652" t="s">
        <v>789</v>
      </c>
      <c r="E2366" s="424" t="s">
        <v>1083</v>
      </c>
      <c r="F2366" s="642" t="s">
        <v>1084</v>
      </c>
      <c r="G2366" s="338" t="s">
        <v>1085</v>
      </c>
      <c r="H2366" s="613">
        <v>0.8</v>
      </c>
      <c r="I2366" s="426">
        <v>200000</v>
      </c>
      <c r="J2366" s="574">
        <v>44957</v>
      </c>
      <c r="K2366" s="574">
        <v>46052</v>
      </c>
      <c r="L2366" s="651">
        <v>0.4</v>
      </c>
      <c r="M2366" s="574">
        <v>45875</v>
      </c>
      <c r="N2366" s="575">
        <v>201915.11</v>
      </c>
      <c r="O2366" s="575">
        <v>200000</v>
      </c>
      <c r="P2366" s="575">
        <v>160000</v>
      </c>
      <c r="Q2366" s="575">
        <v>161532.09</v>
      </c>
      <c r="R2366" s="574">
        <v>46027</v>
      </c>
      <c r="S2366" s="575">
        <v>80000</v>
      </c>
      <c r="T2366" s="650">
        <v>46030</v>
      </c>
      <c r="U2366" s="650"/>
      <c r="V2366" s="616"/>
      <c r="W2366" s="576"/>
      <c r="X2366" s="658"/>
      <c r="Y2366" s="653"/>
    </row>
    <row r="2367" s="95" customFormat="1" ht="37.5" customHeight="1" spans="1:25">
      <c r="A2367" s="467">
        <f t="shared" si="57"/>
        <v>2356</v>
      </c>
      <c r="B2367" s="548">
        <v>2026</v>
      </c>
      <c r="C2367" s="548" t="s">
        <v>25</v>
      </c>
      <c r="D2367" s="652" t="s">
        <v>790</v>
      </c>
      <c r="E2367" s="424" t="s">
        <v>1086</v>
      </c>
      <c r="F2367" s="642" t="s">
        <v>1084</v>
      </c>
      <c r="G2367" s="338" t="s">
        <v>1085</v>
      </c>
      <c r="H2367" s="613">
        <v>0.8</v>
      </c>
      <c r="I2367" s="426">
        <v>300000</v>
      </c>
      <c r="J2367" s="574">
        <v>44970</v>
      </c>
      <c r="K2367" s="574">
        <v>45700</v>
      </c>
      <c r="L2367" s="651">
        <v>0.4</v>
      </c>
      <c r="M2367" s="574">
        <v>45876</v>
      </c>
      <c r="N2367" s="575">
        <v>298898.01</v>
      </c>
      <c r="O2367" s="575">
        <v>298898.01</v>
      </c>
      <c r="P2367" s="575">
        <v>239118.41</v>
      </c>
      <c r="Q2367" s="575">
        <v>239118.41</v>
      </c>
      <c r="R2367" s="574">
        <v>46028</v>
      </c>
      <c r="S2367" s="575">
        <v>119559.2</v>
      </c>
      <c r="T2367" s="650"/>
      <c r="U2367" s="650"/>
      <c r="V2367" s="616"/>
      <c r="W2367" s="576"/>
      <c r="X2367" s="658"/>
      <c r="Y2367" s="653"/>
    </row>
    <row r="2368" s="95" customFormat="1" ht="37.5" customHeight="1" spans="1:25">
      <c r="A2368" s="467">
        <f t="shared" si="57"/>
        <v>2357</v>
      </c>
      <c r="B2368" s="548">
        <v>2026</v>
      </c>
      <c r="C2368" s="548" t="s">
        <v>15</v>
      </c>
      <c r="D2368" s="652" t="s">
        <v>816</v>
      </c>
      <c r="E2368" s="424" t="s">
        <v>1087</v>
      </c>
      <c r="F2368" s="642" t="s">
        <v>1088</v>
      </c>
      <c r="G2368" s="338" t="s">
        <v>1072</v>
      </c>
      <c r="H2368" s="613">
        <v>0.8</v>
      </c>
      <c r="I2368" s="426">
        <v>2000000</v>
      </c>
      <c r="J2368" s="574">
        <v>45423</v>
      </c>
      <c r="K2368" s="574">
        <v>45787</v>
      </c>
      <c r="L2368" s="651">
        <v>0.4</v>
      </c>
      <c r="M2368" s="574">
        <v>45877</v>
      </c>
      <c r="N2368" s="575">
        <v>2000956.91</v>
      </c>
      <c r="O2368" s="575">
        <v>1996998.61</v>
      </c>
      <c r="P2368" s="575">
        <v>1597598.89</v>
      </c>
      <c r="Q2368" s="575">
        <v>1600765.53</v>
      </c>
      <c r="R2368" s="574"/>
      <c r="S2368" s="575">
        <v>798799.44</v>
      </c>
      <c r="T2368" s="650"/>
      <c r="U2368" s="650"/>
      <c r="V2368" s="616"/>
      <c r="W2368" s="576"/>
      <c r="X2368" s="658"/>
      <c r="Y2368" s="653"/>
    </row>
    <row r="2369" s="95" customFormat="1" ht="37.5" customHeight="1" spans="1:25 16384:16384">
      <c r="A2369" s="467">
        <f t="shared" si="57"/>
        <v>2358</v>
      </c>
      <c r="B2369" s="548">
        <v>2026</v>
      </c>
      <c r="C2369" s="548" t="s">
        <v>31</v>
      </c>
      <c r="D2369" s="652" t="s">
        <v>1089</v>
      </c>
      <c r="E2369" s="1253" t="s">
        <v>1090</v>
      </c>
      <c r="F2369" s="642" t="s">
        <v>1091</v>
      </c>
      <c r="G2369" s="338" t="s">
        <v>1072</v>
      </c>
      <c r="H2369" s="613">
        <v>0.8</v>
      </c>
      <c r="I2369" s="426">
        <v>237000</v>
      </c>
      <c r="J2369" s="574">
        <v>45408</v>
      </c>
      <c r="K2369" s="574">
        <v>45772</v>
      </c>
      <c r="L2369" s="651">
        <v>0.4</v>
      </c>
      <c r="M2369" s="574">
        <v>45860</v>
      </c>
      <c r="N2369" s="575">
        <v>236986.73</v>
      </c>
      <c r="O2369" s="575">
        <v>236868.23</v>
      </c>
      <c r="P2369" s="575">
        <v>189494.58</v>
      </c>
      <c r="Q2369" s="575">
        <v>189589.38</v>
      </c>
      <c r="R2369" s="574">
        <v>46021</v>
      </c>
      <c r="S2369" s="575">
        <v>94747.29</v>
      </c>
      <c r="T2369" s="650">
        <v>46030</v>
      </c>
      <c r="U2369" s="650">
        <v>46030</v>
      </c>
      <c r="V2369" s="575">
        <v>47373.65</v>
      </c>
      <c r="W2369" s="576"/>
      <c r="X2369" s="658"/>
      <c r="Y2369" s="653"/>
    </row>
    <row r="2370" s="95" customFormat="1" ht="37.5" customHeight="1" spans="1:25 16384:16384">
      <c r="A2370" s="467">
        <f t="shared" si="57"/>
        <v>2359</v>
      </c>
      <c r="B2370" s="548">
        <v>2026</v>
      </c>
      <c r="C2370" s="548" t="s">
        <v>31</v>
      </c>
      <c r="D2370" s="652" t="s">
        <v>1089</v>
      </c>
      <c r="E2370" s="1253" t="s">
        <v>1092</v>
      </c>
      <c r="F2370" s="642" t="s">
        <v>1091</v>
      </c>
      <c r="G2370" s="338" t="s">
        <v>1072</v>
      </c>
      <c r="H2370" s="613">
        <v>0.8</v>
      </c>
      <c r="I2370" s="426">
        <v>1333000</v>
      </c>
      <c r="J2370" s="574">
        <v>45408</v>
      </c>
      <c r="K2370" s="574">
        <v>45772</v>
      </c>
      <c r="L2370" s="651">
        <v>0.4</v>
      </c>
      <c r="M2370" s="574">
        <v>45860</v>
      </c>
      <c r="N2370" s="575">
        <v>1333666.5</v>
      </c>
      <c r="O2370" s="575">
        <v>1333000</v>
      </c>
      <c r="P2370" s="575">
        <v>1066400</v>
      </c>
      <c r="Q2370" s="575">
        <v>1066933.2</v>
      </c>
      <c r="R2370" s="574">
        <v>46021</v>
      </c>
      <c r="S2370" s="575">
        <v>533200</v>
      </c>
      <c r="T2370" s="650">
        <v>46030</v>
      </c>
      <c r="U2370" s="650">
        <v>46030</v>
      </c>
      <c r="V2370" s="575">
        <v>266600</v>
      </c>
      <c r="W2370" s="576"/>
      <c r="X2370" s="658"/>
      <c r="Y2370" s="653"/>
    </row>
    <row r="2371" s="95" customFormat="1" ht="37.5" customHeight="1" spans="1:25 16384:16384">
      <c r="A2371" s="467">
        <f t="shared" si="57"/>
        <v>2360</v>
      </c>
      <c r="B2371" s="548">
        <v>2026</v>
      </c>
      <c r="C2371" s="548" t="s">
        <v>79</v>
      </c>
      <c r="D2371" s="652" t="s">
        <v>1093</v>
      </c>
      <c r="E2371" s="1253" t="s">
        <v>1094</v>
      </c>
      <c r="F2371" s="642" t="s">
        <v>1095</v>
      </c>
      <c r="G2371" s="338" t="s">
        <v>1072</v>
      </c>
      <c r="H2371" s="613">
        <v>0.8</v>
      </c>
      <c r="I2371" s="426">
        <v>1000000</v>
      </c>
      <c r="J2371" s="574">
        <v>45499</v>
      </c>
      <c r="K2371" s="574">
        <v>46228</v>
      </c>
      <c r="L2371" s="651">
        <v>0.2</v>
      </c>
      <c r="M2371" s="574">
        <v>45735</v>
      </c>
      <c r="N2371" s="575">
        <v>1000000</v>
      </c>
      <c r="O2371" s="575">
        <v>1000000</v>
      </c>
      <c r="P2371" s="575">
        <v>800000</v>
      </c>
      <c r="Q2371" s="575">
        <v>800000</v>
      </c>
      <c r="R2371" s="574">
        <v>46021</v>
      </c>
      <c r="S2371" s="575">
        <v>200000</v>
      </c>
      <c r="T2371" s="650"/>
      <c r="U2371" s="650"/>
      <c r="V2371" s="616"/>
      <c r="W2371" s="576"/>
      <c r="X2371" s="658"/>
      <c r="Y2371" s="655" t="s">
        <v>1077</v>
      </c>
    </row>
    <row r="2372" s="95" customFormat="1" ht="37.5" customHeight="1" spans="1:25 16384:16384">
      <c r="A2372" s="467">
        <f t="shared" si="57"/>
        <v>2361</v>
      </c>
      <c r="B2372" s="548">
        <v>2026</v>
      </c>
      <c r="C2372" s="548" t="s">
        <v>79</v>
      </c>
      <c r="D2372" s="652" t="s">
        <v>1093</v>
      </c>
      <c r="E2372" s="1253" t="s">
        <v>1096</v>
      </c>
      <c r="F2372" s="642" t="s">
        <v>1095</v>
      </c>
      <c r="G2372" s="338" t="s">
        <v>1072</v>
      </c>
      <c r="H2372" s="613">
        <v>0.8</v>
      </c>
      <c r="I2372" s="426">
        <v>2000000</v>
      </c>
      <c r="J2372" s="574">
        <v>45517</v>
      </c>
      <c r="K2372" s="574">
        <v>46259</v>
      </c>
      <c r="L2372" s="651">
        <v>0.2</v>
      </c>
      <c r="M2372" s="574">
        <v>45735</v>
      </c>
      <c r="N2372" s="575">
        <v>2000000</v>
      </c>
      <c r="O2372" s="575">
        <v>2000000</v>
      </c>
      <c r="P2372" s="575">
        <v>1600000</v>
      </c>
      <c r="Q2372" s="575">
        <v>1600000</v>
      </c>
      <c r="R2372" s="574">
        <v>46021</v>
      </c>
      <c r="S2372" s="575">
        <v>400000</v>
      </c>
      <c r="T2372" s="650"/>
      <c r="U2372" s="650"/>
      <c r="V2372" s="616"/>
      <c r="W2372" s="576"/>
      <c r="X2372" s="658"/>
      <c r="Y2372" s="655" t="s">
        <v>1077</v>
      </c>
    </row>
    <row r="2373" s="101" customFormat="1" ht="37.5" customHeight="1" spans="1:25 16384:16384">
      <c r="A2373" s="670">
        <f t="shared" si="57"/>
        <v>2362</v>
      </c>
      <c r="B2373" s="671">
        <v>2026</v>
      </c>
      <c r="C2373" s="671" t="s">
        <v>79</v>
      </c>
      <c r="D2373" s="672" t="s">
        <v>734</v>
      </c>
      <c r="E2373" s="673" t="s">
        <v>1097</v>
      </c>
      <c r="F2373" s="674"/>
      <c r="G2373" s="675"/>
      <c r="H2373" s="676">
        <v>0.8</v>
      </c>
      <c r="I2373" s="677"/>
      <c r="J2373" s="678"/>
      <c r="K2373" s="678"/>
      <c r="L2373" s="679"/>
      <c r="M2373" s="678"/>
      <c r="N2373" s="680"/>
      <c r="O2373" s="680"/>
      <c r="P2373" s="680"/>
      <c r="Q2373" s="680"/>
      <c r="R2373" s="678"/>
      <c r="S2373" s="680"/>
      <c r="T2373" s="681"/>
      <c r="U2373" s="681">
        <v>46029</v>
      </c>
      <c r="V2373" s="680">
        <v>20614.24</v>
      </c>
      <c r="W2373" s="682"/>
      <c r="X2373" s="683"/>
      <c r="Y2373" s="684"/>
      <c r="XFD2373" s="685"/>
    </row>
    <row r="2374" s="95" customFormat="1" ht="37.5" customHeight="1" spans="1:25 16384:16384">
      <c r="A2374" s="467">
        <f t="shared" si="57"/>
        <v>2363</v>
      </c>
      <c r="B2374" s="548">
        <v>2026</v>
      </c>
      <c r="C2374" s="548" t="s">
        <v>37</v>
      </c>
      <c r="D2374" s="652" t="s">
        <v>811</v>
      </c>
      <c r="E2374" s="1253" t="s">
        <v>1099</v>
      </c>
      <c r="F2374" s="642" t="s">
        <v>1095</v>
      </c>
      <c r="G2374" s="338" t="s">
        <v>1100</v>
      </c>
      <c r="H2374" s="613">
        <v>0.8</v>
      </c>
      <c r="I2374" s="426">
        <v>1000000</v>
      </c>
      <c r="J2374" s="574">
        <v>45133</v>
      </c>
      <c r="K2374" s="574">
        <v>45864</v>
      </c>
      <c r="L2374" s="651">
        <v>0.4</v>
      </c>
      <c r="M2374" s="574">
        <v>45869</v>
      </c>
      <c r="N2374" s="575">
        <v>380952.35</v>
      </c>
      <c r="O2374" s="575">
        <v>380952.35</v>
      </c>
      <c r="P2374" s="575">
        <v>304761.88</v>
      </c>
      <c r="Q2374" s="575">
        <v>304761.88</v>
      </c>
      <c r="R2374" s="574">
        <v>46027</v>
      </c>
      <c r="S2374" s="575">
        <v>152380.94</v>
      </c>
      <c r="T2374" s="650"/>
      <c r="U2374" s="650"/>
      <c r="V2374" s="616"/>
      <c r="W2374" s="576"/>
      <c r="X2374" s="658"/>
      <c r="Y2374" s="653"/>
    </row>
    <row r="2375" s="95" customFormat="1" ht="37.5" customHeight="1" spans="1:25 16384:16384">
      <c r="A2375" s="467">
        <f t="shared" si="57"/>
        <v>2364</v>
      </c>
      <c r="B2375" s="548">
        <v>2026</v>
      </c>
      <c r="C2375" s="548" t="s">
        <v>25</v>
      </c>
      <c r="D2375" s="652" t="s">
        <v>788</v>
      </c>
      <c r="E2375" s="1253" t="s">
        <v>1101</v>
      </c>
      <c r="F2375" s="642" t="s">
        <v>1102</v>
      </c>
      <c r="G2375" s="338" t="s">
        <v>1103</v>
      </c>
      <c r="H2375" s="613">
        <v>0.8</v>
      </c>
      <c r="I2375" s="426">
        <v>300000</v>
      </c>
      <c r="J2375" s="574">
        <v>44624</v>
      </c>
      <c r="K2375" s="574">
        <v>45719</v>
      </c>
      <c r="L2375" s="651">
        <v>0.4</v>
      </c>
      <c r="M2375" s="574">
        <v>45867</v>
      </c>
      <c r="N2375" s="575">
        <v>302189.17</v>
      </c>
      <c r="O2375" s="575">
        <v>300000</v>
      </c>
      <c r="P2375" s="575">
        <v>240000</v>
      </c>
      <c r="Q2375" s="575">
        <v>241751.34</v>
      </c>
      <c r="R2375" s="574">
        <v>46027</v>
      </c>
      <c r="S2375" s="575">
        <v>120000</v>
      </c>
      <c r="T2375" s="650"/>
      <c r="U2375" s="650"/>
      <c r="V2375" s="616"/>
      <c r="W2375" s="576"/>
      <c r="X2375" s="658"/>
      <c r="Y2375" s="653"/>
    </row>
    <row r="2376" s="95" customFormat="1" ht="37.5" customHeight="1" spans="1:25 16384:16384">
      <c r="A2376" s="467">
        <f t="shared" si="57"/>
        <v>2365</v>
      </c>
      <c r="B2376" s="548">
        <v>2026</v>
      </c>
      <c r="C2376" s="548" t="s">
        <v>79</v>
      </c>
      <c r="D2376" s="652" t="s">
        <v>758</v>
      </c>
      <c r="E2376" s="424" t="s">
        <v>1104</v>
      </c>
      <c r="F2376" s="642" t="s">
        <v>1088</v>
      </c>
      <c r="G2376" s="338" t="s">
        <v>1105</v>
      </c>
      <c r="H2376" s="613">
        <v>0.8</v>
      </c>
      <c r="I2376" s="426">
        <v>1350000</v>
      </c>
      <c r="J2376" s="574">
        <v>45428</v>
      </c>
      <c r="K2376" s="574">
        <v>45792</v>
      </c>
      <c r="L2376" s="651">
        <v>0.4</v>
      </c>
      <c r="M2376" s="574">
        <v>45880</v>
      </c>
      <c r="N2376" s="575">
        <v>1350310.33</v>
      </c>
      <c r="O2376" s="575">
        <v>1345810.33</v>
      </c>
      <c r="P2376" s="575">
        <v>1076648.26</v>
      </c>
      <c r="Q2376" s="575">
        <v>1080248.26</v>
      </c>
      <c r="R2376" s="574">
        <v>46027</v>
      </c>
      <c r="S2376" s="575">
        <v>538324.13</v>
      </c>
      <c r="T2376" s="650"/>
      <c r="U2376" s="650"/>
      <c r="V2376" s="616"/>
      <c r="W2376" s="576"/>
      <c r="X2376" s="658"/>
      <c r="Y2376" s="653"/>
    </row>
    <row r="2377" s="95" customFormat="1" ht="37.5" customHeight="1" spans="1:25 16384:16384">
      <c r="A2377" s="467">
        <f t="shared" si="57"/>
        <v>2366</v>
      </c>
      <c r="B2377" s="548">
        <v>2026</v>
      </c>
      <c r="C2377" s="548" t="s">
        <v>25</v>
      </c>
      <c r="D2377" s="652" t="s">
        <v>821</v>
      </c>
      <c r="E2377" s="424" t="s">
        <v>1106</v>
      </c>
      <c r="F2377" s="642" t="s">
        <v>1107</v>
      </c>
      <c r="G2377" s="338" t="s">
        <v>1103</v>
      </c>
      <c r="H2377" s="613">
        <v>0.8</v>
      </c>
      <c r="I2377" s="426">
        <v>300000</v>
      </c>
      <c r="J2377" s="574">
        <v>44638</v>
      </c>
      <c r="K2377" s="574">
        <v>45733</v>
      </c>
      <c r="L2377" s="651">
        <v>0.4</v>
      </c>
      <c r="M2377" s="574">
        <v>45884</v>
      </c>
      <c r="N2377" s="575">
        <v>302666.68</v>
      </c>
      <c r="O2377" s="575">
        <v>300000</v>
      </c>
      <c r="P2377" s="575">
        <v>240000</v>
      </c>
      <c r="Q2377" s="575">
        <v>242133.34</v>
      </c>
      <c r="R2377" s="574">
        <v>46044</v>
      </c>
      <c r="S2377" s="575">
        <v>120000</v>
      </c>
      <c r="T2377" s="650"/>
      <c r="U2377" s="650"/>
      <c r="V2377" s="616"/>
      <c r="W2377" s="576"/>
      <c r="X2377" s="658"/>
      <c r="Y2377" s="653"/>
    </row>
    <row r="2378" s="95" customFormat="1" ht="37.5" customHeight="1" spans="1:25 16384:16384">
      <c r="A2378" s="467">
        <f t="shared" si="57"/>
        <v>2367</v>
      </c>
      <c r="B2378" s="548">
        <v>2026</v>
      </c>
      <c r="C2378" s="548" t="s">
        <v>15</v>
      </c>
      <c r="D2378" s="652" t="s">
        <v>822</v>
      </c>
      <c r="E2378" s="424" t="s">
        <v>1108</v>
      </c>
      <c r="F2378" s="642" t="s">
        <v>1109</v>
      </c>
      <c r="G2378" s="338" t="s">
        <v>1105</v>
      </c>
      <c r="H2378" s="613">
        <v>0.8</v>
      </c>
      <c r="I2378" s="426">
        <v>920000</v>
      </c>
      <c r="J2378" s="574">
        <v>45433</v>
      </c>
      <c r="K2378" s="574">
        <v>45797</v>
      </c>
      <c r="L2378" s="651">
        <v>0.4</v>
      </c>
      <c r="M2378" s="574">
        <v>45887</v>
      </c>
      <c r="N2378" s="575">
        <v>912264.73</v>
      </c>
      <c r="O2378" s="575">
        <v>909896.68</v>
      </c>
      <c r="P2378" s="575">
        <v>727917.34</v>
      </c>
      <c r="Q2378" s="575">
        <v>729811.78</v>
      </c>
      <c r="R2378" s="574"/>
      <c r="S2378" s="575">
        <v>363958.67</v>
      </c>
      <c r="T2378" s="650"/>
      <c r="U2378" s="650"/>
      <c r="V2378" s="616"/>
      <c r="W2378" s="576"/>
      <c r="X2378" s="658"/>
      <c r="Y2378" s="653"/>
    </row>
    <row r="2379" s="95" customFormat="1" ht="37.5" customHeight="1" spans="1:25 16384:16384">
      <c r="A2379" s="467">
        <f t="shared" si="57"/>
        <v>2368</v>
      </c>
      <c r="B2379" s="548">
        <v>2026</v>
      </c>
      <c r="C2379" s="548" t="s">
        <v>22</v>
      </c>
      <c r="D2379" s="652" t="s">
        <v>814</v>
      </c>
      <c r="E2379" s="424" t="s">
        <v>1110</v>
      </c>
      <c r="F2379" s="642" t="s">
        <v>1111</v>
      </c>
      <c r="G2379" s="338" t="s">
        <v>1112</v>
      </c>
      <c r="H2379" s="613">
        <v>0.8</v>
      </c>
      <c r="I2379" s="426">
        <v>7000000</v>
      </c>
      <c r="J2379" s="574">
        <v>45433</v>
      </c>
      <c r="K2379" s="574">
        <v>45798</v>
      </c>
      <c r="L2379" s="651">
        <v>0.4</v>
      </c>
      <c r="M2379" s="574">
        <v>45888</v>
      </c>
      <c r="N2379" s="575">
        <v>7165511.11</v>
      </c>
      <c r="O2379" s="575">
        <v>7000000</v>
      </c>
      <c r="P2379" s="575">
        <v>5600000</v>
      </c>
      <c r="Q2379" s="575">
        <v>5732408.89</v>
      </c>
      <c r="R2379" s="574"/>
      <c r="S2379" s="575">
        <v>2800000</v>
      </c>
      <c r="T2379" s="650"/>
      <c r="U2379" s="650"/>
      <c r="V2379" s="616"/>
      <c r="W2379" s="576"/>
      <c r="X2379" s="658"/>
      <c r="Y2379" s="653"/>
    </row>
    <row r="2380" s="95" customFormat="1" ht="37.5" customHeight="1" spans="1:25 16384:16384">
      <c r="A2380" s="467">
        <f t="shared" si="57"/>
        <v>2369</v>
      </c>
      <c r="B2380" s="548">
        <v>2026</v>
      </c>
      <c r="C2380" s="548" t="s">
        <v>79</v>
      </c>
      <c r="D2380" s="652" t="s">
        <v>1113</v>
      </c>
      <c r="E2380" s="424" t="s">
        <v>1114</v>
      </c>
      <c r="F2380" s="642" t="s">
        <v>1095</v>
      </c>
      <c r="G2380" s="338" t="s">
        <v>1105</v>
      </c>
      <c r="H2380" s="613">
        <v>0.8</v>
      </c>
      <c r="I2380" s="426">
        <v>250000</v>
      </c>
      <c r="J2380" s="574">
        <v>45614</v>
      </c>
      <c r="K2380" s="574">
        <v>46354</v>
      </c>
      <c r="L2380" s="651">
        <v>0.4</v>
      </c>
      <c r="M2380" s="574">
        <v>45869</v>
      </c>
      <c r="N2380" s="575">
        <v>250000</v>
      </c>
      <c r="O2380" s="575">
        <v>250000</v>
      </c>
      <c r="P2380" s="575">
        <v>200000</v>
      </c>
      <c r="Q2380" s="575">
        <v>200000</v>
      </c>
      <c r="R2380" s="574">
        <v>46028</v>
      </c>
      <c r="S2380" s="575">
        <v>100000</v>
      </c>
      <c r="T2380" s="650"/>
      <c r="U2380" s="650"/>
      <c r="V2380" s="616"/>
      <c r="W2380" s="576"/>
      <c r="X2380" s="658"/>
      <c r="Y2380" s="653"/>
    </row>
    <row r="2381" s="95" customFormat="1" ht="37.5" customHeight="1" spans="1:25 16384:16384">
      <c r="A2381" s="467">
        <f t="shared" si="57"/>
        <v>2370</v>
      </c>
      <c r="B2381" s="548">
        <v>2026</v>
      </c>
      <c r="C2381" s="548" t="s">
        <v>79</v>
      </c>
      <c r="D2381" s="652" t="s">
        <v>1115</v>
      </c>
      <c r="E2381" s="424" t="s">
        <v>1116</v>
      </c>
      <c r="F2381" s="642" t="s">
        <v>1095</v>
      </c>
      <c r="G2381" s="338" t="s">
        <v>1105</v>
      </c>
      <c r="H2381" s="613">
        <v>0.8</v>
      </c>
      <c r="I2381" s="426">
        <v>500000</v>
      </c>
      <c r="J2381" s="574">
        <v>45513</v>
      </c>
      <c r="K2381" s="574">
        <v>46252</v>
      </c>
      <c r="L2381" s="651">
        <v>0.4</v>
      </c>
      <c r="M2381" s="574">
        <v>45869</v>
      </c>
      <c r="N2381" s="575">
        <v>404761.93</v>
      </c>
      <c r="O2381" s="575">
        <v>404761.93</v>
      </c>
      <c r="P2381" s="575">
        <v>323809.54</v>
      </c>
      <c r="Q2381" s="575">
        <v>323809.54</v>
      </c>
      <c r="R2381" s="574">
        <v>46028</v>
      </c>
      <c r="S2381" s="575">
        <v>161904.77</v>
      </c>
      <c r="T2381" s="650"/>
      <c r="U2381" s="650"/>
      <c r="V2381" s="616"/>
      <c r="W2381" s="576"/>
      <c r="X2381" s="658"/>
      <c r="Y2381" s="653"/>
    </row>
    <row r="2382" s="95" customFormat="1" ht="37.5" customHeight="1" spans="1:25 16384:16384">
      <c r="A2382" s="467">
        <f t="shared" si="57"/>
        <v>2371</v>
      </c>
      <c r="B2382" s="548">
        <v>2026</v>
      </c>
      <c r="C2382" s="548" t="s">
        <v>79</v>
      </c>
      <c r="D2382" s="652" t="s">
        <v>1117</v>
      </c>
      <c r="E2382" s="424" t="s">
        <v>1118</v>
      </c>
      <c r="F2382" s="642" t="s">
        <v>1095</v>
      </c>
      <c r="G2382" s="338" t="s">
        <v>1105</v>
      </c>
      <c r="H2382" s="613">
        <v>0.8</v>
      </c>
      <c r="I2382" s="426">
        <v>150000</v>
      </c>
      <c r="J2382" s="574">
        <v>45454</v>
      </c>
      <c r="K2382" s="574">
        <v>46174</v>
      </c>
      <c r="L2382" s="651">
        <v>0.4</v>
      </c>
      <c r="M2382" s="574">
        <v>45869</v>
      </c>
      <c r="N2382" s="575">
        <v>107142.84</v>
      </c>
      <c r="O2382" s="575">
        <v>107142.84</v>
      </c>
      <c r="P2382" s="575">
        <v>85714.27</v>
      </c>
      <c r="Q2382" s="575">
        <v>85714.27</v>
      </c>
      <c r="R2382" s="574">
        <v>46028</v>
      </c>
      <c r="S2382" s="575">
        <v>42857.14</v>
      </c>
      <c r="T2382" s="650"/>
      <c r="U2382" s="650"/>
      <c r="V2382" s="616"/>
      <c r="W2382" s="576"/>
      <c r="X2382" s="658"/>
      <c r="Y2382" s="653"/>
    </row>
    <row r="2383" s="95" customFormat="1" ht="37.5" customHeight="1" spans="1:25 16384:16384">
      <c r="A2383" s="467">
        <f t="shared" si="57"/>
        <v>2372</v>
      </c>
      <c r="B2383" s="548">
        <v>2026</v>
      </c>
      <c r="C2383" s="548" t="s">
        <v>79</v>
      </c>
      <c r="D2383" s="652" t="s">
        <v>1119</v>
      </c>
      <c r="E2383" s="424" t="s">
        <v>1120</v>
      </c>
      <c r="F2383" s="642" t="s">
        <v>1095</v>
      </c>
      <c r="G2383" s="338" t="s">
        <v>1105</v>
      </c>
      <c r="H2383" s="613">
        <v>0.8</v>
      </c>
      <c r="I2383" s="426">
        <v>500000</v>
      </c>
      <c r="J2383" s="574">
        <v>45432</v>
      </c>
      <c r="K2383" s="574">
        <v>46148</v>
      </c>
      <c r="L2383" s="651">
        <v>0.4</v>
      </c>
      <c r="M2383" s="574">
        <v>45869</v>
      </c>
      <c r="N2383" s="575">
        <v>200000.03</v>
      </c>
      <c r="O2383" s="575">
        <v>200000.03</v>
      </c>
      <c r="P2383" s="575">
        <v>160000.02</v>
      </c>
      <c r="Q2383" s="575">
        <v>160000.02</v>
      </c>
      <c r="R2383" s="574">
        <v>46028</v>
      </c>
      <c r="S2383" s="575">
        <v>80000.01</v>
      </c>
      <c r="T2383" s="650"/>
      <c r="U2383" s="650"/>
      <c r="V2383" s="616"/>
      <c r="W2383" s="576"/>
      <c r="X2383" s="658"/>
      <c r="Y2383" s="653"/>
    </row>
    <row r="2384" s="95" customFormat="1" ht="37.5" customHeight="1" spans="1:25 16384:16384">
      <c r="A2384" s="467">
        <f t="shared" si="57"/>
        <v>2373</v>
      </c>
      <c r="B2384" s="548">
        <v>2026</v>
      </c>
      <c r="C2384" s="548" t="s">
        <v>79</v>
      </c>
      <c r="D2384" s="652" t="s">
        <v>1121</v>
      </c>
      <c r="E2384" s="424" t="s">
        <v>1122</v>
      </c>
      <c r="F2384" s="642" t="s">
        <v>1095</v>
      </c>
      <c r="G2384" s="338" t="s">
        <v>1105</v>
      </c>
      <c r="H2384" s="613">
        <v>0.8</v>
      </c>
      <c r="I2384" s="426">
        <v>400000</v>
      </c>
      <c r="J2384" s="574">
        <v>45462</v>
      </c>
      <c r="K2384" s="574">
        <v>46197</v>
      </c>
      <c r="L2384" s="651">
        <v>0.4</v>
      </c>
      <c r="M2384" s="574">
        <v>45869</v>
      </c>
      <c r="N2384" s="575">
        <v>266666.64</v>
      </c>
      <c r="O2384" s="575">
        <v>266666.64</v>
      </c>
      <c r="P2384" s="575">
        <v>213333.31</v>
      </c>
      <c r="Q2384" s="575">
        <v>213333.31</v>
      </c>
      <c r="R2384" s="574">
        <v>46028</v>
      </c>
      <c r="S2384" s="575">
        <v>106666.66</v>
      </c>
      <c r="T2384" s="650"/>
      <c r="U2384" s="650"/>
      <c r="V2384" s="616"/>
      <c r="W2384" s="576"/>
      <c r="X2384" s="658"/>
      <c r="Y2384" s="653"/>
    </row>
    <row r="2385" s="95" customFormat="1" ht="37.5" customHeight="1" spans="1:25">
      <c r="A2385" s="467">
        <f t="shared" si="57"/>
        <v>2374</v>
      </c>
      <c r="B2385" s="548">
        <v>2026</v>
      </c>
      <c r="C2385" s="548" t="s">
        <v>582</v>
      </c>
      <c r="D2385" s="652" t="s">
        <v>728</v>
      </c>
      <c r="E2385" s="424" t="s">
        <v>1123</v>
      </c>
      <c r="F2385" s="642" t="s">
        <v>1124</v>
      </c>
      <c r="G2385" s="338" t="s">
        <v>1125</v>
      </c>
      <c r="H2385" s="613">
        <v>0.8</v>
      </c>
      <c r="I2385" s="426">
        <v>200000</v>
      </c>
      <c r="J2385" s="574" t="s">
        <v>1126</v>
      </c>
      <c r="K2385" s="574" t="s">
        <v>1127</v>
      </c>
      <c r="L2385" s="651">
        <v>0.4</v>
      </c>
      <c r="M2385" s="574">
        <v>45834</v>
      </c>
      <c r="N2385" s="575">
        <v>200000</v>
      </c>
      <c r="O2385" s="575">
        <v>200000</v>
      </c>
      <c r="P2385" s="575">
        <v>160000</v>
      </c>
      <c r="Q2385" s="575">
        <v>160000</v>
      </c>
      <c r="R2385" s="574">
        <v>46028</v>
      </c>
      <c r="S2385" s="575">
        <v>80000</v>
      </c>
      <c r="T2385" s="650"/>
      <c r="U2385" s="650"/>
      <c r="V2385" s="616"/>
      <c r="W2385" s="576"/>
      <c r="X2385" s="658"/>
      <c r="Y2385" s="655" t="s">
        <v>1077</v>
      </c>
    </row>
    <row r="2386" s="95" customFormat="1" ht="37.5" customHeight="1" spans="1:25">
      <c r="A2386" s="467"/>
      <c r="B2386" s="548"/>
      <c r="C2386" s="548"/>
      <c r="D2386" s="652"/>
      <c r="E2386" s="424"/>
      <c r="F2386" s="642"/>
      <c r="G2386" s="338"/>
      <c r="H2386" s="613"/>
      <c r="I2386" s="426"/>
      <c r="J2386" s="574"/>
      <c r="K2386" s="574"/>
      <c r="L2386" s="651"/>
      <c r="M2386" s="574"/>
      <c r="N2386" s="575"/>
      <c r="O2386" s="575"/>
      <c r="P2386" s="575"/>
      <c r="Q2386" s="575"/>
      <c r="R2386" s="574"/>
      <c r="S2386" s="575"/>
      <c r="T2386" s="650"/>
      <c r="U2386" s="650"/>
      <c r="V2386" s="616"/>
      <c r="W2386" s="576"/>
      <c r="X2386" s="658"/>
      <c r="Y2386" s="655"/>
    </row>
    <row r="2387" s="95" customFormat="1" ht="37.5" customHeight="1" spans="1:25">
      <c r="A2387" s="467"/>
      <c r="B2387" s="548"/>
      <c r="C2387" s="548"/>
      <c r="D2387" s="652"/>
      <c r="E2387" s="424"/>
      <c r="F2387" s="642"/>
      <c r="G2387" s="338"/>
      <c r="H2387" s="613"/>
      <c r="I2387" s="426"/>
      <c r="J2387" s="574"/>
      <c r="K2387" s="574"/>
      <c r="L2387" s="651"/>
      <c r="M2387" s="574"/>
      <c r="N2387" s="575"/>
      <c r="O2387" s="575"/>
      <c r="P2387" s="575"/>
      <c r="Q2387" s="575"/>
      <c r="R2387" s="574"/>
      <c r="S2387" s="575"/>
      <c r="T2387" s="650"/>
      <c r="U2387" s="650"/>
      <c r="V2387" s="616"/>
      <c r="W2387" s="576"/>
      <c r="X2387" s="658"/>
      <c r="Y2387" s="655"/>
    </row>
    <row r="2388" s="95" customFormat="1" ht="37.5" customHeight="1" spans="1:25">
      <c r="A2388" s="467"/>
      <c r="B2388" s="548"/>
      <c r="C2388" s="548"/>
      <c r="D2388" s="652"/>
      <c r="E2388" s="424"/>
      <c r="F2388" s="642"/>
      <c r="G2388" s="338"/>
      <c r="H2388" s="613"/>
      <c r="I2388" s="426"/>
      <c r="J2388" s="574"/>
      <c r="K2388" s="574"/>
      <c r="L2388" s="651"/>
      <c r="M2388" s="574"/>
      <c r="N2388" s="575"/>
      <c r="O2388" s="575"/>
      <c r="P2388" s="575"/>
      <c r="Q2388" s="575"/>
      <c r="R2388" s="574"/>
      <c r="S2388" s="575"/>
      <c r="T2388" s="650"/>
      <c r="U2388" s="650"/>
      <c r="V2388" s="616"/>
      <c r="W2388" s="576"/>
      <c r="X2388" s="658"/>
      <c r="Y2388" s="655"/>
    </row>
    <row r="2389" s="95" customFormat="1" ht="37.5" customHeight="1" spans="1:25">
      <c r="A2389" s="467"/>
      <c r="B2389" s="548"/>
      <c r="C2389" s="548"/>
      <c r="D2389" s="652"/>
      <c r="E2389" s="424"/>
      <c r="F2389" s="642"/>
      <c r="G2389" s="338"/>
      <c r="H2389" s="613"/>
      <c r="I2389" s="426"/>
      <c r="J2389" s="574"/>
      <c r="K2389" s="574"/>
      <c r="L2389" s="651"/>
      <c r="M2389" s="574"/>
      <c r="N2389" s="575"/>
      <c r="O2389" s="575"/>
      <c r="P2389" s="575"/>
      <c r="Q2389" s="575"/>
      <c r="R2389" s="574"/>
      <c r="S2389" s="575"/>
      <c r="T2389" s="650"/>
      <c r="U2389" s="650"/>
      <c r="V2389" s="616"/>
      <c r="W2389" s="576"/>
      <c r="X2389" s="658"/>
      <c r="Y2389" s="655"/>
    </row>
    <row r="2390" s="95" customFormat="1" ht="37.5" customHeight="1" spans="1:25">
      <c r="A2390" s="467"/>
      <c r="B2390" s="548"/>
      <c r="C2390" s="548"/>
      <c r="D2390" s="652"/>
      <c r="E2390" s="424"/>
      <c r="F2390" s="642"/>
      <c r="G2390" s="338"/>
      <c r="H2390" s="613"/>
      <c r="I2390" s="426"/>
      <c r="J2390" s="574"/>
      <c r="K2390" s="574"/>
      <c r="L2390" s="651"/>
      <c r="M2390" s="574"/>
      <c r="N2390" s="575"/>
      <c r="O2390" s="575"/>
      <c r="P2390" s="575"/>
      <c r="Q2390" s="575"/>
      <c r="R2390" s="574"/>
      <c r="S2390" s="575"/>
      <c r="T2390" s="650"/>
      <c r="U2390" s="650"/>
      <c r="V2390" s="616"/>
      <c r="W2390" s="576"/>
      <c r="X2390" s="658"/>
      <c r="Y2390" s="655"/>
    </row>
    <row r="2391" s="95" customFormat="1" ht="37.5" customHeight="1" spans="1:25">
      <c r="A2391" s="467"/>
      <c r="B2391" s="548"/>
      <c r="C2391" s="548"/>
      <c r="D2391" s="652"/>
      <c r="E2391" s="424"/>
      <c r="F2391" s="642"/>
      <c r="G2391" s="338"/>
      <c r="H2391" s="613"/>
      <c r="I2391" s="426"/>
      <c r="J2391" s="574"/>
      <c r="K2391" s="574"/>
      <c r="L2391" s="651"/>
      <c r="M2391" s="574"/>
      <c r="N2391" s="575"/>
      <c r="O2391" s="575"/>
      <c r="P2391" s="575"/>
      <c r="Q2391" s="575"/>
      <c r="R2391" s="574"/>
      <c r="S2391" s="575"/>
      <c r="T2391" s="650"/>
      <c r="U2391" s="650"/>
      <c r="V2391" s="616"/>
      <c r="W2391" s="576"/>
      <c r="X2391" s="658"/>
      <c r="Y2391" s="655"/>
    </row>
    <row r="2392" s="95" customFormat="1" ht="37.5" customHeight="1" spans="1:25">
      <c r="A2392" s="467"/>
      <c r="B2392" s="548"/>
      <c r="C2392" s="548"/>
      <c r="D2392" s="652"/>
      <c r="E2392" s="424"/>
      <c r="F2392" s="642"/>
      <c r="G2392" s="338"/>
      <c r="H2392" s="613"/>
      <c r="I2392" s="426"/>
      <c r="J2392" s="574"/>
      <c r="K2392" s="574"/>
      <c r="L2392" s="651"/>
      <c r="M2392" s="574"/>
      <c r="N2392" s="575"/>
      <c r="O2392" s="575"/>
      <c r="P2392" s="575"/>
      <c r="Q2392" s="575"/>
      <c r="R2392" s="574"/>
      <c r="S2392" s="575"/>
      <c r="T2392" s="650"/>
      <c r="U2392" s="650"/>
      <c r="V2392" s="616"/>
      <c r="W2392" s="576"/>
      <c r="X2392" s="658"/>
      <c r="Y2392" s="655"/>
    </row>
    <row r="2393" s="95" customFormat="1" ht="37.5" customHeight="1" spans="1:25">
      <c r="A2393" s="467"/>
      <c r="B2393" s="548"/>
      <c r="C2393" s="548"/>
      <c r="D2393" s="652"/>
      <c r="E2393" s="424"/>
      <c r="F2393" s="642"/>
      <c r="G2393" s="338"/>
      <c r="H2393" s="613"/>
      <c r="I2393" s="426"/>
      <c r="J2393" s="574"/>
      <c r="K2393" s="574"/>
      <c r="L2393" s="651"/>
      <c r="M2393" s="574"/>
      <c r="N2393" s="575"/>
      <c r="O2393" s="575"/>
      <c r="P2393" s="575"/>
      <c r="Q2393" s="575"/>
      <c r="R2393" s="574"/>
      <c r="S2393" s="575"/>
      <c r="T2393" s="650"/>
      <c r="U2393" s="650"/>
      <c r="V2393" s="616"/>
      <c r="W2393" s="576"/>
      <c r="X2393" s="658"/>
      <c r="Y2393" s="655"/>
    </row>
    <row r="2394" s="100" customFormat="1" ht="37.5" customHeight="1" spans="1:25">
      <c r="A2394" s="156"/>
      <c r="B2394" s="155"/>
      <c r="C2394" s="686" t="s">
        <v>1266</v>
      </c>
      <c r="D2394" s="293"/>
      <c r="E2394" s="320"/>
      <c r="F2394" s="159"/>
      <c r="G2394" s="160"/>
      <c r="H2394" s="161"/>
      <c r="I2394" s="162">
        <f>SUM(I2362:I2385)</f>
        <v>28490000</v>
      </c>
      <c r="J2394" s="667"/>
      <c r="K2394" s="667"/>
      <c r="L2394" s="667"/>
      <c r="M2394" s="668"/>
      <c r="N2394" s="162">
        <f>SUM(N2362:N2385)</f>
        <v>27398145.47</v>
      </c>
      <c r="O2394" s="162">
        <f>SUM(O2362:O2385)</f>
        <v>27164703.99</v>
      </c>
      <c r="P2394" s="162">
        <f>SUM(P2362:P2385)</f>
        <v>21731763.17</v>
      </c>
      <c r="Q2394" s="162">
        <f>SUM(Q2362:Q2385)</f>
        <v>21918516.36</v>
      </c>
      <c r="R2394" s="162"/>
      <c r="S2394" s="162"/>
      <c r="T2394" s="162"/>
      <c r="U2394" s="162"/>
      <c r="V2394" s="162"/>
      <c r="W2394" s="162"/>
      <c r="X2394" s="162"/>
      <c r="Y2394" s="669"/>
    </row>
    <row r="2395" ht="37.5" customHeight="1" spans="1:25">
      <c r="A2395" s="156"/>
      <c r="B2395" s="156"/>
      <c r="C2395" s="318" t="s">
        <v>1267</v>
      </c>
      <c r="D2395" s="293"/>
      <c r="E2395" s="320"/>
      <c r="F2395" s="159"/>
      <c r="G2395" s="160"/>
      <c r="H2395" s="161"/>
      <c r="I2395" s="162">
        <f>SUM(I2394,I2361,I2098,I1844,I476,I54,I31,I10)</f>
        <v>1006988513.28</v>
      </c>
      <c r="J2395" s="667"/>
      <c r="K2395" s="667"/>
      <c r="L2395" s="667"/>
      <c r="M2395" s="667"/>
      <c r="N2395" s="162">
        <f>SUM(N54,N31,N10,N476,N1844,N2098,N2361,N2394)</f>
        <v>884244031.164501</v>
      </c>
      <c r="O2395" s="162">
        <f>SUM(O54,O31,O10,O476,O1844,O2098,O2361,O2394)</f>
        <v>871475941.517501</v>
      </c>
      <c r="P2395" s="162">
        <f>SUM(P54,P31,P10,P476,P1844,P2098,P2361,P2394)</f>
        <v>782075476.329</v>
      </c>
      <c r="Q2395" s="162">
        <f>SUM(Q54,Q31,Q10,Q476,Q1844,Q2098,Q2361,Q2394)</f>
        <v>798313889.597</v>
      </c>
      <c r="R2395" s="667"/>
      <c r="S2395" s="162">
        <f>SUM(S54,S31,S10,S476,S1844,S2098,S2361,S2394)</f>
        <v>332514200.327</v>
      </c>
      <c r="T2395" s="162"/>
      <c r="U2395" s="162"/>
      <c r="V2395" s="162">
        <f>SUM(V54,V31,V10,V476,V1844,V2098,V2361)</f>
        <v>109103801.924</v>
      </c>
      <c r="W2395" s="162"/>
      <c r="X2395" s="162">
        <f>SUM(X54,X31,X10,X476,X1844,X2098,X2361)</f>
        <v>181354958.744</v>
      </c>
      <c r="Y2395" s="669"/>
    </row>
    <row r="2396" s="80" customFormat="1" ht="20.1" customHeight="1" spans="1:25">
      <c r="A2396" s="687" t="s">
        <v>6960</v>
      </c>
      <c r="B2396" s="688"/>
      <c r="C2396" s="688"/>
      <c r="D2396" s="688"/>
      <c r="E2396" s="689"/>
      <c r="F2396" s="688"/>
      <c r="G2396" s="688"/>
      <c r="H2396" s="690"/>
      <c r="I2396" s="691"/>
      <c r="J2396" s="692"/>
      <c r="K2396" s="692"/>
      <c r="L2396" s="690"/>
      <c r="M2396" s="693"/>
      <c r="N2396" s="694"/>
      <c r="O2396" s="694"/>
      <c r="P2396" s="694"/>
      <c r="Q2396" s="694"/>
      <c r="R2396" s="688"/>
      <c r="S2396" s="691"/>
      <c r="T2396" s="688"/>
      <c r="U2396" s="688"/>
      <c r="V2396" s="694"/>
      <c r="W2396" s="688"/>
      <c r="X2396" s="695"/>
      <c r="Y2396" s="696" t="s">
        <v>6961</v>
      </c>
    </row>
    <row r="2397" ht="8" customHeight="1"/>
  </sheetData>
  <sheetProtection formatCells="0" insertHyperlinks="0" autoFilter="0"/>
  <mergeCells count="23">
    <mergeCell ref="A1:Y1"/>
    <mergeCell ref="U3:X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Y3:Y4"/>
  </mergeCells>
  <pageMargins left="0.75" right="0.75" top="1" bottom="1" header="0.5" footer="0.5"/>
  <pageSetup paperSize="8" scale="48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2"/>
  <sheetViews>
    <sheetView zoomScale="55" zoomScaleNormal="55" workbookViewId="0">
      <selection activeCell="U328" sqref="U328"/>
    </sheetView>
  </sheetViews>
  <sheetFormatPr defaultColWidth="8.72072072072072" defaultRowHeight="14.1"/>
  <cols>
    <col min="1" max="2" width="5.62162162162162" customWidth="1"/>
    <col min="3" max="3" width="35" customWidth="1"/>
    <col min="4" max="4" width="37.2522522522523" customWidth="1"/>
    <col min="5" max="5" width="20.6216216216216" customWidth="1"/>
    <col min="6" max="6" width="49.7027027027027" customWidth="1"/>
    <col min="7" max="7" width="18.6216216216216" customWidth="1"/>
    <col min="8" max="10" width="13.6216216216216" customWidth="1"/>
    <col min="11" max="15" width="18.6216216216216" customWidth="1"/>
    <col min="16" max="16" width="25.1351351351351" style="1" customWidth="1"/>
  </cols>
  <sheetData>
    <row r="1" ht="48" customHeight="1" spans="1:16">
      <c r="A1" s="6" t="s">
        <v>6962</v>
      </c>
      <c r="B1" s="7"/>
      <c r="C1" s="7"/>
      <c r="D1" s="7"/>
      <c r="E1" s="7"/>
      <c r="F1" s="7"/>
      <c r="G1" s="7"/>
      <c r="H1" s="7"/>
      <c r="I1" s="7"/>
      <c r="J1" s="8"/>
      <c r="K1" s="7"/>
      <c r="L1" s="7"/>
      <c r="M1" s="7"/>
      <c r="N1" s="7"/>
      <c r="O1" s="7"/>
    </row>
    <row r="2" ht="20" customHeight="1" spans="1:1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20" customHeight="1" spans="1:16">
      <c r="A3" s="10" t="s">
        <v>1</v>
      </c>
      <c r="B3" s="11" t="s">
        <v>1049</v>
      </c>
      <c r="C3" s="10" t="s">
        <v>1050</v>
      </c>
      <c r="D3" s="10" t="s">
        <v>3</v>
      </c>
      <c r="E3" s="12" t="s">
        <v>1051</v>
      </c>
      <c r="F3" s="13" t="s">
        <v>1052</v>
      </c>
      <c r="G3" s="13" t="s">
        <v>1055</v>
      </c>
      <c r="H3" s="13" t="s">
        <v>1056</v>
      </c>
      <c r="I3" s="13" t="s">
        <v>1057</v>
      </c>
      <c r="J3" s="14" t="s">
        <v>6963</v>
      </c>
      <c r="K3" s="13" t="s">
        <v>1059</v>
      </c>
      <c r="L3" s="13" t="s">
        <v>6964</v>
      </c>
      <c r="M3" s="13" t="s">
        <v>6965</v>
      </c>
      <c r="N3" s="13" t="s">
        <v>6966</v>
      </c>
      <c r="O3" s="13" t="s">
        <v>6967</v>
      </c>
    </row>
    <row r="4" ht="20" customHeight="1" spans="1:16">
      <c r="A4" s="10"/>
      <c r="B4" s="15"/>
      <c r="C4" s="10"/>
      <c r="D4" s="10"/>
      <c r="E4" s="12"/>
      <c r="F4" s="13"/>
      <c r="G4" s="13"/>
      <c r="H4" s="13"/>
      <c r="I4" s="13"/>
      <c r="J4" s="14"/>
      <c r="K4" s="16"/>
      <c r="L4" s="13"/>
      <c r="M4" s="13"/>
      <c r="N4" s="13"/>
      <c r="O4" s="13"/>
    </row>
    <row r="5" ht="20" customHeight="1" spans="1:16">
      <c r="A5" s="17">
        <v>1</v>
      </c>
      <c r="B5" s="17">
        <v>2023</v>
      </c>
      <c r="C5" s="18" t="s">
        <v>6968</v>
      </c>
      <c r="D5" s="19" t="s">
        <v>1296</v>
      </c>
      <c r="E5" s="20" t="s">
        <v>6969</v>
      </c>
      <c r="F5" s="21" t="s">
        <v>6970</v>
      </c>
      <c r="G5" s="22">
        <v>220000</v>
      </c>
      <c r="H5" s="23">
        <v>44541</v>
      </c>
      <c r="I5" s="23">
        <v>44906</v>
      </c>
      <c r="J5" s="24" t="s">
        <v>5006</v>
      </c>
      <c r="K5" s="25">
        <v>223819</v>
      </c>
      <c r="L5" s="22">
        <v>179055.2</v>
      </c>
      <c r="M5" s="22">
        <v>67145.7</v>
      </c>
      <c r="N5" s="22">
        <v>44763.8</v>
      </c>
      <c r="O5" s="22">
        <v>67145.7</v>
      </c>
      <c r="P5"/>
    </row>
    <row r="6" ht="20" customHeight="1" spans="1:16">
      <c r="A6" s="17">
        <v>2</v>
      </c>
      <c r="B6" s="17">
        <v>2023</v>
      </c>
      <c r="C6" s="18" t="s">
        <v>6968</v>
      </c>
      <c r="D6" s="19" t="s">
        <v>1306</v>
      </c>
      <c r="E6" s="20" t="s">
        <v>6971</v>
      </c>
      <c r="F6" s="21" t="s">
        <v>6972</v>
      </c>
      <c r="G6" s="22">
        <v>300000</v>
      </c>
      <c r="H6" s="23">
        <v>44562</v>
      </c>
      <c r="I6" s="23">
        <v>44927</v>
      </c>
      <c r="J6" s="24" t="s">
        <v>6082</v>
      </c>
      <c r="K6" s="25">
        <v>305070.1</v>
      </c>
      <c r="L6" s="22">
        <v>244056.08</v>
      </c>
      <c r="M6" s="22">
        <v>91521.03</v>
      </c>
      <c r="N6" s="22">
        <v>61014.02</v>
      </c>
      <c r="O6" s="22">
        <v>91521.03</v>
      </c>
      <c r="P6"/>
    </row>
    <row r="7" ht="20" customHeight="1" spans="1:16">
      <c r="A7" s="17">
        <v>3</v>
      </c>
      <c r="B7" s="17">
        <v>2023</v>
      </c>
      <c r="C7" s="18" t="s">
        <v>6968</v>
      </c>
      <c r="D7" s="19" t="s">
        <v>1307</v>
      </c>
      <c r="E7" s="20" t="s">
        <v>6973</v>
      </c>
      <c r="F7" s="26" t="s">
        <v>6974</v>
      </c>
      <c r="G7" s="27">
        <v>500000</v>
      </c>
      <c r="H7" s="23">
        <v>44565</v>
      </c>
      <c r="I7" s="23">
        <v>44930</v>
      </c>
      <c r="J7" s="28" t="s">
        <v>6082</v>
      </c>
      <c r="K7" s="25">
        <v>160361.1</v>
      </c>
      <c r="L7" s="27">
        <v>128288.88</v>
      </c>
      <c r="M7" s="22">
        <v>48108.33</v>
      </c>
      <c r="N7" s="22">
        <v>32072.22</v>
      </c>
      <c r="O7" s="22">
        <v>48108.33</v>
      </c>
      <c r="P7"/>
    </row>
    <row r="8" ht="20" customHeight="1" spans="1:16">
      <c r="A8" s="17">
        <v>4</v>
      </c>
      <c r="B8" s="17">
        <v>2023</v>
      </c>
      <c r="C8" s="18" t="s">
        <v>6968</v>
      </c>
      <c r="D8" s="19" t="s">
        <v>1316</v>
      </c>
      <c r="E8" s="20" t="s">
        <v>6975</v>
      </c>
      <c r="F8" s="26" t="s">
        <v>6976</v>
      </c>
      <c r="G8" s="27">
        <v>200000</v>
      </c>
      <c r="H8" s="23">
        <v>44634</v>
      </c>
      <c r="I8" s="23">
        <v>45729</v>
      </c>
      <c r="J8" s="28" t="s">
        <v>2520</v>
      </c>
      <c r="K8" s="25">
        <v>201844.45</v>
      </c>
      <c r="L8" s="27">
        <v>161475.56</v>
      </c>
      <c r="M8" s="22">
        <v>60553.34</v>
      </c>
      <c r="N8" s="22">
        <v>40368.89</v>
      </c>
      <c r="O8" s="22">
        <v>60553.34</v>
      </c>
      <c r="P8"/>
    </row>
    <row r="9" ht="20" customHeight="1" spans="1:16">
      <c r="A9" s="17">
        <v>5</v>
      </c>
      <c r="B9" s="17">
        <v>2023</v>
      </c>
      <c r="C9" s="18" t="s">
        <v>6968</v>
      </c>
      <c r="D9" s="19" t="s">
        <v>1297</v>
      </c>
      <c r="E9" s="20" t="s">
        <v>6977</v>
      </c>
      <c r="F9" s="21" t="s">
        <v>6978</v>
      </c>
      <c r="G9" s="22">
        <v>250000</v>
      </c>
      <c r="H9" s="23">
        <v>44529</v>
      </c>
      <c r="I9" s="23">
        <v>44894</v>
      </c>
      <c r="J9" s="24" t="s">
        <v>5006</v>
      </c>
      <c r="K9" s="25">
        <v>249401.78</v>
      </c>
      <c r="L9" s="22">
        <v>199521.42</v>
      </c>
      <c r="M9" s="22">
        <v>74820.53</v>
      </c>
      <c r="N9" s="22">
        <v>49880.36</v>
      </c>
      <c r="O9" s="22">
        <v>74820.53</v>
      </c>
      <c r="P9"/>
    </row>
    <row r="10" ht="20" customHeight="1" spans="1:16">
      <c r="A10" s="17">
        <v>6</v>
      </c>
      <c r="B10" s="17">
        <v>2023</v>
      </c>
      <c r="C10" s="18" t="s">
        <v>6968</v>
      </c>
      <c r="D10" s="19" t="s">
        <v>1298</v>
      </c>
      <c r="E10" s="29" t="s">
        <v>6979</v>
      </c>
      <c r="F10" s="19" t="s">
        <v>6980</v>
      </c>
      <c r="G10" s="30">
        <v>310000</v>
      </c>
      <c r="H10" s="23">
        <v>44547</v>
      </c>
      <c r="I10" s="23">
        <v>44912</v>
      </c>
      <c r="J10" s="31" t="s">
        <v>3229</v>
      </c>
      <c r="K10" s="25">
        <v>310406.68</v>
      </c>
      <c r="L10" s="30">
        <v>248325.34</v>
      </c>
      <c r="M10" s="22">
        <v>93122</v>
      </c>
      <c r="N10" s="22">
        <v>62081.34</v>
      </c>
      <c r="O10" s="22">
        <v>93122</v>
      </c>
      <c r="P10"/>
    </row>
    <row r="11" ht="20" customHeight="1" spans="1:16">
      <c r="A11" s="17">
        <v>7</v>
      </c>
      <c r="B11" s="17">
        <v>2023</v>
      </c>
      <c r="C11" s="18" t="s">
        <v>6981</v>
      </c>
      <c r="D11" s="19" t="s">
        <v>1280</v>
      </c>
      <c r="E11" s="29" t="s">
        <v>6982</v>
      </c>
      <c r="F11" s="21" t="s">
        <v>6983</v>
      </c>
      <c r="G11" s="22">
        <v>400000</v>
      </c>
      <c r="H11" s="23" t="s">
        <v>3164</v>
      </c>
      <c r="I11" s="23">
        <v>45227</v>
      </c>
      <c r="J11" s="24">
        <v>44865</v>
      </c>
      <c r="K11" s="25">
        <v>403000</v>
      </c>
      <c r="L11" s="22">
        <v>322400</v>
      </c>
      <c r="M11" s="22">
        <v>121259.76</v>
      </c>
      <c r="N11" s="22">
        <v>80839.84</v>
      </c>
      <c r="O11" s="22">
        <v>121259.76</v>
      </c>
      <c r="P11"/>
    </row>
    <row r="12" ht="20" customHeight="1" spans="1:16">
      <c r="A12" s="17">
        <v>8</v>
      </c>
      <c r="B12" s="17">
        <v>2023</v>
      </c>
      <c r="C12" s="18" t="s">
        <v>6981</v>
      </c>
      <c r="D12" s="19" t="s">
        <v>1281</v>
      </c>
      <c r="E12" s="29" t="s">
        <v>6984</v>
      </c>
      <c r="F12" s="21" t="s">
        <v>6985</v>
      </c>
      <c r="G12" s="22">
        <v>1100000</v>
      </c>
      <c r="H12" s="20" t="s">
        <v>6986</v>
      </c>
      <c r="I12" s="32" t="s">
        <v>3761</v>
      </c>
      <c r="J12" s="24">
        <v>44866</v>
      </c>
      <c r="K12" s="25">
        <v>1104675</v>
      </c>
      <c r="L12" s="22">
        <v>883740</v>
      </c>
      <c r="M12" s="22">
        <v>331402.5</v>
      </c>
      <c r="N12" s="22">
        <v>220935</v>
      </c>
      <c r="O12" s="22">
        <v>331402.5</v>
      </c>
      <c r="P12"/>
    </row>
    <row r="13" ht="20" customHeight="1" spans="1:16">
      <c r="A13" s="17">
        <v>9</v>
      </c>
      <c r="B13" s="17">
        <v>2023</v>
      </c>
      <c r="C13" s="18" t="s">
        <v>6968</v>
      </c>
      <c r="D13" s="19" t="s">
        <v>1282</v>
      </c>
      <c r="E13" s="29" t="s">
        <v>6987</v>
      </c>
      <c r="F13" s="21" t="s">
        <v>6988</v>
      </c>
      <c r="G13" s="22">
        <v>150000</v>
      </c>
      <c r="H13" s="20" t="s">
        <v>6989</v>
      </c>
      <c r="I13" s="20" t="s">
        <v>3327</v>
      </c>
      <c r="J13" s="24">
        <v>44881</v>
      </c>
      <c r="K13" s="25">
        <v>148137.4</v>
      </c>
      <c r="L13" s="22">
        <v>118509.92</v>
      </c>
      <c r="M13" s="22">
        <v>44441.22</v>
      </c>
      <c r="N13" s="22">
        <v>29627.48</v>
      </c>
      <c r="O13" s="22">
        <v>44441.22</v>
      </c>
      <c r="P13"/>
    </row>
    <row r="14" ht="20" customHeight="1" spans="1:16">
      <c r="A14" s="17">
        <v>10</v>
      </c>
      <c r="B14" s="17">
        <v>2023</v>
      </c>
      <c r="C14" s="18" t="s">
        <v>6968</v>
      </c>
      <c r="D14" s="19" t="s">
        <v>1273</v>
      </c>
      <c r="E14" s="29" t="s">
        <v>6990</v>
      </c>
      <c r="F14" s="21" t="s">
        <v>6970</v>
      </c>
      <c r="G14" s="22">
        <v>900000</v>
      </c>
      <c r="H14" s="20" t="s">
        <v>1892</v>
      </c>
      <c r="I14" s="20" t="s">
        <v>3487</v>
      </c>
      <c r="J14" s="24">
        <v>44809</v>
      </c>
      <c r="K14" s="25">
        <v>931426.19</v>
      </c>
      <c r="L14" s="22">
        <v>745140.95</v>
      </c>
      <c r="M14" s="22">
        <v>279427.86</v>
      </c>
      <c r="N14" s="22">
        <v>186285.24</v>
      </c>
      <c r="O14" s="22">
        <v>279427.86</v>
      </c>
      <c r="P14"/>
    </row>
    <row r="15" ht="20" customHeight="1" spans="1:16">
      <c r="A15" s="17">
        <v>11</v>
      </c>
      <c r="B15" s="17">
        <v>2023</v>
      </c>
      <c r="C15" s="18" t="s">
        <v>6968</v>
      </c>
      <c r="D15" s="19" t="s">
        <v>1284</v>
      </c>
      <c r="E15" s="29" t="s">
        <v>6991</v>
      </c>
      <c r="F15" s="26" t="s">
        <v>6992</v>
      </c>
      <c r="G15" s="27">
        <v>500000</v>
      </c>
      <c r="H15" s="33" t="s">
        <v>1927</v>
      </c>
      <c r="I15" s="33" t="s">
        <v>3402</v>
      </c>
      <c r="J15" s="28">
        <v>44914</v>
      </c>
      <c r="K15" s="25">
        <v>433703.44</v>
      </c>
      <c r="L15" s="27">
        <v>346962.75</v>
      </c>
      <c r="M15" s="22">
        <v>130111.03</v>
      </c>
      <c r="N15" s="22">
        <v>86740.68</v>
      </c>
      <c r="O15" s="22">
        <v>130111.03</v>
      </c>
      <c r="P15"/>
    </row>
    <row r="16" ht="20" customHeight="1" spans="1:16">
      <c r="A16" s="17">
        <v>12</v>
      </c>
      <c r="B16" s="17">
        <v>2023</v>
      </c>
      <c r="C16" s="18" t="s">
        <v>6968</v>
      </c>
      <c r="D16" s="19" t="s">
        <v>1285</v>
      </c>
      <c r="E16" s="29" t="s">
        <v>6993</v>
      </c>
      <c r="F16" s="26" t="s">
        <v>6994</v>
      </c>
      <c r="G16" s="27">
        <v>150000</v>
      </c>
      <c r="H16" s="33" t="s">
        <v>2123</v>
      </c>
      <c r="I16" s="33" t="s">
        <v>2290</v>
      </c>
      <c r="J16" s="28">
        <v>44914</v>
      </c>
      <c r="K16" s="25">
        <v>80196.66</v>
      </c>
      <c r="L16" s="27">
        <v>64157.33</v>
      </c>
      <c r="M16" s="22">
        <v>24058.98</v>
      </c>
      <c r="N16" s="22">
        <v>16039.32</v>
      </c>
      <c r="O16" s="22">
        <v>24058.98</v>
      </c>
      <c r="P16"/>
    </row>
    <row r="17" ht="20" customHeight="1" spans="1:16">
      <c r="A17" s="17">
        <v>13</v>
      </c>
      <c r="B17" s="17">
        <v>2023</v>
      </c>
      <c r="C17" s="18" t="s">
        <v>6968</v>
      </c>
      <c r="D17" s="19" t="s">
        <v>1286</v>
      </c>
      <c r="E17" s="29" t="s">
        <v>6995</v>
      </c>
      <c r="F17" s="21" t="s">
        <v>6996</v>
      </c>
      <c r="G17" s="22">
        <v>300000</v>
      </c>
      <c r="H17" s="20" t="s">
        <v>2363</v>
      </c>
      <c r="I17" s="20" t="s">
        <v>3480</v>
      </c>
      <c r="J17" s="24">
        <v>44914</v>
      </c>
      <c r="K17" s="25">
        <v>299994.81</v>
      </c>
      <c r="L17" s="22">
        <v>239995.85</v>
      </c>
      <c r="M17" s="22">
        <v>89998.44</v>
      </c>
      <c r="N17" s="22">
        <v>59998.96</v>
      </c>
      <c r="O17" s="22">
        <v>89998.44</v>
      </c>
      <c r="P17"/>
    </row>
    <row r="18" ht="20" customHeight="1" spans="1:16">
      <c r="A18" s="17">
        <v>14</v>
      </c>
      <c r="B18" s="17">
        <v>2023</v>
      </c>
      <c r="C18" s="18" t="s">
        <v>6968</v>
      </c>
      <c r="D18" s="19" t="s">
        <v>1287</v>
      </c>
      <c r="E18" s="29" t="s">
        <v>6997</v>
      </c>
      <c r="F18" s="19" t="s">
        <v>6998</v>
      </c>
      <c r="G18" s="30">
        <v>400000</v>
      </c>
      <c r="H18" s="34" t="s">
        <v>3305</v>
      </c>
      <c r="I18" s="34" t="s">
        <v>4102</v>
      </c>
      <c r="J18" s="31">
        <v>44965</v>
      </c>
      <c r="K18" s="25">
        <v>332384.14</v>
      </c>
      <c r="L18" s="30">
        <v>265907.31</v>
      </c>
      <c r="M18" s="22">
        <v>99715.24</v>
      </c>
      <c r="N18" s="22">
        <v>66476.83</v>
      </c>
      <c r="O18" s="22">
        <v>99715.24</v>
      </c>
      <c r="P18"/>
    </row>
    <row r="19" s="1" customFormat="1" ht="20" customHeight="1" spans="1:16">
      <c r="A19" s="35">
        <v>15</v>
      </c>
      <c r="B19" s="35">
        <v>2023</v>
      </c>
      <c r="C19" s="36" t="s">
        <v>6968</v>
      </c>
      <c r="D19" s="37" t="s">
        <v>1294</v>
      </c>
      <c r="E19" s="38" t="s">
        <v>6999</v>
      </c>
      <c r="F19" s="37" t="s">
        <v>1185</v>
      </c>
      <c r="G19" s="39">
        <v>300000</v>
      </c>
      <c r="H19" s="40" t="s">
        <v>1957</v>
      </c>
      <c r="I19" s="40" t="s">
        <v>5934</v>
      </c>
      <c r="J19" s="41">
        <v>44974</v>
      </c>
      <c r="K19" s="42">
        <v>312165.44</v>
      </c>
      <c r="L19" s="39"/>
      <c r="M19" s="43"/>
      <c r="N19" s="43"/>
      <c r="O19" s="43"/>
    </row>
    <row r="20" ht="20" customHeight="1" spans="1:16">
      <c r="A20" s="17">
        <v>16</v>
      </c>
      <c r="B20" s="17">
        <v>2023</v>
      </c>
      <c r="C20" s="18" t="s">
        <v>7000</v>
      </c>
      <c r="D20" s="19" t="s">
        <v>1278</v>
      </c>
      <c r="E20" s="29" t="s">
        <v>7001</v>
      </c>
      <c r="F20" s="44" t="s">
        <v>7002</v>
      </c>
      <c r="G20" s="45">
        <v>5000000</v>
      </c>
      <c r="H20" s="46" t="s">
        <v>1938</v>
      </c>
      <c r="I20" s="46" t="s">
        <v>2144</v>
      </c>
      <c r="J20" s="47">
        <v>44859</v>
      </c>
      <c r="K20" s="25">
        <v>2890823.03</v>
      </c>
      <c r="L20" s="45">
        <v>2312658.42</v>
      </c>
      <c r="M20" s="22">
        <v>867246.91</v>
      </c>
      <c r="N20" s="22">
        <v>578164.6</v>
      </c>
      <c r="O20" s="22">
        <v>867246.91</v>
      </c>
      <c r="P20"/>
    </row>
    <row r="21" s="1" customFormat="1" ht="20" customHeight="1" spans="1:16">
      <c r="A21" s="35">
        <v>17</v>
      </c>
      <c r="B21" s="35">
        <v>2023</v>
      </c>
      <c r="C21" s="36" t="s">
        <v>7000</v>
      </c>
      <c r="D21" s="37" t="s">
        <v>1290</v>
      </c>
      <c r="E21" s="38" t="s">
        <v>7003</v>
      </c>
      <c r="F21" s="37" t="s">
        <v>7004</v>
      </c>
      <c r="G21" s="39">
        <v>1000000</v>
      </c>
      <c r="H21" s="40" t="s">
        <v>3305</v>
      </c>
      <c r="I21" s="40" t="s">
        <v>3817</v>
      </c>
      <c r="J21" s="41">
        <v>44973</v>
      </c>
      <c r="K21" s="42">
        <v>1020273.24</v>
      </c>
      <c r="L21" s="39"/>
      <c r="M21" s="43"/>
      <c r="N21" s="43"/>
      <c r="O21" s="43"/>
    </row>
    <row r="22" s="1" customFormat="1" ht="20" customHeight="1" spans="1:16">
      <c r="A22" s="35">
        <v>18</v>
      </c>
      <c r="B22" s="35">
        <v>2023</v>
      </c>
      <c r="C22" s="36" t="s">
        <v>7000</v>
      </c>
      <c r="D22" s="37" t="s">
        <v>1291</v>
      </c>
      <c r="E22" s="38" t="s">
        <v>7005</v>
      </c>
      <c r="F22" s="37" t="s">
        <v>7004</v>
      </c>
      <c r="G22" s="39">
        <v>2000000</v>
      </c>
      <c r="H22" s="40" t="s">
        <v>7006</v>
      </c>
      <c r="I22" s="40" t="s">
        <v>3808</v>
      </c>
      <c r="J22" s="41">
        <v>44973</v>
      </c>
      <c r="K22" s="42">
        <v>2038890.8</v>
      </c>
      <c r="L22" s="39"/>
      <c r="M22" s="43"/>
      <c r="N22" s="43"/>
      <c r="O22" s="43"/>
    </row>
    <row r="23" ht="20" customHeight="1" spans="1:16">
      <c r="A23" s="17">
        <v>19</v>
      </c>
      <c r="B23" s="17">
        <v>2023</v>
      </c>
      <c r="C23" s="18" t="s">
        <v>7007</v>
      </c>
      <c r="D23" s="19" t="s">
        <v>1276</v>
      </c>
      <c r="E23" s="29" t="s">
        <v>7008</v>
      </c>
      <c r="F23" s="26" t="s">
        <v>7009</v>
      </c>
      <c r="G23" s="27">
        <v>1500000</v>
      </c>
      <c r="H23" s="33" t="s">
        <v>1999</v>
      </c>
      <c r="I23" s="33" t="s">
        <v>2750</v>
      </c>
      <c r="J23" s="28">
        <v>44832</v>
      </c>
      <c r="K23" s="25">
        <v>1507717.5</v>
      </c>
      <c r="L23" s="27">
        <v>1206174</v>
      </c>
      <c r="M23" s="22">
        <v>452315.25</v>
      </c>
      <c r="N23" s="22">
        <v>301543.5</v>
      </c>
      <c r="O23" s="22">
        <v>452315.25</v>
      </c>
      <c r="P23"/>
    </row>
    <row r="24" ht="20" customHeight="1" spans="1:16">
      <c r="A24" s="17">
        <v>20</v>
      </c>
      <c r="B24" s="17">
        <v>2023</v>
      </c>
      <c r="C24" s="18" t="s">
        <v>7007</v>
      </c>
      <c r="D24" s="19" t="s">
        <v>1283</v>
      </c>
      <c r="E24" s="29" t="s">
        <v>7010</v>
      </c>
      <c r="F24" s="19" t="s">
        <v>7011</v>
      </c>
      <c r="G24" s="30">
        <v>250000</v>
      </c>
      <c r="H24" s="34" t="s">
        <v>1928</v>
      </c>
      <c r="I24" s="34" t="s">
        <v>3451</v>
      </c>
      <c r="J24" s="31">
        <v>44900</v>
      </c>
      <c r="K24" s="25">
        <v>244719.06</v>
      </c>
      <c r="L24" s="30">
        <v>195775.25</v>
      </c>
      <c r="M24" s="22">
        <v>73415.72</v>
      </c>
      <c r="N24" s="22">
        <v>48943.81</v>
      </c>
      <c r="O24" s="22">
        <v>73415.72</v>
      </c>
      <c r="P24"/>
    </row>
    <row r="25" ht="20" customHeight="1" spans="1:16">
      <c r="A25" s="17">
        <v>21</v>
      </c>
      <c r="B25" s="17">
        <v>2023</v>
      </c>
      <c r="C25" s="18" t="s">
        <v>7012</v>
      </c>
      <c r="D25" s="19" t="s">
        <v>1279</v>
      </c>
      <c r="E25" s="29" t="s">
        <v>7013</v>
      </c>
      <c r="F25" s="19" t="s">
        <v>7014</v>
      </c>
      <c r="G25" s="30">
        <v>1270000</v>
      </c>
      <c r="H25" s="34" t="s">
        <v>1825</v>
      </c>
      <c r="I25" s="34" t="s">
        <v>3480</v>
      </c>
      <c r="J25" s="31">
        <v>44859</v>
      </c>
      <c r="K25" s="25">
        <v>1263441.96</v>
      </c>
      <c r="L25" s="30">
        <v>1010753.57</v>
      </c>
      <c r="M25" s="22">
        <v>379032.59</v>
      </c>
      <c r="N25" s="22">
        <v>252688.39</v>
      </c>
      <c r="O25" s="22">
        <v>379032.59</v>
      </c>
      <c r="P25"/>
    </row>
    <row r="26" ht="20" customHeight="1" spans="1:16">
      <c r="A26" s="17">
        <v>22</v>
      </c>
      <c r="B26" s="17">
        <v>2023</v>
      </c>
      <c r="C26" s="18" t="s">
        <v>7012</v>
      </c>
      <c r="D26" s="19" t="s">
        <v>1279</v>
      </c>
      <c r="E26" s="29" t="s">
        <v>7015</v>
      </c>
      <c r="F26" s="19" t="s">
        <v>7016</v>
      </c>
      <c r="G26" s="27">
        <v>852000</v>
      </c>
      <c r="H26" s="48">
        <v>44616</v>
      </c>
      <c r="I26" s="48">
        <v>44981</v>
      </c>
      <c r="J26" s="48" t="s">
        <v>2548</v>
      </c>
      <c r="K26" s="25">
        <v>188547.94</v>
      </c>
      <c r="L26" s="22">
        <v>150838.35</v>
      </c>
      <c r="M26" s="22">
        <v>56564.38</v>
      </c>
      <c r="N26" s="22">
        <v>37709.59</v>
      </c>
      <c r="O26" s="22">
        <v>56564.38</v>
      </c>
      <c r="P26"/>
    </row>
    <row r="27" ht="20" customHeight="1" spans="1:16">
      <c r="A27" s="17">
        <v>23</v>
      </c>
      <c r="B27" s="17">
        <v>2023</v>
      </c>
      <c r="C27" s="18" t="s">
        <v>7017</v>
      </c>
      <c r="D27" s="19" t="s">
        <v>1337</v>
      </c>
      <c r="E27" s="29" t="s">
        <v>7018</v>
      </c>
      <c r="F27" s="19" t="s">
        <v>7019</v>
      </c>
      <c r="G27" s="27">
        <v>750000</v>
      </c>
      <c r="H27" s="48">
        <v>44678</v>
      </c>
      <c r="I27" s="48">
        <v>45043</v>
      </c>
      <c r="J27" s="48" t="s">
        <v>3777</v>
      </c>
      <c r="K27" s="25">
        <v>740535.36</v>
      </c>
      <c r="L27" s="22">
        <v>592428.29</v>
      </c>
      <c r="M27" s="22">
        <v>222160.61</v>
      </c>
      <c r="N27" s="22">
        <v>148107.07</v>
      </c>
      <c r="O27" s="22">
        <v>222160.61</v>
      </c>
      <c r="P27"/>
    </row>
    <row r="28" ht="20" customHeight="1" spans="1:16">
      <c r="A28" s="17">
        <v>24</v>
      </c>
      <c r="B28" s="17">
        <v>2023</v>
      </c>
      <c r="C28" s="18" t="s">
        <v>7020</v>
      </c>
      <c r="D28" s="19" t="s">
        <v>1309</v>
      </c>
      <c r="E28" s="29" t="s">
        <v>7021</v>
      </c>
      <c r="F28" s="19" t="s">
        <v>7022</v>
      </c>
      <c r="G28" s="27">
        <v>578000</v>
      </c>
      <c r="H28" s="48">
        <v>44741</v>
      </c>
      <c r="I28" s="48">
        <v>45106</v>
      </c>
      <c r="J28" s="48" t="s">
        <v>2136</v>
      </c>
      <c r="K28" s="25">
        <v>583849.36</v>
      </c>
      <c r="L28" s="22">
        <v>467079.49</v>
      </c>
      <c r="M28" s="22">
        <v>175154.81</v>
      </c>
      <c r="N28" s="22">
        <v>116769.87</v>
      </c>
      <c r="O28" s="22">
        <v>175154.81</v>
      </c>
      <c r="P28"/>
    </row>
    <row r="29" ht="20" customHeight="1" spans="1:16">
      <c r="A29" s="17">
        <v>25</v>
      </c>
      <c r="B29" s="17">
        <v>2023</v>
      </c>
      <c r="C29" s="18" t="s">
        <v>7020</v>
      </c>
      <c r="D29" s="19" t="s">
        <v>1311</v>
      </c>
      <c r="E29" s="29" t="s">
        <v>7023</v>
      </c>
      <c r="F29" s="19" t="s">
        <v>6534</v>
      </c>
      <c r="G29" s="27">
        <v>579000</v>
      </c>
      <c r="H29" s="48">
        <v>44830</v>
      </c>
      <c r="I29" s="48">
        <v>45195</v>
      </c>
      <c r="J29" s="48" t="s">
        <v>2136</v>
      </c>
      <c r="K29" s="25">
        <v>584622.74</v>
      </c>
      <c r="L29" s="22">
        <v>467698.19</v>
      </c>
      <c r="M29" s="22">
        <v>175386.82</v>
      </c>
      <c r="N29" s="22">
        <v>116924.55</v>
      </c>
      <c r="O29" s="22">
        <v>175386.82</v>
      </c>
      <c r="P29"/>
    </row>
    <row r="30" s="2" customFormat="1" ht="20" customHeight="1" spans="1:16">
      <c r="A30" s="49"/>
      <c r="B30" s="49"/>
      <c r="C30" s="50" t="s">
        <v>1266</v>
      </c>
      <c r="D30" s="49"/>
      <c r="E30" s="51"/>
      <c r="F30" s="49"/>
      <c r="G30" s="52">
        <f>SUM(G5:G29)</f>
        <v>19759000</v>
      </c>
      <c r="H30" s="52"/>
      <c r="I30" s="52"/>
      <c r="J30" s="52"/>
      <c r="K30" s="52">
        <f>SUM(K5:K29)</f>
        <v>16560007.18</v>
      </c>
      <c r="L30" s="52">
        <f>SUM(L5:L29)</f>
        <v>10550942.15</v>
      </c>
      <c r="M30" s="52">
        <f>SUM(M5:M29)</f>
        <v>3956963.05</v>
      </c>
      <c r="N30" s="52">
        <f>SUM(N5:N29)</f>
        <v>2637975.36</v>
      </c>
      <c r="O30" s="52">
        <f>SUM(O5:O29)</f>
        <v>3956963.05</v>
      </c>
    </row>
    <row r="31" s="3" customFormat="1" ht="20" customHeight="1" spans="1:16">
      <c r="A31" s="17">
        <v>26</v>
      </c>
      <c r="B31" s="17">
        <v>2024</v>
      </c>
      <c r="C31" s="18" t="s">
        <v>7024</v>
      </c>
      <c r="D31" s="19" t="s">
        <v>290</v>
      </c>
      <c r="E31" s="29" t="s">
        <v>7025</v>
      </c>
      <c r="F31" s="19" t="s">
        <v>7026</v>
      </c>
      <c r="G31" s="27">
        <v>1870000</v>
      </c>
      <c r="H31" s="48">
        <v>44932</v>
      </c>
      <c r="I31" s="48">
        <v>45297</v>
      </c>
      <c r="J31" s="48">
        <v>45385</v>
      </c>
      <c r="K31" s="25">
        <v>884963.37</v>
      </c>
      <c r="L31" s="25">
        <v>707970.7</v>
      </c>
      <c r="M31" s="25">
        <v>265489.01</v>
      </c>
      <c r="N31" s="25">
        <v>176992.67</v>
      </c>
      <c r="O31" s="25">
        <v>265489.02</v>
      </c>
    </row>
    <row r="32" ht="20" customHeight="1" spans="1:16">
      <c r="A32" s="17">
        <v>27</v>
      </c>
      <c r="B32" s="17">
        <v>2024</v>
      </c>
      <c r="C32" s="18" t="s">
        <v>7020</v>
      </c>
      <c r="D32" s="19" t="s">
        <v>1426</v>
      </c>
      <c r="E32" s="29" t="s">
        <v>7027</v>
      </c>
      <c r="F32" s="19" t="s">
        <v>1133</v>
      </c>
      <c r="G32" s="27">
        <v>495000</v>
      </c>
      <c r="H32" s="48" t="s">
        <v>3717</v>
      </c>
      <c r="I32" s="48" t="s">
        <v>5849</v>
      </c>
      <c r="J32" s="48" t="s">
        <v>5482</v>
      </c>
      <c r="K32" s="25">
        <v>495369.43</v>
      </c>
      <c r="L32" s="25">
        <v>396295.54</v>
      </c>
      <c r="M32" s="25">
        <v>148610.83</v>
      </c>
      <c r="N32" s="25">
        <v>99073.89</v>
      </c>
      <c r="O32" s="25">
        <v>148610.82</v>
      </c>
      <c r="P32"/>
    </row>
    <row r="33" ht="20" customHeight="1" spans="1:16">
      <c r="A33" s="17">
        <v>28</v>
      </c>
      <c r="B33" s="17">
        <v>2024</v>
      </c>
      <c r="C33" s="18" t="s">
        <v>7020</v>
      </c>
      <c r="D33" s="19" t="s">
        <v>1427</v>
      </c>
      <c r="E33" s="29" t="s">
        <v>7028</v>
      </c>
      <c r="F33" s="19" t="s">
        <v>6534</v>
      </c>
      <c r="G33" s="27">
        <v>995000</v>
      </c>
      <c r="H33" s="48" t="s">
        <v>7029</v>
      </c>
      <c r="I33" s="48" t="s">
        <v>4970</v>
      </c>
      <c r="J33" s="48" t="s">
        <v>5482</v>
      </c>
      <c r="K33" s="25">
        <v>998991.06</v>
      </c>
      <c r="L33" s="25">
        <v>799192.85</v>
      </c>
      <c r="M33" s="25">
        <v>299697.32</v>
      </c>
      <c r="N33" s="25">
        <v>199798.21</v>
      </c>
      <c r="O33" s="25">
        <v>299697.32</v>
      </c>
      <c r="P33"/>
    </row>
    <row r="34" ht="20" customHeight="1" spans="1:16">
      <c r="A34" s="17">
        <v>29</v>
      </c>
      <c r="B34" s="17">
        <v>2024</v>
      </c>
      <c r="C34" s="18" t="s">
        <v>7020</v>
      </c>
      <c r="D34" s="19" t="s">
        <v>1423</v>
      </c>
      <c r="E34" s="29" t="s">
        <v>7030</v>
      </c>
      <c r="F34" s="19" t="s">
        <v>1133</v>
      </c>
      <c r="G34" s="27">
        <v>1000000</v>
      </c>
      <c r="H34" s="48" t="s">
        <v>2292</v>
      </c>
      <c r="I34" s="48" t="s">
        <v>5540</v>
      </c>
      <c r="J34" s="48" t="s">
        <v>4909</v>
      </c>
      <c r="K34" s="25">
        <v>1000000</v>
      </c>
      <c r="L34" s="25">
        <v>800000</v>
      </c>
      <c r="M34" s="25">
        <v>300000</v>
      </c>
      <c r="N34" s="25">
        <v>200000</v>
      </c>
      <c r="O34" s="25">
        <v>300000</v>
      </c>
      <c r="P34"/>
    </row>
    <row r="35" ht="20" customHeight="1" spans="1:16">
      <c r="A35" s="17">
        <v>30</v>
      </c>
      <c r="B35" s="17">
        <v>2024</v>
      </c>
      <c r="C35" s="18" t="s">
        <v>7020</v>
      </c>
      <c r="D35" s="19" t="s">
        <v>1429</v>
      </c>
      <c r="E35" s="29" t="s">
        <v>7031</v>
      </c>
      <c r="F35" s="19" t="s">
        <v>1208</v>
      </c>
      <c r="G35" s="27">
        <v>1000000</v>
      </c>
      <c r="H35" s="48" t="s">
        <v>4296</v>
      </c>
      <c r="I35" s="48" t="s">
        <v>5681</v>
      </c>
      <c r="J35" s="48" t="s">
        <v>4533</v>
      </c>
      <c r="K35" s="25">
        <v>1004750</v>
      </c>
      <c r="L35" s="25">
        <v>803800</v>
      </c>
      <c r="M35" s="25">
        <v>301425</v>
      </c>
      <c r="N35" s="25">
        <v>200950</v>
      </c>
      <c r="O35" s="25">
        <v>301425</v>
      </c>
      <c r="P35"/>
    </row>
    <row r="36" ht="20" customHeight="1" spans="1:16">
      <c r="A36" s="17">
        <v>31</v>
      </c>
      <c r="B36" s="17">
        <v>2024</v>
      </c>
      <c r="C36" s="18" t="s">
        <v>7020</v>
      </c>
      <c r="D36" s="19" t="s">
        <v>1428</v>
      </c>
      <c r="E36" s="29" t="s">
        <v>7032</v>
      </c>
      <c r="F36" s="19" t="s">
        <v>6874</v>
      </c>
      <c r="G36" s="27">
        <v>1228000</v>
      </c>
      <c r="H36" s="48">
        <v>44895</v>
      </c>
      <c r="I36" s="48">
        <v>45259</v>
      </c>
      <c r="J36" s="48">
        <v>45349</v>
      </c>
      <c r="K36" s="25">
        <v>1227413.04</v>
      </c>
      <c r="L36" s="22">
        <v>981930.43</v>
      </c>
      <c r="M36" s="22">
        <v>368223.91</v>
      </c>
      <c r="N36" s="22">
        <v>245482.61</v>
      </c>
      <c r="O36" s="22">
        <v>368223.91</v>
      </c>
      <c r="P36"/>
    </row>
    <row r="37" ht="20" customHeight="1" spans="1:16">
      <c r="A37" s="17">
        <v>32</v>
      </c>
      <c r="B37" s="17">
        <v>2024</v>
      </c>
      <c r="C37" s="18" t="s">
        <v>7020</v>
      </c>
      <c r="D37" s="19" t="s">
        <v>1419</v>
      </c>
      <c r="E37" s="29" t="s">
        <v>7033</v>
      </c>
      <c r="F37" s="19" t="s">
        <v>6874</v>
      </c>
      <c r="G37" s="27">
        <v>1237000</v>
      </c>
      <c r="H37" s="48">
        <v>44881</v>
      </c>
      <c r="I37" s="48">
        <v>45245</v>
      </c>
      <c r="J37" s="48">
        <v>45329</v>
      </c>
      <c r="K37" s="25">
        <v>1241176.86</v>
      </c>
      <c r="L37" s="22">
        <v>992941.49</v>
      </c>
      <c r="M37" s="22">
        <v>372353.06</v>
      </c>
      <c r="N37" s="22">
        <v>248235.37</v>
      </c>
      <c r="O37" s="22">
        <v>372353.06</v>
      </c>
      <c r="P37"/>
    </row>
    <row r="38" ht="20" customHeight="1" spans="1:16">
      <c r="A38" s="17">
        <v>33</v>
      </c>
      <c r="B38" s="17">
        <v>2024</v>
      </c>
      <c r="C38" s="18" t="s">
        <v>7020</v>
      </c>
      <c r="D38" s="19" t="s">
        <v>1417</v>
      </c>
      <c r="E38" s="29" t="s">
        <v>7034</v>
      </c>
      <c r="F38" s="19" t="s">
        <v>7035</v>
      </c>
      <c r="G38" s="27">
        <v>1200000</v>
      </c>
      <c r="H38" s="48">
        <v>44882</v>
      </c>
      <c r="I38" s="48">
        <v>45246</v>
      </c>
      <c r="J38" s="48">
        <v>45329</v>
      </c>
      <c r="K38" s="25">
        <v>778430.27</v>
      </c>
      <c r="L38" s="22">
        <v>622744.22</v>
      </c>
      <c r="M38" s="22">
        <v>233529.08</v>
      </c>
      <c r="N38" s="22">
        <v>155686.06</v>
      </c>
      <c r="O38" s="22">
        <v>233529.08</v>
      </c>
      <c r="P38"/>
    </row>
    <row r="39" ht="20" customHeight="1" spans="1:16">
      <c r="A39" s="17">
        <v>34</v>
      </c>
      <c r="B39" s="17">
        <v>2024</v>
      </c>
      <c r="C39" s="18" t="s">
        <v>7020</v>
      </c>
      <c r="D39" s="19" t="s">
        <v>1430</v>
      </c>
      <c r="E39" s="29" t="s">
        <v>7036</v>
      </c>
      <c r="F39" s="19" t="s">
        <v>7035</v>
      </c>
      <c r="G39" s="27">
        <v>3000000</v>
      </c>
      <c r="H39" s="48">
        <v>44897</v>
      </c>
      <c r="I39" s="48">
        <v>45261</v>
      </c>
      <c r="J39" s="48">
        <v>45350</v>
      </c>
      <c r="K39" s="25">
        <v>2980247.29</v>
      </c>
      <c r="L39" s="22">
        <v>2384197.83</v>
      </c>
      <c r="M39" s="22">
        <v>894074.19</v>
      </c>
      <c r="N39" s="22">
        <v>596049.46</v>
      </c>
      <c r="O39" s="22">
        <v>894074.18</v>
      </c>
      <c r="P39"/>
    </row>
    <row r="40" ht="20" customHeight="1" spans="1:16">
      <c r="A40" s="17">
        <v>35</v>
      </c>
      <c r="B40" s="17">
        <v>2024</v>
      </c>
      <c r="C40" s="18" t="s">
        <v>7020</v>
      </c>
      <c r="D40" s="19" t="s">
        <v>1466</v>
      </c>
      <c r="E40" s="29" t="s">
        <v>7037</v>
      </c>
      <c r="F40" s="19" t="s">
        <v>7038</v>
      </c>
      <c r="G40" s="27">
        <v>2309000</v>
      </c>
      <c r="H40" s="48">
        <v>44959</v>
      </c>
      <c r="I40" s="48">
        <v>45323</v>
      </c>
      <c r="J40" s="48">
        <v>45408</v>
      </c>
      <c r="K40" s="25">
        <v>2311886.25</v>
      </c>
      <c r="L40" s="22">
        <v>1849509</v>
      </c>
      <c r="M40" s="22">
        <v>693565.88</v>
      </c>
      <c r="N40" s="22">
        <v>462377.25</v>
      </c>
      <c r="O40" s="22">
        <v>693565.87</v>
      </c>
      <c r="P40"/>
    </row>
    <row r="41" ht="20" customHeight="1" spans="1:16">
      <c r="A41" s="17">
        <v>36</v>
      </c>
      <c r="B41" s="17">
        <v>2024</v>
      </c>
      <c r="C41" s="18" t="s">
        <v>7020</v>
      </c>
      <c r="D41" s="19" t="s">
        <v>1420</v>
      </c>
      <c r="E41" s="29" t="s">
        <v>7039</v>
      </c>
      <c r="F41" s="19" t="s">
        <v>7022</v>
      </c>
      <c r="G41" s="27">
        <v>1000000</v>
      </c>
      <c r="H41" s="48">
        <v>44876</v>
      </c>
      <c r="I41" s="48">
        <v>45241</v>
      </c>
      <c r="J41" s="48">
        <v>45330</v>
      </c>
      <c r="K41" s="25">
        <v>1001591.66</v>
      </c>
      <c r="L41" s="22">
        <v>801273.33</v>
      </c>
      <c r="M41" s="22">
        <v>300477.5</v>
      </c>
      <c r="N41" s="22">
        <v>200318.33</v>
      </c>
      <c r="O41" s="22">
        <v>300477.5</v>
      </c>
      <c r="P41"/>
    </row>
    <row r="42" ht="20" customHeight="1" spans="1:16">
      <c r="A42" s="17">
        <v>37</v>
      </c>
      <c r="B42" s="17">
        <v>2024</v>
      </c>
      <c r="C42" s="18" t="s">
        <v>7020</v>
      </c>
      <c r="D42" s="19" t="s">
        <v>1421</v>
      </c>
      <c r="E42" s="29" t="s">
        <v>7040</v>
      </c>
      <c r="F42" s="19" t="s">
        <v>7022</v>
      </c>
      <c r="G42" s="27">
        <v>1000000</v>
      </c>
      <c r="H42" s="48">
        <v>44882</v>
      </c>
      <c r="I42" s="48">
        <v>45247</v>
      </c>
      <c r="J42" s="48">
        <v>45330</v>
      </c>
      <c r="K42" s="25">
        <v>1005911.11</v>
      </c>
      <c r="L42" s="22">
        <v>804728.89</v>
      </c>
      <c r="M42" s="22">
        <v>301773.33</v>
      </c>
      <c r="N42" s="22">
        <v>201182.22</v>
      </c>
      <c r="O42" s="22">
        <v>301773.34</v>
      </c>
      <c r="P42"/>
    </row>
    <row r="43" ht="20" customHeight="1" spans="1:16">
      <c r="A43" s="17">
        <v>38</v>
      </c>
      <c r="B43" s="17">
        <v>2024</v>
      </c>
      <c r="C43" s="18" t="s">
        <v>7020</v>
      </c>
      <c r="D43" s="19" t="s">
        <v>1422</v>
      </c>
      <c r="E43" s="29" t="s">
        <v>7041</v>
      </c>
      <c r="F43" s="19" t="s">
        <v>1133</v>
      </c>
      <c r="G43" s="27">
        <v>1000000</v>
      </c>
      <c r="H43" s="48">
        <v>44883</v>
      </c>
      <c r="I43" s="48">
        <v>45248</v>
      </c>
      <c r="J43" s="48">
        <v>45330</v>
      </c>
      <c r="K43" s="25">
        <v>593314.79</v>
      </c>
      <c r="L43" s="22">
        <v>474651.83</v>
      </c>
      <c r="M43" s="22">
        <v>177994.44</v>
      </c>
      <c r="N43" s="22">
        <v>118662.96</v>
      </c>
      <c r="O43" s="22">
        <v>177994.43</v>
      </c>
      <c r="P43"/>
    </row>
    <row r="44" ht="20" customHeight="1" spans="1:16">
      <c r="A44" s="17">
        <v>39</v>
      </c>
      <c r="B44" s="17">
        <v>2024</v>
      </c>
      <c r="C44" s="18" t="s">
        <v>7042</v>
      </c>
      <c r="D44" s="19" t="s">
        <v>1402</v>
      </c>
      <c r="E44" s="29" t="s">
        <v>7043</v>
      </c>
      <c r="F44" s="19" t="s">
        <v>7044</v>
      </c>
      <c r="G44" s="27">
        <v>4050000</v>
      </c>
      <c r="H44" s="48">
        <v>44809</v>
      </c>
      <c r="I44" s="48">
        <v>45170</v>
      </c>
      <c r="J44" s="48">
        <v>45259</v>
      </c>
      <c r="K44" s="25">
        <v>3955223.28</v>
      </c>
      <c r="L44" s="22">
        <v>3164178.62</v>
      </c>
      <c r="M44" s="22">
        <v>1186566.98</v>
      </c>
      <c r="N44" s="22">
        <v>791044.66</v>
      </c>
      <c r="O44" s="22">
        <v>1186566.98</v>
      </c>
      <c r="P44"/>
    </row>
    <row r="45" customFormat="1" ht="20" customHeight="1" spans="1:16">
      <c r="A45" s="17">
        <v>40</v>
      </c>
      <c r="B45" s="17">
        <v>2024</v>
      </c>
      <c r="C45" s="18" t="s">
        <v>7020</v>
      </c>
      <c r="D45" s="19" t="s">
        <v>1404</v>
      </c>
      <c r="E45" s="29" t="s">
        <v>7045</v>
      </c>
      <c r="F45" s="19" t="s">
        <v>7046</v>
      </c>
      <c r="G45" s="27">
        <v>2554000</v>
      </c>
      <c r="H45" s="48" t="s">
        <v>3487</v>
      </c>
      <c r="I45" s="48" t="s">
        <v>2962</v>
      </c>
      <c r="J45" s="48" t="s">
        <v>4970</v>
      </c>
      <c r="K45" s="25">
        <v>2513898.54</v>
      </c>
      <c r="L45" s="22">
        <v>2011118.83</v>
      </c>
      <c r="M45" s="22">
        <v>754169.56</v>
      </c>
      <c r="N45" s="22">
        <v>502779.71</v>
      </c>
      <c r="O45" s="22">
        <v>754169.56</v>
      </c>
    </row>
    <row r="46" customFormat="1" ht="20" customHeight="1" spans="1:16">
      <c r="A46" s="17">
        <v>41</v>
      </c>
      <c r="B46" s="17">
        <v>2024</v>
      </c>
      <c r="C46" s="18" t="s">
        <v>7020</v>
      </c>
      <c r="D46" s="19" t="s">
        <v>1410</v>
      </c>
      <c r="E46" s="29" t="s">
        <v>7047</v>
      </c>
      <c r="F46" s="19" t="s">
        <v>7048</v>
      </c>
      <c r="G46" s="27">
        <v>3000000</v>
      </c>
      <c r="H46" s="48" t="s">
        <v>3416</v>
      </c>
      <c r="I46" s="48" t="s">
        <v>3892</v>
      </c>
      <c r="J46" s="48" t="s">
        <v>5145</v>
      </c>
      <c r="K46" s="25">
        <v>2822358.84</v>
      </c>
      <c r="L46" s="22">
        <v>2257887.07</v>
      </c>
      <c r="M46" s="22">
        <v>846707.65</v>
      </c>
      <c r="N46" s="22">
        <v>564471.77</v>
      </c>
      <c r="O46" s="22">
        <v>846707.65</v>
      </c>
    </row>
    <row r="47" customFormat="1" ht="20" customHeight="1" spans="1:16">
      <c r="A47" s="17">
        <v>42</v>
      </c>
      <c r="B47" s="17">
        <v>2024</v>
      </c>
      <c r="C47" s="18" t="s">
        <v>7020</v>
      </c>
      <c r="D47" s="19" t="s">
        <v>1415</v>
      </c>
      <c r="E47" s="29" t="s">
        <v>7049</v>
      </c>
      <c r="F47" s="19" t="s">
        <v>7050</v>
      </c>
      <c r="G47" s="27">
        <v>2000000</v>
      </c>
      <c r="H47" s="48" t="s">
        <v>3994</v>
      </c>
      <c r="I47" s="48" t="s">
        <v>3973</v>
      </c>
      <c r="J47" s="48" t="s">
        <v>4890</v>
      </c>
      <c r="K47" s="25">
        <v>1611770.06</v>
      </c>
      <c r="L47" s="22">
        <v>1289416.05</v>
      </c>
      <c r="M47" s="22">
        <v>483531.02</v>
      </c>
      <c r="N47" s="22">
        <v>322354.01</v>
      </c>
      <c r="O47" s="22">
        <v>483531.02</v>
      </c>
    </row>
    <row r="48" customFormat="1" ht="20" customHeight="1" spans="1:16">
      <c r="A48" s="17">
        <v>43</v>
      </c>
      <c r="B48" s="17">
        <v>2024</v>
      </c>
      <c r="C48" s="18" t="s">
        <v>7020</v>
      </c>
      <c r="D48" s="19" t="s">
        <v>1319</v>
      </c>
      <c r="E48" s="29" t="s">
        <v>7051</v>
      </c>
      <c r="F48" s="19" t="s">
        <v>7052</v>
      </c>
      <c r="G48" s="27">
        <v>1760000</v>
      </c>
      <c r="H48" s="48" t="s">
        <v>1995</v>
      </c>
      <c r="I48" s="48" t="s">
        <v>2462</v>
      </c>
      <c r="J48" s="48" t="s">
        <v>2545</v>
      </c>
      <c r="K48" s="25">
        <v>965653.93</v>
      </c>
      <c r="L48" s="22">
        <v>772523.14</v>
      </c>
      <c r="M48" s="22">
        <v>289696.17</v>
      </c>
      <c r="N48" s="22">
        <v>193130.79</v>
      </c>
      <c r="O48" s="22">
        <v>289696.17</v>
      </c>
    </row>
    <row r="49" customFormat="1" ht="20" customHeight="1" spans="1:15">
      <c r="A49" s="17">
        <v>44</v>
      </c>
      <c r="B49" s="17">
        <v>2024</v>
      </c>
      <c r="C49" s="18" t="s">
        <v>7020</v>
      </c>
      <c r="D49" s="19" t="s">
        <v>1324</v>
      </c>
      <c r="E49" s="29" t="s">
        <v>7053</v>
      </c>
      <c r="F49" s="19" t="s">
        <v>7054</v>
      </c>
      <c r="G49" s="27">
        <v>500000</v>
      </c>
      <c r="H49" s="48" t="s">
        <v>2466</v>
      </c>
      <c r="I49" s="48" t="s">
        <v>2550</v>
      </c>
      <c r="J49" s="48" t="s">
        <v>2228</v>
      </c>
      <c r="K49" s="25">
        <v>501567.36</v>
      </c>
      <c r="L49" s="22">
        <v>401253.89</v>
      </c>
      <c r="M49" s="22">
        <v>150470.21</v>
      </c>
      <c r="N49" s="22">
        <v>100313.47</v>
      </c>
      <c r="O49" s="22">
        <v>150470.21</v>
      </c>
    </row>
    <row r="50" customFormat="1" ht="20" customHeight="1" spans="1:15">
      <c r="A50" s="17">
        <v>45</v>
      </c>
      <c r="B50" s="17">
        <v>2024</v>
      </c>
      <c r="C50" s="18" t="s">
        <v>7020</v>
      </c>
      <c r="D50" s="19" t="s">
        <v>1325</v>
      </c>
      <c r="E50" s="29" t="s">
        <v>7055</v>
      </c>
      <c r="F50" s="19" t="s">
        <v>7056</v>
      </c>
      <c r="G50" s="27">
        <v>2650000</v>
      </c>
      <c r="H50" s="48" t="s">
        <v>2457</v>
      </c>
      <c r="I50" s="48" t="s">
        <v>2541</v>
      </c>
      <c r="J50" s="48" t="s">
        <v>2609</v>
      </c>
      <c r="K50" s="25">
        <v>2634568.6</v>
      </c>
      <c r="L50" s="22">
        <v>2107654.88</v>
      </c>
      <c r="M50" s="22">
        <v>790370.58</v>
      </c>
      <c r="N50" s="22">
        <v>526913.72</v>
      </c>
      <c r="O50" s="22">
        <v>790370.58</v>
      </c>
    </row>
    <row r="51" customFormat="1" ht="20" customHeight="1" spans="1:15">
      <c r="A51" s="17">
        <v>46</v>
      </c>
      <c r="B51" s="17">
        <v>2024</v>
      </c>
      <c r="C51" s="18" t="s">
        <v>7020</v>
      </c>
      <c r="D51" s="19" t="s">
        <v>1330</v>
      </c>
      <c r="E51" s="29" t="s">
        <v>7057</v>
      </c>
      <c r="F51" s="19" t="s">
        <v>7052</v>
      </c>
      <c r="G51" s="27">
        <v>500000</v>
      </c>
      <c r="H51" s="48" t="s">
        <v>2402</v>
      </c>
      <c r="I51" s="48" t="s">
        <v>2310</v>
      </c>
      <c r="J51" s="48" t="s">
        <v>2645</v>
      </c>
      <c r="K51" s="25">
        <v>501763.54</v>
      </c>
      <c r="L51" s="22">
        <v>401410.83</v>
      </c>
      <c r="M51" s="22">
        <v>150529.06</v>
      </c>
      <c r="N51" s="22">
        <v>100352.71</v>
      </c>
      <c r="O51" s="22">
        <v>150529.06</v>
      </c>
    </row>
    <row r="52" customFormat="1" ht="20" customHeight="1" spans="1:15">
      <c r="A52" s="17">
        <v>47</v>
      </c>
      <c r="B52" s="17">
        <v>2024</v>
      </c>
      <c r="C52" s="18" t="s">
        <v>7020</v>
      </c>
      <c r="D52" s="19" t="s">
        <v>1327</v>
      </c>
      <c r="E52" s="29" t="s">
        <v>7058</v>
      </c>
      <c r="F52" s="19" t="s">
        <v>7059</v>
      </c>
      <c r="G52" s="27">
        <v>700000</v>
      </c>
      <c r="H52" s="48" t="s">
        <v>2475</v>
      </c>
      <c r="I52" s="48" t="s">
        <v>2515</v>
      </c>
      <c r="J52" s="48" t="s">
        <v>2616</v>
      </c>
      <c r="K52" s="25">
        <v>699999.59</v>
      </c>
      <c r="L52" s="22">
        <v>559999.67</v>
      </c>
      <c r="M52" s="22">
        <v>209999.88</v>
      </c>
      <c r="N52" s="22">
        <v>139999.92</v>
      </c>
      <c r="O52" s="22">
        <v>209999.88</v>
      </c>
    </row>
    <row r="53" customFormat="1" ht="20" customHeight="1" spans="1:15">
      <c r="A53" s="17">
        <v>48</v>
      </c>
      <c r="B53" s="17">
        <v>2024</v>
      </c>
      <c r="C53" s="18" t="s">
        <v>7020</v>
      </c>
      <c r="D53" s="19" t="s">
        <v>1382</v>
      </c>
      <c r="E53" s="29" t="s">
        <v>7060</v>
      </c>
      <c r="F53" s="19" t="s">
        <v>1208</v>
      </c>
      <c r="G53" s="27">
        <v>900000</v>
      </c>
      <c r="H53" s="48">
        <v>44784</v>
      </c>
      <c r="I53" s="48">
        <v>45149</v>
      </c>
      <c r="J53" s="48" t="s">
        <v>3409</v>
      </c>
      <c r="K53" s="25">
        <v>886615.96</v>
      </c>
      <c r="L53" s="22">
        <v>709292.77</v>
      </c>
      <c r="M53" s="22">
        <v>265984.79</v>
      </c>
      <c r="N53" s="22">
        <v>177323.19</v>
      </c>
      <c r="O53" s="22">
        <v>265984.79</v>
      </c>
    </row>
    <row r="54" customFormat="1" ht="20" customHeight="1" spans="1:15">
      <c r="A54" s="17">
        <v>49</v>
      </c>
      <c r="B54" s="17">
        <v>2024</v>
      </c>
      <c r="C54" s="18" t="s">
        <v>7020</v>
      </c>
      <c r="D54" s="19" t="s">
        <v>1385</v>
      </c>
      <c r="E54" s="29" t="s">
        <v>7061</v>
      </c>
      <c r="F54" s="19" t="s">
        <v>1133</v>
      </c>
      <c r="G54" s="27">
        <v>899000</v>
      </c>
      <c r="H54" s="48">
        <v>44858</v>
      </c>
      <c r="I54" s="48">
        <v>45223</v>
      </c>
      <c r="J54" s="48" t="s">
        <v>3914</v>
      </c>
      <c r="K54" s="25">
        <v>907730.3</v>
      </c>
      <c r="L54" s="22">
        <v>726184.23</v>
      </c>
      <c r="M54" s="22">
        <v>272319.09</v>
      </c>
      <c r="N54" s="22">
        <v>181546.06</v>
      </c>
      <c r="O54" s="22">
        <v>272319.09</v>
      </c>
    </row>
    <row r="55" customFormat="1" ht="20" customHeight="1" spans="1:15">
      <c r="A55" s="17">
        <v>50</v>
      </c>
      <c r="B55" s="17">
        <v>2024</v>
      </c>
      <c r="C55" s="18" t="s">
        <v>7020</v>
      </c>
      <c r="D55" s="19" t="s">
        <v>1383</v>
      </c>
      <c r="E55" s="29" t="s">
        <v>7062</v>
      </c>
      <c r="F55" s="19" t="s">
        <v>7022</v>
      </c>
      <c r="G55" s="27">
        <v>1000000</v>
      </c>
      <c r="H55" s="48">
        <v>44854</v>
      </c>
      <c r="I55" s="48">
        <v>45219</v>
      </c>
      <c r="J55" s="48" t="s">
        <v>3546</v>
      </c>
      <c r="K55" s="25">
        <v>1009394.44</v>
      </c>
      <c r="L55" s="22">
        <v>807515.55</v>
      </c>
      <c r="M55" s="22">
        <v>302818.33</v>
      </c>
      <c r="N55" s="22">
        <v>201878.89</v>
      </c>
      <c r="O55" s="22">
        <v>302818.33</v>
      </c>
    </row>
    <row r="56" customFormat="1" ht="20" customHeight="1" spans="1:15">
      <c r="A56" s="17">
        <v>51</v>
      </c>
      <c r="B56" s="17">
        <v>2024</v>
      </c>
      <c r="C56" s="18" t="s">
        <v>7020</v>
      </c>
      <c r="D56" s="19" t="s">
        <v>1384</v>
      </c>
      <c r="E56" s="29" t="s">
        <v>7063</v>
      </c>
      <c r="F56" s="19" t="s">
        <v>7022</v>
      </c>
      <c r="G56" s="27">
        <v>1000000</v>
      </c>
      <c r="H56" s="48">
        <v>44831</v>
      </c>
      <c r="I56" s="48">
        <v>45196</v>
      </c>
      <c r="J56" s="48" t="s">
        <v>3546</v>
      </c>
      <c r="K56" s="25">
        <v>1006966.66</v>
      </c>
      <c r="L56" s="22">
        <v>805573.33</v>
      </c>
      <c r="M56" s="22">
        <v>302090</v>
      </c>
      <c r="N56" s="22">
        <v>201393.33</v>
      </c>
      <c r="O56" s="22">
        <v>302090</v>
      </c>
    </row>
    <row r="57" customFormat="1" ht="20" customHeight="1" spans="1:15">
      <c r="A57" s="17">
        <v>52</v>
      </c>
      <c r="B57" s="17">
        <v>2024</v>
      </c>
      <c r="C57" s="18" t="s">
        <v>7020</v>
      </c>
      <c r="D57" s="19" t="s">
        <v>1392</v>
      </c>
      <c r="E57" s="29" t="s">
        <v>7064</v>
      </c>
      <c r="F57" s="19" t="s">
        <v>7065</v>
      </c>
      <c r="G57" s="27">
        <v>480000</v>
      </c>
      <c r="H57" s="48">
        <v>44813</v>
      </c>
      <c r="I57" s="48">
        <v>45178</v>
      </c>
      <c r="J57" s="48" t="s">
        <v>4955</v>
      </c>
      <c r="K57" s="25">
        <v>482534.4</v>
      </c>
      <c r="L57" s="22">
        <v>386027.52</v>
      </c>
      <c r="M57" s="22">
        <v>144760.32</v>
      </c>
      <c r="N57" s="22">
        <v>96506.88</v>
      </c>
      <c r="O57" s="22">
        <v>144760.32</v>
      </c>
    </row>
    <row r="58" customFormat="1" ht="20" customHeight="1" spans="1:15">
      <c r="A58" s="17">
        <v>53</v>
      </c>
      <c r="B58" s="17">
        <v>2024</v>
      </c>
      <c r="C58" s="18" t="s">
        <v>7020</v>
      </c>
      <c r="D58" s="19" t="s">
        <v>1322</v>
      </c>
      <c r="E58" s="29" t="s">
        <v>7066</v>
      </c>
      <c r="F58" s="19" t="s">
        <v>6534</v>
      </c>
      <c r="G58" s="27">
        <v>500000</v>
      </c>
      <c r="H58" s="48">
        <v>44848</v>
      </c>
      <c r="I58" s="48">
        <v>45213</v>
      </c>
      <c r="J58" s="48" t="s">
        <v>2556</v>
      </c>
      <c r="K58" s="25">
        <v>504748.7</v>
      </c>
      <c r="L58" s="22">
        <v>403798.96</v>
      </c>
      <c r="M58" s="22">
        <v>151424.61</v>
      </c>
      <c r="N58" s="22">
        <v>100949.74</v>
      </c>
      <c r="O58" s="22">
        <v>151424.61</v>
      </c>
    </row>
    <row r="59" customFormat="1" ht="20" customHeight="1" spans="1:15">
      <c r="A59" s="17">
        <v>54</v>
      </c>
      <c r="B59" s="17">
        <v>2024</v>
      </c>
      <c r="C59" s="18" t="s">
        <v>7020</v>
      </c>
      <c r="D59" s="19" t="s">
        <v>1393</v>
      </c>
      <c r="E59" s="29" t="s">
        <v>7067</v>
      </c>
      <c r="F59" s="19" t="s">
        <v>7068</v>
      </c>
      <c r="G59" s="27">
        <v>1947000</v>
      </c>
      <c r="H59" s="48">
        <v>44818</v>
      </c>
      <c r="I59" s="48">
        <v>45183</v>
      </c>
      <c r="J59" s="48" t="s">
        <v>3458</v>
      </c>
      <c r="K59" s="25">
        <v>586736.1</v>
      </c>
      <c r="L59" s="22">
        <v>469388.88</v>
      </c>
      <c r="M59" s="22">
        <v>176020.83</v>
      </c>
      <c r="N59" s="22">
        <v>117347.22</v>
      </c>
      <c r="O59" s="22">
        <v>176020.83</v>
      </c>
    </row>
    <row r="60" customFormat="1" ht="20" customHeight="1" spans="1:15">
      <c r="A60" s="17">
        <v>55</v>
      </c>
      <c r="B60" s="17">
        <v>2024</v>
      </c>
      <c r="C60" s="18" t="s">
        <v>7020</v>
      </c>
      <c r="D60" s="19" t="s">
        <v>1396</v>
      </c>
      <c r="E60" s="29" t="s">
        <v>7069</v>
      </c>
      <c r="F60" s="19" t="s">
        <v>6534</v>
      </c>
      <c r="G60" s="27">
        <v>230000</v>
      </c>
      <c r="H60" s="48">
        <v>44825</v>
      </c>
      <c r="I60" s="48">
        <v>45190</v>
      </c>
      <c r="J60" s="48" t="s">
        <v>3981</v>
      </c>
      <c r="K60" s="25">
        <v>196802.26</v>
      </c>
      <c r="L60" s="22">
        <v>157441.81</v>
      </c>
      <c r="M60" s="22">
        <v>59040.68</v>
      </c>
      <c r="N60" s="22">
        <v>39360.45</v>
      </c>
      <c r="O60" s="22">
        <v>59040.68</v>
      </c>
    </row>
    <row r="61" customFormat="1" ht="20" customHeight="1" spans="1:15">
      <c r="A61" s="17">
        <v>56</v>
      </c>
      <c r="B61" s="17">
        <v>2024</v>
      </c>
      <c r="C61" s="18" t="s">
        <v>7020</v>
      </c>
      <c r="D61" s="19" t="s">
        <v>1397</v>
      </c>
      <c r="E61" s="29" t="s">
        <v>7070</v>
      </c>
      <c r="F61" s="19" t="s">
        <v>7065</v>
      </c>
      <c r="G61" s="27">
        <v>600000</v>
      </c>
      <c r="H61" s="48">
        <v>44866</v>
      </c>
      <c r="I61" s="48">
        <v>45231</v>
      </c>
      <c r="J61" s="48" t="s">
        <v>3981</v>
      </c>
      <c r="K61" s="25">
        <v>604433.26</v>
      </c>
      <c r="L61" s="22">
        <v>483546.61</v>
      </c>
      <c r="M61" s="22">
        <v>181329.98</v>
      </c>
      <c r="N61" s="22">
        <v>120886.65</v>
      </c>
      <c r="O61" s="22">
        <v>181329.98</v>
      </c>
    </row>
    <row r="62" customFormat="1" ht="20" customHeight="1" spans="1:15">
      <c r="A62" s="17">
        <v>57</v>
      </c>
      <c r="B62" s="17">
        <v>2024</v>
      </c>
      <c r="C62" s="18" t="s">
        <v>7020</v>
      </c>
      <c r="D62" s="19" t="s">
        <v>1395</v>
      </c>
      <c r="E62" s="29" t="s">
        <v>7071</v>
      </c>
      <c r="F62" s="19" t="s">
        <v>7065</v>
      </c>
      <c r="G62" s="27">
        <v>1000000</v>
      </c>
      <c r="H62" s="48">
        <v>44911</v>
      </c>
      <c r="I62" s="48">
        <v>45276</v>
      </c>
      <c r="J62" s="48" t="s">
        <v>3981</v>
      </c>
      <c r="K62" s="25">
        <v>1009465.5</v>
      </c>
      <c r="L62" s="22">
        <v>807572.4</v>
      </c>
      <c r="M62" s="22">
        <v>302839.65</v>
      </c>
      <c r="N62" s="22">
        <v>201893.1</v>
      </c>
      <c r="O62" s="22">
        <v>302839.65</v>
      </c>
    </row>
    <row r="63" customFormat="1" ht="20" customHeight="1" spans="1:15">
      <c r="A63" s="17">
        <v>59</v>
      </c>
      <c r="B63" s="17">
        <v>2024</v>
      </c>
      <c r="C63" s="18" t="s">
        <v>7042</v>
      </c>
      <c r="D63" s="19" t="s">
        <v>720</v>
      </c>
      <c r="E63" s="29" t="s">
        <v>7072</v>
      </c>
      <c r="F63" s="19" t="s">
        <v>7073</v>
      </c>
      <c r="G63" s="27">
        <v>370000</v>
      </c>
      <c r="H63" s="48">
        <v>44568</v>
      </c>
      <c r="I63" s="48">
        <v>44933</v>
      </c>
      <c r="J63" s="48">
        <v>45023</v>
      </c>
      <c r="K63" s="25">
        <v>376588.02</v>
      </c>
      <c r="L63" s="22">
        <v>301270.43</v>
      </c>
      <c r="M63" s="22">
        <v>112976.41</v>
      </c>
      <c r="N63" s="22">
        <v>75317.61</v>
      </c>
      <c r="O63" s="22">
        <v>112976.41</v>
      </c>
    </row>
    <row r="64" customFormat="1" ht="20" customHeight="1" spans="1:15">
      <c r="A64" s="17">
        <v>60</v>
      </c>
      <c r="B64" s="17">
        <v>2024</v>
      </c>
      <c r="C64" s="18" t="s">
        <v>7042</v>
      </c>
      <c r="D64" s="19" t="s">
        <v>1359</v>
      </c>
      <c r="E64" s="29" t="s">
        <v>7074</v>
      </c>
      <c r="F64" s="19" t="s">
        <v>7075</v>
      </c>
      <c r="G64" s="27">
        <v>1000000</v>
      </c>
      <c r="H64" s="48">
        <v>44888</v>
      </c>
      <c r="I64" s="48">
        <v>45252</v>
      </c>
      <c r="J64" s="48">
        <v>45296</v>
      </c>
      <c r="K64" s="25">
        <v>1005056.94</v>
      </c>
      <c r="L64" s="22">
        <v>800231.11</v>
      </c>
      <c r="M64" s="22">
        <v>300086.67</v>
      </c>
      <c r="N64" s="22">
        <v>200057.78</v>
      </c>
      <c r="O64" s="22">
        <v>300086.66</v>
      </c>
    </row>
    <row r="65" customFormat="1" ht="20" customHeight="1" spans="1:15">
      <c r="A65" s="17">
        <v>61</v>
      </c>
      <c r="B65" s="17">
        <v>2024</v>
      </c>
      <c r="C65" s="18" t="s">
        <v>6981</v>
      </c>
      <c r="D65" s="19" t="s">
        <v>114</v>
      </c>
      <c r="E65" s="29" t="s">
        <v>7076</v>
      </c>
      <c r="F65" s="19" t="s">
        <v>7077</v>
      </c>
      <c r="G65" s="27">
        <v>5000000</v>
      </c>
      <c r="H65" s="48">
        <v>45014</v>
      </c>
      <c r="I65" s="48">
        <v>45379</v>
      </c>
      <c r="J65" s="48">
        <v>45344</v>
      </c>
      <c r="K65" s="25">
        <v>5042194.44</v>
      </c>
      <c r="L65" s="22">
        <v>4033755.55</v>
      </c>
      <c r="M65" s="22">
        <v>1512658.33</v>
      </c>
      <c r="N65" s="22">
        <v>1008438.89</v>
      </c>
      <c r="O65" s="22">
        <v>1512658.33</v>
      </c>
    </row>
    <row r="66" customFormat="1" ht="20" customHeight="1" spans="1:15">
      <c r="A66" s="17">
        <v>62</v>
      </c>
      <c r="B66" s="17">
        <v>2024</v>
      </c>
      <c r="C66" s="18" t="s">
        <v>6981</v>
      </c>
      <c r="D66" s="19" t="s">
        <v>1425</v>
      </c>
      <c r="E66" s="29" t="s">
        <v>7078</v>
      </c>
      <c r="F66" s="19" t="s">
        <v>7079</v>
      </c>
      <c r="G66" s="27">
        <v>5000000</v>
      </c>
      <c r="H66" s="48">
        <v>45008</v>
      </c>
      <c r="I66" s="48">
        <v>45373</v>
      </c>
      <c r="J66" s="48">
        <v>45344</v>
      </c>
      <c r="K66" s="25">
        <v>5062591.97</v>
      </c>
      <c r="L66" s="22">
        <v>4050073.58</v>
      </c>
      <c r="M66" s="22">
        <v>1518777.59</v>
      </c>
      <c r="N66" s="22">
        <v>1012518.4</v>
      </c>
      <c r="O66" s="22">
        <v>1518777.59</v>
      </c>
    </row>
    <row r="67" customFormat="1" ht="20" customHeight="1" spans="1:15">
      <c r="A67" s="17">
        <v>63</v>
      </c>
      <c r="B67" s="17">
        <v>2024</v>
      </c>
      <c r="C67" s="18" t="s">
        <v>7020</v>
      </c>
      <c r="D67" s="19" t="s">
        <v>7080</v>
      </c>
      <c r="E67" s="1296" t="s">
        <v>7081</v>
      </c>
      <c r="F67" s="18" t="s">
        <v>7048</v>
      </c>
      <c r="G67" s="27">
        <v>912000</v>
      </c>
      <c r="H67" s="48">
        <v>44964</v>
      </c>
      <c r="I67" s="48">
        <v>45328</v>
      </c>
      <c r="J67" s="48">
        <v>45408</v>
      </c>
      <c r="K67" s="25">
        <v>887299.19</v>
      </c>
      <c r="L67" s="22">
        <v>709839.35</v>
      </c>
      <c r="M67" s="22">
        <v>266189.76</v>
      </c>
      <c r="N67" s="22">
        <v>177459.84</v>
      </c>
      <c r="O67" s="22">
        <v>266189.75</v>
      </c>
    </row>
    <row r="68" s="4" customFormat="1" ht="20" customHeight="1" spans="1:15">
      <c r="A68" s="17">
        <v>64</v>
      </c>
      <c r="B68" s="17">
        <v>2024</v>
      </c>
      <c r="C68" s="18" t="s">
        <v>7020</v>
      </c>
      <c r="D68" s="19" t="s">
        <v>7082</v>
      </c>
      <c r="E68" s="1296" t="s">
        <v>7083</v>
      </c>
      <c r="F68" s="18" t="s">
        <v>7084</v>
      </c>
      <c r="G68" s="27">
        <v>3000000</v>
      </c>
      <c r="H68" s="48">
        <v>44984</v>
      </c>
      <c r="I68" s="48">
        <v>45348</v>
      </c>
      <c r="J68" s="48">
        <v>45407</v>
      </c>
      <c r="K68" s="25">
        <v>2002083.85</v>
      </c>
      <c r="L68" s="22">
        <v>1601667.08</v>
      </c>
      <c r="M68" s="22">
        <v>600625.16</v>
      </c>
      <c r="N68" s="22">
        <v>400416.77</v>
      </c>
      <c r="O68" s="22">
        <v>600625.15</v>
      </c>
    </row>
    <row r="69" s="4" customFormat="1" ht="20" customHeight="1" spans="1:15">
      <c r="A69" s="17">
        <v>65</v>
      </c>
      <c r="B69" s="17">
        <v>2024</v>
      </c>
      <c r="C69" s="18" t="s">
        <v>7024</v>
      </c>
      <c r="D69" s="19" t="s">
        <v>1450</v>
      </c>
      <c r="E69" s="1296" t="s">
        <v>7085</v>
      </c>
      <c r="F69" s="19" t="s">
        <v>7086</v>
      </c>
      <c r="G69" s="27">
        <v>490000</v>
      </c>
      <c r="H69" s="48">
        <v>45007</v>
      </c>
      <c r="I69" s="48">
        <v>45371</v>
      </c>
      <c r="J69" s="48">
        <v>45380</v>
      </c>
      <c r="K69" s="25">
        <v>480545.18</v>
      </c>
      <c r="L69" s="22">
        <v>384436.14</v>
      </c>
      <c r="M69" s="22">
        <v>144163.55</v>
      </c>
      <c r="N69" s="22">
        <v>96109.04</v>
      </c>
      <c r="O69" s="22">
        <v>144163.55</v>
      </c>
    </row>
    <row r="70" s="4" customFormat="1" ht="20" customHeight="1" spans="1:15">
      <c r="A70" s="17">
        <v>66</v>
      </c>
      <c r="B70" s="17">
        <v>2024</v>
      </c>
      <c r="C70" s="18" t="s">
        <v>7024</v>
      </c>
      <c r="D70" s="19" t="s">
        <v>1451</v>
      </c>
      <c r="E70" s="29" t="s">
        <v>7087</v>
      </c>
      <c r="F70" s="19" t="s">
        <v>7086</v>
      </c>
      <c r="G70" s="27">
        <v>1400000</v>
      </c>
      <c r="H70" s="48">
        <v>44978</v>
      </c>
      <c r="I70" s="48">
        <v>45339</v>
      </c>
      <c r="J70" s="48">
        <v>45380</v>
      </c>
      <c r="K70" s="25">
        <v>1372226.08</v>
      </c>
      <c r="L70" s="22">
        <v>1097780.86</v>
      </c>
      <c r="M70" s="22">
        <v>411667.82</v>
      </c>
      <c r="N70" s="22">
        <v>274445.22</v>
      </c>
      <c r="O70" s="22">
        <v>411667.82</v>
      </c>
    </row>
    <row r="71" s="4" customFormat="1" ht="20" customHeight="1" spans="1:15">
      <c r="A71" s="17">
        <v>67</v>
      </c>
      <c r="B71" s="17">
        <v>2024</v>
      </c>
      <c r="C71" s="18" t="s">
        <v>7024</v>
      </c>
      <c r="D71" s="19" t="s">
        <v>1449</v>
      </c>
      <c r="E71" s="29" t="s">
        <v>7088</v>
      </c>
      <c r="F71" s="19" t="s">
        <v>7059</v>
      </c>
      <c r="G71" s="27">
        <v>290000</v>
      </c>
      <c r="H71" s="48">
        <v>44958</v>
      </c>
      <c r="I71" s="48">
        <v>45322</v>
      </c>
      <c r="J71" s="48">
        <v>45380</v>
      </c>
      <c r="K71" s="25">
        <v>288025</v>
      </c>
      <c r="L71" s="22">
        <v>230420</v>
      </c>
      <c r="M71" s="22">
        <v>86407.5</v>
      </c>
      <c r="N71" s="22">
        <v>57605</v>
      </c>
      <c r="O71" s="22">
        <v>86407.5</v>
      </c>
    </row>
    <row r="72" s="4" customFormat="1" ht="20" customHeight="1" spans="1:15">
      <c r="A72" s="17">
        <v>68</v>
      </c>
      <c r="B72" s="17">
        <v>2024</v>
      </c>
      <c r="C72" s="18" t="s">
        <v>7024</v>
      </c>
      <c r="D72" s="19" t="s">
        <v>1449</v>
      </c>
      <c r="E72" s="29" t="s">
        <v>7089</v>
      </c>
      <c r="F72" s="19" t="s">
        <v>7059</v>
      </c>
      <c r="G72" s="27">
        <v>400000</v>
      </c>
      <c r="H72" s="48">
        <v>44958</v>
      </c>
      <c r="I72" s="48">
        <v>45322</v>
      </c>
      <c r="J72" s="48">
        <v>45380</v>
      </c>
      <c r="K72" s="25">
        <v>395005</v>
      </c>
      <c r="L72" s="22">
        <v>316004</v>
      </c>
      <c r="M72" s="22">
        <v>118501.5</v>
      </c>
      <c r="N72" s="22">
        <v>79001</v>
      </c>
      <c r="O72" s="22">
        <v>118501.5</v>
      </c>
    </row>
    <row r="73" s="4" customFormat="1" ht="20" customHeight="1" spans="1:15">
      <c r="A73" s="17">
        <v>69</v>
      </c>
      <c r="B73" s="17">
        <v>2024</v>
      </c>
      <c r="C73" s="18" t="s">
        <v>7024</v>
      </c>
      <c r="D73" s="19" t="s">
        <v>1449</v>
      </c>
      <c r="E73" s="29" t="s">
        <v>7090</v>
      </c>
      <c r="F73" s="19" t="s">
        <v>7059</v>
      </c>
      <c r="G73" s="27">
        <v>400000</v>
      </c>
      <c r="H73" s="48">
        <v>44958</v>
      </c>
      <c r="I73" s="48">
        <v>45322</v>
      </c>
      <c r="J73" s="48">
        <v>45380</v>
      </c>
      <c r="K73" s="25">
        <v>100000</v>
      </c>
      <c r="L73" s="22">
        <v>80000</v>
      </c>
      <c r="M73" s="22">
        <v>30000</v>
      </c>
      <c r="N73" s="22">
        <v>20000</v>
      </c>
      <c r="O73" s="22">
        <v>30000</v>
      </c>
    </row>
    <row r="74" s="4" customFormat="1" ht="20" customHeight="1" spans="1:15">
      <c r="A74" s="17">
        <v>70</v>
      </c>
      <c r="B74" s="17">
        <v>2024</v>
      </c>
      <c r="C74" s="18" t="s">
        <v>7024</v>
      </c>
      <c r="D74" s="19" t="s">
        <v>1452</v>
      </c>
      <c r="E74" s="29" t="s">
        <v>7091</v>
      </c>
      <c r="F74" s="19" t="s">
        <v>7086</v>
      </c>
      <c r="G74" s="27">
        <v>1000000</v>
      </c>
      <c r="H74" s="48">
        <v>45003</v>
      </c>
      <c r="I74" s="48">
        <v>45363</v>
      </c>
      <c r="J74" s="48">
        <v>45380</v>
      </c>
      <c r="K74" s="25">
        <v>1000000</v>
      </c>
      <c r="L74" s="22">
        <v>800000</v>
      </c>
      <c r="M74" s="22">
        <v>300000</v>
      </c>
      <c r="N74" s="22">
        <v>200000</v>
      </c>
      <c r="O74" s="22">
        <v>300000</v>
      </c>
    </row>
    <row r="75" s="4" customFormat="1" ht="20" customHeight="1" spans="1:15">
      <c r="A75" s="17">
        <v>71</v>
      </c>
      <c r="B75" s="17">
        <v>2024</v>
      </c>
      <c r="C75" s="18" t="s">
        <v>7024</v>
      </c>
      <c r="D75" s="19" t="s">
        <v>1452</v>
      </c>
      <c r="E75" s="29" t="s">
        <v>7092</v>
      </c>
      <c r="F75" s="19" t="s">
        <v>7086</v>
      </c>
      <c r="G75" s="27">
        <v>500000</v>
      </c>
      <c r="H75" s="48">
        <v>45003</v>
      </c>
      <c r="I75" s="48">
        <v>45363</v>
      </c>
      <c r="J75" s="48">
        <v>45380</v>
      </c>
      <c r="K75" s="25">
        <v>500000</v>
      </c>
      <c r="L75" s="22">
        <v>400000</v>
      </c>
      <c r="M75" s="22">
        <v>150000</v>
      </c>
      <c r="N75" s="22">
        <v>100000</v>
      </c>
      <c r="O75" s="22">
        <v>150000</v>
      </c>
    </row>
    <row r="76" s="4" customFormat="1" ht="20" customHeight="1" spans="1:15">
      <c r="A76" s="17">
        <v>72</v>
      </c>
      <c r="B76" s="17">
        <v>2024</v>
      </c>
      <c r="C76" s="18" t="s">
        <v>7024</v>
      </c>
      <c r="D76" s="19" t="s">
        <v>1452</v>
      </c>
      <c r="E76" s="29" t="s">
        <v>7093</v>
      </c>
      <c r="F76" s="19" t="s">
        <v>7086</v>
      </c>
      <c r="G76" s="27">
        <v>800000</v>
      </c>
      <c r="H76" s="48">
        <v>45002</v>
      </c>
      <c r="I76" s="48">
        <v>45362</v>
      </c>
      <c r="J76" s="48">
        <v>45380</v>
      </c>
      <c r="K76" s="25">
        <v>800000</v>
      </c>
      <c r="L76" s="22">
        <v>640000</v>
      </c>
      <c r="M76" s="22">
        <v>240000</v>
      </c>
      <c r="N76" s="22">
        <v>160000</v>
      </c>
      <c r="O76" s="22">
        <v>240000</v>
      </c>
    </row>
    <row r="77" s="4" customFormat="1" ht="20" customHeight="1" spans="1:15">
      <c r="A77" s="17">
        <v>73</v>
      </c>
      <c r="B77" s="17">
        <v>2024</v>
      </c>
      <c r="C77" s="18" t="s">
        <v>7024</v>
      </c>
      <c r="D77" s="19" t="s">
        <v>1452</v>
      </c>
      <c r="E77" s="29" t="s">
        <v>7094</v>
      </c>
      <c r="F77" s="19" t="s">
        <v>7086</v>
      </c>
      <c r="G77" s="27">
        <v>950000</v>
      </c>
      <c r="H77" s="48">
        <v>45002</v>
      </c>
      <c r="I77" s="48">
        <v>45362</v>
      </c>
      <c r="J77" s="48">
        <v>45380</v>
      </c>
      <c r="K77" s="25">
        <v>950000</v>
      </c>
      <c r="L77" s="22">
        <v>760000</v>
      </c>
      <c r="M77" s="22">
        <v>285000</v>
      </c>
      <c r="N77" s="22">
        <v>190000</v>
      </c>
      <c r="O77" s="22">
        <v>285000</v>
      </c>
    </row>
    <row r="78" s="4" customFormat="1" ht="20" customHeight="1" spans="1:15">
      <c r="A78" s="17">
        <v>74</v>
      </c>
      <c r="B78" s="17">
        <v>2024</v>
      </c>
      <c r="C78" s="18" t="s">
        <v>7024</v>
      </c>
      <c r="D78" s="19" t="s">
        <v>1452</v>
      </c>
      <c r="E78" s="29" t="s">
        <v>7095</v>
      </c>
      <c r="F78" s="19" t="s">
        <v>7086</v>
      </c>
      <c r="G78" s="27">
        <v>800000</v>
      </c>
      <c r="H78" s="48">
        <v>45002</v>
      </c>
      <c r="I78" s="48">
        <v>45362</v>
      </c>
      <c r="J78" s="48">
        <v>45380</v>
      </c>
      <c r="K78" s="25">
        <v>800000</v>
      </c>
      <c r="L78" s="22">
        <v>640000</v>
      </c>
      <c r="M78" s="22">
        <v>240000</v>
      </c>
      <c r="N78" s="22">
        <v>160000</v>
      </c>
      <c r="O78" s="22">
        <v>240000</v>
      </c>
    </row>
    <row r="79" s="4" customFormat="1" ht="20" customHeight="1" spans="1:15">
      <c r="A79" s="17">
        <v>75</v>
      </c>
      <c r="B79" s="17">
        <v>2024</v>
      </c>
      <c r="C79" s="18" t="s">
        <v>7024</v>
      </c>
      <c r="D79" s="19" t="s">
        <v>1452</v>
      </c>
      <c r="E79" s="29" t="s">
        <v>7096</v>
      </c>
      <c r="F79" s="19" t="s">
        <v>7086</v>
      </c>
      <c r="G79" s="27">
        <v>700000</v>
      </c>
      <c r="H79" s="48">
        <v>45002</v>
      </c>
      <c r="I79" s="48">
        <v>45362</v>
      </c>
      <c r="J79" s="48">
        <v>45380</v>
      </c>
      <c r="K79" s="25">
        <v>700000</v>
      </c>
      <c r="L79" s="22">
        <v>560000</v>
      </c>
      <c r="M79" s="22">
        <v>210000</v>
      </c>
      <c r="N79" s="22">
        <v>140000</v>
      </c>
      <c r="O79" s="22">
        <v>210000</v>
      </c>
    </row>
    <row r="80" s="4" customFormat="1" ht="20" customHeight="1" spans="1:15">
      <c r="A80" s="17">
        <v>76</v>
      </c>
      <c r="B80" s="17">
        <v>2024</v>
      </c>
      <c r="C80" s="18" t="s">
        <v>7024</v>
      </c>
      <c r="D80" s="19" t="s">
        <v>1450</v>
      </c>
      <c r="E80" s="29" t="s">
        <v>7097</v>
      </c>
      <c r="F80" s="19" t="s">
        <v>7086</v>
      </c>
      <c r="G80" s="27">
        <v>500000</v>
      </c>
      <c r="H80" s="48">
        <v>45007</v>
      </c>
      <c r="I80" s="48">
        <v>45372</v>
      </c>
      <c r="J80" s="48">
        <v>45380</v>
      </c>
      <c r="K80" s="25">
        <v>500000</v>
      </c>
      <c r="L80" s="22">
        <v>400000</v>
      </c>
      <c r="M80" s="22">
        <v>150000</v>
      </c>
      <c r="N80" s="22">
        <v>100000</v>
      </c>
      <c r="O80" s="22">
        <v>150000</v>
      </c>
    </row>
    <row r="81" s="4" customFormat="1" ht="20" customHeight="1" spans="1:15">
      <c r="A81" s="17">
        <v>77</v>
      </c>
      <c r="B81" s="17">
        <v>2024</v>
      </c>
      <c r="C81" s="18" t="s">
        <v>7024</v>
      </c>
      <c r="D81" s="19" t="s">
        <v>1453</v>
      </c>
      <c r="E81" s="29" t="s">
        <v>7098</v>
      </c>
      <c r="F81" s="19" t="s">
        <v>7059</v>
      </c>
      <c r="G81" s="27">
        <v>2980000</v>
      </c>
      <c r="H81" s="48">
        <v>44944</v>
      </c>
      <c r="I81" s="48">
        <v>45309</v>
      </c>
      <c r="J81" s="48">
        <v>45380</v>
      </c>
      <c r="K81" s="25">
        <v>2980000</v>
      </c>
      <c r="L81" s="22">
        <v>2384000</v>
      </c>
      <c r="M81" s="22">
        <v>894000</v>
      </c>
      <c r="N81" s="22">
        <v>596000</v>
      </c>
      <c r="O81" s="22">
        <v>894000</v>
      </c>
    </row>
    <row r="82" s="4" customFormat="1" ht="20" customHeight="1" spans="1:15">
      <c r="A82" s="17">
        <v>78</v>
      </c>
      <c r="B82" s="17">
        <v>2024</v>
      </c>
      <c r="C82" s="18" t="s">
        <v>7024</v>
      </c>
      <c r="D82" s="19" t="s">
        <v>1449</v>
      </c>
      <c r="E82" s="29" t="s">
        <v>7099</v>
      </c>
      <c r="F82" s="19" t="s">
        <v>7059</v>
      </c>
      <c r="G82" s="27">
        <v>400000</v>
      </c>
      <c r="H82" s="48">
        <v>44958</v>
      </c>
      <c r="I82" s="48">
        <v>45322</v>
      </c>
      <c r="J82" s="48">
        <v>45380</v>
      </c>
      <c r="K82" s="25">
        <v>400000</v>
      </c>
      <c r="L82" s="22">
        <v>320000</v>
      </c>
      <c r="M82" s="22">
        <v>120000</v>
      </c>
      <c r="N82" s="22">
        <v>80000</v>
      </c>
      <c r="O82" s="22">
        <v>120000</v>
      </c>
    </row>
    <row r="83" s="4" customFormat="1" ht="20" customHeight="1" spans="1:15">
      <c r="A83" s="17">
        <v>79</v>
      </c>
      <c r="B83" s="17">
        <v>2024</v>
      </c>
      <c r="C83" s="18" t="s">
        <v>7042</v>
      </c>
      <c r="D83" s="19" t="s">
        <v>1359</v>
      </c>
      <c r="E83" s="29" t="s">
        <v>7100</v>
      </c>
      <c r="F83" s="19" t="s">
        <v>7101</v>
      </c>
      <c r="G83" s="27">
        <v>2879000</v>
      </c>
      <c r="H83" s="48">
        <v>44741</v>
      </c>
      <c r="I83" s="48">
        <v>45106</v>
      </c>
      <c r="J83" s="48">
        <v>45159</v>
      </c>
      <c r="K83" s="25">
        <v>2068110.15</v>
      </c>
      <c r="L83" s="25">
        <v>1654488.12</v>
      </c>
      <c r="M83" s="25">
        <v>620433.05</v>
      </c>
      <c r="N83" s="25">
        <v>413622.03</v>
      </c>
      <c r="O83" s="25">
        <v>620433.04</v>
      </c>
    </row>
    <row r="84" customFormat="1" ht="20" customHeight="1" spans="1:15">
      <c r="A84" s="17">
        <v>80</v>
      </c>
      <c r="B84" s="17">
        <v>2024</v>
      </c>
      <c r="C84" s="18" t="s">
        <v>7042</v>
      </c>
      <c r="D84" s="19" t="s">
        <v>1317</v>
      </c>
      <c r="E84" s="29" t="s">
        <v>7102</v>
      </c>
      <c r="F84" s="19" t="s">
        <v>7103</v>
      </c>
      <c r="G84" s="27">
        <v>1560000</v>
      </c>
      <c r="H84" s="48">
        <v>44670</v>
      </c>
      <c r="I84" s="48">
        <v>45035</v>
      </c>
      <c r="J84" s="48">
        <v>45058</v>
      </c>
      <c r="K84" s="25">
        <v>1560000</v>
      </c>
      <c r="L84" s="25">
        <v>1248000</v>
      </c>
      <c r="M84" s="25">
        <v>468000</v>
      </c>
      <c r="N84" s="25">
        <v>312000</v>
      </c>
      <c r="O84" s="25">
        <v>468000</v>
      </c>
    </row>
    <row r="85" customFormat="1" ht="20" customHeight="1" spans="1:15">
      <c r="A85" s="17">
        <v>81</v>
      </c>
      <c r="B85" s="17">
        <v>2024</v>
      </c>
      <c r="C85" s="18" t="s">
        <v>7042</v>
      </c>
      <c r="D85" s="19" t="s">
        <v>1312</v>
      </c>
      <c r="E85" s="1296" t="s">
        <v>7104</v>
      </c>
      <c r="F85" s="19" t="s">
        <v>7105</v>
      </c>
      <c r="G85" s="27">
        <v>430000</v>
      </c>
      <c r="H85" s="48">
        <v>44588</v>
      </c>
      <c r="I85" s="48" t="s">
        <v>7106</v>
      </c>
      <c r="J85" s="48">
        <v>45040</v>
      </c>
      <c r="K85" s="25">
        <v>431072.93</v>
      </c>
      <c r="L85" s="25">
        <v>344858.34</v>
      </c>
      <c r="M85" s="25">
        <v>129321.88</v>
      </c>
      <c r="N85" s="25">
        <v>86214.59</v>
      </c>
      <c r="O85" s="25">
        <v>129321.87</v>
      </c>
    </row>
    <row r="86" customFormat="1" ht="20" customHeight="1" spans="1:15">
      <c r="A86" s="17">
        <v>82</v>
      </c>
      <c r="B86" s="17">
        <v>2024</v>
      </c>
      <c r="C86" s="18" t="s">
        <v>7042</v>
      </c>
      <c r="D86" s="19" t="s">
        <v>1358</v>
      </c>
      <c r="E86" s="29" t="s">
        <v>7107</v>
      </c>
      <c r="F86" s="19" t="s">
        <v>7108</v>
      </c>
      <c r="G86" s="27">
        <v>3880000</v>
      </c>
      <c r="H86" s="48" t="s">
        <v>2200</v>
      </c>
      <c r="I86" s="48">
        <v>45071</v>
      </c>
      <c r="J86" s="48">
        <v>45159</v>
      </c>
      <c r="K86" s="25">
        <v>3660279.64</v>
      </c>
      <c r="L86" s="25">
        <v>2928223.71</v>
      </c>
      <c r="M86" s="25">
        <v>1098083.9</v>
      </c>
      <c r="N86" s="25">
        <v>732055.93</v>
      </c>
      <c r="O86" s="25">
        <v>1098083.88</v>
      </c>
    </row>
    <row r="87" customFormat="1" ht="20" customHeight="1" spans="1:15">
      <c r="A87" s="17">
        <v>83</v>
      </c>
      <c r="B87" s="17">
        <v>2024</v>
      </c>
      <c r="C87" s="18" t="s">
        <v>7020</v>
      </c>
      <c r="D87" s="19" t="s">
        <v>7109</v>
      </c>
      <c r="E87" s="1296" t="s">
        <v>7110</v>
      </c>
      <c r="F87" s="19" t="s">
        <v>6550</v>
      </c>
      <c r="G87" s="27">
        <v>1000000</v>
      </c>
      <c r="H87" s="48">
        <v>44907</v>
      </c>
      <c r="I87" s="48">
        <v>45272</v>
      </c>
      <c r="J87" s="48">
        <v>45358</v>
      </c>
      <c r="K87" s="25">
        <v>1005383.33</v>
      </c>
      <c r="L87" s="25">
        <v>804306.66</v>
      </c>
      <c r="M87" s="25">
        <v>301615</v>
      </c>
      <c r="N87" s="25">
        <v>201076.67</v>
      </c>
      <c r="O87" s="25">
        <v>301614.99</v>
      </c>
    </row>
    <row r="88" customFormat="1" ht="20" customHeight="1" spans="1:15">
      <c r="A88" s="17">
        <v>84</v>
      </c>
      <c r="B88" s="17">
        <v>2024</v>
      </c>
      <c r="C88" s="18" t="s">
        <v>7020</v>
      </c>
      <c r="D88" s="19" t="s">
        <v>7111</v>
      </c>
      <c r="E88" s="1296" t="s">
        <v>7112</v>
      </c>
      <c r="F88" s="19" t="s">
        <v>1208</v>
      </c>
      <c r="G88" s="27">
        <v>800000</v>
      </c>
      <c r="H88" s="48">
        <v>44903</v>
      </c>
      <c r="I88" s="48">
        <v>45268</v>
      </c>
      <c r="J88" s="48">
        <v>45357</v>
      </c>
      <c r="K88" s="25">
        <v>451435.55</v>
      </c>
      <c r="L88" s="25">
        <v>361148.44</v>
      </c>
      <c r="M88" s="25">
        <v>135430.67</v>
      </c>
      <c r="N88" s="25">
        <v>90287.11</v>
      </c>
      <c r="O88" s="25">
        <v>135430.66</v>
      </c>
    </row>
    <row r="89" customFormat="1" ht="20" customHeight="1" spans="1:15">
      <c r="A89" s="17">
        <v>85</v>
      </c>
      <c r="B89" s="17">
        <v>2024</v>
      </c>
      <c r="C89" s="18" t="s">
        <v>7020</v>
      </c>
      <c r="D89" s="19" t="s">
        <v>7113</v>
      </c>
      <c r="E89" s="1296" t="s">
        <v>7114</v>
      </c>
      <c r="F89" s="19" t="s">
        <v>7068</v>
      </c>
      <c r="G89" s="27">
        <v>600000</v>
      </c>
      <c r="H89" s="48">
        <v>44903</v>
      </c>
      <c r="I89" s="48">
        <v>45268</v>
      </c>
      <c r="J89" s="48">
        <v>45357</v>
      </c>
      <c r="K89" s="25">
        <v>602976.66</v>
      </c>
      <c r="L89" s="25">
        <v>482381.33</v>
      </c>
      <c r="M89" s="25">
        <v>180893</v>
      </c>
      <c r="N89" s="25">
        <v>120595.33</v>
      </c>
      <c r="O89" s="25">
        <v>180893</v>
      </c>
    </row>
    <row r="90" customFormat="1" ht="20" customHeight="1" spans="1:15">
      <c r="A90" s="17">
        <v>86</v>
      </c>
      <c r="B90" s="17">
        <v>2024</v>
      </c>
      <c r="C90" s="18" t="s">
        <v>7020</v>
      </c>
      <c r="D90" s="19" t="s">
        <v>7115</v>
      </c>
      <c r="E90" s="1296" t="s">
        <v>7116</v>
      </c>
      <c r="F90" s="19" t="s">
        <v>7065</v>
      </c>
      <c r="G90" s="27">
        <v>480000</v>
      </c>
      <c r="H90" s="48">
        <v>44910</v>
      </c>
      <c r="I90" s="48">
        <v>45275</v>
      </c>
      <c r="J90" s="48">
        <v>45362</v>
      </c>
      <c r="K90" s="25">
        <v>481466.32</v>
      </c>
      <c r="L90" s="25">
        <v>385173.06</v>
      </c>
      <c r="M90" s="25">
        <v>144439.9</v>
      </c>
      <c r="N90" s="25">
        <v>96293.27</v>
      </c>
      <c r="O90" s="25">
        <v>144439.89</v>
      </c>
    </row>
    <row r="91" customFormat="1" ht="20" customHeight="1" spans="1:15">
      <c r="A91" s="17">
        <v>87</v>
      </c>
      <c r="B91" s="17">
        <v>2024</v>
      </c>
      <c r="C91" s="18" t="s">
        <v>7020</v>
      </c>
      <c r="D91" s="19" t="s">
        <v>7117</v>
      </c>
      <c r="E91" s="1296" t="s">
        <v>7118</v>
      </c>
      <c r="F91" s="19" t="s">
        <v>7119</v>
      </c>
      <c r="G91" s="27">
        <v>233000</v>
      </c>
      <c r="H91" s="48">
        <v>44922</v>
      </c>
      <c r="I91" s="48">
        <v>45287</v>
      </c>
      <c r="J91" s="48">
        <v>45376</v>
      </c>
      <c r="K91" s="25">
        <v>231654.34</v>
      </c>
      <c r="L91" s="25">
        <v>185323.47</v>
      </c>
      <c r="M91" s="25">
        <v>69496.3</v>
      </c>
      <c r="N91" s="25">
        <v>46330.87</v>
      </c>
      <c r="O91" s="25">
        <v>69496.3</v>
      </c>
    </row>
    <row r="92" customFormat="1" ht="20" customHeight="1" spans="1:15">
      <c r="A92" s="17">
        <v>88</v>
      </c>
      <c r="B92" s="17">
        <v>2024</v>
      </c>
      <c r="C92" s="18" t="s">
        <v>7020</v>
      </c>
      <c r="D92" s="19" t="s">
        <v>7120</v>
      </c>
      <c r="E92" s="1296" t="s">
        <v>7121</v>
      </c>
      <c r="F92" s="19" t="s">
        <v>7065</v>
      </c>
      <c r="G92" s="27">
        <v>480000</v>
      </c>
      <c r="H92" s="48">
        <v>44917</v>
      </c>
      <c r="I92" s="48">
        <v>45282</v>
      </c>
      <c r="J92" s="48">
        <v>45371</v>
      </c>
      <c r="K92" s="25">
        <v>481570.58</v>
      </c>
      <c r="L92" s="25">
        <v>385256.46</v>
      </c>
      <c r="M92" s="25">
        <v>144471.17</v>
      </c>
      <c r="N92" s="25">
        <v>96314.12</v>
      </c>
      <c r="O92" s="25">
        <v>144471.17</v>
      </c>
    </row>
    <row r="93" customFormat="1" ht="20" customHeight="1" spans="1:15">
      <c r="A93" s="17">
        <v>89</v>
      </c>
      <c r="B93" s="17">
        <v>2024</v>
      </c>
      <c r="C93" s="18" t="s">
        <v>7020</v>
      </c>
      <c r="D93" s="19" t="s">
        <v>7122</v>
      </c>
      <c r="E93" s="1296" t="s">
        <v>7123</v>
      </c>
      <c r="F93" s="19" t="s">
        <v>7068</v>
      </c>
      <c r="G93" s="27">
        <v>1000000</v>
      </c>
      <c r="H93" s="48">
        <v>44925</v>
      </c>
      <c r="I93" s="48">
        <v>45290</v>
      </c>
      <c r="J93" s="48">
        <v>45370</v>
      </c>
      <c r="K93" s="25">
        <v>1004116.66</v>
      </c>
      <c r="L93" s="25">
        <v>803293.33</v>
      </c>
      <c r="M93" s="25">
        <v>301235</v>
      </c>
      <c r="N93" s="25">
        <v>200823.33</v>
      </c>
      <c r="O93" s="25">
        <v>301235</v>
      </c>
    </row>
    <row r="94" customFormat="1" ht="20" customHeight="1" spans="1:15">
      <c r="A94" s="17">
        <v>90</v>
      </c>
      <c r="B94" s="17">
        <v>2024</v>
      </c>
      <c r="C94" s="18" t="s">
        <v>7020</v>
      </c>
      <c r="D94" s="19" t="s">
        <v>7124</v>
      </c>
      <c r="E94" s="1296" t="s">
        <v>7125</v>
      </c>
      <c r="F94" s="19" t="s">
        <v>1133</v>
      </c>
      <c r="G94" s="27">
        <v>1000000</v>
      </c>
      <c r="H94" s="48">
        <v>44914</v>
      </c>
      <c r="I94" s="48">
        <v>45279</v>
      </c>
      <c r="J94" s="48">
        <v>45364</v>
      </c>
      <c r="K94" s="25">
        <v>1002922.22</v>
      </c>
      <c r="L94" s="25">
        <v>802337.78</v>
      </c>
      <c r="M94" s="25">
        <v>300876.67</v>
      </c>
      <c r="N94" s="25">
        <v>200584.44</v>
      </c>
      <c r="O94" s="25">
        <v>300876.67</v>
      </c>
    </row>
    <row r="95" customFormat="1" ht="20" customHeight="1" spans="1:15">
      <c r="A95" s="17">
        <v>91</v>
      </c>
      <c r="B95" s="17">
        <v>2024</v>
      </c>
      <c r="C95" s="18" t="s">
        <v>7020</v>
      </c>
      <c r="D95" s="19" t="s">
        <v>7126</v>
      </c>
      <c r="E95" s="1296" t="s">
        <v>7127</v>
      </c>
      <c r="F95" s="19" t="s">
        <v>6550</v>
      </c>
      <c r="G95" s="27">
        <v>1000000</v>
      </c>
      <c r="H95" s="48">
        <v>44908</v>
      </c>
      <c r="I95" s="48">
        <v>45273</v>
      </c>
      <c r="J95" s="48">
        <v>45362</v>
      </c>
      <c r="K95" s="25">
        <v>1005424.93</v>
      </c>
      <c r="L95" s="25">
        <v>804339.94</v>
      </c>
      <c r="M95" s="25">
        <v>301627.48</v>
      </c>
      <c r="N95" s="25">
        <v>201084.99</v>
      </c>
      <c r="O95" s="25">
        <v>301627.47</v>
      </c>
    </row>
    <row r="96" customFormat="1" ht="20" customHeight="1" spans="1:15">
      <c r="A96" s="17">
        <v>92</v>
      </c>
      <c r="B96" s="17">
        <v>2024</v>
      </c>
      <c r="C96" s="18" t="s">
        <v>7020</v>
      </c>
      <c r="D96" s="19" t="s">
        <v>7128</v>
      </c>
      <c r="E96" s="1296" t="s">
        <v>7129</v>
      </c>
      <c r="F96" s="19" t="s">
        <v>6550</v>
      </c>
      <c r="G96" s="27">
        <v>2000000</v>
      </c>
      <c r="H96" s="48">
        <v>44939</v>
      </c>
      <c r="I96" s="48">
        <v>45304</v>
      </c>
      <c r="J96" s="48">
        <v>45385</v>
      </c>
      <c r="K96" s="25">
        <v>1900000</v>
      </c>
      <c r="L96" s="25">
        <v>1520000</v>
      </c>
      <c r="M96" s="25">
        <v>570000</v>
      </c>
      <c r="N96" s="25">
        <v>380000</v>
      </c>
      <c r="O96" s="25">
        <v>570000</v>
      </c>
    </row>
    <row r="97" customFormat="1" ht="20" customHeight="1" spans="1:15">
      <c r="A97" s="17">
        <v>93</v>
      </c>
      <c r="B97" s="17">
        <v>2024</v>
      </c>
      <c r="C97" s="18" t="s">
        <v>7020</v>
      </c>
      <c r="D97" s="19" t="s">
        <v>7130</v>
      </c>
      <c r="E97" s="1296" t="s">
        <v>7131</v>
      </c>
      <c r="F97" s="19" t="s">
        <v>7022</v>
      </c>
      <c r="G97" s="27">
        <v>1100000</v>
      </c>
      <c r="H97" s="48">
        <v>44943</v>
      </c>
      <c r="I97" s="48">
        <v>45308</v>
      </c>
      <c r="J97" s="48">
        <v>45385</v>
      </c>
      <c r="K97" s="25">
        <v>1103018.88</v>
      </c>
      <c r="L97" s="25">
        <v>882415.1</v>
      </c>
      <c r="M97" s="25">
        <v>330905.66</v>
      </c>
      <c r="N97" s="25">
        <v>220603.78</v>
      </c>
      <c r="O97" s="25">
        <v>330905.66</v>
      </c>
    </row>
    <row r="98" customFormat="1" ht="20" customHeight="1" spans="1:15">
      <c r="A98" s="17">
        <v>94</v>
      </c>
      <c r="B98" s="17">
        <v>2024</v>
      </c>
      <c r="C98" s="18" t="s">
        <v>7020</v>
      </c>
      <c r="D98" s="19" t="s">
        <v>7132</v>
      </c>
      <c r="E98" s="1296" t="s">
        <v>7133</v>
      </c>
      <c r="F98" s="19" t="s">
        <v>7022</v>
      </c>
      <c r="G98" s="27">
        <v>1000000</v>
      </c>
      <c r="H98" s="48">
        <v>44937</v>
      </c>
      <c r="I98" s="48">
        <v>45302</v>
      </c>
      <c r="J98" s="48">
        <v>45385</v>
      </c>
      <c r="K98" s="25">
        <v>1005277.77</v>
      </c>
      <c r="L98" s="25">
        <v>804222.22</v>
      </c>
      <c r="M98" s="25">
        <v>301583.33</v>
      </c>
      <c r="N98" s="25">
        <v>201055.56</v>
      </c>
      <c r="O98" s="25">
        <v>301583.33</v>
      </c>
    </row>
    <row r="99" customFormat="1" ht="20" customHeight="1" spans="1:15">
      <c r="A99" s="17">
        <v>95</v>
      </c>
      <c r="B99" s="17">
        <v>2024</v>
      </c>
      <c r="C99" s="18" t="s">
        <v>7020</v>
      </c>
      <c r="D99" s="19" t="s">
        <v>7134</v>
      </c>
      <c r="E99" s="1296" t="s">
        <v>7135</v>
      </c>
      <c r="F99" s="19" t="s">
        <v>1133</v>
      </c>
      <c r="G99" s="27">
        <v>1000000</v>
      </c>
      <c r="H99" s="48">
        <v>44936</v>
      </c>
      <c r="I99" s="48">
        <v>45301</v>
      </c>
      <c r="J99" s="48">
        <v>45385</v>
      </c>
      <c r="K99" s="25">
        <v>1005172.22</v>
      </c>
      <c r="L99" s="25">
        <v>804137.78</v>
      </c>
      <c r="M99" s="25">
        <v>301551.67</v>
      </c>
      <c r="N99" s="25">
        <v>201034.44</v>
      </c>
      <c r="O99" s="25">
        <v>301551.67</v>
      </c>
    </row>
    <row r="100" customFormat="1" ht="20" customHeight="1" spans="1:15">
      <c r="A100" s="17">
        <v>96</v>
      </c>
      <c r="B100" s="17">
        <v>2024</v>
      </c>
      <c r="C100" s="18" t="s">
        <v>7020</v>
      </c>
      <c r="D100" s="19" t="s">
        <v>7136</v>
      </c>
      <c r="E100" s="1296" t="s">
        <v>7137</v>
      </c>
      <c r="F100" s="19" t="s">
        <v>1133</v>
      </c>
      <c r="G100" s="27">
        <v>800000</v>
      </c>
      <c r="H100" s="48">
        <v>44932</v>
      </c>
      <c r="I100" s="48">
        <v>45297</v>
      </c>
      <c r="J100" s="48">
        <v>45383</v>
      </c>
      <c r="K100" s="25">
        <v>736985.81</v>
      </c>
      <c r="L100" s="25">
        <v>589588.65</v>
      </c>
      <c r="M100" s="25">
        <v>221095.74</v>
      </c>
      <c r="N100" s="25">
        <v>147397.16</v>
      </c>
      <c r="O100" s="25">
        <v>221095.75</v>
      </c>
    </row>
    <row r="101" customFormat="1" ht="20" customHeight="1" spans="1:15">
      <c r="A101" s="17">
        <v>97</v>
      </c>
      <c r="B101" s="17">
        <v>2024</v>
      </c>
      <c r="C101" s="18" t="s">
        <v>7020</v>
      </c>
      <c r="D101" s="19" t="s">
        <v>7138</v>
      </c>
      <c r="E101" s="1296" t="s">
        <v>7139</v>
      </c>
      <c r="F101" s="19" t="s">
        <v>6534</v>
      </c>
      <c r="G101" s="27">
        <v>378000</v>
      </c>
      <c r="H101" s="48">
        <v>44931</v>
      </c>
      <c r="I101" s="48">
        <v>45296</v>
      </c>
      <c r="J101" s="48">
        <v>45383</v>
      </c>
      <c r="K101" s="25">
        <v>378558.6</v>
      </c>
      <c r="L101" s="25">
        <v>302846.88</v>
      </c>
      <c r="M101" s="25">
        <v>113567.58</v>
      </c>
      <c r="N101" s="25">
        <v>75711.72</v>
      </c>
      <c r="O101" s="25">
        <v>113567.58</v>
      </c>
    </row>
    <row r="102" customFormat="1" ht="20" customHeight="1" spans="1:15">
      <c r="A102" s="17">
        <v>98</v>
      </c>
      <c r="B102" s="17">
        <v>2024</v>
      </c>
      <c r="C102" s="18" t="s">
        <v>7020</v>
      </c>
      <c r="D102" s="19" t="s">
        <v>6319</v>
      </c>
      <c r="E102" s="1296" t="s">
        <v>7140</v>
      </c>
      <c r="F102" s="19" t="s">
        <v>6534</v>
      </c>
      <c r="G102" s="27">
        <v>290000</v>
      </c>
      <c r="H102" s="48">
        <v>44930</v>
      </c>
      <c r="I102" s="48">
        <v>45295</v>
      </c>
      <c r="J102" s="48">
        <v>45380</v>
      </c>
      <c r="K102" s="25">
        <v>284986.36</v>
      </c>
      <c r="L102" s="25">
        <v>227989.08</v>
      </c>
      <c r="M102" s="25">
        <v>85495.91</v>
      </c>
      <c r="N102" s="25">
        <v>56997.27</v>
      </c>
      <c r="O102" s="25">
        <v>85495.9</v>
      </c>
    </row>
    <row r="103" customFormat="1" ht="20" customHeight="1" spans="1:15">
      <c r="A103" s="17">
        <v>99</v>
      </c>
      <c r="B103" s="17">
        <v>2024</v>
      </c>
      <c r="C103" s="18" t="s">
        <v>7020</v>
      </c>
      <c r="D103" s="19" t="s">
        <v>7141</v>
      </c>
      <c r="E103" s="1296" t="s">
        <v>7142</v>
      </c>
      <c r="F103" s="19" t="s">
        <v>7065</v>
      </c>
      <c r="G103" s="27">
        <v>499000</v>
      </c>
      <c r="H103" s="48">
        <v>44929</v>
      </c>
      <c r="I103" s="48">
        <v>45294</v>
      </c>
      <c r="J103" s="48">
        <v>45380</v>
      </c>
      <c r="K103" s="25">
        <v>501212.23</v>
      </c>
      <c r="L103" s="25">
        <v>400969.78</v>
      </c>
      <c r="M103" s="25">
        <v>150363.67</v>
      </c>
      <c r="N103" s="25">
        <v>100242.45</v>
      </c>
      <c r="O103" s="25">
        <v>150363.66</v>
      </c>
    </row>
    <row r="104" customFormat="1" ht="20" customHeight="1" spans="1:15">
      <c r="A104" s="17">
        <v>100</v>
      </c>
      <c r="B104" s="17">
        <v>2024</v>
      </c>
      <c r="C104" s="18" t="s">
        <v>7020</v>
      </c>
      <c r="D104" s="19" t="s">
        <v>1464</v>
      </c>
      <c r="E104" s="1296" t="s">
        <v>7143</v>
      </c>
      <c r="F104" s="19" t="s">
        <v>6550</v>
      </c>
      <c r="G104" s="27">
        <v>487000</v>
      </c>
      <c r="H104" s="48">
        <v>44945</v>
      </c>
      <c r="I104" s="48">
        <v>45310</v>
      </c>
      <c r="J104" s="48">
        <v>45399</v>
      </c>
      <c r="K104" s="25">
        <v>483944.79</v>
      </c>
      <c r="L104" s="25">
        <v>387155.83</v>
      </c>
      <c r="M104" s="25">
        <v>145183.44</v>
      </c>
      <c r="N104" s="25">
        <v>96788.96</v>
      </c>
      <c r="O104" s="25">
        <v>145183.43</v>
      </c>
    </row>
    <row r="105" customFormat="1" ht="20" customHeight="1" spans="1:15">
      <c r="A105" s="17">
        <v>101</v>
      </c>
      <c r="B105" s="17">
        <v>2024</v>
      </c>
      <c r="C105" s="18" t="s">
        <v>7007</v>
      </c>
      <c r="D105" s="19" t="s">
        <v>1318</v>
      </c>
      <c r="E105" s="1296" t="s">
        <v>7144</v>
      </c>
      <c r="F105" s="19" t="s">
        <v>7145</v>
      </c>
      <c r="G105" s="27">
        <v>1150000</v>
      </c>
      <c r="H105" s="48">
        <v>44623</v>
      </c>
      <c r="I105" s="48">
        <v>44988</v>
      </c>
      <c r="J105" s="48">
        <v>45062</v>
      </c>
      <c r="K105" s="25">
        <v>1093375.48</v>
      </c>
      <c r="L105" s="25">
        <v>874700.38</v>
      </c>
      <c r="M105" s="25">
        <v>328012.64</v>
      </c>
      <c r="N105" s="25">
        <v>218675.1</v>
      </c>
      <c r="O105" s="25">
        <v>328012.64</v>
      </c>
    </row>
    <row r="106" customFormat="1" ht="20" customHeight="1" spans="1:15">
      <c r="A106" s="17">
        <v>102</v>
      </c>
      <c r="B106" s="17">
        <v>2024</v>
      </c>
      <c r="C106" s="18" t="s">
        <v>7007</v>
      </c>
      <c r="D106" s="19" t="s">
        <v>1381</v>
      </c>
      <c r="E106" s="1296" t="s">
        <v>7146</v>
      </c>
      <c r="F106" s="19" t="s">
        <v>7145</v>
      </c>
      <c r="G106" s="27">
        <v>2030000</v>
      </c>
      <c r="H106" s="48">
        <v>44854</v>
      </c>
      <c r="I106" s="48">
        <v>45219</v>
      </c>
      <c r="J106" s="48">
        <v>45197</v>
      </c>
      <c r="K106" s="25">
        <v>2044245.01</v>
      </c>
      <c r="L106" s="25">
        <v>1635396.01</v>
      </c>
      <c r="M106" s="25">
        <v>613273.51</v>
      </c>
      <c r="N106" s="25">
        <v>408849.01</v>
      </c>
      <c r="O106" s="25">
        <v>613273.49</v>
      </c>
    </row>
    <row r="107" customFormat="1" ht="20" customHeight="1" spans="1:15">
      <c r="A107" s="17">
        <v>103</v>
      </c>
      <c r="B107" s="17">
        <v>2024</v>
      </c>
      <c r="C107" s="18" t="s">
        <v>7007</v>
      </c>
      <c r="D107" s="19" t="s">
        <v>1438</v>
      </c>
      <c r="E107" s="1296" t="s">
        <v>7147</v>
      </c>
      <c r="F107" s="19" t="s">
        <v>7145</v>
      </c>
      <c r="G107" s="27">
        <v>1200000</v>
      </c>
      <c r="H107" s="48">
        <v>45072</v>
      </c>
      <c r="I107" s="48">
        <v>45437</v>
      </c>
      <c r="J107" s="48">
        <v>45366</v>
      </c>
      <c r="K107" s="25">
        <v>1206625</v>
      </c>
      <c r="L107" s="25">
        <v>965300</v>
      </c>
      <c r="M107" s="25">
        <v>361987.5</v>
      </c>
      <c r="N107" s="25">
        <v>241325</v>
      </c>
      <c r="O107" s="25">
        <v>361987.5</v>
      </c>
    </row>
    <row r="108" customFormat="1" ht="20" customHeight="1" spans="1:15">
      <c r="A108" s="17">
        <v>104</v>
      </c>
      <c r="B108" s="17">
        <v>2024</v>
      </c>
      <c r="C108" s="18" t="s">
        <v>7007</v>
      </c>
      <c r="D108" s="19" t="s">
        <v>1484</v>
      </c>
      <c r="E108" s="1296" t="s">
        <v>7148</v>
      </c>
      <c r="F108" s="19" t="s">
        <v>7145</v>
      </c>
      <c r="G108" s="27">
        <v>1200000</v>
      </c>
      <c r="H108" s="48">
        <v>44996</v>
      </c>
      <c r="I108" s="48">
        <v>45361</v>
      </c>
      <c r="J108" s="48">
        <v>45426</v>
      </c>
      <c r="K108" s="25">
        <v>1194395.56</v>
      </c>
      <c r="L108" s="25">
        <v>955516.45</v>
      </c>
      <c r="M108" s="25">
        <v>358318.67</v>
      </c>
      <c r="N108" s="25">
        <v>238879.11</v>
      </c>
      <c r="O108" s="25">
        <v>358318.67</v>
      </c>
    </row>
    <row r="109" customFormat="1" ht="20" customHeight="1" spans="1:15">
      <c r="A109" s="17">
        <v>105</v>
      </c>
      <c r="B109" s="17">
        <v>2024</v>
      </c>
      <c r="C109" s="18" t="s">
        <v>7007</v>
      </c>
      <c r="D109" s="19" t="s">
        <v>1406</v>
      </c>
      <c r="E109" s="1296" t="s">
        <v>7149</v>
      </c>
      <c r="F109" s="19" t="s">
        <v>7145</v>
      </c>
      <c r="G109" s="27">
        <v>450000</v>
      </c>
      <c r="H109" s="48">
        <v>44828</v>
      </c>
      <c r="I109" s="48">
        <v>45192</v>
      </c>
      <c r="J109" s="48">
        <v>45264</v>
      </c>
      <c r="K109" s="25">
        <v>450094.02</v>
      </c>
      <c r="L109" s="25">
        <v>360075.22</v>
      </c>
      <c r="M109" s="25">
        <v>135028.21</v>
      </c>
      <c r="N109" s="25">
        <v>90018.8</v>
      </c>
      <c r="O109" s="25">
        <v>135028.21</v>
      </c>
    </row>
    <row r="110" customFormat="1" ht="20" customHeight="1" spans="1:15">
      <c r="A110" s="17">
        <v>106</v>
      </c>
      <c r="B110" s="17">
        <v>2024</v>
      </c>
      <c r="C110" s="18" t="s">
        <v>7007</v>
      </c>
      <c r="D110" s="19" t="s">
        <v>280</v>
      </c>
      <c r="E110" s="1296" t="s">
        <v>7150</v>
      </c>
      <c r="F110" s="19" t="s">
        <v>7151</v>
      </c>
      <c r="G110" s="27">
        <v>2456000</v>
      </c>
      <c r="H110" s="48">
        <v>44931</v>
      </c>
      <c r="I110" s="48">
        <v>45295</v>
      </c>
      <c r="J110" s="48">
        <v>45355</v>
      </c>
      <c r="K110" s="25">
        <v>2460324.6</v>
      </c>
      <c r="L110" s="25">
        <v>1968259.68</v>
      </c>
      <c r="M110" s="25">
        <v>738097.38</v>
      </c>
      <c r="N110" s="25">
        <v>492064.93</v>
      </c>
      <c r="O110" s="25">
        <v>738097.37</v>
      </c>
    </row>
    <row r="111" customFormat="1" ht="20" customHeight="1" spans="1:15">
      <c r="A111" s="17">
        <v>107</v>
      </c>
      <c r="B111" s="17">
        <v>2024</v>
      </c>
      <c r="C111" s="18" t="s">
        <v>7007</v>
      </c>
      <c r="D111" s="19" t="s">
        <v>1465</v>
      </c>
      <c r="E111" s="1296" t="s">
        <v>7152</v>
      </c>
      <c r="F111" s="19" t="s">
        <v>7153</v>
      </c>
      <c r="G111" s="27">
        <v>2499000</v>
      </c>
      <c r="H111" s="48">
        <v>44967</v>
      </c>
      <c r="I111" s="48">
        <v>45331</v>
      </c>
      <c r="J111" s="48">
        <v>45406</v>
      </c>
      <c r="K111" s="25">
        <v>2353346.87</v>
      </c>
      <c r="L111" s="25">
        <v>1882677.5</v>
      </c>
      <c r="M111" s="25">
        <v>706004.06</v>
      </c>
      <c r="N111" s="25">
        <v>470669.38</v>
      </c>
      <c r="O111" s="25">
        <v>706004.06</v>
      </c>
    </row>
    <row r="112" customFormat="1" ht="20" customHeight="1" spans="1:15">
      <c r="A112" s="17">
        <v>108</v>
      </c>
      <c r="B112" s="17">
        <v>2024</v>
      </c>
      <c r="C112" s="18" t="s">
        <v>7007</v>
      </c>
      <c r="D112" s="19" t="s">
        <v>1478</v>
      </c>
      <c r="E112" s="1296" t="s">
        <v>7154</v>
      </c>
      <c r="F112" s="19" t="s">
        <v>7009</v>
      </c>
      <c r="G112" s="27">
        <v>2517000</v>
      </c>
      <c r="H112" s="48">
        <v>45013</v>
      </c>
      <c r="I112" s="48">
        <v>45378</v>
      </c>
      <c r="J112" s="48">
        <v>45422</v>
      </c>
      <c r="K112" s="25">
        <v>2405209.81</v>
      </c>
      <c r="L112" s="25">
        <v>1924167.85</v>
      </c>
      <c r="M112" s="25">
        <v>721562.94</v>
      </c>
      <c r="N112" s="25">
        <v>481041.96</v>
      </c>
      <c r="O112" s="25">
        <v>721562.95</v>
      </c>
    </row>
    <row r="113" customFormat="1" ht="20" customHeight="1" spans="1:15">
      <c r="A113" s="17">
        <v>109</v>
      </c>
      <c r="B113" s="17">
        <v>2024</v>
      </c>
      <c r="C113" s="18" t="s">
        <v>7007</v>
      </c>
      <c r="D113" s="19" t="s">
        <v>449</v>
      </c>
      <c r="E113" s="1296" t="s">
        <v>7155</v>
      </c>
      <c r="F113" s="19" t="s">
        <v>7156</v>
      </c>
      <c r="G113" s="27">
        <v>1046000</v>
      </c>
      <c r="H113" s="48">
        <v>44985</v>
      </c>
      <c r="I113" s="48">
        <v>45349</v>
      </c>
      <c r="J113" s="48">
        <v>45422</v>
      </c>
      <c r="K113" s="25">
        <v>806607.98</v>
      </c>
      <c r="L113" s="25">
        <v>645286.38</v>
      </c>
      <c r="M113" s="25">
        <v>241982.39</v>
      </c>
      <c r="N113" s="25">
        <v>161321.6</v>
      </c>
      <c r="O113" s="25">
        <v>241982.39</v>
      </c>
    </row>
    <row r="114" customFormat="1" ht="20" customHeight="1" spans="1:15">
      <c r="A114" s="17">
        <v>110</v>
      </c>
      <c r="B114" s="17">
        <v>2024</v>
      </c>
      <c r="C114" s="18" t="s">
        <v>7007</v>
      </c>
      <c r="D114" s="19" t="s">
        <v>1305</v>
      </c>
      <c r="E114" s="1296" t="s">
        <v>7157</v>
      </c>
      <c r="F114" s="19" t="s">
        <v>7009</v>
      </c>
      <c r="G114" s="27">
        <v>1000000</v>
      </c>
      <c r="H114" s="48">
        <v>44524</v>
      </c>
      <c r="I114" s="48">
        <v>44919</v>
      </c>
      <c r="J114" s="48">
        <v>44994</v>
      </c>
      <c r="K114" s="25">
        <v>1003608.7</v>
      </c>
      <c r="L114" s="25">
        <v>802886.96</v>
      </c>
      <c r="M114" s="25">
        <v>301082.61</v>
      </c>
      <c r="N114" s="25">
        <v>200721.74</v>
      </c>
      <c r="O114" s="25">
        <v>301082.61</v>
      </c>
    </row>
    <row r="115" customFormat="1" ht="20" customHeight="1" spans="1:15">
      <c r="A115" s="17">
        <v>111</v>
      </c>
      <c r="B115" s="17">
        <v>2024</v>
      </c>
      <c r="C115" s="18" t="s">
        <v>7007</v>
      </c>
      <c r="D115" s="19" t="s">
        <v>1517</v>
      </c>
      <c r="E115" s="1296" t="s">
        <v>7158</v>
      </c>
      <c r="F115" s="19" t="s">
        <v>7159</v>
      </c>
      <c r="G115" s="27">
        <v>200000</v>
      </c>
      <c r="H115" s="48">
        <v>45016</v>
      </c>
      <c r="I115" s="48">
        <v>45382</v>
      </c>
      <c r="J115" s="48">
        <v>45467</v>
      </c>
      <c r="K115" s="25">
        <v>120586.29</v>
      </c>
      <c r="L115" s="25">
        <v>96469.03</v>
      </c>
      <c r="M115" s="25">
        <v>36175.88</v>
      </c>
      <c r="N115" s="25">
        <v>24117.26</v>
      </c>
      <c r="O115" s="25">
        <v>36175.89</v>
      </c>
    </row>
    <row r="116" customFormat="1" ht="20" customHeight="1" spans="1:15">
      <c r="A116" s="17">
        <v>112</v>
      </c>
      <c r="B116" s="17">
        <v>2024</v>
      </c>
      <c r="C116" s="18" t="s">
        <v>6968</v>
      </c>
      <c r="D116" s="19" t="s">
        <v>1328</v>
      </c>
      <c r="E116" s="1296" t="s">
        <v>7160</v>
      </c>
      <c r="F116" s="19" t="s">
        <v>7161</v>
      </c>
      <c r="G116" s="27">
        <v>110000</v>
      </c>
      <c r="H116" s="48">
        <v>44643</v>
      </c>
      <c r="I116" s="48">
        <v>45007</v>
      </c>
      <c r="J116" s="48">
        <v>45096</v>
      </c>
      <c r="K116" s="25">
        <v>108524.65</v>
      </c>
      <c r="L116" s="25">
        <v>86819.72</v>
      </c>
      <c r="M116" s="25">
        <v>32557.4</v>
      </c>
      <c r="N116" s="25">
        <v>21704.93</v>
      </c>
      <c r="O116" s="25">
        <v>32557.39</v>
      </c>
    </row>
    <row r="117" customFormat="1" ht="20" customHeight="1" spans="1:15">
      <c r="A117" s="17">
        <v>113</v>
      </c>
      <c r="B117" s="17">
        <v>2024</v>
      </c>
      <c r="C117" s="18" t="s">
        <v>6968</v>
      </c>
      <c r="D117" s="19" t="s">
        <v>365</v>
      </c>
      <c r="E117" s="1296" t="s">
        <v>7162</v>
      </c>
      <c r="F117" s="19" t="s">
        <v>7163</v>
      </c>
      <c r="G117" s="27">
        <v>60000</v>
      </c>
      <c r="H117" s="48">
        <v>44706</v>
      </c>
      <c r="I117" s="48">
        <v>45801</v>
      </c>
      <c r="J117" s="48">
        <v>45147</v>
      </c>
      <c r="K117" s="25">
        <v>60411.5</v>
      </c>
      <c r="L117" s="25">
        <v>48329.2</v>
      </c>
      <c r="M117" s="25">
        <v>18123.45</v>
      </c>
      <c r="N117" s="25">
        <v>12082.3</v>
      </c>
      <c r="O117" s="25">
        <v>18123.45</v>
      </c>
    </row>
    <row r="118" customFormat="1" ht="20" customHeight="1" spans="1:15">
      <c r="A118" s="17">
        <v>114</v>
      </c>
      <c r="B118" s="17">
        <v>2024</v>
      </c>
      <c r="C118" s="18" t="s">
        <v>6968</v>
      </c>
      <c r="D118" s="19" t="s">
        <v>1304</v>
      </c>
      <c r="E118" s="1296" t="s">
        <v>7164</v>
      </c>
      <c r="F118" s="19" t="s">
        <v>7161</v>
      </c>
      <c r="G118" s="27">
        <v>290000</v>
      </c>
      <c r="H118" s="48">
        <v>44558</v>
      </c>
      <c r="I118" s="48">
        <v>44922</v>
      </c>
      <c r="J118" s="48">
        <v>44993</v>
      </c>
      <c r="K118" s="25">
        <v>270674.66</v>
      </c>
      <c r="L118" s="25">
        <v>216539.73</v>
      </c>
      <c r="M118" s="25">
        <v>81202.4</v>
      </c>
      <c r="N118" s="25">
        <v>54134.93</v>
      </c>
      <c r="O118" s="25">
        <v>81202.4</v>
      </c>
    </row>
    <row r="119" customFormat="1" ht="20" customHeight="1" spans="1:15">
      <c r="A119" s="17">
        <v>115</v>
      </c>
      <c r="B119" s="17">
        <v>2024</v>
      </c>
      <c r="C119" s="18" t="s">
        <v>6968</v>
      </c>
      <c r="D119" s="19" t="s">
        <v>1313</v>
      </c>
      <c r="E119" s="1296" t="s">
        <v>7165</v>
      </c>
      <c r="F119" s="19" t="s">
        <v>7166</v>
      </c>
      <c r="G119" s="27">
        <v>300000</v>
      </c>
      <c r="H119" s="48">
        <v>44587</v>
      </c>
      <c r="I119" s="48">
        <v>44951</v>
      </c>
      <c r="J119" s="48">
        <v>45040</v>
      </c>
      <c r="K119" s="25">
        <v>312076.84</v>
      </c>
      <c r="L119" s="25">
        <v>249661.47</v>
      </c>
      <c r="M119" s="25">
        <v>93623.05</v>
      </c>
      <c r="N119" s="25">
        <v>62415.37</v>
      </c>
      <c r="O119" s="25">
        <v>93623.05</v>
      </c>
    </row>
    <row r="120" customFormat="1" ht="20" customHeight="1" spans="1:15">
      <c r="A120" s="17">
        <v>116</v>
      </c>
      <c r="B120" s="17">
        <v>2024</v>
      </c>
      <c r="C120" s="18" t="s">
        <v>6968</v>
      </c>
      <c r="D120" s="19" t="s">
        <v>1326</v>
      </c>
      <c r="E120" s="1296" t="s">
        <v>7167</v>
      </c>
      <c r="F120" s="19" t="s">
        <v>7168</v>
      </c>
      <c r="G120" s="27">
        <v>200000</v>
      </c>
      <c r="H120" s="48">
        <v>44641</v>
      </c>
      <c r="I120" s="48">
        <v>45005</v>
      </c>
      <c r="J120" s="48">
        <v>45091</v>
      </c>
      <c r="K120" s="25">
        <v>148649.85</v>
      </c>
      <c r="L120" s="25">
        <v>118919.88</v>
      </c>
      <c r="M120" s="25">
        <v>44594.96</v>
      </c>
      <c r="N120" s="25">
        <v>29729.97</v>
      </c>
      <c r="O120" s="25">
        <v>44594.95</v>
      </c>
    </row>
    <row r="121" customFormat="1" ht="20" customHeight="1" spans="1:15">
      <c r="A121" s="17">
        <v>117</v>
      </c>
      <c r="B121" s="17">
        <v>2024</v>
      </c>
      <c r="C121" s="18" t="s">
        <v>6968</v>
      </c>
      <c r="D121" s="19" t="s">
        <v>1302</v>
      </c>
      <c r="E121" s="1296" t="s">
        <v>7169</v>
      </c>
      <c r="F121" s="19" t="s">
        <v>7161</v>
      </c>
      <c r="G121" s="27">
        <v>290000</v>
      </c>
      <c r="H121" s="48">
        <v>44560</v>
      </c>
      <c r="I121" s="48">
        <v>44924</v>
      </c>
      <c r="J121" s="48">
        <v>44992</v>
      </c>
      <c r="K121" s="25">
        <v>274297.91</v>
      </c>
      <c r="L121" s="25">
        <v>219438.33</v>
      </c>
      <c r="M121" s="25">
        <v>82289.37</v>
      </c>
      <c r="N121" s="25">
        <v>54859.58</v>
      </c>
      <c r="O121" s="25">
        <v>82289.38</v>
      </c>
    </row>
    <row r="122" customFormat="1" ht="20" customHeight="1" spans="1:15">
      <c r="A122" s="17">
        <v>118</v>
      </c>
      <c r="B122" s="17">
        <v>2024</v>
      </c>
      <c r="C122" s="18" t="s">
        <v>6968</v>
      </c>
      <c r="D122" s="19" t="s">
        <v>1308</v>
      </c>
      <c r="E122" s="1296" t="s">
        <v>7170</v>
      </c>
      <c r="F122" s="19" t="s">
        <v>7171</v>
      </c>
      <c r="G122" s="27">
        <v>150000</v>
      </c>
      <c r="H122" s="48">
        <v>44638</v>
      </c>
      <c r="I122" s="48">
        <v>45002</v>
      </c>
      <c r="J122" s="48">
        <v>45037</v>
      </c>
      <c r="K122" s="25">
        <v>154118.76</v>
      </c>
      <c r="L122" s="25">
        <v>123295.01</v>
      </c>
      <c r="M122" s="25">
        <v>46235.63</v>
      </c>
      <c r="N122" s="25">
        <v>30823.75</v>
      </c>
      <c r="O122" s="25">
        <v>46235.63</v>
      </c>
    </row>
    <row r="123" customFormat="1" ht="20" customHeight="1" spans="1:15">
      <c r="A123" s="17">
        <v>119</v>
      </c>
      <c r="B123" s="17">
        <v>2024</v>
      </c>
      <c r="C123" s="18" t="s">
        <v>6968</v>
      </c>
      <c r="D123" s="19" t="s">
        <v>1301</v>
      </c>
      <c r="E123" s="1296" t="s">
        <v>7172</v>
      </c>
      <c r="F123" s="19" t="s">
        <v>7161</v>
      </c>
      <c r="G123" s="27">
        <v>240000</v>
      </c>
      <c r="H123" s="48">
        <v>44559</v>
      </c>
      <c r="I123" s="48">
        <v>44923</v>
      </c>
      <c r="J123" s="48">
        <v>44992</v>
      </c>
      <c r="K123" s="25">
        <v>242607</v>
      </c>
      <c r="L123" s="25">
        <v>194085.6</v>
      </c>
      <c r="M123" s="25">
        <v>72782.1</v>
      </c>
      <c r="N123" s="25">
        <v>48521.4</v>
      </c>
      <c r="O123" s="25">
        <v>72782.1</v>
      </c>
    </row>
    <row r="124" customFormat="1" ht="20" customHeight="1" spans="1:15">
      <c r="A124" s="17">
        <v>120</v>
      </c>
      <c r="B124" s="17">
        <v>2024</v>
      </c>
      <c r="C124" s="18" t="s">
        <v>6968</v>
      </c>
      <c r="D124" s="19" t="s">
        <v>1300</v>
      </c>
      <c r="E124" s="1296" t="s">
        <v>7173</v>
      </c>
      <c r="F124" s="19" t="s">
        <v>7161</v>
      </c>
      <c r="G124" s="27">
        <v>120000</v>
      </c>
      <c r="H124" s="48">
        <v>44560</v>
      </c>
      <c r="I124" s="48">
        <v>44924</v>
      </c>
      <c r="J124" s="48">
        <v>44992</v>
      </c>
      <c r="K124" s="25">
        <v>121245.49</v>
      </c>
      <c r="L124" s="25">
        <v>96996.39</v>
      </c>
      <c r="M124" s="25">
        <v>36373.65</v>
      </c>
      <c r="N124" s="25">
        <v>24249.1</v>
      </c>
      <c r="O124" s="25">
        <v>36373.64</v>
      </c>
    </row>
    <row r="125" customFormat="1" ht="20" customHeight="1" spans="1:15">
      <c r="A125" s="17">
        <v>121</v>
      </c>
      <c r="B125" s="17">
        <v>2024</v>
      </c>
      <c r="C125" s="18" t="s">
        <v>6968</v>
      </c>
      <c r="D125" s="19" t="s">
        <v>1387</v>
      </c>
      <c r="E125" s="1296" t="s">
        <v>7174</v>
      </c>
      <c r="F125" s="19" t="s">
        <v>7161</v>
      </c>
      <c r="G125" s="27">
        <v>68000</v>
      </c>
      <c r="H125" s="48">
        <v>44773</v>
      </c>
      <c r="I125" s="48">
        <v>45868</v>
      </c>
      <c r="J125" s="48">
        <v>45226</v>
      </c>
      <c r="K125" s="25">
        <v>59577.2</v>
      </c>
      <c r="L125" s="25">
        <v>47661.76</v>
      </c>
      <c r="M125" s="25">
        <v>17873.16</v>
      </c>
      <c r="N125" s="25">
        <v>11915.44</v>
      </c>
      <c r="O125" s="25">
        <v>17873.16</v>
      </c>
    </row>
    <row r="126" customFormat="1" ht="20" customHeight="1" spans="1:15">
      <c r="A126" s="17">
        <v>122</v>
      </c>
      <c r="B126" s="17">
        <v>2024</v>
      </c>
      <c r="C126" s="18" t="s">
        <v>6968</v>
      </c>
      <c r="D126" s="19" t="s">
        <v>1389</v>
      </c>
      <c r="E126" s="1296" t="s">
        <v>7175</v>
      </c>
      <c r="F126" s="19" t="s">
        <v>7176</v>
      </c>
      <c r="G126" s="27">
        <v>67000</v>
      </c>
      <c r="H126" s="48">
        <v>44809</v>
      </c>
      <c r="I126" s="48">
        <v>45904</v>
      </c>
      <c r="J126" s="48">
        <v>45229</v>
      </c>
      <c r="K126" s="25">
        <v>69887.05</v>
      </c>
      <c r="L126" s="25">
        <v>55909.64</v>
      </c>
      <c r="M126" s="25">
        <v>20966.12</v>
      </c>
      <c r="N126" s="25">
        <v>13977.41</v>
      </c>
      <c r="O126" s="25">
        <v>20966.11</v>
      </c>
    </row>
    <row r="127" customFormat="1" ht="20" customHeight="1" spans="1:15">
      <c r="A127" s="17">
        <v>123</v>
      </c>
      <c r="B127" s="17">
        <v>2024</v>
      </c>
      <c r="C127" s="18" t="s">
        <v>6968</v>
      </c>
      <c r="D127" s="19" t="s">
        <v>1405</v>
      </c>
      <c r="E127" s="1296" t="s">
        <v>7177</v>
      </c>
      <c r="F127" s="19" t="s">
        <v>7178</v>
      </c>
      <c r="G127" s="27">
        <v>80000</v>
      </c>
      <c r="H127" s="48">
        <v>44834</v>
      </c>
      <c r="I127" s="48">
        <v>45929</v>
      </c>
      <c r="J127" s="48">
        <v>45260</v>
      </c>
      <c r="K127" s="25">
        <v>83446.94</v>
      </c>
      <c r="L127" s="25">
        <v>66757.55</v>
      </c>
      <c r="M127" s="25">
        <v>25034.08</v>
      </c>
      <c r="N127" s="25">
        <v>16689.39</v>
      </c>
      <c r="O127" s="25">
        <v>25034.08</v>
      </c>
    </row>
    <row r="128" customFormat="1" ht="20" customHeight="1" spans="1:15">
      <c r="A128" s="17">
        <v>124</v>
      </c>
      <c r="B128" s="17">
        <v>2024</v>
      </c>
      <c r="C128" s="18" t="s">
        <v>6968</v>
      </c>
      <c r="D128" s="19" t="s">
        <v>1401</v>
      </c>
      <c r="E128" s="1296" t="s">
        <v>7179</v>
      </c>
      <c r="F128" s="19" t="s">
        <v>7171</v>
      </c>
      <c r="G128" s="27">
        <v>30000</v>
      </c>
      <c r="H128" s="48">
        <v>44805</v>
      </c>
      <c r="I128" s="48">
        <v>45169</v>
      </c>
      <c r="J128" s="48">
        <v>45259</v>
      </c>
      <c r="K128" s="25">
        <v>30161.33</v>
      </c>
      <c r="L128" s="25">
        <v>24129.06</v>
      </c>
      <c r="M128" s="25">
        <v>9048.4</v>
      </c>
      <c r="N128" s="25">
        <v>6032.27</v>
      </c>
      <c r="O128" s="25">
        <v>9048.39</v>
      </c>
    </row>
    <row r="129" customFormat="1" ht="20" customHeight="1" spans="1:15">
      <c r="A129" s="17">
        <v>125</v>
      </c>
      <c r="B129" s="17">
        <v>2024</v>
      </c>
      <c r="C129" s="18" t="s">
        <v>6968</v>
      </c>
      <c r="D129" s="19" t="s">
        <v>1440</v>
      </c>
      <c r="E129" s="1296" t="s">
        <v>7180</v>
      </c>
      <c r="F129" s="19" t="s">
        <v>7168</v>
      </c>
      <c r="G129" s="27">
        <v>190000</v>
      </c>
      <c r="H129" s="48">
        <v>44585</v>
      </c>
      <c r="I129" s="48">
        <v>45680</v>
      </c>
      <c r="J129" s="48">
        <v>45372</v>
      </c>
      <c r="K129" s="25">
        <v>178177.35</v>
      </c>
      <c r="L129" s="25">
        <v>142541.88</v>
      </c>
      <c r="M129" s="25">
        <v>53453.21</v>
      </c>
      <c r="N129" s="25">
        <v>35635.47</v>
      </c>
      <c r="O129" s="25">
        <v>53453.2</v>
      </c>
    </row>
    <row r="130" customFormat="1" ht="20" customHeight="1" spans="1:15">
      <c r="A130" s="17">
        <v>126</v>
      </c>
      <c r="B130" s="17">
        <v>2024</v>
      </c>
      <c r="C130" s="18" t="s">
        <v>6968</v>
      </c>
      <c r="D130" s="19" t="s">
        <v>1431</v>
      </c>
      <c r="E130" s="1296" t="s">
        <v>7181</v>
      </c>
      <c r="F130" s="19" t="s">
        <v>7182</v>
      </c>
      <c r="G130" s="27">
        <v>210000</v>
      </c>
      <c r="H130" s="48">
        <v>44708</v>
      </c>
      <c r="I130" s="48">
        <v>45803</v>
      </c>
      <c r="J130" s="48">
        <v>45351</v>
      </c>
      <c r="K130" s="25">
        <v>212245.82</v>
      </c>
      <c r="L130" s="25">
        <v>169796.66</v>
      </c>
      <c r="M130" s="25">
        <v>63673.75</v>
      </c>
      <c r="N130" s="25">
        <v>42449.17</v>
      </c>
      <c r="O130" s="25">
        <v>63673.74</v>
      </c>
    </row>
    <row r="131" customFormat="1" ht="20" customHeight="1" spans="1:15">
      <c r="A131" s="17">
        <v>127</v>
      </c>
      <c r="B131" s="17">
        <v>2024</v>
      </c>
      <c r="C131" s="18" t="s">
        <v>6968</v>
      </c>
      <c r="D131" s="19" t="s">
        <v>1458</v>
      </c>
      <c r="E131" s="1296" t="s">
        <v>7183</v>
      </c>
      <c r="F131" s="19" t="s">
        <v>7184</v>
      </c>
      <c r="G131" s="27">
        <v>240000</v>
      </c>
      <c r="H131" s="48">
        <v>44648</v>
      </c>
      <c r="I131" s="48">
        <v>45743</v>
      </c>
      <c r="J131" s="48">
        <v>45393</v>
      </c>
      <c r="K131" s="25">
        <v>243816.34</v>
      </c>
      <c r="L131" s="25">
        <v>195053.07</v>
      </c>
      <c r="M131" s="25">
        <v>73144.9</v>
      </c>
      <c r="N131" s="25">
        <v>48763.27</v>
      </c>
      <c r="O131" s="25">
        <v>73144.9</v>
      </c>
    </row>
    <row r="132" customFormat="1" ht="20" customHeight="1" spans="1:15">
      <c r="A132" s="17">
        <v>128</v>
      </c>
      <c r="B132" s="17">
        <v>2024</v>
      </c>
      <c r="C132" s="18" t="s">
        <v>6968</v>
      </c>
      <c r="D132" s="19" t="s">
        <v>1473</v>
      </c>
      <c r="E132" s="1296" t="s">
        <v>7185</v>
      </c>
      <c r="F132" s="19" t="s">
        <v>7176</v>
      </c>
      <c r="G132" s="27">
        <v>200000</v>
      </c>
      <c r="H132" s="48">
        <v>44632</v>
      </c>
      <c r="I132" s="48">
        <v>45727</v>
      </c>
      <c r="J132" s="48">
        <v>45412</v>
      </c>
      <c r="K132" s="25">
        <v>207947.1</v>
      </c>
      <c r="L132" s="25">
        <v>166357.68</v>
      </c>
      <c r="M132" s="25">
        <v>62384.13</v>
      </c>
      <c r="N132" s="25">
        <v>41589.42</v>
      </c>
      <c r="O132" s="25">
        <v>62384.13</v>
      </c>
    </row>
    <row r="133" customFormat="1" ht="20" customHeight="1" spans="1:15">
      <c r="A133" s="17">
        <v>129</v>
      </c>
      <c r="B133" s="17">
        <v>2024</v>
      </c>
      <c r="C133" s="18" t="s">
        <v>6968</v>
      </c>
      <c r="D133" s="19" t="s">
        <v>1472</v>
      </c>
      <c r="E133" s="1296" t="s">
        <v>7186</v>
      </c>
      <c r="F133" s="19" t="s">
        <v>7187</v>
      </c>
      <c r="G133" s="27">
        <v>300000</v>
      </c>
      <c r="H133" s="48">
        <v>44635</v>
      </c>
      <c r="I133" s="48">
        <v>45730</v>
      </c>
      <c r="J133" s="48">
        <v>45412</v>
      </c>
      <c r="K133" s="25">
        <v>303288.75</v>
      </c>
      <c r="L133" s="25">
        <v>242631</v>
      </c>
      <c r="M133" s="25">
        <v>90986.63</v>
      </c>
      <c r="N133" s="25">
        <v>60657.75</v>
      </c>
      <c r="O133" s="25">
        <v>90986.62</v>
      </c>
    </row>
    <row r="134" customFormat="1" ht="20" customHeight="1" spans="1:15">
      <c r="A134" s="17">
        <v>130</v>
      </c>
      <c r="B134" s="17">
        <v>2024</v>
      </c>
      <c r="C134" s="18" t="s">
        <v>6968</v>
      </c>
      <c r="D134" s="19" t="s">
        <v>1480</v>
      </c>
      <c r="E134" s="1296" t="s">
        <v>7188</v>
      </c>
      <c r="F134" s="19" t="s">
        <v>7189</v>
      </c>
      <c r="G134" s="27">
        <v>300000</v>
      </c>
      <c r="H134" s="48">
        <v>44646</v>
      </c>
      <c r="I134" s="48">
        <v>45741</v>
      </c>
      <c r="J134" s="48">
        <v>45425</v>
      </c>
      <c r="K134" s="25">
        <v>303361.41</v>
      </c>
      <c r="L134" s="25">
        <v>242689.13</v>
      </c>
      <c r="M134" s="25">
        <v>91008.42</v>
      </c>
      <c r="N134" s="25">
        <v>60672.28</v>
      </c>
      <c r="O134" s="25">
        <v>91008.43</v>
      </c>
    </row>
    <row r="135" customFormat="1" ht="20" customHeight="1" spans="1:15">
      <c r="A135" s="17">
        <v>131</v>
      </c>
      <c r="B135" s="17">
        <v>2024</v>
      </c>
      <c r="C135" s="18" t="s">
        <v>6968</v>
      </c>
      <c r="D135" s="19" t="s">
        <v>1338</v>
      </c>
      <c r="E135" s="1296" t="s">
        <v>7190</v>
      </c>
      <c r="F135" s="19" t="s">
        <v>7191</v>
      </c>
      <c r="G135" s="27">
        <v>840000</v>
      </c>
      <c r="H135" s="48">
        <v>44678</v>
      </c>
      <c r="I135" s="48">
        <v>45043</v>
      </c>
      <c r="J135" s="48">
        <v>45105</v>
      </c>
      <c r="K135" s="25">
        <v>845462.24</v>
      </c>
      <c r="L135" s="25">
        <v>668597.79</v>
      </c>
      <c r="M135" s="25">
        <v>250724.17</v>
      </c>
      <c r="N135" s="25">
        <v>167149.45</v>
      </c>
      <c r="O135" s="25">
        <v>250724.17</v>
      </c>
    </row>
    <row r="136" customFormat="1" ht="20" customHeight="1" spans="1:15">
      <c r="A136" s="17">
        <v>132</v>
      </c>
      <c r="B136" s="17">
        <v>2024</v>
      </c>
      <c r="C136" s="18" t="s">
        <v>6968</v>
      </c>
      <c r="D136" s="19" t="s">
        <v>1399</v>
      </c>
      <c r="E136" s="1296" t="s">
        <v>7192</v>
      </c>
      <c r="F136" s="19" t="s">
        <v>7191</v>
      </c>
      <c r="G136" s="27">
        <v>1041000</v>
      </c>
      <c r="H136" s="48">
        <v>44830</v>
      </c>
      <c r="I136" s="48">
        <v>45195</v>
      </c>
      <c r="J136" s="48">
        <v>45257</v>
      </c>
      <c r="K136" s="25">
        <v>958002.3</v>
      </c>
      <c r="L136" s="25">
        <v>765645.84</v>
      </c>
      <c r="M136" s="25">
        <v>287117.19</v>
      </c>
      <c r="N136" s="25">
        <v>191411.46</v>
      </c>
      <c r="O136" s="25">
        <v>287117.19</v>
      </c>
    </row>
    <row r="137" customFormat="1" ht="20" customHeight="1" spans="1:15">
      <c r="A137" s="17">
        <v>133</v>
      </c>
      <c r="B137" s="17">
        <v>2024</v>
      </c>
      <c r="C137" s="18" t="s">
        <v>6968</v>
      </c>
      <c r="D137" s="19" t="s">
        <v>1454</v>
      </c>
      <c r="E137" s="1296" t="s">
        <v>7193</v>
      </c>
      <c r="F137" s="19" t="s">
        <v>7194</v>
      </c>
      <c r="G137" s="27">
        <v>700000</v>
      </c>
      <c r="H137" s="48">
        <v>44954</v>
      </c>
      <c r="I137" s="48">
        <v>45319</v>
      </c>
      <c r="J137" s="48">
        <v>45381</v>
      </c>
      <c r="K137" s="25">
        <v>589063.75</v>
      </c>
      <c r="L137" s="25">
        <v>466624.69</v>
      </c>
      <c r="M137" s="25">
        <v>174984.26</v>
      </c>
      <c r="N137" s="25">
        <v>116656.17</v>
      </c>
      <c r="O137" s="25">
        <v>174984.26</v>
      </c>
    </row>
    <row r="138" customFormat="1" ht="20" customHeight="1" spans="1:15">
      <c r="A138" s="17">
        <v>134</v>
      </c>
      <c r="B138" s="17">
        <v>2024</v>
      </c>
      <c r="C138" s="18" t="s">
        <v>6968</v>
      </c>
      <c r="D138" s="19" t="s">
        <v>1500</v>
      </c>
      <c r="E138" s="1296" t="s">
        <v>7195</v>
      </c>
      <c r="F138" s="19" t="s">
        <v>7194</v>
      </c>
      <c r="G138" s="27">
        <v>300000</v>
      </c>
      <c r="H138" s="48">
        <v>45013</v>
      </c>
      <c r="I138" s="48">
        <v>45379</v>
      </c>
      <c r="J138" s="48">
        <v>45441</v>
      </c>
      <c r="K138" s="25">
        <v>263718.73</v>
      </c>
      <c r="L138" s="25">
        <v>208914.3</v>
      </c>
      <c r="M138" s="25">
        <v>78342.86</v>
      </c>
      <c r="N138" s="25">
        <v>52228.58</v>
      </c>
      <c r="O138" s="25">
        <v>78342.86</v>
      </c>
    </row>
    <row r="139" customFormat="1" ht="20" customHeight="1" spans="1:15">
      <c r="A139" s="17">
        <v>135</v>
      </c>
      <c r="B139" s="17">
        <v>2024</v>
      </c>
      <c r="C139" s="18" t="s">
        <v>6968</v>
      </c>
      <c r="D139" s="19" t="s">
        <v>1371</v>
      </c>
      <c r="E139" s="1296" t="s">
        <v>7196</v>
      </c>
      <c r="F139" s="19" t="s">
        <v>6992</v>
      </c>
      <c r="G139" s="27">
        <v>150000</v>
      </c>
      <c r="H139" s="48">
        <v>44747</v>
      </c>
      <c r="I139" s="48">
        <v>45112</v>
      </c>
      <c r="J139" s="48">
        <v>45191</v>
      </c>
      <c r="K139" s="25">
        <v>149622.54</v>
      </c>
      <c r="L139" s="25">
        <v>119698.03</v>
      </c>
      <c r="M139" s="25">
        <v>44886.76</v>
      </c>
      <c r="N139" s="25">
        <v>29924.51</v>
      </c>
      <c r="O139" s="25">
        <v>44886.76</v>
      </c>
    </row>
    <row r="140" customFormat="1" ht="20" customHeight="1" spans="1:15">
      <c r="A140" s="17">
        <v>136</v>
      </c>
      <c r="B140" s="17">
        <v>2024</v>
      </c>
      <c r="C140" s="18" t="s">
        <v>6968</v>
      </c>
      <c r="D140" s="19" t="s">
        <v>1365</v>
      </c>
      <c r="E140" s="1296" t="s">
        <v>7197</v>
      </c>
      <c r="F140" s="19" t="s">
        <v>7198</v>
      </c>
      <c r="G140" s="27">
        <v>1700000</v>
      </c>
      <c r="H140" s="48">
        <v>44732</v>
      </c>
      <c r="I140" s="48">
        <v>45097</v>
      </c>
      <c r="J140" s="48">
        <v>45184</v>
      </c>
      <c r="K140" s="25">
        <v>1727201.98</v>
      </c>
      <c r="L140" s="25">
        <v>1381761.58</v>
      </c>
      <c r="M140" s="25">
        <v>518160.59</v>
      </c>
      <c r="N140" s="25">
        <v>345440.4</v>
      </c>
      <c r="O140" s="25">
        <v>518160.59</v>
      </c>
    </row>
    <row r="141" customFormat="1" ht="20" customHeight="1" spans="1:15">
      <c r="A141" s="17">
        <v>137</v>
      </c>
      <c r="B141" s="17">
        <v>2024</v>
      </c>
      <c r="C141" s="18" t="s">
        <v>7020</v>
      </c>
      <c r="D141" s="19" t="s">
        <v>1367</v>
      </c>
      <c r="E141" s="1296" t="s">
        <v>7199</v>
      </c>
      <c r="F141" s="19" t="s">
        <v>6534</v>
      </c>
      <c r="G141" s="27">
        <v>1000000</v>
      </c>
      <c r="H141" s="48">
        <v>44887</v>
      </c>
      <c r="I141" s="48">
        <v>45252</v>
      </c>
      <c r="J141" s="48">
        <v>45190</v>
      </c>
      <c r="K141" s="25">
        <v>1006270.81</v>
      </c>
      <c r="L141" s="25">
        <v>805016.64</v>
      </c>
      <c r="M141" s="25">
        <v>301881.24</v>
      </c>
      <c r="N141" s="25">
        <v>201254.16</v>
      </c>
      <c r="O141" s="25">
        <v>301881.24</v>
      </c>
    </row>
    <row r="142" customFormat="1" ht="20" customHeight="1" spans="1:15">
      <c r="A142" s="17">
        <v>138</v>
      </c>
      <c r="B142" s="17">
        <v>2024</v>
      </c>
      <c r="C142" s="18" t="s">
        <v>7020</v>
      </c>
      <c r="D142" s="19" t="s">
        <v>1368</v>
      </c>
      <c r="E142" s="1296" t="s">
        <v>7200</v>
      </c>
      <c r="F142" s="19" t="s">
        <v>6534</v>
      </c>
      <c r="G142" s="27">
        <v>400000</v>
      </c>
      <c r="H142" s="48">
        <v>44855</v>
      </c>
      <c r="I142" s="48">
        <v>45220</v>
      </c>
      <c r="J142" s="48">
        <v>45190</v>
      </c>
      <c r="K142" s="25">
        <v>403757.77</v>
      </c>
      <c r="L142" s="25">
        <v>323006.22</v>
      </c>
      <c r="M142" s="25">
        <v>121127.33</v>
      </c>
      <c r="N142" s="25">
        <v>80751.56</v>
      </c>
      <c r="O142" s="25">
        <v>121127.33</v>
      </c>
    </row>
    <row r="143" customFormat="1" ht="20" customHeight="1" spans="1:15">
      <c r="A143" s="17">
        <v>139</v>
      </c>
      <c r="B143" s="17">
        <v>2024</v>
      </c>
      <c r="C143" s="18" t="s">
        <v>7020</v>
      </c>
      <c r="D143" s="19" t="s">
        <v>1369</v>
      </c>
      <c r="E143" s="1296" t="s">
        <v>7201</v>
      </c>
      <c r="F143" s="19" t="s">
        <v>6534</v>
      </c>
      <c r="G143" s="27">
        <v>1000000</v>
      </c>
      <c r="H143" s="48">
        <v>44842</v>
      </c>
      <c r="I143" s="48">
        <v>45207</v>
      </c>
      <c r="J143" s="48">
        <v>45190</v>
      </c>
      <c r="K143" s="25">
        <v>1009394.44</v>
      </c>
      <c r="L143" s="25">
        <v>807515.55</v>
      </c>
      <c r="M143" s="25">
        <v>302818.33</v>
      </c>
      <c r="N143" s="25">
        <v>201878.89</v>
      </c>
      <c r="O143" s="25">
        <v>302818.33</v>
      </c>
    </row>
    <row r="144" customFormat="1" ht="20" customHeight="1" spans="1:15">
      <c r="A144" s="17">
        <v>140</v>
      </c>
      <c r="B144" s="17">
        <v>2024</v>
      </c>
      <c r="C144" s="18" t="s">
        <v>7020</v>
      </c>
      <c r="D144" s="19" t="s">
        <v>1370</v>
      </c>
      <c r="E144" s="1296" t="s">
        <v>7202</v>
      </c>
      <c r="F144" s="19" t="s">
        <v>7068</v>
      </c>
      <c r="G144" s="27">
        <v>324000</v>
      </c>
      <c r="H144" s="48">
        <v>44823</v>
      </c>
      <c r="I144" s="48">
        <v>45188</v>
      </c>
      <c r="J144" s="48">
        <v>45190</v>
      </c>
      <c r="K144" s="25">
        <v>327136.32</v>
      </c>
      <c r="L144" s="25">
        <v>261709.06</v>
      </c>
      <c r="M144" s="25">
        <v>98140.9</v>
      </c>
      <c r="N144" s="25">
        <v>65427.26</v>
      </c>
      <c r="O144" s="25">
        <v>98140.9</v>
      </c>
    </row>
    <row r="145" customFormat="1" ht="20" customHeight="1" spans="1:15">
      <c r="A145" s="17">
        <v>141</v>
      </c>
      <c r="B145" s="17">
        <v>2024</v>
      </c>
      <c r="C145" s="18" t="s">
        <v>7020</v>
      </c>
      <c r="D145" s="19" t="s">
        <v>1475</v>
      </c>
      <c r="E145" s="1296" t="s">
        <v>7203</v>
      </c>
      <c r="F145" s="19" t="s">
        <v>7204</v>
      </c>
      <c r="G145" s="27">
        <v>2000000</v>
      </c>
      <c r="H145" s="48">
        <v>45000</v>
      </c>
      <c r="I145" s="48">
        <v>45365</v>
      </c>
      <c r="J145" s="48">
        <v>45421</v>
      </c>
      <c r="K145" s="25">
        <v>1591686.39</v>
      </c>
      <c r="L145" s="25">
        <v>1164684.73</v>
      </c>
      <c r="M145" s="25">
        <v>436756.77</v>
      </c>
      <c r="N145" s="25">
        <v>291171.18</v>
      </c>
      <c r="O145" s="25">
        <v>436756.78</v>
      </c>
    </row>
    <row r="146" customFormat="1" ht="20" customHeight="1" spans="1:15">
      <c r="A146" s="17">
        <v>142</v>
      </c>
      <c r="B146" s="17">
        <v>2024</v>
      </c>
      <c r="C146" s="18" t="s">
        <v>7020</v>
      </c>
      <c r="D146" s="19" t="s">
        <v>1468</v>
      </c>
      <c r="E146" s="1296" t="s">
        <v>7205</v>
      </c>
      <c r="F146" s="19" t="s">
        <v>7206</v>
      </c>
      <c r="G146" s="27">
        <v>2600000</v>
      </c>
      <c r="H146" s="48">
        <v>44964</v>
      </c>
      <c r="I146" s="48">
        <v>45328</v>
      </c>
      <c r="J146" s="48">
        <v>45408</v>
      </c>
      <c r="K146" s="25">
        <v>1999707.8</v>
      </c>
      <c r="L146" s="25">
        <v>1599766.24</v>
      </c>
      <c r="M146" s="25">
        <v>599912.34</v>
      </c>
      <c r="N146" s="25">
        <v>399941.56</v>
      </c>
      <c r="O146" s="25">
        <v>599912.34</v>
      </c>
    </row>
    <row r="147" customFormat="1" ht="20" customHeight="1" spans="1:15">
      <c r="A147" s="17">
        <v>143</v>
      </c>
      <c r="B147" s="17">
        <v>2024</v>
      </c>
      <c r="C147" s="18" t="s">
        <v>7020</v>
      </c>
      <c r="D147" s="19" t="s">
        <v>1474</v>
      </c>
      <c r="E147" s="1296" t="s">
        <v>7207</v>
      </c>
      <c r="F147" s="19" t="s">
        <v>7208</v>
      </c>
      <c r="G147" s="27">
        <v>2400000</v>
      </c>
      <c r="H147" s="48">
        <v>45008</v>
      </c>
      <c r="I147" s="48">
        <v>45373</v>
      </c>
      <c r="J147" s="48">
        <v>45420</v>
      </c>
      <c r="K147" s="25">
        <v>2399302.05</v>
      </c>
      <c r="L147" s="25">
        <v>1919441.64</v>
      </c>
      <c r="M147" s="25">
        <v>719790.61</v>
      </c>
      <c r="N147" s="25">
        <v>479860.42</v>
      </c>
      <c r="O147" s="25">
        <v>719790.61</v>
      </c>
    </row>
    <row r="148" customFormat="1" ht="20" customHeight="1" spans="1:15">
      <c r="A148" s="17">
        <v>144</v>
      </c>
      <c r="B148" s="17">
        <v>2024</v>
      </c>
      <c r="C148" s="18" t="s">
        <v>7209</v>
      </c>
      <c r="D148" s="19" t="s">
        <v>1351</v>
      </c>
      <c r="E148" s="1296" t="s">
        <v>7210</v>
      </c>
      <c r="F148" s="19" t="s">
        <v>7211</v>
      </c>
      <c r="G148" s="27">
        <v>3000000</v>
      </c>
      <c r="H148" s="48">
        <v>44735</v>
      </c>
      <c r="I148" s="48">
        <v>45099</v>
      </c>
      <c r="J148" s="48">
        <v>45134</v>
      </c>
      <c r="K148" s="25">
        <v>2500175.85</v>
      </c>
      <c r="L148" s="25">
        <v>2000140.68</v>
      </c>
      <c r="M148" s="25">
        <v>750052.76</v>
      </c>
      <c r="N148" s="25">
        <v>500035.17</v>
      </c>
      <c r="O148" s="25">
        <v>750052.75</v>
      </c>
    </row>
    <row r="149" customFormat="1" ht="20" customHeight="1" spans="1:15">
      <c r="A149" s="17">
        <v>145</v>
      </c>
      <c r="B149" s="17">
        <v>2024</v>
      </c>
      <c r="C149" s="18" t="s">
        <v>7209</v>
      </c>
      <c r="D149" s="19" t="s">
        <v>1356</v>
      </c>
      <c r="E149" s="1296" t="s">
        <v>7212</v>
      </c>
      <c r="F149" s="19" t="s">
        <v>6893</v>
      </c>
      <c r="G149" s="27">
        <v>2130000</v>
      </c>
      <c r="H149" s="48">
        <v>44712</v>
      </c>
      <c r="I149" s="48">
        <v>45076</v>
      </c>
      <c r="J149" s="48">
        <v>45156</v>
      </c>
      <c r="K149" s="25">
        <v>2126395.33</v>
      </c>
      <c r="L149" s="25">
        <v>1701116.26</v>
      </c>
      <c r="M149" s="25">
        <v>637918.6</v>
      </c>
      <c r="N149" s="25">
        <v>425279.07</v>
      </c>
      <c r="O149" s="25">
        <v>637918.59</v>
      </c>
    </row>
    <row r="150" customFormat="1" ht="20" customHeight="1" spans="1:15">
      <c r="A150" s="17">
        <v>146</v>
      </c>
      <c r="B150" s="17">
        <v>2024</v>
      </c>
      <c r="C150" s="18" t="s">
        <v>7020</v>
      </c>
      <c r="D150" s="19" t="s">
        <v>1477</v>
      </c>
      <c r="E150" s="1297" t="s">
        <v>7213</v>
      </c>
      <c r="F150" s="19" t="s">
        <v>7068</v>
      </c>
      <c r="G150" s="27">
        <v>1163000</v>
      </c>
      <c r="H150" s="48">
        <v>44977</v>
      </c>
      <c r="I150" s="48">
        <v>45342</v>
      </c>
      <c r="J150" s="48">
        <v>45422</v>
      </c>
      <c r="K150" s="25">
        <v>1166437.31</v>
      </c>
      <c r="L150" s="25">
        <v>933149.85</v>
      </c>
      <c r="M150" s="25">
        <v>349931.19</v>
      </c>
      <c r="N150" s="25">
        <v>233287.46</v>
      </c>
      <c r="O150" s="25">
        <v>349931.2</v>
      </c>
    </row>
    <row r="151" customFormat="1" ht="20" customHeight="1" spans="1:15">
      <c r="A151" s="17">
        <v>147</v>
      </c>
      <c r="B151" s="17">
        <v>2024</v>
      </c>
      <c r="C151" s="18" t="s">
        <v>7020</v>
      </c>
      <c r="D151" s="19" t="s">
        <v>1506</v>
      </c>
      <c r="E151" s="1298" t="s">
        <v>7214</v>
      </c>
      <c r="F151" s="19" t="s">
        <v>6550</v>
      </c>
      <c r="G151" s="27">
        <v>835000</v>
      </c>
      <c r="H151" s="48">
        <v>45004</v>
      </c>
      <c r="I151" s="48">
        <v>45370</v>
      </c>
      <c r="J151" s="48">
        <v>45450</v>
      </c>
      <c r="K151" s="25">
        <v>840112.05</v>
      </c>
      <c r="L151" s="25">
        <v>672089.64</v>
      </c>
      <c r="M151" s="25">
        <v>252033.62</v>
      </c>
      <c r="N151" s="25">
        <v>168022.41</v>
      </c>
      <c r="O151" s="25">
        <v>252033.61</v>
      </c>
    </row>
    <row r="152" customFormat="1" ht="20" customHeight="1" spans="1:15">
      <c r="A152" s="17">
        <v>148</v>
      </c>
      <c r="B152" s="17">
        <v>2024</v>
      </c>
      <c r="C152" s="18" t="s">
        <v>7020</v>
      </c>
      <c r="D152" s="19" t="s">
        <v>1476</v>
      </c>
      <c r="E152" s="1299" t="s">
        <v>7215</v>
      </c>
      <c r="F152" s="19" t="s">
        <v>7068</v>
      </c>
      <c r="G152" s="27">
        <v>1000000</v>
      </c>
      <c r="H152" s="48">
        <v>44967</v>
      </c>
      <c r="I152" s="48">
        <v>45332</v>
      </c>
      <c r="J152" s="48">
        <v>45421</v>
      </c>
      <c r="K152" s="25">
        <v>965024.38</v>
      </c>
      <c r="L152" s="25">
        <v>772019.5</v>
      </c>
      <c r="M152" s="25">
        <v>289507.31</v>
      </c>
      <c r="N152" s="25">
        <v>193004.88</v>
      </c>
      <c r="O152" s="25">
        <v>289507.31</v>
      </c>
    </row>
    <row r="153" customFormat="1" ht="20" customHeight="1" spans="1:15">
      <c r="A153" s="17">
        <v>149</v>
      </c>
      <c r="B153" s="17">
        <v>2024</v>
      </c>
      <c r="C153" s="18" t="s">
        <v>7020</v>
      </c>
      <c r="D153" s="19" t="s">
        <v>1505</v>
      </c>
      <c r="E153" s="1300" t="s">
        <v>7216</v>
      </c>
      <c r="F153" s="19" t="s">
        <v>1208</v>
      </c>
      <c r="G153" s="27">
        <v>100000</v>
      </c>
      <c r="H153" s="48">
        <v>45007</v>
      </c>
      <c r="I153" s="48">
        <v>45373</v>
      </c>
      <c r="J153" s="48">
        <v>45450</v>
      </c>
      <c r="K153" s="25">
        <v>95779.81</v>
      </c>
      <c r="L153" s="25">
        <v>45968.42</v>
      </c>
      <c r="M153" s="25">
        <v>17238.16</v>
      </c>
      <c r="N153" s="25">
        <v>11492.11</v>
      </c>
      <c r="O153" s="25">
        <v>17238.15</v>
      </c>
    </row>
    <row r="154" customFormat="1" ht="20" customHeight="1" spans="1:15">
      <c r="A154" s="17">
        <v>150</v>
      </c>
      <c r="B154" s="17">
        <v>2024</v>
      </c>
      <c r="C154" s="18" t="s">
        <v>7012</v>
      </c>
      <c r="D154" s="19" t="s">
        <v>1375</v>
      </c>
      <c r="E154" s="1296" t="s">
        <v>7217</v>
      </c>
      <c r="F154" s="19" t="s">
        <v>7014</v>
      </c>
      <c r="G154" s="27">
        <v>2720000</v>
      </c>
      <c r="H154" s="48">
        <v>44829</v>
      </c>
      <c r="I154" s="48">
        <v>45183</v>
      </c>
      <c r="J154" s="48">
        <v>45191</v>
      </c>
      <c r="K154" s="25">
        <v>2720000</v>
      </c>
      <c r="L154" s="25">
        <v>2176000</v>
      </c>
      <c r="M154" s="25">
        <v>816000</v>
      </c>
      <c r="N154" s="25">
        <v>544000</v>
      </c>
      <c r="O154" s="25">
        <v>816000</v>
      </c>
    </row>
    <row r="155" customFormat="1" ht="20" customHeight="1" spans="1:15">
      <c r="A155" s="17">
        <v>151</v>
      </c>
      <c r="B155" s="17">
        <v>2024</v>
      </c>
      <c r="C155" s="18" t="s">
        <v>7012</v>
      </c>
      <c r="D155" s="19" t="s">
        <v>1366</v>
      </c>
      <c r="E155" s="1296" t="s">
        <v>7218</v>
      </c>
      <c r="F155" s="19" t="s">
        <v>7219</v>
      </c>
      <c r="G155" s="27">
        <v>2100000</v>
      </c>
      <c r="H155" s="48">
        <v>44903</v>
      </c>
      <c r="I155" s="48">
        <v>45268</v>
      </c>
      <c r="J155" s="48">
        <v>45188</v>
      </c>
      <c r="K155" s="25">
        <v>2127385.03</v>
      </c>
      <c r="L155" s="25">
        <v>1701908.02</v>
      </c>
      <c r="M155" s="25">
        <v>638215.51</v>
      </c>
      <c r="N155" s="25">
        <v>425477.01</v>
      </c>
      <c r="O155" s="25">
        <v>638215.5</v>
      </c>
    </row>
    <row r="156" customFormat="1" ht="20" customHeight="1" spans="1:15">
      <c r="A156" s="17">
        <v>152</v>
      </c>
      <c r="B156" s="17">
        <v>2024</v>
      </c>
      <c r="C156" s="18" t="s">
        <v>7012</v>
      </c>
      <c r="D156" s="19" t="s">
        <v>1341</v>
      </c>
      <c r="E156" s="1296" t="s">
        <v>7220</v>
      </c>
      <c r="F156" s="19" t="s">
        <v>7219</v>
      </c>
      <c r="G156" s="27">
        <v>2600000</v>
      </c>
      <c r="H156" s="48">
        <v>44677</v>
      </c>
      <c r="I156" s="48">
        <v>45042</v>
      </c>
      <c r="J156" s="48">
        <v>45119</v>
      </c>
      <c r="K156" s="25">
        <v>2523771.6</v>
      </c>
      <c r="L156" s="25">
        <v>2019017.28</v>
      </c>
      <c r="M156" s="25">
        <v>757131.48</v>
      </c>
      <c r="N156" s="25">
        <v>504754.32</v>
      </c>
      <c r="O156" s="25">
        <v>757131.48</v>
      </c>
    </row>
    <row r="157" customFormat="1" ht="20" customHeight="1" spans="1:15">
      <c r="A157" s="17">
        <v>153</v>
      </c>
      <c r="B157" s="17">
        <v>2024</v>
      </c>
      <c r="C157" s="18" t="s">
        <v>7012</v>
      </c>
      <c r="D157" s="19" t="s">
        <v>1439</v>
      </c>
      <c r="E157" s="1296" t="s">
        <v>7221</v>
      </c>
      <c r="F157" s="19" t="s">
        <v>7222</v>
      </c>
      <c r="G157" s="27">
        <v>2300000</v>
      </c>
      <c r="H157" s="48">
        <v>44932</v>
      </c>
      <c r="I157" s="48">
        <v>45297</v>
      </c>
      <c r="J157" s="48">
        <v>45370</v>
      </c>
      <c r="K157" s="25">
        <v>1288153.05</v>
      </c>
      <c r="L157" s="25">
        <v>1030522.44</v>
      </c>
      <c r="M157" s="25">
        <v>386445.92</v>
      </c>
      <c r="N157" s="25">
        <v>257630.61</v>
      </c>
      <c r="O157" s="25">
        <v>386445.91</v>
      </c>
    </row>
    <row r="158" customFormat="1" ht="20" customHeight="1" spans="1:15">
      <c r="A158" s="17">
        <v>154</v>
      </c>
      <c r="B158" s="17">
        <v>2024</v>
      </c>
      <c r="C158" s="18" t="s">
        <v>7012</v>
      </c>
      <c r="D158" s="19" t="s">
        <v>1416</v>
      </c>
      <c r="E158" s="1296" t="s">
        <v>7223</v>
      </c>
      <c r="F158" s="19" t="s">
        <v>7219</v>
      </c>
      <c r="G158" s="27">
        <v>770000</v>
      </c>
      <c r="H158" s="48">
        <v>44921</v>
      </c>
      <c r="I158" s="48">
        <v>45286</v>
      </c>
      <c r="J158" s="48">
        <v>45317</v>
      </c>
      <c r="K158" s="25">
        <v>770000</v>
      </c>
      <c r="L158" s="25">
        <v>616000</v>
      </c>
      <c r="M158" s="25">
        <v>231000</v>
      </c>
      <c r="N158" s="25">
        <v>154000</v>
      </c>
      <c r="O158" s="25">
        <v>231000</v>
      </c>
    </row>
    <row r="159" customFormat="1" ht="20" customHeight="1" spans="1:15">
      <c r="A159" s="17">
        <v>155</v>
      </c>
      <c r="B159" s="17">
        <v>2024</v>
      </c>
      <c r="C159" s="18" t="s">
        <v>7012</v>
      </c>
      <c r="D159" s="19" t="s">
        <v>1467</v>
      </c>
      <c r="E159" s="1296" t="s">
        <v>7224</v>
      </c>
      <c r="F159" s="19" t="s">
        <v>7219</v>
      </c>
      <c r="G159" s="27">
        <v>1050000</v>
      </c>
      <c r="H159" s="48">
        <v>44973</v>
      </c>
      <c r="I159" s="48">
        <v>45338</v>
      </c>
      <c r="J159" s="48">
        <v>45408</v>
      </c>
      <c r="K159" s="25">
        <v>1016599.89</v>
      </c>
      <c r="L159" s="25">
        <v>813279.91</v>
      </c>
      <c r="M159" s="25">
        <v>304979.97</v>
      </c>
      <c r="N159" s="25">
        <v>203319.98</v>
      </c>
      <c r="O159" s="25">
        <v>304979.96</v>
      </c>
    </row>
    <row r="160" customFormat="1" ht="35.25" customHeight="1" spans="1:15">
      <c r="A160" s="17">
        <v>156</v>
      </c>
      <c r="B160" s="17">
        <v>2024</v>
      </c>
      <c r="C160" s="57" t="s">
        <v>7012</v>
      </c>
      <c r="D160" s="57" t="s">
        <v>229</v>
      </c>
      <c r="E160" s="29" t="s">
        <v>7225</v>
      </c>
      <c r="F160" s="57" t="s">
        <v>7222</v>
      </c>
      <c r="G160" s="27">
        <v>5000000</v>
      </c>
      <c r="H160" s="48">
        <v>45012</v>
      </c>
      <c r="I160" s="48">
        <v>45377</v>
      </c>
      <c r="J160" s="48">
        <v>45434</v>
      </c>
      <c r="K160" s="25">
        <v>4994439.91</v>
      </c>
      <c r="L160" s="25">
        <v>3995551.93</v>
      </c>
      <c r="M160" s="25">
        <v>1498331.97</v>
      </c>
      <c r="N160" s="25">
        <v>998887.98</v>
      </c>
      <c r="O160" s="25">
        <v>1498331.98</v>
      </c>
    </row>
    <row r="161" customFormat="1" ht="44.25" customHeight="1" spans="1:15">
      <c r="A161" s="17">
        <v>157</v>
      </c>
      <c r="B161" s="17">
        <v>2024</v>
      </c>
      <c r="C161" s="57" t="s">
        <v>7226</v>
      </c>
      <c r="D161" s="19" t="s">
        <v>1295</v>
      </c>
      <c r="E161" s="1296" t="s">
        <v>7227</v>
      </c>
      <c r="F161" s="19" t="s">
        <v>6278</v>
      </c>
      <c r="G161" s="27">
        <v>2000000</v>
      </c>
      <c r="H161" s="48">
        <v>44529</v>
      </c>
      <c r="I161" s="48">
        <v>44893</v>
      </c>
      <c r="J161" s="48">
        <v>44974</v>
      </c>
      <c r="K161" s="25">
        <v>1994406.63</v>
      </c>
      <c r="L161" s="25">
        <v>1595525.3</v>
      </c>
      <c r="M161" s="25">
        <v>598321.99</v>
      </c>
      <c r="N161" s="25">
        <v>398881.32</v>
      </c>
      <c r="O161" s="25">
        <v>598321.99</v>
      </c>
    </row>
    <row r="162" customFormat="1" ht="20" customHeight="1" spans="1:15">
      <c r="A162" s="17">
        <v>158</v>
      </c>
      <c r="B162" s="17">
        <v>2024</v>
      </c>
      <c r="C162" s="57" t="s">
        <v>7226</v>
      </c>
      <c r="D162" s="19" t="s">
        <v>1303</v>
      </c>
      <c r="E162" s="1296" t="s">
        <v>7228</v>
      </c>
      <c r="F162" s="19" t="s">
        <v>6278</v>
      </c>
      <c r="G162" s="27">
        <v>1000000</v>
      </c>
      <c r="H162" s="48">
        <v>44579</v>
      </c>
      <c r="I162" s="48">
        <v>44943</v>
      </c>
      <c r="J162" s="48">
        <v>44993</v>
      </c>
      <c r="K162" s="25">
        <v>899088.66</v>
      </c>
      <c r="L162" s="25">
        <v>719270.93</v>
      </c>
      <c r="M162" s="25">
        <v>269726.6</v>
      </c>
      <c r="N162" s="25">
        <v>179817.73</v>
      </c>
      <c r="O162" s="25">
        <v>269726.6</v>
      </c>
    </row>
    <row r="163" customFormat="1" ht="20" customHeight="1" spans="1:15">
      <c r="A163" s="17">
        <v>159</v>
      </c>
      <c r="B163" s="17">
        <v>2024</v>
      </c>
      <c r="C163" s="57" t="s">
        <v>7226</v>
      </c>
      <c r="D163" s="19" t="s">
        <v>1329</v>
      </c>
      <c r="E163" s="1296" t="s">
        <v>7229</v>
      </c>
      <c r="F163" s="19" t="s">
        <v>6278</v>
      </c>
      <c r="G163" s="27">
        <v>1329000</v>
      </c>
      <c r="H163" s="48">
        <v>44679</v>
      </c>
      <c r="I163" s="48">
        <v>45043</v>
      </c>
      <c r="J163" s="48">
        <v>45098</v>
      </c>
      <c r="K163" s="25">
        <v>1139018.86</v>
      </c>
      <c r="L163" s="25">
        <v>911215.09</v>
      </c>
      <c r="M163" s="25">
        <v>341705.66</v>
      </c>
      <c r="N163" s="25">
        <v>227803.77</v>
      </c>
      <c r="O163" s="25">
        <v>341705.66</v>
      </c>
    </row>
    <row r="164" customFormat="1" ht="20" customHeight="1" spans="1:15">
      <c r="A164" s="17">
        <v>160</v>
      </c>
      <c r="B164" s="17">
        <v>2024</v>
      </c>
      <c r="C164" s="57" t="s">
        <v>7226</v>
      </c>
      <c r="D164" s="19" t="s">
        <v>1299</v>
      </c>
      <c r="E164" s="1296" t="s">
        <v>7230</v>
      </c>
      <c r="F164" s="19" t="s">
        <v>6278</v>
      </c>
      <c r="G164" s="27">
        <v>500000</v>
      </c>
      <c r="H164" s="48">
        <v>44538</v>
      </c>
      <c r="I164" s="48">
        <v>44903</v>
      </c>
      <c r="J164" s="48">
        <v>44992</v>
      </c>
      <c r="K164" s="25">
        <v>495075.42</v>
      </c>
      <c r="L164" s="25">
        <v>396060.34</v>
      </c>
      <c r="M164" s="25">
        <v>148522.63</v>
      </c>
      <c r="N164" s="25">
        <v>99015.08</v>
      </c>
      <c r="O164" s="25">
        <v>148522.63</v>
      </c>
    </row>
    <row r="165" customFormat="1" ht="20" customHeight="1" spans="1:15">
      <c r="A165" s="17">
        <v>161</v>
      </c>
      <c r="B165" s="17">
        <v>2024</v>
      </c>
      <c r="C165" s="57" t="s">
        <v>7226</v>
      </c>
      <c r="D165" s="19" t="s">
        <v>1293</v>
      </c>
      <c r="E165" s="1296" t="s">
        <v>7231</v>
      </c>
      <c r="F165" s="19" t="s">
        <v>6278</v>
      </c>
      <c r="G165" s="27">
        <v>2000000</v>
      </c>
      <c r="H165" s="48">
        <v>44565</v>
      </c>
      <c r="I165" s="48">
        <v>44929</v>
      </c>
      <c r="J165" s="48">
        <v>44973</v>
      </c>
      <c r="K165" s="25">
        <v>2003850</v>
      </c>
      <c r="L165" s="25">
        <v>1603080</v>
      </c>
      <c r="M165" s="25">
        <v>601155</v>
      </c>
      <c r="N165" s="25">
        <v>400770</v>
      </c>
      <c r="O165" s="25">
        <v>601155</v>
      </c>
    </row>
    <row r="166" customFormat="1" ht="20" customHeight="1" spans="1:15">
      <c r="A166" s="17">
        <v>162</v>
      </c>
      <c r="B166" s="17">
        <v>2024</v>
      </c>
      <c r="C166" s="57" t="s">
        <v>7226</v>
      </c>
      <c r="D166" s="19" t="s">
        <v>1372</v>
      </c>
      <c r="E166" s="1296" t="s">
        <v>7232</v>
      </c>
      <c r="F166" s="19" t="s">
        <v>7233</v>
      </c>
      <c r="G166" s="27">
        <v>300000</v>
      </c>
      <c r="H166" s="48">
        <v>44742</v>
      </c>
      <c r="I166" s="48">
        <v>45107</v>
      </c>
      <c r="J166" s="48">
        <v>45191</v>
      </c>
      <c r="K166" s="25">
        <v>301593.33</v>
      </c>
      <c r="L166" s="25">
        <v>241274.66</v>
      </c>
      <c r="M166" s="25">
        <v>90477.99</v>
      </c>
      <c r="N166" s="25">
        <v>60318.68</v>
      </c>
      <c r="O166" s="25">
        <v>90477.99</v>
      </c>
    </row>
    <row r="167" customFormat="1" ht="20" customHeight="1" spans="1:15">
      <c r="A167" s="17">
        <v>163</v>
      </c>
      <c r="B167" s="17">
        <v>2024</v>
      </c>
      <c r="C167" s="57" t="s">
        <v>7226</v>
      </c>
      <c r="D167" s="19" t="s">
        <v>1342</v>
      </c>
      <c r="E167" s="1296" t="s">
        <v>7234</v>
      </c>
      <c r="F167" s="19" t="s">
        <v>7235</v>
      </c>
      <c r="G167" s="27">
        <v>787000</v>
      </c>
      <c r="H167" s="48">
        <v>44673</v>
      </c>
      <c r="I167" s="48">
        <v>45038</v>
      </c>
      <c r="J167" s="48">
        <v>45125</v>
      </c>
      <c r="K167" s="25">
        <v>795185.47</v>
      </c>
      <c r="L167" s="25">
        <v>636148.38</v>
      </c>
      <c r="M167" s="25">
        <v>238555.64</v>
      </c>
      <c r="N167" s="25">
        <v>159037.09</v>
      </c>
      <c r="O167" s="25">
        <v>238555.65</v>
      </c>
    </row>
    <row r="168" customFormat="1" ht="20" customHeight="1" spans="1:15">
      <c r="A168" s="17">
        <v>164</v>
      </c>
      <c r="B168" s="17">
        <v>2024</v>
      </c>
      <c r="C168" s="57" t="s">
        <v>7226</v>
      </c>
      <c r="D168" s="19" t="s">
        <v>1441</v>
      </c>
      <c r="E168" s="1296" t="s">
        <v>7236</v>
      </c>
      <c r="F168" s="19" t="s">
        <v>7235</v>
      </c>
      <c r="G168" s="27">
        <v>950000</v>
      </c>
      <c r="H168" s="48">
        <v>45007</v>
      </c>
      <c r="I168" s="48">
        <v>45373</v>
      </c>
      <c r="J168" s="48">
        <v>45461</v>
      </c>
      <c r="K168" s="25">
        <v>940000</v>
      </c>
      <c r="L168" s="25">
        <v>752000</v>
      </c>
      <c r="M168" s="25">
        <v>282000</v>
      </c>
      <c r="N168" s="25">
        <v>188000</v>
      </c>
      <c r="O168" s="25">
        <v>282000</v>
      </c>
    </row>
    <row r="169" customFormat="1" ht="20" customHeight="1" spans="1:15">
      <c r="A169" s="17">
        <v>165</v>
      </c>
      <c r="B169" s="17">
        <v>2024</v>
      </c>
      <c r="C169" s="57" t="s">
        <v>7007</v>
      </c>
      <c r="D169" s="19" t="s">
        <v>1347</v>
      </c>
      <c r="E169" s="1296" t="s">
        <v>7237</v>
      </c>
      <c r="F169" s="19" t="s">
        <v>7238</v>
      </c>
      <c r="G169" s="27">
        <v>500000</v>
      </c>
      <c r="H169" s="48">
        <v>44860</v>
      </c>
      <c r="I169" s="48">
        <v>45225</v>
      </c>
      <c r="J169" s="48">
        <v>45129</v>
      </c>
      <c r="K169" s="25">
        <v>504750</v>
      </c>
      <c r="L169" s="25">
        <v>403800</v>
      </c>
      <c r="M169" s="25">
        <v>151425</v>
      </c>
      <c r="N169" s="25">
        <v>100950</v>
      </c>
      <c r="O169" s="25">
        <v>151425</v>
      </c>
    </row>
    <row r="170" customFormat="1" ht="20" customHeight="1" spans="1:15">
      <c r="A170" s="17">
        <v>166</v>
      </c>
      <c r="B170" s="17">
        <v>2024</v>
      </c>
      <c r="C170" s="57" t="s">
        <v>7007</v>
      </c>
      <c r="D170" s="19" t="s">
        <v>1288</v>
      </c>
      <c r="E170" s="1296" t="s">
        <v>7239</v>
      </c>
      <c r="F170" s="19" t="s">
        <v>7240</v>
      </c>
      <c r="G170" s="27">
        <v>1000000</v>
      </c>
      <c r="H170" s="48">
        <v>44525</v>
      </c>
      <c r="I170" s="48">
        <v>44890</v>
      </c>
      <c r="J170" s="48">
        <v>44965</v>
      </c>
      <c r="K170" s="25">
        <v>547427.84</v>
      </c>
      <c r="L170" s="25">
        <v>437942.27</v>
      </c>
      <c r="M170" s="25">
        <v>164228.35</v>
      </c>
      <c r="N170" s="25">
        <v>109485.57</v>
      </c>
      <c r="O170" s="25">
        <v>164228.35</v>
      </c>
    </row>
    <row r="171" customFormat="1" ht="20" customHeight="1" spans="1:15">
      <c r="A171" s="17">
        <v>167</v>
      </c>
      <c r="B171" s="17">
        <v>2024</v>
      </c>
      <c r="C171" s="57" t="s">
        <v>7007</v>
      </c>
      <c r="D171" s="19" t="s">
        <v>7241</v>
      </c>
      <c r="E171" s="1296" t="s">
        <v>7242</v>
      </c>
      <c r="F171" s="19" t="s">
        <v>7238</v>
      </c>
      <c r="G171" s="27">
        <v>1000000</v>
      </c>
      <c r="H171" s="48">
        <v>44848</v>
      </c>
      <c r="I171" s="48">
        <v>45213</v>
      </c>
      <c r="J171" s="48">
        <v>45301</v>
      </c>
      <c r="K171" s="25">
        <v>1005594.44</v>
      </c>
      <c r="L171" s="25">
        <v>804475.55</v>
      </c>
      <c r="M171" s="25">
        <v>301678.33</v>
      </c>
      <c r="N171" s="25">
        <v>201118.89</v>
      </c>
      <c r="O171" s="25">
        <v>301678.33</v>
      </c>
    </row>
    <row r="172" customFormat="1" ht="20" customHeight="1" spans="1:15">
      <c r="A172" s="17">
        <v>168</v>
      </c>
      <c r="B172" s="17">
        <v>2024</v>
      </c>
      <c r="C172" s="57" t="s">
        <v>7007</v>
      </c>
      <c r="D172" s="19" t="s">
        <v>1409</v>
      </c>
      <c r="E172" s="1296" t="s">
        <v>7243</v>
      </c>
      <c r="F172" s="19" t="s">
        <v>7238</v>
      </c>
      <c r="G172" s="27">
        <v>85000</v>
      </c>
      <c r="H172" s="48">
        <v>44832</v>
      </c>
      <c r="I172" s="48">
        <v>45197</v>
      </c>
      <c r="J172" s="48">
        <v>45287</v>
      </c>
      <c r="K172" s="25">
        <v>85331.97</v>
      </c>
      <c r="L172" s="25">
        <v>68265.58</v>
      </c>
      <c r="M172" s="25">
        <v>25599.59</v>
      </c>
      <c r="N172" s="25">
        <v>17066.4</v>
      </c>
      <c r="O172" s="25">
        <v>25599.59</v>
      </c>
    </row>
    <row r="173" customFormat="1" ht="20" customHeight="1" spans="1:15">
      <c r="A173" s="17">
        <v>169</v>
      </c>
      <c r="B173" s="17">
        <v>2024</v>
      </c>
      <c r="C173" s="57" t="s">
        <v>7007</v>
      </c>
      <c r="D173" s="19" t="s">
        <v>1412</v>
      </c>
      <c r="E173" s="1296" t="s">
        <v>7244</v>
      </c>
      <c r="F173" s="19" t="s">
        <v>7238</v>
      </c>
      <c r="G173" s="27">
        <v>490000</v>
      </c>
      <c r="H173" s="48">
        <v>44847</v>
      </c>
      <c r="I173" s="48">
        <v>45212</v>
      </c>
      <c r="J173" s="48">
        <v>45301</v>
      </c>
      <c r="K173" s="25">
        <v>492689.55</v>
      </c>
      <c r="L173" s="25">
        <v>394151.64</v>
      </c>
      <c r="M173" s="25">
        <v>147806.87</v>
      </c>
      <c r="N173" s="25">
        <v>98537.91</v>
      </c>
      <c r="O173" s="25">
        <v>147806.86</v>
      </c>
    </row>
    <row r="174" customFormat="1" ht="48" customHeight="1" spans="1:15">
      <c r="A174" s="17">
        <v>170</v>
      </c>
      <c r="B174" s="17">
        <v>2024</v>
      </c>
      <c r="C174" s="57" t="s">
        <v>7007</v>
      </c>
      <c r="D174" s="19" t="s">
        <v>1504</v>
      </c>
      <c r="E174" s="1296" t="s">
        <v>7245</v>
      </c>
      <c r="F174" s="19" t="s">
        <v>7238</v>
      </c>
      <c r="G174" s="27">
        <v>2000000</v>
      </c>
      <c r="H174" s="48">
        <v>44998</v>
      </c>
      <c r="I174" s="48">
        <v>45364</v>
      </c>
      <c r="J174" s="48">
        <v>45450</v>
      </c>
      <c r="K174" s="25">
        <v>2010977.77</v>
      </c>
      <c r="L174" s="25">
        <v>1478899.23</v>
      </c>
      <c r="M174" s="25">
        <v>554587.21</v>
      </c>
      <c r="N174" s="25">
        <v>369724.81</v>
      </c>
      <c r="O174" s="25">
        <v>554587.21</v>
      </c>
    </row>
    <row r="175" customFormat="1" ht="44.25" customHeight="1" spans="1:15">
      <c r="A175" s="17">
        <v>171</v>
      </c>
      <c r="B175" s="17">
        <v>2024</v>
      </c>
      <c r="C175" s="57" t="s">
        <v>7226</v>
      </c>
      <c r="D175" s="19" t="s">
        <v>1321</v>
      </c>
      <c r="E175" s="1296" t="s">
        <v>7246</v>
      </c>
      <c r="F175" s="19" t="s">
        <v>7235</v>
      </c>
      <c r="G175" s="27">
        <v>200000</v>
      </c>
      <c r="H175" s="48">
        <v>44641</v>
      </c>
      <c r="I175" s="48">
        <v>45006</v>
      </c>
      <c r="J175" s="48">
        <v>45006</v>
      </c>
      <c r="K175" s="25">
        <v>199136.34</v>
      </c>
      <c r="L175" s="25">
        <v>159309.07</v>
      </c>
      <c r="M175" s="25">
        <v>59740.9</v>
      </c>
      <c r="N175" s="25">
        <v>39827.27</v>
      </c>
      <c r="O175" s="25">
        <v>59740.9</v>
      </c>
    </row>
    <row r="176" customFormat="1" ht="20" customHeight="1" spans="1:15">
      <c r="A176" s="17">
        <v>172</v>
      </c>
      <c r="B176" s="17">
        <v>2024</v>
      </c>
      <c r="C176" s="57" t="s">
        <v>7226</v>
      </c>
      <c r="D176" s="19" t="s">
        <v>1315</v>
      </c>
      <c r="E176" s="1296" t="s">
        <v>7247</v>
      </c>
      <c r="F176" s="19" t="s">
        <v>7235</v>
      </c>
      <c r="G176" s="27">
        <v>200000</v>
      </c>
      <c r="H176" s="48">
        <v>44600</v>
      </c>
      <c r="I176" s="48">
        <v>44965</v>
      </c>
      <c r="J176" s="48">
        <v>44965</v>
      </c>
      <c r="K176" s="25">
        <v>200512.66</v>
      </c>
      <c r="L176" s="25">
        <v>160410.13</v>
      </c>
      <c r="M176" s="25">
        <v>60153.8</v>
      </c>
      <c r="N176" s="25">
        <v>40102.53</v>
      </c>
      <c r="O176" s="25">
        <v>60153.8</v>
      </c>
    </row>
    <row r="177" customFormat="1" ht="20" customHeight="1" spans="1:15">
      <c r="A177" s="17">
        <v>173</v>
      </c>
      <c r="B177" s="17">
        <v>2024</v>
      </c>
      <c r="C177" s="57" t="s">
        <v>7226</v>
      </c>
      <c r="D177" s="19" t="s">
        <v>1315</v>
      </c>
      <c r="E177" s="1296" t="s">
        <v>7248</v>
      </c>
      <c r="F177" s="19" t="s">
        <v>7235</v>
      </c>
      <c r="G177" s="27">
        <v>500000</v>
      </c>
      <c r="H177" s="48">
        <v>44600</v>
      </c>
      <c r="I177" s="48">
        <v>44965</v>
      </c>
      <c r="J177" s="48">
        <v>44965</v>
      </c>
      <c r="K177" s="25">
        <v>502937.5</v>
      </c>
      <c r="L177" s="25">
        <v>402350</v>
      </c>
      <c r="M177" s="25">
        <v>150881.25</v>
      </c>
      <c r="N177" s="25">
        <v>100587.5</v>
      </c>
      <c r="O177" s="25">
        <v>150881.25</v>
      </c>
    </row>
    <row r="178" customFormat="1" ht="20" customHeight="1" spans="1:15">
      <c r="A178" s="17">
        <v>174</v>
      </c>
      <c r="B178" s="17">
        <v>2024</v>
      </c>
      <c r="C178" s="57" t="s">
        <v>7226</v>
      </c>
      <c r="D178" s="19" t="s">
        <v>1391</v>
      </c>
      <c r="E178" s="1296" t="s">
        <v>7249</v>
      </c>
      <c r="F178" s="19" t="s">
        <v>7235</v>
      </c>
      <c r="G178" s="27">
        <v>200000</v>
      </c>
      <c r="H178" s="48">
        <v>44813</v>
      </c>
      <c r="I178" s="48">
        <v>45178</v>
      </c>
      <c r="J178" s="48">
        <v>45178</v>
      </c>
      <c r="K178" s="25">
        <v>174619.14</v>
      </c>
      <c r="L178" s="25">
        <v>139695.31</v>
      </c>
      <c r="M178" s="25">
        <v>52385.74</v>
      </c>
      <c r="N178" s="25">
        <v>34923.83</v>
      </c>
      <c r="O178" s="25">
        <v>52385.74</v>
      </c>
    </row>
    <row r="179" customFormat="1" ht="20" customHeight="1" spans="1:15">
      <c r="A179" s="17">
        <v>175</v>
      </c>
      <c r="B179" s="17">
        <v>2024</v>
      </c>
      <c r="C179" s="57" t="s">
        <v>7226</v>
      </c>
      <c r="D179" s="19" t="s">
        <v>1293</v>
      </c>
      <c r="E179" s="1296" t="s">
        <v>7250</v>
      </c>
      <c r="F179" s="19" t="s">
        <v>7251</v>
      </c>
      <c r="G179" s="27">
        <v>2200000</v>
      </c>
      <c r="H179" s="48">
        <v>44744</v>
      </c>
      <c r="I179" s="48">
        <v>45109</v>
      </c>
      <c r="J179" s="48">
        <v>45109</v>
      </c>
      <c r="K179" s="25">
        <v>2210377.5</v>
      </c>
      <c r="L179" s="25">
        <v>1768302</v>
      </c>
      <c r="M179" s="25">
        <v>663113.25</v>
      </c>
      <c r="N179" s="25">
        <v>442075.5</v>
      </c>
      <c r="O179" s="25">
        <v>663113.25</v>
      </c>
    </row>
    <row r="180" customFormat="1" ht="20" customHeight="1" spans="1:15">
      <c r="A180" s="17">
        <v>176</v>
      </c>
      <c r="B180" s="17">
        <v>2024</v>
      </c>
      <c r="C180" s="57" t="s">
        <v>7226</v>
      </c>
      <c r="D180" s="19" t="s">
        <v>1364</v>
      </c>
      <c r="E180" s="1296" t="s">
        <v>7252</v>
      </c>
      <c r="F180" s="19" t="s">
        <v>7251</v>
      </c>
      <c r="G180" s="27">
        <v>600000</v>
      </c>
      <c r="H180" s="48">
        <v>44799</v>
      </c>
      <c r="I180" s="48">
        <v>45164</v>
      </c>
      <c r="J180" s="48">
        <v>45164</v>
      </c>
      <c r="K180" s="25">
        <v>600000</v>
      </c>
      <c r="L180" s="25">
        <v>480000</v>
      </c>
      <c r="M180" s="25">
        <v>180000</v>
      </c>
      <c r="N180" s="25">
        <v>120000</v>
      </c>
      <c r="O180" s="25">
        <v>180000</v>
      </c>
    </row>
    <row r="181" customFormat="1" ht="20" customHeight="1" spans="1:15">
      <c r="A181" s="17">
        <v>177</v>
      </c>
      <c r="B181" s="17">
        <v>2024</v>
      </c>
      <c r="C181" s="57" t="s">
        <v>7226</v>
      </c>
      <c r="D181" s="19" t="s">
        <v>1314</v>
      </c>
      <c r="E181" s="1296" t="s">
        <v>7253</v>
      </c>
      <c r="F181" s="19" t="s">
        <v>7251</v>
      </c>
      <c r="G181" s="27">
        <v>510000</v>
      </c>
      <c r="H181" s="48">
        <v>44644</v>
      </c>
      <c r="I181" s="48">
        <v>45009</v>
      </c>
      <c r="J181" s="48">
        <v>45009</v>
      </c>
      <c r="K181" s="25">
        <v>502742.96</v>
      </c>
      <c r="L181" s="25">
        <v>402194.37</v>
      </c>
      <c r="M181" s="25">
        <v>150822.89</v>
      </c>
      <c r="N181" s="25">
        <v>100548.59</v>
      </c>
      <c r="O181" s="25">
        <v>150822.89</v>
      </c>
    </row>
    <row r="182" customFormat="1" ht="20" customHeight="1" spans="1:15">
      <c r="A182" s="17">
        <v>178</v>
      </c>
      <c r="B182" s="17">
        <v>2024</v>
      </c>
      <c r="C182" s="57" t="s">
        <v>7226</v>
      </c>
      <c r="D182" s="19" t="s">
        <v>677</v>
      </c>
      <c r="E182" s="1296" t="s">
        <v>7254</v>
      </c>
      <c r="F182" s="19" t="s">
        <v>7251</v>
      </c>
      <c r="G182" s="27">
        <v>750000</v>
      </c>
      <c r="H182" s="48">
        <v>44910</v>
      </c>
      <c r="I182" s="48">
        <v>45275</v>
      </c>
      <c r="J182" s="48">
        <v>45275</v>
      </c>
      <c r="K182" s="25">
        <v>753021.25</v>
      </c>
      <c r="L182" s="25">
        <v>602417</v>
      </c>
      <c r="M182" s="25">
        <v>225906.38</v>
      </c>
      <c r="N182" s="25">
        <v>150604.25</v>
      </c>
      <c r="O182" s="25">
        <v>225906.37</v>
      </c>
    </row>
    <row r="183" customFormat="1" ht="20" customHeight="1" spans="1:15">
      <c r="A183" s="17">
        <v>179</v>
      </c>
      <c r="B183" s="17">
        <v>2024</v>
      </c>
      <c r="C183" s="57" t="s">
        <v>7226</v>
      </c>
      <c r="D183" s="19" t="s">
        <v>1303</v>
      </c>
      <c r="E183" s="1296" t="s">
        <v>7255</v>
      </c>
      <c r="F183" s="19" t="s">
        <v>7251</v>
      </c>
      <c r="G183" s="27">
        <v>1940000</v>
      </c>
      <c r="H183" s="48">
        <v>44912</v>
      </c>
      <c r="I183" s="48">
        <v>45277</v>
      </c>
      <c r="J183" s="48">
        <v>45277</v>
      </c>
      <c r="K183" s="25">
        <v>1948527.5</v>
      </c>
      <c r="L183" s="25">
        <v>1558822</v>
      </c>
      <c r="M183" s="25">
        <v>584558.25</v>
      </c>
      <c r="N183" s="25">
        <v>389705.5</v>
      </c>
      <c r="O183" s="25">
        <v>584558.25</v>
      </c>
    </row>
    <row r="184" customFormat="1" ht="20" customHeight="1" spans="1:15">
      <c r="A184" s="17">
        <v>180</v>
      </c>
      <c r="B184" s="17">
        <v>2024</v>
      </c>
      <c r="C184" s="57" t="s">
        <v>7226</v>
      </c>
      <c r="D184" s="19" t="s">
        <v>1432</v>
      </c>
      <c r="E184" s="1296" t="s">
        <v>7256</v>
      </c>
      <c r="F184" s="19" t="s">
        <v>7251</v>
      </c>
      <c r="G184" s="27">
        <v>190000</v>
      </c>
      <c r="H184" s="48">
        <v>44940</v>
      </c>
      <c r="I184" s="48">
        <v>45305</v>
      </c>
      <c r="J184" s="48">
        <v>45305</v>
      </c>
      <c r="K184" s="25">
        <v>188391.25</v>
      </c>
      <c r="L184" s="25">
        <v>150713</v>
      </c>
      <c r="M184" s="25">
        <v>56517.38</v>
      </c>
      <c r="N184" s="25">
        <v>37678.25</v>
      </c>
      <c r="O184" s="25">
        <v>56517.37</v>
      </c>
    </row>
    <row r="185" customFormat="1" ht="20" customHeight="1" spans="1:15">
      <c r="A185" s="17">
        <v>181</v>
      </c>
      <c r="B185" s="17">
        <v>2024</v>
      </c>
      <c r="C185" s="57" t="s">
        <v>7226</v>
      </c>
      <c r="D185" s="19" t="s">
        <v>1437</v>
      </c>
      <c r="E185" s="1296" t="s">
        <v>7257</v>
      </c>
      <c r="F185" s="19" t="s">
        <v>7251</v>
      </c>
      <c r="G185" s="27">
        <v>3100000</v>
      </c>
      <c r="H185" s="48">
        <v>44952</v>
      </c>
      <c r="I185" s="48">
        <v>45317</v>
      </c>
      <c r="J185" s="48">
        <v>45317</v>
      </c>
      <c r="K185" s="25">
        <v>3066517.64</v>
      </c>
      <c r="L185" s="25">
        <v>2453214.11</v>
      </c>
      <c r="M185" s="25">
        <v>919955.29</v>
      </c>
      <c r="N185" s="25">
        <v>613303.53</v>
      </c>
      <c r="O185" s="25">
        <v>919955.29</v>
      </c>
    </row>
    <row r="186" customFormat="1" ht="20" customHeight="1" spans="1:15">
      <c r="A186" s="17">
        <v>182</v>
      </c>
      <c r="B186" s="17">
        <v>2024</v>
      </c>
      <c r="C186" s="57" t="s">
        <v>7226</v>
      </c>
      <c r="D186" s="19" t="s">
        <v>1485</v>
      </c>
      <c r="E186" s="1296" t="s">
        <v>7258</v>
      </c>
      <c r="F186" s="19" t="s">
        <v>7251</v>
      </c>
      <c r="G186" s="27">
        <v>400000</v>
      </c>
      <c r="H186" s="48">
        <v>45037</v>
      </c>
      <c r="I186" s="48">
        <v>45402</v>
      </c>
      <c r="J186" s="48">
        <v>45402</v>
      </c>
      <c r="K186" s="25">
        <v>249909.94</v>
      </c>
      <c r="L186" s="25">
        <v>199927.95</v>
      </c>
      <c r="M186" s="25">
        <v>74972.98</v>
      </c>
      <c r="N186" s="25">
        <v>49981.99</v>
      </c>
      <c r="O186" s="25">
        <v>74972.98</v>
      </c>
    </row>
    <row r="187" customFormat="1" ht="20" customHeight="1" spans="1:15">
      <c r="A187" s="17">
        <v>183</v>
      </c>
      <c r="B187" s="17">
        <v>2024</v>
      </c>
      <c r="C187" s="57" t="s">
        <v>7226</v>
      </c>
      <c r="D187" s="19" t="s">
        <v>1483</v>
      </c>
      <c r="E187" s="1296" t="s">
        <v>7259</v>
      </c>
      <c r="F187" s="19" t="s">
        <v>7251</v>
      </c>
      <c r="G187" s="27">
        <v>160000</v>
      </c>
      <c r="H187" s="48">
        <v>45014</v>
      </c>
      <c r="I187" s="48">
        <v>45379</v>
      </c>
      <c r="J187" s="48">
        <v>45379</v>
      </c>
      <c r="K187" s="25">
        <v>158620.03</v>
      </c>
      <c r="L187" s="25">
        <v>126896.02</v>
      </c>
      <c r="M187" s="25">
        <v>47586.01</v>
      </c>
      <c r="N187" s="25">
        <v>31724.01</v>
      </c>
      <c r="O187" s="25">
        <v>47586</v>
      </c>
    </row>
    <row r="188" customFormat="1" ht="84" customHeight="1" spans="1:15">
      <c r="A188" s="17">
        <v>184</v>
      </c>
      <c r="B188" s="17">
        <v>2024</v>
      </c>
      <c r="C188" s="57" t="s">
        <v>7226</v>
      </c>
      <c r="D188" s="57" t="s">
        <v>1520</v>
      </c>
      <c r="E188" s="29" t="s">
        <v>7260</v>
      </c>
      <c r="F188" s="19" t="s">
        <v>7251</v>
      </c>
      <c r="G188" s="27">
        <v>410000</v>
      </c>
      <c r="H188" s="48">
        <v>45036</v>
      </c>
      <c r="I188" s="48">
        <v>45401</v>
      </c>
      <c r="J188" s="48">
        <v>45471</v>
      </c>
      <c r="K188" s="25">
        <v>3973119.18</v>
      </c>
      <c r="L188" s="25">
        <v>3178495.34</v>
      </c>
      <c r="M188" s="25">
        <v>1191935.75</v>
      </c>
      <c r="N188" s="25">
        <v>794623.84</v>
      </c>
      <c r="O188" s="25">
        <v>1191936</v>
      </c>
    </row>
    <row r="189" customFormat="1" ht="45.75" customHeight="1" spans="1:15">
      <c r="A189" s="17">
        <v>185</v>
      </c>
      <c r="B189" s="17">
        <v>2024</v>
      </c>
      <c r="C189" s="19" t="s">
        <v>7012</v>
      </c>
      <c r="D189" s="19" t="s">
        <v>1524</v>
      </c>
      <c r="E189" s="1296" t="s">
        <v>7261</v>
      </c>
      <c r="F189" s="19" t="s">
        <v>7262</v>
      </c>
      <c r="G189" s="27">
        <v>900000</v>
      </c>
      <c r="H189" s="48">
        <v>45077</v>
      </c>
      <c r="I189" s="48">
        <v>45443</v>
      </c>
      <c r="J189" s="48">
        <v>45509</v>
      </c>
      <c r="K189" s="25">
        <v>863384.51</v>
      </c>
      <c r="L189" s="25">
        <v>690707.61</v>
      </c>
      <c r="M189" s="25">
        <v>259015.35</v>
      </c>
      <c r="N189" s="25">
        <v>172676.91</v>
      </c>
      <c r="O189" s="25">
        <v>259015.35</v>
      </c>
    </row>
    <row r="190" customFormat="1" ht="20" customHeight="1" spans="1:15">
      <c r="A190" s="17">
        <v>186</v>
      </c>
      <c r="B190" s="17">
        <v>2024</v>
      </c>
      <c r="C190" s="19" t="s">
        <v>7024</v>
      </c>
      <c r="D190" s="19" t="s">
        <v>1479</v>
      </c>
      <c r="E190" s="1296" t="s">
        <v>7263</v>
      </c>
      <c r="F190" s="19" t="s">
        <v>7264</v>
      </c>
      <c r="G190" s="27">
        <v>100000</v>
      </c>
      <c r="H190" s="48">
        <v>44984</v>
      </c>
      <c r="I190" s="48">
        <v>45333</v>
      </c>
      <c r="J190" s="48">
        <v>45422</v>
      </c>
      <c r="K190" s="25">
        <v>98303.4</v>
      </c>
      <c r="L190" s="25">
        <v>78642.72</v>
      </c>
      <c r="M190" s="25">
        <v>29491.02</v>
      </c>
      <c r="N190" s="25">
        <v>19660.69</v>
      </c>
      <c r="O190" s="25">
        <v>29491.01</v>
      </c>
    </row>
    <row r="191" customFormat="1" ht="20" customHeight="1" spans="1:15">
      <c r="A191" s="17">
        <v>187</v>
      </c>
      <c r="B191" s="17">
        <v>2024</v>
      </c>
      <c r="C191" s="19" t="s">
        <v>7024</v>
      </c>
      <c r="D191" s="19" t="s">
        <v>1479</v>
      </c>
      <c r="E191" s="1296" t="s">
        <v>7265</v>
      </c>
      <c r="F191" s="19" t="s">
        <v>7264</v>
      </c>
      <c r="G191" s="27">
        <v>500000</v>
      </c>
      <c r="H191" s="48">
        <v>44985</v>
      </c>
      <c r="I191" s="48">
        <v>45349</v>
      </c>
      <c r="J191" s="48">
        <v>45422</v>
      </c>
      <c r="K191" s="25">
        <v>505761.12</v>
      </c>
      <c r="L191" s="25">
        <v>404608.9</v>
      </c>
      <c r="M191" s="25">
        <v>151728.34</v>
      </c>
      <c r="N191" s="25">
        <v>101152.23</v>
      </c>
      <c r="O191" s="25">
        <v>151728.33</v>
      </c>
    </row>
    <row r="192" customFormat="1" ht="20" customHeight="1" spans="1:15">
      <c r="A192" s="17">
        <v>188</v>
      </c>
      <c r="B192" s="17">
        <v>2024</v>
      </c>
      <c r="C192" s="19" t="s">
        <v>7024</v>
      </c>
      <c r="D192" s="19" t="s">
        <v>1491</v>
      </c>
      <c r="E192" s="1296" t="s">
        <v>7266</v>
      </c>
      <c r="F192" s="19" t="s">
        <v>7264</v>
      </c>
      <c r="G192" s="27">
        <v>1660000</v>
      </c>
      <c r="H192" s="48">
        <v>44981</v>
      </c>
      <c r="I192" s="48">
        <v>45346</v>
      </c>
      <c r="J192" s="48">
        <v>45436</v>
      </c>
      <c r="K192" s="25">
        <v>1148099.06</v>
      </c>
      <c r="L192" s="25">
        <v>918479.25</v>
      </c>
      <c r="M192" s="25">
        <v>344429.72</v>
      </c>
      <c r="N192" s="25">
        <v>229619.81</v>
      </c>
      <c r="O192" s="25">
        <v>344429.72</v>
      </c>
    </row>
    <row r="193" customFormat="1" ht="20" customHeight="1" spans="1:15">
      <c r="A193" s="17">
        <v>189</v>
      </c>
      <c r="B193" s="17">
        <v>2024</v>
      </c>
      <c r="C193" s="19" t="s">
        <v>7024</v>
      </c>
      <c r="D193" s="19" t="s">
        <v>1510</v>
      </c>
      <c r="E193" s="1296" t="s">
        <v>7267</v>
      </c>
      <c r="F193" s="19" t="s">
        <v>7268</v>
      </c>
      <c r="G193" s="27">
        <v>84000</v>
      </c>
      <c r="H193" s="48">
        <v>45016</v>
      </c>
      <c r="I193" s="48">
        <v>45382</v>
      </c>
      <c r="J193" s="48">
        <v>45455</v>
      </c>
      <c r="K193" s="25">
        <v>83925.93</v>
      </c>
      <c r="L193" s="25">
        <v>67140.74</v>
      </c>
      <c r="M193" s="25">
        <v>25177.78</v>
      </c>
      <c r="N193" s="25">
        <v>16785.19</v>
      </c>
      <c r="O193" s="25">
        <v>25177.77</v>
      </c>
    </row>
    <row r="194" customFormat="1" ht="20" customHeight="1" spans="1:15">
      <c r="A194" s="17">
        <v>190</v>
      </c>
      <c r="B194" s="17">
        <v>2024</v>
      </c>
      <c r="C194" s="19" t="s">
        <v>7024</v>
      </c>
      <c r="D194" s="19" t="s">
        <v>1511</v>
      </c>
      <c r="E194" s="1296" t="s">
        <v>7269</v>
      </c>
      <c r="F194" s="19" t="s">
        <v>6824</v>
      </c>
      <c r="G194" s="27">
        <v>374000</v>
      </c>
      <c r="H194" s="48">
        <v>45016</v>
      </c>
      <c r="I194" s="48">
        <v>45382</v>
      </c>
      <c r="J194" s="48">
        <v>45455</v>
      </c>
      <c r="K194" s="25">
        <v>373169.83</v>
      </c>
      <c r="L194" s="25">
        <v>298535.86</v>
      </c>
      <c r="M194" s="25">
        <v>111950.95</v>
      </c>
      <c r="N194" s="25">
        <v>74633.96</v>
      </c>
      <c r="O194" s="25">
        <v>111950.95</v>
      </c>
    </row>
    <row r="195" customFormat="1" ht="20" customHeight="1" spans="1:15">
      <c r="A195" s="17">
        <v>191</v>
      </c>
      <c r="B195" s="17">
        <v>2024</v>
      </c>
      <c r="C195" s="19" t="s">
        <v>7024</v>
      </c>
      <c r="D195" s="19" t="s">
        <v>1512</v>
      </c>
      <c r="E195" s="1296" t="s">
        <v>7270</v>
      </c>
      <c r="F195" s="19" t="s">
        <v>7268</v>
      </c>
      <c r="G195" s="27">
        <v>99000</v>
      </c>
      <c r="H195" s="48">
        <v>45016</v>
      </c>
      <c r="I195" s="48">
        <v>45382</v>
      </c>
      <c r="J195" s="48">
        <v>45455</v>
      </c>
      <c r="K195" s="25">
        <v>99108.55</v>
      </c>
      <c r="L195" s="25">
        <v>79286.84</v>
      </c>
      <c r="M195" s="25">
        <v>29732.57</v>
      </c>
      <c r="N195" s="25">
        <v>19821.71</v>
      </c>
      <c r="O195" s="25">
        <v>29732.56</v>
      </c>
    </row>
    <row r="196" customFormat="1" ht="20" customHeight="1" spans="1:15">
      <c r="A196" s="17">
        <v>192</v>
      </c>
      <c r="B196" s="17">
        <v>2024</v>
      </c>
      <c r="C196" s="19" t="s">
        <v>7024</v>
      </c>
      <c r="D196" s="19" t="s">
        <v>1492</v>
      </c>
      <c r="E196" s="1296" t="s">
        <v>7271</v>
      </c>
      <c r="F196" s="19" t="s">
        <v>7272</v>
      </c>
      <c r="G196" s="27">
        <v>465000</v>
      </c>
      <c r="H196" s="48">
        <v>44986</v>
      </c>
      <c r="I196" s="48">
        <v>45352</v>
      </c>
      <c r="J196" s="48">
        <v>45440</v>
      </c>
      <c r="K196" s="25">
        <v>378532.43</v>
      </c>
      <c r="L196" s="25">
        <v>302825.94</v>
      </c>
      <c r="M196" s="25">
        <v>113559.73</v>
      </c>
      <c r="N196" s="25">
        <v>75706.49</v>
      </c>
      <c r="O196" s="25">
        <v>113559.72</v>
      </c>
    </row>
    <row r="197" customFormat="1" ht="20" customHeight="1" spans="1:15">
      <c r="A197" s="17">
        <v>193</v>
      </c>
      <c r="B197" s="17">
        <v>2024</v>
      </c>
      <c r="C197" s="19" t="s">
        <v>7024</v>
      </c>
      <c r="D197" s="19" t="s">
        <v>1493</v>
      </c>
      <c r="E197" s="1296" t="s">
        <v>7273</v>
      </c>
      <c r="F197" s="19" t="s">
        <v>7274</v>
      </c>
      <c r="G197" s="27">
        <v>514000</v>
      </c>
      <c r="H197" s="48">
        <v>45001</v>
      </c>
      <c r="I197" s="48">
        <v>45367</v>
      </c>
      <c r="J197" s="48">
        <v>45440</v>
      </c>
      <c r="K197" s="25">
        <v>517158.5</v>
      </c>
      <c r="L197" s="25">
        <v>413726.8</v>
      </c>
      <c r="M197" s="25">
        <v>155147.55</v>
      </c>
      <c r="N197" s="25">
        <v>103431.7</v>
      </c>
      <c r="O197" s="25">
        <v>155147.55</v>
      </c>
    </row>
    <row r="198" customFormat="1" ht="20" customHeight="1" spans="1:15">
      <c r="A198" s="17">
        <v>194</v>
      </c>
      <c r="B198" s="17">
        <v>2024</v>
      </c>
      <c r="C198" s="19" t="s">
        <v>7024</v>
      </c>
      <c r="D198" s="19" t="s">
        <v>1494</v>
      </c>
      <c r="E198" s="1296" t="s">
        <v>7275</v>
      </c>
      <c r="F198" s="19" t="s">
        <v>7268</v>
      </c>
      <c r="G198" s="27">
        <v>2000000</v>
      </c>
      <c r="H198" s="48">
        <v>44991</v>
      </c>
      <c r="I198" s="48">
        <v>45357</v>
      </c>
      <c r="J198" s="48">
        <v>45440</v>
      </c>
      <c r="K198" s="25">
        <v>1595251.52</v>
      </c>
      <c r="L198" s="25">
        <v>1276201.22</v>
      </c>
      <c r="M198" s="25">
        <v>478575.46</v>
      </c>
      <c r="N198" s="25">
        <v>319050.31</v>
      </c>
      <c r="O198" s="25">
        <v>478575.45</v>
      </c>
    </row>
    <row r="199" customFormat="1" ht="20" customHeight="1" spans="1:15">
      <c r="A199" s="17">
        <v>195</v>
      </c>
      <c r="B199" s="17">
        <v>2024</v>
      </c>
      <c r="C199" s="19" t="s">
        <v>7024</v>
      </c>
      <c r="D199" s="19" t="s">
        <v>1495</v>
      </c>
      <c r="E199" s="1296" t="s">
        <v>7276</v>
      </c>
      <c r="F199" s="19" t="s">
        <v>7268</v>
      </c>
      <c r="G199" s="27">
        <v>422000</v>
      </c>
      <c r="H199" s="48">
        <v>44988</v>
      </c>
      <c r="I199" s="48">
        <v>45354</v>
      </c>
      <c r="J199" s="48">
        <v>45440</v>
      </c>
      <c r="K199" s="25">
        <v>405578.6</v>
      </c>
      <c r="L199" s="25">
        <v>324462.88</v>
      </c>
      <c r="M199" s="25">
        <v>121673.58</v>
      </c>
      <c r="N199" s="25">
        <v>81115.72</v>
      </c>
      <c r="O199" s="25">
        <v>121673.58</v>
      </c>
    </row>
    <row r="200" customFormat="1" ht="20" customHeight="1" spans="1:15">
      <c r="A200" s="17">
        <v>196</v>
      </c>
      <c r="B200" s="17">
        <v>2024</v>
      </c>
      <c r="C200" s="19" t="s">
        <v>7024</v>
      </c>
      <c r="D200" s="19" t="s">
        <v>1496</v>
      </c>
      <c r="E200" s="1296" t="s">
        <v>7277</v>
      </c>
      <c r="F200" s="19" t="s">
        <v>7272</v>
      </c>
      <c r="G200" s="27">
        <v>850000</v>
      </c>
      <c r="H200" s="48">
        <v>45015</v>
      </c>
      <c r="I200" s="48">
        <v>45381</v>
      </c>
      <c r="J200" s="48">
        <v>45440</v>
      </c>
      <c r="K200" s="25">
        <v>861490.84</v>
      </c>
      <c r="L200" s="25">
        <v>689192.67</v>
      </c>
      <c r="M200" s="25">
        <v>258447.25</v>
      </c>
      <c r="N200" s="25">
        <v>172298.17</v>
      </c>
      <c r="O200" s="25">
        <v>258447.25</v>
      </c>
    </row>
    <row r="201" customFormat="1" ht="20" customHeight="1" spans="1:15">
      <c r="A201" s="17">
        <v>197</v>
      </c>
      <c r="B201" s="17">
        <v>2024</v>
      </c>
      <c r="C201" s="19" t="s">
        <v>7024</v>
      </c>
      <c r="D201" s="19" t="s">
        <v>1497</v>
      </c>
      <c r="E201" s="1296" t="s">
        <v>7278</v>
      </c>
      <c r="F201" s="19" t="s">
        <v>7272</v>
      </c>
      <c r="G201" s="27">
        <v>500000</v>
      </c>
      <c r="H201" s="48">
        <v>45005</v>
      </c>
      <c r="I201" s="48">
        <v>45371</v>
      </c>
      <c r="J201" s="48">
        <v>45440</v>
      </c>
      <c r="K201" s="25">
        <v>508539.01</v>
      </c>
      <c r="L201" s="25">
        <v>406831.21</v>
      </c>
      <c r="M201" s="25">
        <v>152561.7</v>
      </c>
      <c r="N201" s="25">
        <v>101707.8</v>
      </c>
      <c r="O201" s="25">
        <v>152561.71</v>
      </c>
    </row>
    <row r="202" customFormat="1" ht="20" customHeight="1" spans="1:15">
      <c r="A202" s="17">
        <v>198</v>
      </c>
      <c r="B202" s="17">
        <v>2024</v>
      </c>
      <c r="C202" s="19" t="s">
        <v>7024</v>
      </c>
      <c r="D202" s="19" t="s">
        <v>1498</v>
      </c>
      <c r="E202" s="1296" t="s">
        <v>7279</v>
      </c>
      <c r="F202" s="19" t="s">
        <v>7280</v>
      </c>
      <c r="G202" s="27">
        <v>870000</v>
      </c>
      <c r="H202" s="48">
        <v>45012</v>
      </c>
      <c r="I202" s="48">
        <v>45378</v>
      </c>
      <c r="J202" s="48">
        <v>45440</v>
      </c>
      <c r="K202" s="25">
        <v>878127.25</v>
      </c>
      <c r="L202" s="25">
        <v>702501.8</v>
      </c>
      <c r="M202" s="25">
        <v>263438.18</v>
      </c>
      <c r="N202" s="25">
        <v>175625.45</v>
      </c>
      <c r="O202" s="25">
        <v>263438.17</v>
      </c>
    </row>
    <row r="203" customFormat="1" ht="20" customHeight="1" spans="1:15">
      <c r="A203" s="17">
        <v>199</v>
      </c>
      <c r="B203" s="17">
        <v>2024</v>
      </c>
      <c r="C203" s="19" t="s">
        <v>7024</v>
      </c>
      <c r="D203" s="19" t="s">
        <v>1499</v>
      </c>
      <c r="E203" s="1296" t="s">
        <v>7281</v>
      </c>
      <c r="F203" s="19" t="s">
        <v>7280</v>
      </c>
      <c r="G203" s="27">
        <v>100000</v>
      </c>
      <c r="H203" s="48">
        <v>45007</v>
      </c>
      <c r="I203" s="48">
        <v>45373</v>
      </c>
      <c r="J203" s="48">
        <v>45440</v>
      </c>
      <c r="K203" s="25">
        <v>100327.22</v>
      </c>
      <c r="L203" s="25">
        <v>80261.78</v>
      </c>
      <c r="M203" s="25">
        <v>30098.17</v>
      </c>
      <c r="N203" s="25">
        <v>20065.45</v>
      </c>
      <c r="O203" s="25">
        <v>30098.16</v>
      </c>
    </row>
    <row r="204" customFormat="1" ht="20" customHeight="1" spans="1:15">
      <c r="A204" s="17">
        <v>200</v>
      </c>
      <c r="B204" s="17">
        <v>2024</v>
      </c>
      <c r="C204" s="19" t="s">
        <v>7024</v>
      </c>
      <c r="D204" s="19" t="s">
        <v>1486</v>
      </c>
      <c r="E204" s="1296" t="s">
        <v>7282</v>
      </c>
      <c r="F204" s="19" t="s">
        <v>7268</v>
      </c>
      <c r="G204" s="27">
        <v>77000</v>
      </c>
      <c r="H204" s="48">
        <v>44980</v>
      </c>
      <c r="I204" s="48">
        <v>45345</v>
      </c>
      <c r="J204" s="48">
        <v>45429</v>
      </c>
      <c r="K204" s="25">
        <v>77260.08</v>
      </c>
      <c r="L204" s="25">
        <v>61808.06</v>
      </c>
      <c r="M204" s="25">
        <v>23178.02</v>
      </c>
      <c r="N204" s="25">
        <v>15452.02</v>
      </c>
      <c r="O204" s="25">
        <v>23178.02</v>
      </c>
    </row>
    <row r="205" customFormat="1" ht="20" customHeight="1" spans="1:15">
      <c r="A205" s="17">
        <v>201</v>
      </c>
      <c r="B205" s="17">
        <v>2024</v>
      </c>
      <c r="C205" s="19" t="s">
        <v>7024</v>
      </c>
      <c r="D205" s="19" t="s">
        <v>1487</v>
      </c>
      <c r="E205" s="1296" t="s">
        <v>7283</v>
      </c>
      <c r="F205" s="19" t="s">
        <v>7274</v>
      </c>
      <c r="G205" s="27">
        <v>1300000</v>
      </c>
      <c r="H205" s="48">
        <v>44987</v>
      </c>
      <c r="I205" s="48">
        <v>45353</v>
      </c>
      <c r="J205" s="48">
        <v>45429</v>
      </c>
      <c r="K205" s="25">
        <v>1319310.34</v>
      </c>
      <c r="L205" s="25">
        <v>1055448.27</v>
      </c>
      <c r="M205" s="25">
        <v>395793.1</v>
      </c>
      <c r="N205" s="25">
        <v>263862.07</v>
      </c>
      <c r="O205" s="25">
        <v>395793.1</v>
      </c>
    </row>
    <row r="206" customFormat="1" ht="20" customHeight="1" spans="1:15">
      <c r="A206" s="17">
        <v>202</v>
      </c>
      <c r="B206" s="17">
        <v>2024</v>
      </c>
      <c r="C206" s="19" t="s">
        <v>7024</v>
      </c>
      <c r="D206" s="19" t="s">
        <v>1488</v>
      </c>
      <c r="E206" s="1296" t="s">
        <v>7284</v>
      </c>
      <c r="F206" s="19" t="s">
        <v>7285</v>
      </c>
      <c r="G206" s="27">
        <v>299000</v>
      </c>
      <c r="H206" s="48">
        <v>45001</v>
      </c>
      <c r="I206" s="48">
        <v>45367</v>
      </c>
      <c r="J206" s="48">
        <v>45429</v>
      </c>
      <c r="K206" s="25">
        <v>302211.97</v>
      </c>
      <c r="L206" s="25">
        <v>241769.58</v>
      </c>
      <c r="M206" s="25">
        <v>90663.59</v>
      </c>
      <c r="N206" s="25">
        <v>60442.4</v>
      </c>
      <c r="O206" s="25">
        <v>90663.59</v>
      </c>
    </row>
    <row r="207" customFormat="1" ht="20" customHeight="1" spans="1:15">
      <c r="A207" s="17">
        <v>203</v>
      </c>
      <c r="B207" s="17">
        <v>2024</v>
      </c>
      <c r="C207" s="19" t="s">
        <v>7024</v>
      </c>
      <c r="D207" s="19" t="s">
        <v>1481</v>
      </c>
      <c r="E207" s="1296" t="s">
        <v>7286</v>
      </c>
      <c r="F207" s="19" t="s">
        <v>7285</v>
      </c>
      <c r="G207" s="27">
        <v>194000</v>
      </c>
      <c r="H207" s="48">
        <v>44991</v>
      </c>
      <c r="I207" s="48">
        <v>45357</v>
      </c>
      <c r="J207" s="48">
        <v>45425</v>
      </c>
      <c r="K207" s="25">
        <v>190535.23</v>
      </c>
      <c r="L207" s="25">
        <v>152428.18</v>
      </c>
      <c r="M207" s="25">
        <v>57160.57</v>
      </c>
      <c r="N207" s="25">
        <v>38107.05</v>
      </c>
      <c r="O207" s="25">
        <v>57160.56</v>
      </c>
    </row>
    <row r="208" customFormat="1" ht="20" customHeight="1" spans="1:15">
      <c r="A208" s="17">
        <v>204</v>
      </c>
      <c r="B208" s="17">
        <v>2024</v>
      </c>
      <c r="C208" s="19" t="s">
        <v>7024</v>
      </c>
      <c r="D208" s="19" t="s">
        <v>1482</v>
      </c>
      <c r="E208" s="1296" t="s">
        <v>7287</v>
      </c>
      <c r="F208" s="19" t="s">
        <v>7285</v>
      </c>
      <c r="G208" s="27">
        <v>210000</v>
      </c>
      <c r="H208" s="48">
        <v>44972</v>
      </c>
      <c r="I208" s="48">
        <v>45337</v>
      </c>
      <c r="J208" s="48">
        <v>45425</v>
      </c>
      <c r="K208" s="25">
        <v>206221.26</v>
      </c>
      <c r="L208" s="25">
        <v>164977.01</v>
      </c>
      <c r="M208" s="25">
        <v>61866.38</v>
      </c>
      <c r="N208" s="25">
        <v>41244.25</v>
      </c>
      <c r="O208" s="25">
        <v>61866.38</v>
      </c>
    </row>
    <row r="209" customFormat="1" ht="20" customHeight="1" spans="1:15">
      <c r="A209" s="17">
        <v>205</v>
      </c>
      <c r="B209" s="17">
        <v>2024</v>
      </c>
      <c r="C209" s="19" t="s">
        <v>7024</v>
      </c>
      <c r="D209" s="19" t="s">
        <v>1469</v>
      </c>
      <c r="E209" s="1296" t="s">
        <v>7288</v>
      </c>
      <c r="F209" s="19" t="s">
        <v>7268</v>
      </c>
      <c r="G209" s="27">
        <v>1000000</v>
      </c>
      <c r="H209" s="48">
        <v>44965</v>
      </c>
      <c r="I209" s="48">
        <v>45330</v>
      </c>
      <c r="J209" s="48">
        <v>45411</v>
      </c>
      <c r="K209" s="25">
        <v>977065.01</v>
      </c>
      <c r="L209" s="25">
        <v>781652.01</v>
      </c>
      <c r="M209" s="25">
        <v>293119.5</v>
      </c>
      <c r="N209" s="25">
        <v>195413</v>
      </c>
      <c r="O209" s="25">
        <v>293119.51</v>
      </c>
    </row>
    <row r="210" customFormat="1" ht="20" customHeight="1" spans="1:15">
      <c r="A210" s="17">
        <v>206</v>
      </c>
      <c r="B210" s="17">
        <v>2024</v>
      </c>
      <c r="C210" s="19" t="s">
        <v>7024</v>
      </c>
      <c r="D210" s="19" t="s">
        <v>1470</v>
      </c>
      <c r="E210" s="1296" t="s">
        <v>7289</v>
      </c>
      <c r="F210" s="19" t="s">
        <v>7268</v>
      </c>
      <c r="G210" s="27">
        <v>457000</v>
      </c>
      <c r="H210" s="48">
        <v>44960</v>
      </c>
      <c r="I210" s="48">
        <v>45325</v>
      </c>
      <c r="J210" s="48">
        <v>45411</v>
      </c>
      <c r="K210" s="25">
        <v>296848.13</v>
      </c>
      <c r="L210" s="25">
        <v>237478.5</v>
      </c>
      <c r="M210" s="25">
        <v>89054.44</v>
      </c>
      <c r="N210" s="25">
        <v>59369.63</v>
      </c>
      <c r="O210" s="25">
        <v>89054.43</v>
      </c>
    </row>
    <row r="211" customFormat="1" ht="20" customHeight="1" spans="1:15">
      <c r="A211" s="17">
        <v>207</v>
      </c>
      <c r="B211" s="17">
        <v>2024</v>
      </c>
      <c r="C211" s="19" t="s">
        <v>7024</v>
      </c>
      <c r="D211" s="19" t="s">
        <v>1471</v>
      </c>
      <c r="E211" s="1296" t="s">
        <v>7290</v>
      </c>
      <c r="F211" s="19" t="s">
        <v>7268</v>
      </c>
      <c r="G211" s="27">
        <v>1000000</v>
      </c>
      <c r="H211" s="48">
        <v>44985</v>
      </c>
      <c r="I211" s="48">
        <v>45350</v>
      </c>
      <c r="J211" s="48">
        <v>45411</v>
      </c>
      <c r="K211" s="25">
        <v>1003905.55</v>
      </c>
      <c r="L211" s="25">
        <v>803124.44</v>
      </c>
      <c r="M211" s="25">
        <v>301171.67</v>
      </c>
      <c r="N211" s="25">
        <v>200781.11</v>
      </c>
      <c r="O211" s="25">
        <v>301171.66</v>
      </c>
    </row>
    <row r="212" customFormat="1" ht="20" customHeight="1" spans="1:15">
      <c r="A212" s="17">
        <v>208</v>
      </c>
      <c r="B212" s="17">
        <v>2024</v>
      </c>
      <c r="C212" s="19" t="s">
        <v>7024</v>
      </c>
      <c r="D212" s="19" t="s">
        <v>1461</v>
      </c>
      <c r="E212" s="1296" t="s">
        <v>7291</v>
      </c>
      <c r="F212" s="19" t="s">
        <v>7268</v>
      </c>
      <c r="G212" s="27">
        <v>431000</v>
      </c>
      <c r="H212" s="48">
        <v>44946</v>
      </c>
      <c r="I212" s="48">
        <v>45311</v>
      </c>
      <c r="J212" s="48">
        <v>45398</v>
      </c>
      <c r="K212" s="25">
        <v>385193.12</v>
      </c>
      <c r="L212" s="25">
        <v>308154.5</v>
      </c>
      <c r="M212" s="25">
        <v>115557.94</v>
      </c>
      <c r="N212" s="25">
        <v>77038.63</v>
      </c>
      <c r="O212" s="25">
        <v>115557.93</v>
      </c>
    </row>
    <row r="213" customFormat="1" ht="20" customHeight="1" spans="1:15">
      <c r="A213" s="17">
        <v>209</v>
      </c>
      <c r="B213" s="17">
        <v>2024</v>
      </c>
      <c r="C213" s="19" t="s">
        <v>7024</v>
      </c>
      <c r="D213" s="19" t="s">
        <v>1462</v>
      </c>
      <c r="E213" s="1296" t="s">
        <v>7292</v>
      </c>
      <c r="F213" s="19" t="s">
        <v>7268</v>
      </c>
      <c r="G213" s="27">
        <v>980000</v>
      </c>
      <c r="H213" s="48">
        <v>44943</v>
      </c>
      <c r="I213" s="48">
        <v>45308</v>
      </c>
      <c r="J213" s="48">
        <v>45398</v>
      </c>
      <c r="K213" s="25">
        <v>976674.64</v>
      </c>
      <c r="L213" s="25">
        <v>781339.71</v>
      </c>
      <c r="M213" s="25">
        <v>293002.39</v>
      </c>
      <c r="N213" s="25">
        <v>195334.93</v>
      </c>
      <c r="O213" s="25">
        <v>293002.39</v>
      </c>
    </row>
    <row r="214" customFormat="1" ht="20" customHeight="1" spans="1:15">
      <c r="A214" s="17">
        <v>210</v>
      </c>
      <c r="B214" s="17">
        <v>2024</v>
      </c>
      <c r="C214" s="19" t="s">
        <v>7024</v>
      </c>
      <c r="D214" s="19" t="s">
        <v>1463</v>
      </c>
      <c r="E214" s="1296" t="s">
        <v>7293</v>
      </c>
      <c r="F214" s="19" t="s">
        <v>7268</v>
      </c>
      <c r="G214" s="27">
        <v>1300000</v>
      </c>
      <c r="H214" s="48">
        <v>44946</v>
      </c>
      <c r="I214" s="48">
        <v>45311</v>
      </c>
      <c r="J214" s="48">
        <v>45398</v>
      </c>
      <c r="K214" s="25">
        <v>894209.3</v>
      </c>
      <c r="L214" s="25">
        <v>715367.44</v>
      </c>
      <c r="M214" s="25">
        <v>268262.79</v>
      </c>
      <c r="N214" s="25">
        <v>178841.86</v>
      </c>
      <c r="O214" s="25">
        <v>268262.79</v>
      </c>
    </row>
    <row r="215" customFormat="1" ht="20" customHeight="1" spans="1:15">
      <c r="A215" s="17">
        <v>211</v>
      </c>
      <c r="B215" s="17">
        <v>2024</v>
      </c>
      <c r="C215" s="19" t="s">
        <v>7024</v>
      </c>
      <c r="D215" s="19" t="s">
        <v>1459</v>
      </c>
      <c r="E215" s="1296" t="s">
        <v>7294</v>
      </c>
      <c r="F215" s="19" t="s">
        <v>7268</v>
      </c>
      <c r="G215" s="27">
        <v>336000</v>
      </c>
      <c r="H215" s="48">
        <v>44942</v>
      </c>
      <c r="I215" s="48">
        <v>45307</v>
      </c>
      <c r="J215" s="48">
        <v>45397</v>
      </c>
      <c r="K215" s="25">
        <v>122358.8</v>
      </c>
      <c r="L215" s="25">
        <v>97887.04</v>
      </c>
      <c r="M215" s="25">
        <v>36707.64</v>
      </c>
      <c r="N215" s="25">
        <v>24471.76</v>
      </c>
      <c r="O215" s="25">
        <v>36707.64</v>
      </c>
    </row>
    <row r="216" customFormat="1" ht="20" customHeight="1" spans="1:15">
      <c r="A216" s="17">
        <v>212</v>
      </c>
      <c r="B216" s="17">
        <v>2024</v>
      </c>
      <c r="C216" s="19" t="s">
        <v>7024</v>
      </c>
      <c r="D216" s="19" t="s">
        <v>1460</v>
      </c>
      <c r="E216" s="1296" t="s">
        <v>7295</v>
      </c>
      <c r="F216" s="19" t="s">
        <v>6824</v>
      </c>
      <c r="G216" s="27">
        <v>3500000</v>
      </c>
      <c r="H216" s="48">
        <v>44944</v>
      </c>
      <c r="I216" s="48">
        <v>45309</v>
      </c>
      <c r="J216" s="48">
        <v>45397</v>
      </c>
      <c r="K216" s="25">
        <v>2194648.94</v>
      </c>
      <c r="L216" s="25">
        <v>1755719.15</v>
      </c>
      <c r="M216" s="25">
        <v>658394.68</v>
      </c>
      <c r="N216" s="25">
        <v>438929.79</v>
      </c>
      <c r="O216" s="25">
        <v>658394.68</v>
      </c>
    </row>
    <row r="217" customFormat="1" ht="20" customHeight="1" spans="1:15">
      <c r="A217" s="17">
        <v>213</v>
      </c>
      <c r="B217" s="17">
        <v>2024</v>
      </c>
      <c r="C217" s="19" t="s">
        <v>6968</v>
      </c>
      <c r="D217" s="19" t="s">
        <v>1530</v>
      </c>
      <c r="E217" s="1296" t="s">
        <v>7296</v>
      </c>
      <c r="F217" s="19" t="s">
        <v>7161</v>
      </c>
      <c r="G217" s="27">
        <v>300000</v>
      </c>
      <c r="H217" s="48">
        <v>44771</v>
      </c>
      <c r="I217" s="48">
        <v>45866</v>
      </c>
      <c r="J217" s="48">
        <v>45574</v>
      </c>
      <c r="K217" s="25">
        <v>290971.05</v>
      </c>
      <c r="L217" s="25">
        <v>232776.84</v>
      </c>
      <c r="M217" s="25">
        <v>87291.32</v>
      </c>
      <c r="N217" s="25">
        <v>58194.2</v>
      </c>
      <c r="O217" s="25">
        <v>87291.32</v>
      </c>
    </row>
    <row r="218" customFormat="1" ht="20" customHeight="1" spans="1:15">
      <c r="A218" s="17">
        <v>214</v>
      </c>
      <c r="B218" s="17">
        <v>2024</v>
      </c>
      <c r="C218" s="19" t="s">
        <v>6968</v>
      </c>
      <c r="D218" s="19" t="s">
        <v>1529</v>
      </c>
      <c r="E218" s="1296" t="s">
        <v>7297</v>
      </c>
      <c r="F218" s="19" t="s">
        <v>7298</v>
      </c>
      <c r="G218" s="27">
        <v>100000</v>
      </c>
      <c r="H218" s="48">
        <v>44788</v>
      </c>
      <c r="I218" s="48">
        <v>45518</v>
      </c>
      <c r="J218" s="48">
        <v>45574</v>
      </c>
      <c r="K218" s="25">
        <v>95589.22</v>
      </c>
      <c r="L218" s="25">
        <v>76471.38</v>
      </c>
      <c r="M218" s="25">
        <v>28676.77</v>
      </c>
      <c r="N218" s="25">
        <v>19117.84</v>
      </c>
      <c r="O218" s="25">
        <v>28676.77</v>
      </c>
    </row>
    <row r="219" customFormat="1" ht="20" customHeight="1" spans="1:15">
      <c r="A219" s="17">
        <v>215</v>
      </c>
      <c r="B219" s="17">
        <v>2024</v>
      </c>
      <c r="C219" s="19" t="s">
        <v>6968</v>
      </c>
      <c r="D219" s="19" t="s">
        <v>1526</v>
      </c>
      <c r="E219" s="1296" t="s">
        <v>7299</v>
      </c>
      <c r="F219" s="19" t="s">
        <v>7161</v>
      </c>
      <c r="G219" s="27">
        <v>150000</v>
      </c>
      <c r="H219" s="48">
        <v>44763</v>
      </c>
      <c r="I219" s="48">
        <v>45858</v>
      </c>
      <c r="J219" s="48">
        <v>45533</v>
      </c>
      <c r="K219" s="25">
        <v>128584.57</v>
      </c>
      <c r="L219" s="25">
        <v>102867.66</v>
      </c>
      <c r="M219" s="25">
        <v>38575.37</v>
      </c>
      <c r="N219" s="25">
        <v>25716.92</v>
      </c>
      <c r="O219" s="25">
        <v>38575.37</v>
      </c>
    </row>
    <row r="220" customFormat="1" ht="20" customHeight="1" spans="1:15">
      <c r="A220" s="17">
        <v>216</v>
      </c>
      <c r="B220" s="17">
        <v>2024</v>
      </c>
      <c r="C220" s="19" t="s">
        <v>6968</v>
      </c>
      <c r="D220" s="19" t="s">
        <v>1521</v>
      </c>
      <c r="E220" s="1296" t="s">
        <v>7300</v>
      </c>
      <c r="F220" s="19" t="s">
        <v>7176</v>
      </c>
      <c r="G220" s="27">
        <v>34000</v>
      </c>
      <c r="H220" s="48">
        <v>44636</v>
      </c>
      <c r="I220" s="48">
        <v>45731</v>
      </c>
      <c r="J220" s="48">
        <v>45478</v>
      </c>
      <c r="K220" s="25">
        <v>34880.44</v>
      </c>
      <c r="L220" s="25">
        <v>27904.35</v>
      </c>
      <c r="M220" s="25">
        <v>10464.13</v>
      </c>
      <c r="N220" s="25">
        <v>6976.09</v>
      </c>
      <c r="O220" s="25">
        <v>10464.13</v>
      </c>
    </row>
    <row r="221" customFormat="1" ht="20" customHeight="1" spans="1:15">
      <c r="A221" s="17">
        <v>217</v>
      </c>
      <c r="B221" s="17">
        <v>2024</v>
      </c>
      <c r="C221" s="19" t="s">
        <v>6968</v>
      </c>
      <c r="D221" s="19" t="s">
        <v>1522</v>
      </c>
      <c r="E221" s="1296" t="s">
        <v>7301</v>
      </c>
      <c r="F221" s="19" t="s">
        <v>7187</v>
      </c>
      <c r="G221" s="27">
        <v>300000</v>
      </c>
      <c r="H221" s="48">
        <v>44644</v>
      </c>
      <c r="I221" s="48">
        <v>45739</v>
      </c>
      <c r="J221" s="48">
        <v>45504</v>
      </c>
      <c r="K221" s="25">
        <v>303186.67</v>
      </c>
      <c r="L221" s="25">
        <v>242549.33</v>
      </c>
      <c r="M221" s="25">
        <v>90956</v>
      </c>
      <c r="N221" s="25">
        <v>60637.33</v>
      </c>
      <c r="O221" s="25">
        <v>90956</v>
      </c>
    </row>
    <row r="222" customFormat="1" ht="20" customHeight="1" spans="1:15">
      <c r="A222" s="17">
        <v>218</v>
      </c>
      <c r="B222" s="17">
        <v>2024</v>
      </c>
      <c r="C222" s="19" t="s">
        <v>7042</v>
      </c>
      <c r="D222" s="19" t="s">
        <v>1516</v>
      </c>
      <c r="E222" s="1296" t="s">
        <v>7302</v>
      </c>
      <c r="F222" s="19" t="s">
        <v>7303</v>
      </c>
      <c r="G222" s="27">
        <v>3000000</v>
      </c>
      <c r="H222" s="48">
        <v>45380</v>
      </c>
      <c r="I222" s="48">
        <v>45380</v>
      </c>
      <c r="J222" s="48">
        <v>45464</v>
      </c>
      <c r="K222" s="25">
        <v>3001306.89</v>
      </c>
      <c r="L222" s="25">
        <v>2401045.51</v>
      </c>
      <c r="M222" s="25">
        <v>900392.07</v>
      </c>
      <c r="N222" s="25">
        <v>600261.37</v>
      </c>
      <c r="O222" s="25">
        <v>900392.07</v>
      </c>
    </row>
    <row r="223" customFormat="1" ht="20" customHeight="1" spans="1:15">
      <c r="A223" s="17">
        <v>219</v>
      </c>
      <c r="B223" s="17">
        <v>2024</v>
      </c>
      <c r="C223" s="19" t="s">
        <v>7042</v>
      </c>
      <c r="D223" s="19" t="s">
        <v>1525</v>
      </c>
      <c r="E223" s="1296" t="s">
        <v>7304</v>
      </c>
      <c r="F223" s="19" t="s">
        <v>7305</v>
      </c>
      <c r="G223" s="27">
        <v>2000000</v>
      </c>
      <c r="H223" s="48">
        <v>45441</v>
      </c>
      <c r="I223" s="48">
        <v>45441</v>
      </c>
      <c r="J223" s="48">
        <v>45530</v>
      </c>
      <c r="K223" s="25">
        <v>1998486.23</v>
      </c>
      <c r="L223" s="25">
        <v>1460587.33</v>
      </c>
      <c r="M223" s="25">
        <v>547720.25</v>
      </c>
      <c r="N223" s="25">
        <v>365146.83</v>
      </c>
      <c r="O223" s="25">
        <v>547720.25</v>
      </c>
    </row>
    <row r="224" customFormat="1" ht="20" customHeight="1" spans="1:15">
      <c r="A224" s="17">
        <v>220</v>
      </c>
      <c r="B224" s="17">
        <v>2024</v>
      </c>
      <c r="C224" s="19" t="s">
        <v>7209</v>
      </c>
      <c r="D224" s="19" t="s">
        <v>7306</v>
      </c>
      <c r="E224" s="1296" t="s">
        <v>7307</v>
      </c>
      <c r="F224" s="19" t="s">
        <v>7308</v>
      </c>
      <c r="G224" s="27">
        <v>1474000</v>
      </c>
      <c r="H224" s="48">
        <v>44735</v>
      </c>
      <c r="I224" s="48">
        <v>45099</v>
      </c>
      <c r="J224" s="48">
        <v>45156</v>
      </c>
      <c r="K224" s="25">
        <v>1476854.68</v>
      </c>
      <c r="L224" s="25">
        <v>1176068.93</v>
      </c>
      <c r="M224" s="25">
        <v>441025.85</v>
      </c>
      <c r="N224" s="25">
        <v>294017.23</v>
      </c>
      <c r="O224" s="25">
        <v>441025.85</v>
      </c>
    </row>
    <row r="225" customFormat="1" ht="20" customHeight="1" spans="1:15">
      <c r="A225" s="17">
        <v>221</v>
      </c>
      <c r="B225" s="17">
        <v>2024</v>
      </c>
      <c r="C225" s="19" t="s">
        <v>7209</v>
      </c>
      <c r="D225" s="19" t="s">
        <v>1320</v>
      </c>
      <c r="E225" s="1296" t="s">
        <v>7309</v>
      </c>
      <c r="F225" s="19" t="s">
        <v>7310</v>
      </c>
      <c r="G225" s="27">
        <v>5000000</v>
      </c>
      <c r="H225" s="48">
        <v>44676</v>
      </c>
      <c r="I225" s="48">
        <v>45040</v>
      </c>
      <c r="J225" s="48">
        <v>45064</v>
      </c>
      <c r="K225" s="25">
        <v>5037187.5</v>
      </c>
      <c r="L225" s="25">
        <v>4029750</v>
      </c>
      <c r="M225" s="25">
        <v>1511156.25</v>
      </c>
      <c r="N225" s="25">
        <v>1007437.5</v>
      </c>
      <c r="O225" s="25">
        <v>1511156.25</v>
      </c>
    </row>
    <row r="226" customFormat="1" ht="63.75" customHeight="1" spans="1:15">
      <c r="A226" s="17">
        <v>222</v>
      </c>
      <c r="B226" s="17">
        <v>2024</v>
      </c>
      <c r="C226" s="19" t="s">
        <v>7007</v>
      </c>
      <c r="D226" s="19" t="s">
        <v>1527</v>
      </c>
      <c r="E226" s="1296" t="s">
        <v>7311</v>
      </c>
      <c r="F226" s="19" t="s">
        <v>7009</v>
      </c>
      <c r="G226" s="27">
        <v>1500000</v>
      </c>
      <c r="H226" s="48">
        <v>45159</v>
      </c>
      <c r="I226" s="48">
        <v>45524</v>
      </c>
      <c r="J226" s="48">
        <v>45564</v>
      </c>
      <c r="K226" s="25">
        <v>1526197.42</v>
      </c>
      <c r="L226" s="25">
        <v>1220957.93</v>
      </c>
      <c r="M226" s="25">
        <v>610478.97</v>
      </c>
      <c r="N226" s="25">
        <v>305239.48</v>
      </c>
      <c r="O226" s="25">
        <v>305239.48</v>
      </c>
    </row>
    <row r="227" customFormat="1" ht="20" customHeight="1" spans="1:15">
      <c r="A227" s="17">
        <v>223</v>
      </c>
      <c r="B227" s="17">
        <v>2024</v>
      </c>
      <c r="C227" s="19" t="s">
        <v>7000</v>
      </c>
      <c r="D227" s="19" t="s">
        <v>1436</v>
      </c>
      <c r="E227" s="1296" t="s">
        <v>7312</v>
      </c>
      <c r="F227" s="19" t="s">
        <v>7004</v>
      </c>
      <c r="G227" s="27">
        <v>3000000</v>
      </c>
      <c r="H227" s="48">
        <v>44939</v>
      </c>
      <c r="I227" s="48">
        <v>45303</v>
      </c>
      <c r="J227" s="48">
        <v>45358</v>
      </c>
      <c r="K227" s="25">
        <v>990373.97</v>
      </c>
      <c r="L227" s="25">
        <v>792299.18</v>
      </c>
      <c r="M227" s="25">
        <v>297112.19</v>
      </c>
      <c r="N227" s="25">
        <v>198074.8</v>
      </c>
      <c r="O227" s="25">
        <v>297112.19</v>
      </c>
    </row>
    <row r="228" customFormat="1" ht="20" customHeight="1" spans="1:15">
      <c r="A228" s="17">
        <v>224</v>
      </c>
      <c r="B228" s="17">
        <v>2024</v>
      </c>
      <c r="C228" s="19" t="s">
        <v>7000</v>
      </c>
      <c r="D228" s="19" t="s">
        <v>1536</v>
      </c>
      <c r="E228" s="1296" t="s">
        <v>7313</v>
      </c>
      <c r="F228" s="19" t="s">
        <v>7004</v>
      </c>
      <c r="G228" s="27">
        <v>1300000</v>
      </c>
      <c r="H228" s="48">
        <v>44859</v>
      </c>
      <c r="I228" s="48">
        <v>45223</v>
      </c>
      <c r="J228" s="48">
        <v>45301</v>
      </c>
      <c r="K228" s="25">
        <v>703869.57</v>
      </c>
      <c r="L228" s="25">
        <v>563095.65</v>
      </c>
      <c r="M228" s="25">
        <v>211160.87</v>
      </c>
      <c r="N228" s="25">
        <v>140773.91</v>
      </c>
      <c r="O228" s="25">
        <v>211160.87</v>
      </c>
    </row>
    <row r="229" s="2" customFormat="1" ht="20" customHeight="1" spans="1:15">
      <c r="A229" s="49"/>
      <c r="B229" s="49"/>
      <c r="C229" s="58" t="s">
        <v>1266</v>
      </c>
      <c r="D229" s="49"/>
      <c r="E229" s="51"/>
      <c r="F229" s="49"/>
      <c r="G229" s="52">
        <f>SUM(G31:G228)</f>
        <v>215789000</v>
      </c>
      <c r="H229" s="52"/>
      <c r="I229" s="52"/>
      <c r="J229" s="52"/>
      <c r="K229" s="52">
        <f>SUM(K31:K228)</f>
        <v>201775109.87</v>
      </c>
      <c r="L229" s="52">
        <f>SUM(L31:L228)</f>
        <v>160988239.14</v>
      </c>
      <c r="M229" s="52">
        <f>SUM(M31:M228)</f>
        <v>60523209.52</v>
      </c>
      <c r="N229" s="52">
        <f>SUM(N31:N228)</f>
        <v>40247059.99</v>
      </c>
      <c r="O229" s="52">
        <f>SUM(O31:O228)</f>
        <v>60217969.89</v>
      </c>
    </row>
    <row r="230" customFormat="1" ht="20" customHeight="1" spans="1:15">
      <c r="A230" s="17">
        <v>225</v>
      </c>
      <c r="B230" s="17">
        <v>2025</v>
      </c>
      <c r="C230" s="57" t="s">
        <v>7020</v>
      </c>
      <c r="D230" s="19" t="s">
        <v>1533</v>
      </c>
      <c r="E230" s="1296" t="s">
        <v>7314</v>
      </c>
      <c r="F230" s="19" t="s">
        <v>7315</v>
      </c>
      <c r="G230" s="27">
        <v>1516000</v>
      </c>
      <c r="H230" s="48">
        <v>45163</v>
      </c>
      <c r="I230" s="48">
        <v>45528</v>
      </c>
      <c r="J230" s="48">
        <v>45590</v>
      </c>
      <c r="K230" s="25">
        <v>1516665.28</v>
      </c>
      <c r="L230" s="22">
        <v>1213199.15</v>
      </c>
      <c r="M230" s="22">
        <v>606599.58</v>
      </c>
      <c r="N230" s="22">
        <v>303299.79</v>
      </c>
      <c r="O230" s="22">
        <v>303299.78</v>
      </c>
    </row>
    <row r="231" customFormat="1" ht="20" customHeight="1" spans="1:15">
      <c r="A231" s="17">
        <v>226</v>
      </c>
      <c r="B231" s="17">
        <v>2025</v>
      </c>
      <c r="C231" s="57" t="s">
        <v>7020</v>
      </c>
      <c r="D231" s="19" t="s">
        <v>1532</v>
      </c>
      <c r="E231" s="1296" t="s">
        <v>7316</v>
      </c>
      <c r="F231" s="19" t="s">
        <v>7315</v>
      </c>
      <c r="G231" s="27">
        <v>1500000</v>
      </c>
      <c r="H231" s="48">
        <v>45159</v>
      </c>
      <c r="I231" s="48">
        <v>45524</v>
      </c>
      <c r="J231" s="48">
        <v>45590</v>
      </c>
      <c r="K231" s="25">
        <v>1500000</v>
      </c>
      <c r="L231" s="59">
        <v>1199798.8</v>
      </c>
      <c r="M231" s="59">
        <v>599899.4</v>
      </c>
      <c r="N231" s="59">
        <v>299949.7</v>
      </c>
      <c r="O231" s="59">
        <v>299949.7</v>
      </c>
    </row>
    <row r="232" customFormat="1" ht="20" customHeight="1" spans="1:15">
      <c r="A232" s="17">
        <v>227</v>
      </c>
      <c r="B232" s="17">
        <v>2025</v>
      </c>
      <c r="C232" s="57" t="s">
        <v>7020</v>
      </c>
      <c r="D232" s="19" t="s">
        <v>1531</v>
      </c>
      <c r="E232" s="1296" t="s">
        <v>7317</v>
      </c>
      <c r="F232" s="19" t="s">
        <v>7315</v>
      </c>
      <c r="G232" s="27">
        <v>2632000</v>
      </c>
      <c r="H232" s="48">
        <v>45141</v>
      </c>
      <c r="I232" s="48">
        <v>45506</v>
      </c>
      <c r="J232" s="48">
        <v>45590</v>
      </c>
      <c r="K232" s="25">
        <v>2632000</v>
      </c>
      <c r="L232" s="22">
        <v>2104242.48</v>
      </c>
      <c r="M232" s="22">
        <v>1052121.24</v>
      </c>
      <c r="N232" s="22">
        <v>526060.62</v>
      </c>
      <c r="O232" s="22">
        <v>526060.62</v>
      </c>
    </row>
    <row r="233" customFormat="1" ht="20" customHeight="1" spans="1:15">
      <c r="A233" s="17">
        <v>228</v>
      </c>
      <c r="B233" s="17">
        <v>2025</v>
      </c>
      <c r="C233" s="57" t="s">
        <v>6981</v>
      </c>
      <c r="D233" s="57" t="s">
        <v>1373</v>
      </c>
      <c r="E233" s="1296" t="s">
        <v>7318</v>
      </c>
      <c r="F233" s="19" t="s">
        <v>7319</v>
      </c>
      <c r="G233" s="27">
        <v>1000000</v>
      </c>
      <c r="H233" s="48">
        <v>44582</v>
      </c>
      <c r="I233" s="48">
        <v>45128</v>
      </c>
      <c r="J233" s="48">
        <v>45191</v>
      </c>
      <c r="K233" s="25">
        <v>999000.41</v>
      </c>
      <c r="L233" s="25">
        <v>799200.33</v>
      </c>
      <c r="M233" s="25">
        <v>299700.12</v>
      </c>
      <c r="N233" s="25">
        <v>199800.08</v>
      </c>
      <c r="O233" s="25">
        <v>299700.13</v>
      </c>
    </row>
    <row r="234" customFormat="1" ht="20" customHeight="1" spans="1:15">
      <c r="A234" s="17">
        <v>229</v>
      </c>
      <c r="B234" s="17">
        <v>2025</v>
      </c>
      <c r="C234" s="57" t="s">
        <v>7020</v>
      </c>
      <c r="D234" s="19" t="s">
        <v>1509</v>
      </c>
      <c r="E234" s="60" t="s">
        <v>7320</v>
      </c>
      <c r="F234" s="61" t="s">
        <v>7321</v>
      </c>
      <c r="G234" s="27">
        <v>758000</v>
      </c>
      <c r="H234" s="48">
        <v>45061</v>
      </c>
      <c r="I234" s="48">
        <v>45407</v>
      </c>
      <c r="J234" s="62">
        <v>45450</v>
      </c>
      <c r="K234" s="25">
        <v>753814.32</v>
      </c>
      <c r="L234" s="25">
        <v>603051.46</v>
      </c>
      <c r="M234" s="25">
        <v>226144.3</v>
      </c>
      <c r="N234" s="25">
        <v>150762.87</v>
      </c>
      <c r="O234" s="25">
        <v>226144.29</v>
      </c>
    </row>
    <row r="235" customFormat="1" ht="20" customHeight="1" spans="1:15">
      <c r="A235" s="17">
        <v>230</v>
      </c>
      <c r="B235" s="17">
        <v>2025</v>
      </c>
      <c r="C235" s="57" t="s">
        <v>7020</v>
      </c>
      <c r="D235" s="19" t="s">
        <v>744</v>
      </c>
      <c r="E235" s="1296" t="s">
        <v>7322</v>
      </c>
      <c r="F235" s="19" t="s">
        <v>7323</v>
      </c>
      <c r="G235" s="27">
        <v>1706000</v>
      </c>
      <c r="H235" s="48">
        <v>45212</v>
      </c>
      <c r="I235" s="48">
        <v>45577</v>
      </c>
      <c r="J235" s="48">
        <v>45644</v>
      </c>
      <c r="K235" s="25">
        <v>1512081.04</v>
      </c>
      <c r="L235" s="25">
        <v>1209664.83</v>
      </c>
      <c r="M235" s="25">
        <v>604832.42</v>
      </c>
      <c r="N235" s="25">
        <v>302416.21</v>
      </c>
      <c r="O235" s="25">
        <v>302416.2</v>
      </c>
    </row>
    <row r="236" customFormat="1" ht="20" customHeight="1" spans="1:15">
      <c r="A236" s="17">
        <v>231</v>
      </c>
      <c r="B236" s="17">
        <v>2025</v>
      </c>
      <c r="C236" s="57" t="s">
        <v>7020</v>
      </c>
      <c r="D236" s="19" t="s">
        <v>1538</v>
      </c>
      <c r="E236" s="1296" t="s">
        <v>7324</v>
      </c>
      <c r="F236" s="19" t="s">
        <v>7323</v>
      </c>
      <c r="G236" s="27">
        <v>2662000</v>
      </c>
      <c r="H236" s="48">
        <v>45180</v>
      </c>
      <c r="I236" s="48">
        <v>45545</v>
      </c>
      <c r="J236" s="48">
        <v>45625</v>
      </c>
      <c r="K236" s="25">
        <v>2644022.79</v>
      </c>
      <c r="L236" s="25">
        <v>2115218.23</v>
      </c>
      <c r="M236" s="25">
        <v>1057609.12</v>
      </c>
      <c r="N236" s="25">
        <v>528804.56</v>
      </c>
      <c r="O236" s="25">
        <v>528804.55</v>
      </c>
    </row>
    <row r="237" customFormat="1" ht="20" customHeight="1" spans="1:15">
      <c r="A237" s="17">
        <v>232</v>
      </c>
      <c r="B237" s="17">
        <v>2025</v>
      </c>
      <c r="C237" s="57" t="s">
        <v>7020</v>
      </c>
      <c r="D237" s="19" t="s">
        <v>647</v>
      </c>
      <c r="E237" s="1296" t="s">
        <v>7325</v>
      </c>
      <c r="F237" s="19" t="s">
        <v>7326</v>
      </c>
      <c r="G237" s="27">
        <v>1084000</v>
      </c>
      <c r="H237" s="48">
        <v>45207</v>
      </c>
      <c r="I237" s="48">
        <v>45572</v>
      </c>
      <c r="J237" s="48">
        <v>45644</v>
      </c>
      <c r="K237" s="25">
        <v>1080693.26</v>
      </c>
      <c r="L237" s="25">
        <v>864554.6</v>
      </c>
      <c r="M237" s="25">
        <v>432277.3</v>
      </c>
      <c r="N237" s="25">
        <v>216138.65</v>
      </c>
      <c r="O237" s="25">
        <v>216138.65</v>
      </c>
    </row>
    <row r="238" customFormat="1" ht="20" customHeight="1" spans="1:15">
      <c r="A238" s="17">
        <v>233</v>
      </c>
      <c r="B238" s="17">
        <v>2025</v>
      </c>
      <c r="C238" s="57" t="s">
        <v>7020</v>
      </c>
      <c r="D238" s="19" t="s">
        <v>1539</v>
      </c>
      <c r="E238" s="1296" t="s">
        <v>7327</v>
      </c>
      <c r="F238" s="19" t="s">
        <v>7328</v>
      </c>
      <c r="G238" s="27">
        <v>3000000</v>
      </c>
      <c r="H238" s="48">
        <v>45196</v>
      </c>
      <c r="I238" s="48">
        <v>45561</v>
      </c>
      <c r="J238" s="48">
        <v>45625</v>
      </c>
      <c r="K238" s="25">
        <v>2701953.23</v>
      </c>
      <c r="L238" s="25">
        <v>2161562.58</v>
      </c>
      <c r="M238" s="25">
        <v>1080781.29</v>
      </c>
      <c r="N238" s="25">
        <v>540390.65</v>
      </c>
      <c r="O238" s="25">
        <v>540390.64</v>
      </c>
    </row>
    <row r="239" customFormat="1" ht="20" customHeight="1" spans="1:15">
      <c r="A239" s="17">
        <v>234</v>
      </c>
      <c r="B239" s="17">
        <v>2025</v>
      </c>
      <c r="C239" s="57" t="s">
        <v>7020</v>
      </c>
      <c r="D239" s="19" t="s">
        <v>1540</v>
      </c>
      <c r="E239" s="1296" t="s">
        <v>7329</v>
      </c>
      <c r="F239" s="19" t="s">
        <v>7315</v>
      </c>
      <c r="G239" s="27">
        <v>1507000</v>
      </c>
      <c r="H239" s="48">
        <v>45163</v>
      </c>
      <c r="I239" s="48">
        <v>45528</v>
      </c>
      <c r="J239" s="48">
        <v>45625</v>
      </c>
      <c r="K239" s="25">
        <v>1466501.65</v>
      </c>
      <c r="L239" s="25">
        <v>1173201.32</v>
      </c>
      <c r="M239" s="25">
        <v>586600.66</v>
      </c>
      <c r="N239" s="25">
        <v>293300.33</v>
      </c>
      <c r="O239" s="25">
        <v>293300.33</v>
      </c>
    </row>
    <row r="240" customFormat="1" ht="20" customHeight="1" spans="1:15">
      <c r="A240" s="17">
        <v>235</v>
      </c>
      <c r="B240" s="17">
        <v>2025</v>
      </c>
      <c r="C240" s="57" t="s">
        <v>7020</v>
      </c>
      <c r="D240" s="19" t="s">
        <v>1541</v>
      </c>
      <c r="E240" s="1296" t="s">
        <v>7330</v>
      </c>
      <c r="F240" s="19" t="s">
        <v>7328</v>
      </c>
      <c r="G240" s="27">
        <v>1600000</v>
      </c>
      <c r="H240" s="48">
        <v>45169</v>
      </c>
      <c r="I240" s="48">
        <v>45534</v>
      </c>
      <c r="J240" s="48">
        <v>45624</v>
      </c>
      <c r="K240" s="25">
        <v>1196127.44</v>
      </c>
      <c r="L240" s="25">
        <v>956901.95</v>
      </c>
      <c r="M240" s="25">
        <v>478450.98</v>
      </c>
      <c r="N240" s="25">
        <v>239225.49</v>
      </c>
      <c r="O240" s="25">
        <v>239225.48</v>
      </c>
    </row>
    <row r="241" customFormat="1" ht="20" customHeight="1" spans="1:15">
      <c r="A241" s="17">
        <v>236</v>
      </c>
      <c r="B241" s="17">
        <v>2025</v>
      </c>
      <c r="C241" s="57" t="s">
        <v>7020</v>
      </c>
      <c r="D241" s="19" t="s">
        <v>1542</v>
      </c>
      <c r="E241" s="1296" t="s">
        <v>7331</v>
      </c>
      <c r="F241" s="19" t="s">
        <v>7315</v>
      </c>
      <c r="G241" s="27">
        <v>817000</v>
      </c>
      <c r="H241" s="48">
        <v>45160</v>
      </c>
      <c r="I241" s="48">
        <v>45525</v>
      </c>
      <c r="J241" s="48">
        <v>45625</v>
      </c>
      <c r="K241" s="25">
        <v>415601.21</v>
      </c>
      <c r="L241" s="25">
        <v>332480.96</v>
      </c>
      <c r="M241" s="25">
        <v>166240.48</v>
      </c>
      <c r="N241" s="63">
        <v>83120.24</v>
      </c>
      <c r="O241" s="25">
        <v>83120.24</v>
      </c>
    </row>
    <row r="242" customFormat="1" ht="20" customHeight="1" spans="1:15">
      <c r="A242" s="17">
        <v>237</v>
      </c>
      <c r="B242" s="17">
        <v>2025</v>
      </c>
      <c r="C242" s="57" t="s">
        <v>6968</v>
      </c>
      <c r="D242" s="19" t="s">
        <v>1535</v>
      </c>
      <c r="E242" s="1296" t="s">
        <v>7332</v>
      </c>
      <c r="F242" s="19" t="s">
        <v>6972</v>
      </c>
      <c r="G242" s="27">
        <v>990000</v>
      </c>
      <c r="H242" s="48">
        <v>45181</v>
      </c>
      <c r="I242" s="48">
        <v>45546</v>
      </c>
      <c r="J242" s="48">
        <v>45639</v>
      </c>
      <c r="K242" s="25">
        <v>703998.82</v>
      </c>
      <c r="L242" s="25">
        <v>563199.05</v>
      </c>
      <c r="M242" s="25">
        <v>281599.53</v>
      </c>
      <c r="N242" s="25">
        <v>140799.76</v>
      </c>
      <c r="O242" s="25">
        <v>140799.76</v>
      </c>
    </row>
    <row r="243" customFormat="1" ht="20" customHeight="1" spans="1:15">
      <c r="A243" s="17">
        <v>238</v>
      </c>
      <c r="B243" s="17">
        <v>2025</v>
      </c>
      <c r="C243" s="57" t="s">
        <v>7226</v>
      </c>
      <c r="D243" s="19" t="s">
        <v>1537</v>
      </c>
      <c r="E243" s="60" t="s">
        <v>7333</v>
      </c>
      <c r="F243" s="19" t="s">
        <v>6278</v>
      </c>
      <c r="G243" s="27">
        <v>3000000</v>
      </c>
      <c r="H243" s="48">
        <v>45267</v>
      </c>
      <c r="I243" s="48">
        <v>45632</v>
      </c>
      <c r="J243" s="48">
        <v>45653</v>
      </c>
      <c r="K243" s="25">
        <v>3017444.85</v>
      </c>
      <c r="L243" s="25">
        <v>2413955.88</v>
      </c>
      <c r="M243" s="25">
        <v>1206977.94</v>
      </c>
      <c r="N243" s="25">
        <v>603488.97</v>
      </c>
      <c r="O243" s="25">
        <v>603488.97</v>
      </c>
    </row>
    <row r="244" customFormat="1" ht="20" customHeight="1" spans="1:15">
      <c r="A244" s="17">
        <v>239</v>
      </c>
      <c r="B244" s="17">
        <v>2025</v>
      </c>
      <c r="C244" s="57" t="s">
        <v>7020</v>
      </c>
      <c r="D244" s="19" t="s">
        <v>1546</v>
      </c>
      <c r="E244" s="1301" t="s">
        <v>7334</v>
      </c>
      <c r="F244" s="19" t="s">
        <v>7048</v>
      </c>
      <c r="G244" s="27">
        <v>1546000</v>
      </c>
      <c r="H244" s="48">
        <v>45251</v>
      </c>
      <c r="I244" s="48">
        <v>45616</v>
      </c>
      <c r="J244" s="48">
        <v>45702</v>
      </c>
      <c r="K244" s="25">
        <v>1123104.95</v>
      </c>
      <c r="L244" s="25">
        <v>898483.96</v>
      </c>
      <c r="M244" s="25">
        <v>449241.98</v>
      </c>
      <c r="N244" s="25">
        <v>224620.99</v>
      </c>
      <c r="O244" s="25">
        <v>224620.99</v>
      </c>
    </row>
    <row r="245" customFormat="1" ht="20" customHeight="1" spans="1:15">
      <c r="A245" s="17">
        <v>240</v>
      </c>
      <c r="B245" s="17">
        <v>2025</v>
      </c>
      <c r="C245" s="57" t="s">
        <v>7020</v>
      </c>
      <c r="D245" s="19" t="s">
        <v>1547</v>
      </c>
      <c r="E245" s="1301" t="s">
        <v>7335</v>
      </c>
      <c r="F245" s="19" t="s">
        <v>7084</v>
      </c>
      <c r="G245" s="27">
        <v>5000000</v>
      </c>
      <c r="H245" s="48">
        <v>45549</v>
      </c>
      <c r="I245" s="48">
        <v>45913</v>
      </c>
      <c r="J245" s="48">
        <v>45680</v>
      </c>
      <c r="K245" s="25">
        <v>5051238.89</v>
      </c>
      <c r="L245" s="25">
        <v>4040991.11</v>
      </c>
      <c r="M245" s="25">
        <v>2020495.56</v>
      </c>
      <c r="N245" s="25">
        <v>1010247.78</v>
      </c>
      <c r="O245" s="25">
        <v>1010247.77</v>
      </c>
    </row>
    <row r="246" customFormat="1" ht="20" customHeight="1" spans="1:15">
      <c r="A246" s="17">
        <v>241</v>
      </c>
      <c r="B246" s="17">
        <v>2025</v>
      </c>
      <c r="C246" s="57" t="s">
        <v>6981</v>
      </c>
      <c r="D246" s="19" t="s">
        <v>1544</v>
      </c>
      <c r="E246" s="1301" t="s">
        <v>7336</v>
      </c>
      <c r="F246" s="19" t="s">
        <v>7337</v>
      </c>
      <c r="G246" s="27">
        <v>5000000</v>
      </c>
      <c r="H246" s="48">
        <v>45141</v>
      </c>
      <c r="I246" s="48">
        <v>45506</v>
      </c>
      <c r="J246" s="48">
        <v>45666</v>
      </c>
      <c r="K246" s="25">
        <v>4996005.4</v>
      </c>
      <c r="L246" s="25">
        <v>3996804.32</v>
      </c>
      <c r="M246" s="25">
        <v>1998402.16</v>
      </c>
      <c r="N246" s="25">
        <v>999201.08</v>
      </c>
      <c r="O246" s="25">
        <v>999201.08</v>
      </c>
    </row>
    <row r="247" customFormat="1" ht="20" customHeight="1" spans="1:15">
      <c r="A247" s="17">
        <v>242</v>
      </c>
      <c r="B247" s="17">
        <v>2025</v>
      </c>
      <c r="C247" s="57" t="s">
        <v>7007</v>
      </c>
      <c r="D247" s="19" t="s">
        <v>1545</v>
      </c>
      <c r="E247" s="1301" t="s">
        <v>7338</v>
      </c>
      <c r="F247" s="19" t="s">
        <v>7009</v>
      </c>
      <c r="G247" s="27">
        <v>5000000</v>
      </c>
      <c r="H247" s="62">
        <v>45141</v>
      </c>
      <c r="I247" s="62">
        <v>45506</v>
      </c>
      <c r="J247" s="48">
        <v>45666</v>
      </c>
      <c r="K247" s="25">
        <v>5116846.35</v>
      </c>
      <c r="L247" s="25">
        <v>4093477.08</v>
      </c>
      <c r="M247" s="25">
        <v>2046738.54</v>
      </c>
      <c r="N247" s="25">
        <v>1023369.27</v>
      </c>
      <c r="O247" s="25">
        <v>1023369.27</v>
      </c>
    </row>
    <row r="248" customFormat="1" ht="20" customHeight="1" spans="1:15">
      <c r="A248" s="17">
        <v>243</v>
      </c>
      <c r="B248" s="17">
        <v>2025</v>
      </c>
      <c r="C248" s="57" t="s">
        <v>7020</v>
      </c>
      <c r="D248" s="19" t="s">
        <v>1548</v>
      </c>
      <c r="E248" s="1301" t="s">
        <v>7339</v>
      </c>
      <c r="F248" s="19" t="s">
        <v>7340</v>
      </c>
      <c r="G248" s="27">
        <v>5000000</v>
      </c>
      <c r="H248" s="48">
        <v>45328</v>
      </c>
      <c r="I248" s="48">
        <v>45693</v>
      </c>
      <c r="J248" s="48">
        <v>45715</v>
      </c>
      <c r="K248" s="25">
        <v>5008680.26</v>
      </c>
      <c r="L248" s="25">
        <v>4006944.2</v>
      </c>
      <c r="M248" s="25">
        <v>2003472.1</v>
      </c>
      <c r="N248" s="25">
        <v>1001736.05</v>
      </c>
      <c r="O248" s="25">
        <v>1001736.05</v>
      </c>
    </row>
    <row r="249" customFormat="1" ht="20" customHeight="1" spans="1:15">
      <c r="A249" s="17">
        <v>244</v>
      </c>
      <c r="B249" s="17">
        <v>2025</v>
      </c>
      <c r="C249" s="57" t="s">
        <v>7020</v>
      </c>
      <c r="D249" s="19" t="s">
        <v>1549</v>
      </c>
      <c r="E249" s="1301" t="s">
        <v>7341</v>
      </c>
      <c r="F249" s="19" t="s">
        <v>1142</v>
      </c>
      <c r="G249" s="27">
        <v>5000000</v>
      </c>
      <c r="H249" s="48">
        <v>45278</v>
      </c>
      <c r="I249" s="48">
        <v>45643</v>
      </c>
      <c r="J249" s="48">
        <v>45715</v>
      </c>
      <c r="K249" s="25">
        <v>5002264.87</v>
      </c>
      <c r="L249" s="25">
        <v>4001811.89</v>
      </c>
      <c r="M249" s="25">
        <v>2000905.95</v>
      </c>
      <c r="N249" s="25">
        <v>1000452.97</v>
      </c>
      <c r="O249" s="25">
        <v>1000452.97</v>
      </c>
    </row>
    <row r="250" customFormat="1" ht="20" customHeight="1" spans="1:15">
      <c r="A250" s="17">
        <v>245</v>
      </c>
      <c r="B250" s="17">
        <v>2025</v>
      </c>
      <c r="C250" s="57" t="s">
        <v>7342</v>
      </c>
      <c r="D250" s="19" t="s">
        <v>7343</v>
      </c>
      <c r="E250" s="1301" t="s">
        <v>7344</v>
      </c>
      <c r="F250" s="19" t="s">
        <v>1915</v>
      </c>
      <c r="G250" s="27">
        <v>1000000</v>
      </c>
      <c r="H250" s="48">
        <v>45072</v>
      </c>
      <c r="I250" s="48">
        <v>45437</v>
      </c>
      <c r="J250" s="48">
        <v>45519</v>
      </c>
      <c r="K250" s="25">
        <v>1000296.06</v>
      </c>
      <c r="L250" s="25">
        <v>800236.85</v>
      </c>
      <c r="M250" s="25">
        <v>300088.82</v>
      </c>
      <c r="N250" s="25">
        <v>200059.21</v>
      </c>
      <c r="O250" s="25">
        <v>300088.82</v>
      </c>
    </row>
    <row r="251" customFormat="1" ht="20" customHeight="1" spans="1:15">
      <c r="A251" s="17">
        <v>246</v>
      </c>
      <c r="B251" s="17">
        <v>2025</v>
      </c>
      <c r="C251" s="57" t="s">
        <v>7342</v>
      </c>
      <c r="D251" s="19" t="s">
        <v>1514</v>
      </c>
      <c r="E251" s="1301" t="s">
        <v>7345</v>
      </c>
      <c r="F251" s="19" t="s">
        <v>1915</v>
      </c>
      <c r="G251" s="27">
        <v>3500000</v>
      </c>
      <c r="H251" s="48">
        <v>45014</v>
      </c>
      <c r="I251" s="48">
        <v>45379</v>
      </c>
      <c r="J251" s="48">
        <v>45464</v>
      </c>
      <c r="K251" s="25">
        <v>1810469.78</v>
      </c>
      <c r="L251" s="25">
        <v>1448375.82</v>
      </c>
      <c r="M251" s="25">
        <v>543140.93</v>
      </c>
      <c r="N251" s="25">
        <v>362093.96</v>
      </c>
      <c r="O251" s="25">
        <v>543140.93</v>
      </c>
    </row>
    <row r="252" customFormat="1" ht="20" customHeight="1" spans="1:15">
      <c r="A252" s="17">
        <v>247</v>
      </c>
      <c r="B252" s="17">
        <v>2025</v>
      </c>
      <c r="C252" s="57" t="s">
        <v>7042</v>
      </c>
      <c r="D252" s="19" t="s">
        <v>1534</v>
      </c>
      <c r="E252" s="60" t="s">
        <v>7346</v>
      </c>
      <c r="F252" s="19" t="s">
        <v>7347</v>
      </c>
      <c r="G252" s="27">
        <v>500000</v>
      </c>
      <c r="H252" s="48">
        <v>44390</v>
      </c>
      <c r="I252" s="48">
        <v>44939</v>
      </c>
      <c r="J252" s="48">
        <v>45023</v>
      </c>
      <c r="K252" s="25">
        <v>418684.36</v>
      </c>
      <c r="L252" s="25">
        <v>334947.49</v>
      </c>
      <c r="M252" s="25">
        <v>125605.31</v>
      </c>
      <c r="N252" s="25">
        <v>83736.87</v>
      </c>
      <c r="O252" s="25">
        <v>125605.31</v>
      </c>
    </row>
    <row r="253" customFormat="1" ht="20" customHeight="1" spans="1:15">
      <c r="A253" s="17">
        <v>248</v>
      </c>
      <c r="B253" s="17">
        <v>2025</v>
      </c>
      <c r="C253" s="57" t="s">
        <v>7348</v>
      </c>
      <c r="D253" s="19" t="s">
        <v>1408</v>
      </c>
      <c r="E253" s="1301" t="s">
        <v>7349</v>
      </c>
      <c r="F253" s="19" t="s">
        <v>7350</v>
      </c>
      <c r="G253" s="27">
        <v>5000000</v>
      </c>
      <c r="H253" s="48">
        <v>44825</v>
      </c>
      <c r="I253" s="48">
        <v>45189</v>
      </c>
      <c r="J253" s="48">
        <v>45278</v>
      </c>
      <c r="K253" s="25">
        <v>2997278.31</v>
      </c>
      <c r="L253" s="25">
        <v>2397822.65</v>
      </c>
      <c r="M253" s="25">
        <v>899183.49</v>
      </c>
      <c r="N253" s="25">
        <v>599455.66</v>
      </c>
      <c r="O253" s="25">
        <v>899183.5</v>
      </c>
    </row>
    <row r="254" customFormat="1" ht="20" customHeight="1" spans="1:15">
      <c r="A254" s="17">
        <v>249</v>
      </c>
      <c r="B254" s="17">
        <v>2025</v>
      </c>
      <c r="C254" s="57" t="s">
        <v>7348</v>
      </c>
      <c r="D254" s="19" t="s">
        <v>1343</v>
      </c>
      <c r="E254" s="1301" t="s">
        <v>7351</v>
      </c>
      <c r="F254" s="19" t="s">
        <v>7350</v>
      </c>
      <c r="G254" s="27">
        <v>237600</v>
      </c>
      <c r="H254" s="48">
        <v>44861</v>
      </c>
      <c r="I254" s="48">
        <v>45043</v>
      </c>
      <c r="J254" s="48">
        <v>45125</v>
      </c>
      <c r="K254" s="25">
        <v>239674.05</v>
      </c>
      <c r="L254" s="25">
        <v>191739.2</v>
      </c>
      <c r="M254" s="25">
        <v>71902.2</v>
      </c>
      <c r="N254" s="25">
        <v>47934.81</v>
      </c>
      <c r="O254" s="25">
        <v>71902.19</v>
      </c>
    </row>
    <row r="255" customFormat="1" ht="20" customHeight="1" spans="1:15">
      <c r="A255" s="17">
        <v>250</v>
      </c>
      <c r="B255" s="17">
        <v>2025</v>
      </c>
      <c r="C255" s="57" t="s">
        <v>7352</v>
      </c>
      <c r="D255" s="64" t="s">
        <v>7353</v>
      </c>
      <c r="E255" s="1301" t="s">
        <v>7354</v>
      </c>
      <c r="F255" s="19" t="s">
        <v>7204</v>
      </c>
      <c r="G255" s="27">
        <v>3000000</v>
      </c>
      <c r="H255" s="48">
        <v>45014</v>
      </c>
      <c r="I255" s="48">
        <v>45379</v>
      </c>
      <c r="J255" s="48">
        <v>45423</v>
      </c>
      <c r="K255" s="25">
        <v>2996149.32</v>
      </c>
      <c r="L255" s="25">
        <v>2298118.38</v>
      </c>
      <c r="M255" s="25">
        <v>861794.39</v>
      </c>
      <c r="N255" s="25">
        <v>574529.6</v>
      </c>
      <c r="O255" s="25">
        <v>861794.39</v>
      </c>
    </row>
    <row r="256" customFormat="1" ht="20" customHeight="1" spans="1:15">
      <c r="A256" s="17">
        <v>251</v>
      </c>
      <c r="B256" s="17">
        <v>2025</v>
      </c>
      <c r="C256" s="57" t="s">
        <v>7352</v>
      </c>
      <c r="D256" s="64" t="s">
        <v>1455</v>
      </c>
      <c r="E256" s="1301" t="s">
        <v>7355</v>
      </c>
      <c r="F256" s="19" t="s">
        <v>7356</v>
      </c>
      <c r="G256" s="27">
        <v>820000</v>
      </c>
      <c r="H256" s="48">
        <v>44942</v>
      </c>
      <c r="I256" s="48">
        <v>45307</v>
      </c>
      <c r="J256" s="48">
        <v>45393</v>
      </c>
      <c r="K256" s="25">
        <v>829805.57</v>
      </c>
      <c r="L256" s="25">
        <v>663844.45</v>
      </c>
      <c r="M256" s="25">
        <v>248941.67</v>
      </c>
      <c r="N256" s="25">
        <v>165961.11</v>
      </c>
      <c r="O256" s="25">
        <v>248941.67</v>
      </c>
    </row>
    <row r="257" customFormat="1" ht="20" customHeight="1" spans="1:15">
      <c r="A257" s="17">
        <v>252</v>
      </c>
      <c r="B257" s="17">
        <v>2025</v>
      </c>
      <c r="C257" s="57" t="s">
        <v>7352</v>
      </c>
      <c r="D257" s="64" t="s">
        <v>1457</v>
      </c>
      <c r="E257" s="1301" t="s">
        <v>7357</v>
      </c>
      <c r="F257" s="19" t="s">
        <v>7356</v>
      </c>
      <c r="G257" s="27">
        <v>400000</v>
      </c>
      <c r="H257" s="48">
        <v>44942</v>
      </c>
      <c r="I257" s="48">
        <v>45307</v>
      </c>
      <c r="J257" s="48">
        <v>45393</v>
      </c>
      <c r="K257" s="25">
        <v>404810.97</v>
      </c>
      <c r="L257" s="25">
        <v>323848.78</v>
      </c>
      <c r="M257" s="25">
        <v>121443.29</v>
      </c>
      <c r="N257" s="25">
        <v>80962.2</v>
      </c>
      <c r="O257" s="25">
        <v>121443.29</v>
      </c>
    </row>
    <row r="258" customFormat="1" ht="20" customHeight="1" spans="1:15">
      <c r="A258" s="17">
        <v>253</v>
      </c>
      <c r="B258" s="17">
        <v>2025</v>
      </c>
      <c r="C258" s="57" t="s">
        <v>6968</v>
      </c>
      <c r="D258" s="64" t="s">
        <v>1554</v>
      </c>
      <c r="E258" s="1301" t="s">
        <v>7358</v>
      </c>
      <c r="F258" s="19" t="s">
        <v>7189</v>
      </c>
      <c r="G258" s="27">
        <v>100000</v>
      </c>
      <c r="H258" s="48">
        <v>44512</v>
      </c>
      <c r="I258" s="48">
        <v>45607</v>
      </c>
      <c r="J258" s="48">
        <v>45679</v>
      </c>
      <c r="K258" s="25">
        <v>99813.66</v>
      </c>
      <c r="L258" s="25">
        <v>79850.93</v>
      </c>
      <c r="M258" s="25">
        <v>29944.1</v>
      </c>
      <c r="N258" s="25">
        <v>19962.73</v>
      </c>
      <c r="O258" s="25">
        <v>29944.1</v>
      </c>
    </row>
    <row r="259" customFormat="1" ht="20" customHeight="1" spans="1:15">
      <c r="A259" s="17">
        <v>254</v>
      </c>
      <c r="B259" s="17">
        <v>2025</v>
      </c>
      <c r="C259" s="57" t="s">
        <v>6968</v>
      </c>
      <c r="D259" s="64" t="s">
        <v>1555</v>
      </c>
      <c r="E259" s="1301" t="s">
        <v>7359</v>
      </c>
      <c r="F259" s="19" t="s">
        <v>7166</v>
      </c>
      <c r="G259" s="27">
        <v>271200</v>
      </c>
      <c r="H259" s="48">
        <v>44680</v>
      </c>
      <c r="I259" s="48">
        <v>45775</v>
      </c>
      <c r="J259" s="48">
        <v>45729</v>
      </c>
      <c r="K259" s="25">
        <v>273736.47</v>
      </c>
      <c r="L259" s="25">
        <v>218989.18</v>
      </c>
      <c r="M259" s="25">
        <v>82120.94</v>
      </c>
      <c r="N259" s="25">
        <v>54747.3</v>
      </c>
      <c r="O259" s="25">
        <v>82120.94</v>
      </c>
    </row>
    <row r="260" customFormat="1" ht="20" customHeight="1" spans="1:15">
      <c r="A260" s="17">
        <v>255</v>
      </c>
      <c r="B260" s="17">
        <v>2025</v>
      </c>
      <c r="C260" s="57" t="s">
        <v>6968</v>
      </c>
      <c r="D260" s="64" t="s">
        <v>1556</v>
      </c>
      <c r="E260" s="1301" t="s">
        <v>7360</v>
      </c>
      <c r="F260" s="19" t="s">
        <v>7187</v>
      </c>
      <c r="G260" s="27">
        <v>229000</v>
      </c>
      <c r="H260" s="48">
        <v>44648</v>
      </c>
      <c r="I260" s="48">
        <v>45743</v>
      </c>
      <c r="J260" s="48">
        <v>45730</v>
      </c>
      <c r="K260" s="25">
        <v>231141.79</v>
      </c>
      <c r="L260" s="25">
        <v>184913.43</v>
      </c>
      <c r="M260" s="25">
        <v>69342.54</v>
      </c>
      <c r="N260" s="25">
        <v>46228.36</v>
      </c>
      <c r="O260" s="25">
        <v>69342.53</v>
      </c>
    </row>
    <row r="261" customFormat="1" ht="20" customHeight="1" spans="1:15">
      <c r="A261" s="17">
        <v>256</v>
      </c>
      <c r="B261" s="17">
        <v>2025</v>
      </c>
      <c r="C261" s="57" t="s">
        <v>7020</v>
      </c>
      <c r="D261" s="64" t="s">
        <v>1557</v>
      </c>
      <c r="E261" s="1301" t="s">
        <v>7361</v>
      </c>
      <c r="F261" s="19" t="s">
        <v>7323</v>
      </c>
      <c r="G261" s="27">
        <v>5000000</v>
      </c>
      <c r="H261" s="48">
        <v>45292</v>
      </c>
      <c r="I261" s="48">
        <v>45657</v>
      </c>
      <c r="J261" s="48">
        <v>45737</v>
      </c>
      <c r="K261" s="25">
        <v>5004952.91</v>
      </c>
      <c r="L261" s="25">
        <v>4003962.33</v>
      </c>
      <c r="M261" s="25">
        <v>2001981.17</v>
      </c>
      <c r="N261" s="25">
        <v>1000990.58</v>
      </c>
      <c r="O261" s="25">
        <v>1000990.58</v>
      </c>
    </row>
    <row r="262" customFormat="1" ht="20" customHeight="1" spans="1:15">
      <c r="A262" s="17">
        <v>257</v>
      </c>
      <c r="B262" s="17">
        <v>2025</v>
      </c>
      <c r="C262" s="57" t="s">
        <v>7020</v>
      </c>
      <c r="D262" s="64" t="s">
        <v>1558</v>
      </c>
      <c r="E262" s="1301" t="s">
        <v>7362</v>
      </c>
      <c r="F262" s="19" t="s">
        <v>7363</v>
      </c>
      <c r="G262" s="27">
        <v>5000000</v>
      </c>
      <c r="H262" s="48">
        <v>45546</v>
      </c>
      <c r="I262" s="48">
        <v>45910</v>
      </c>
      <c r="J262" s="48">
        <v>45774</v>
      </c>
      <c r="K262" s="25">
        <v>5050125</v>
      </c>
      <c r="L262" s="25">
        <v>4040100</v>
      </c>
      <c r="M262" s="25">
        <v>2020050</v>
      </c>
      <c r="N262" s="25">
        <v>1010025</v>
      </c>
      <c r="O262" s="25">
        <v>1010025</v>
      </c>
    </row>
    <row r="263" customFormat="1" ht="20" customHeight="1" spans="1:15">
      <c r="A263" s="17">
        <v>257</v>
      </c>
      <c r="B263" s="17">
        <v>2025</v>
      </c>
      <c r="C263" s="57" t="s">
        <v>6981</v>
      </c>
      <c r="D263" s="64" t="s">
        <v>1559</v>
      </c>
      <c r="E263" s="1301" t="s">
        <v>7364</v>
      </c>
      <c r="F263" s="19" t="s">
        <v>7337</v>
      </c>
      <c r="G263" s="27">
        <v>3729000</v>
      </c>
      <c r="H263" s="48">
        <v>45141</v>
      </c>
      <c r="I263" s="48">
        <v>45506</v>
      </c>
      <c r="J263" s="65">
        <v>45737</v>
      </c>
      <c r="K263" s="25">
        <v>3835181.63</v>
      </c>
      <c r="L263" s="25">
        <v>2894569.96</v>
      </c>
      <c r="M263" s="25">
        <v>1447284.98</v>
      </c>
      <c r="N263" s="25">
        <v>723642.49</v>
      </c>
      <c r="O263" s="25">
        <v>723642.49</v>
      </c>
    </row>
    <row r="264" customFormat="1" ht="20" customHeight="1" spans="1:15">
      <c r="A264" s="17">
        <v>258</v>
      </c>
      <c r="B264" s="17">
        <v>2025</v>
      </c>
      <c r="C264" s="57" t="s">
        <v>7007</v>
      </c>
      <c r="D264" s="64" t="s">
        <v>1560</v>
      </c>
      <c r="E264" s="1301" t="s">
        <v>7365</v>
      </c>
      <c r="F264" s="19" t="s">
        <v>7151</v>
      </c>
      <c r="G264" s="27">
        <v>200000</v>
      </c>
      <c r="H264" s="48">
        <v>44935</v>
      </c>
      <c r="I264" s="48">
        <v>45666</v>
      </c>
      <c r="J264" s="48">
        <v>45756</v>
      </c>
      <c r="K264" s="25">
        <v>201082.3</v>
      </c>
      <c r="L264" s="25">
        <v>160865.84</v>
      </c>
      <c r="M264" s="25">
        <v>60324.69</v>
      </c>
      <c r="N264" s="25">
        <v>40216.46</v>
      </c>
      <c r="O264" s="25">
        <v>60324.69</v>
      </c>
    </row>
    <row r="265" customFormat="1" ht="20" customHeight="1" spans="1:15">
      <c r="A265" s="17">
        <v>259</v>
      </c>
      <c r="B265" s="17">
        <v>2025</v>
      </c>
      <c r="C265" s="57" t="s">
        <v>7342</v>
      </c>
      <c r="D265" s="57" t="s">
        <v>1550</v>
      </c>
      <c r="E265" s="1301" t="s">
        <v>7366</v>
      </c>
      <c r="F265" s="19" t="s">
        <v>7367</v>
      </c>
      <c r="G265" s="27">
        <v>393000</v>
      </c>
      <c r="H265" s="48">
        <v>45371</v>
      </c>
      <c r="I265" s="48">
        <v>45735</v>
      </c>
      <c r="J265" s="48">
        <v>45706</v>
      </c>
      <c r="K265" s="25">
        <v>398811.54</v>
      </c>
      <c r="L265" s="25">
        <v>319049.23</v>
      </c>
      <c r="M265" s="25">
        <v>159524.62</v>
      </c>
      <c r="N265" s="25">
        <v>79762.31</v>
      </c>
      <c r="O265" s="25">
        <v>79762.3</v>
      </c>
    </row>
    <row r="266" customFormat="1" ht="20" customHeight="1" spans="1:15">
      <c r="A266" s="17">
        <v>260</v>
      </c>
      <c r="B266" s="17">
        <v>2025</v>
      </c>
      <c r="C266" s="57" t="s">
        <v>6968</v>
      </c>
      <c r="D266" s="57" t="s">
        <v>655</v>
      </c>
      <c r="E266" s="60" t="s">
        <v>7368</v>
      </c>
      <c r="F266" s="19" t="s">
        <v>7176</v>
      </c>
      <c r="G266" s="27">
        <v>285000</v>
      </c>
      <c r="H266" s="48">
        <v>44618</v>
      </c>
      <c r="I266" s="48">
        <v>45713</v>
      </c>
      <c r="J266" s="48">
        <v>45792</v>
      </c>
      <c r="K266" s="25">
        <v>296426.83</v>
      </c>
      <c r="L266" s="25">
        <v>237141.46</v>
      </c>
      <c r="M266" s="25">
        <v>88928.05</v>
      </c>
      <c r="N266" s="25">
        <v>59285.36</v>
      </c>
      <c r="O266" s="25">
        <v>88928.05</v>
      </c>
    </row>
    <row r="267" customFormat="1" ht="20" customHeight="1" spans="1:15">
      <c r="A267" s="17">
        <v>261</v>
      </c>
      <c r="B267" s="17">
        <v>2025</v>
      </c>
      <c r="C267" s="57" t="s">
        <v>6968</v>
      </c>
      <c r="D267" s="57" t="s">
        <v>1563</v>
      </c>
      <c r="E267" s="60" t="s">
        <v>7369</v>
      </c>
      <c r="F267" s="19" t="s">
        <v>7176</v>
      </c>
      <c r="G267" s="27">
        <v>300000</v>
      </c>
      <c r="H267" s="48">
        <v>44589</v>
      </c>
      <c r="I267" s="48">
        <v>45684</v>
      </c>
      <c r="J267" s="48">
        <v>45750</v>
      </c>
      <c r="K267" s="25">
        <v>312192.51</v>
      </c>
      <c r="L267" s="25">
        <v>249754</v>
      </c>
      <c r="M267" s="25">
        <v>93657.75</v>
      </c>
      <c r="N267" s="25">
        <v>62438.5</v>
      </c>
      <c r="O267" s="25">
        <v>93657.75</v>
      </c>
    </row>
    <row r="268" customFormat="1" ht="20" customHeight="1" spans="1:15">
      <c r="A268" s="17">
        <v>262</v>
      </c>
      <c r="B268" s="17">
        <v>2025</v>
      </c>
      <c r="C268" s="57" t="s">
        <v>6968</v>
      </c>
      <c r="D268" s="57" t="s">
        <v>1564</v>
      </c>
      <c r="E268" s="60" t="s">
        <v>7370</v>
      </c>
      <c r="F268" s="19" t="s">
        <v>7176</v>
      </c>
      <c r="G268" s="27">
        <v>300000</v>
      </c>
      <c r="H268" s="48">
        <v>44631</v>
      </c>
      <c r="I268" s="48">
        <v>45726</v>
      </c>
      <c r="J268" s="48">
        <v>45772</v>
      </c>
      <c r="K268" s="25">
        <v>308698.6</v>
      </c>
      <c r="L268" s="25">
        <v>246958.88</v>
      </c>
      <c r="M268" s="25">
        <v>92609.58</v>
      </c>
      <c r="N268" s="25">
        <v>61739.72</v>
      </c>
      <c r="O268" s="25">
        <v>92609.58</v>
      </c>
    </row>
    <row r="269" customFormat="1" ht="29.25" customHeight="1" spans="1:15">
      <c r="A269" s="17">
        <v>263</v>
      </c>
      <c r="B269" s="17">
        <v>2025</v>
      </c>
      <c r="C269" s="57" t="s">
        <v>7012</v>
      </c>
      <c r="D269" s="57" t="s">
        <v>1565</v>
      </c>
      <c r="E269" s="1301" t="s">
        <v>7371</v>
      </c>
      <c r="F269" s="19" t="s">
        <v>7372</v>
      </c>
      <c r="G269" s="27">
        <v>5000000</v>
      </c>
      <c r="H269" s="48">
        <v>45139</v>
      </c>
      <c r="I269" s="48">
        <v>45504</v>
      </c>
      <c r="J269" s="48">
        <v>45744</v>
      </c>
      <c r="K269" s="25">
        <v>5106844</v>
      </c>
      <c r="L269" s="25">
        <v>1580000</v>
      </c>
      <c r="M269" s="25">
        <v>790000</v>
      </c>
      <c r="N269" s="25">
        <v>395000</v>
      </c>
      <c r="O269" s="25">
        <v>395000</v>
      </c>
    </row>
    <row r="270" customFormat="1" ht="39" customHeight="1" spans="1:15">
      <c r="A270" s="17">
        <v>264</v>
      </c>
      <c r="B270" s="17">
        <v>2025</v>
      </c>
      <c r="C270" s="57" t="s">
        <v>7012</v>
      </c>
      <c r="D270" s="57" t="s">
        <v>7373</v>
      </c>
      <c r="E270" s="1301" t="s">
        <v>7374</v>
      </c>
      <c r="F270" s="19" t="s">
        <v>7372</v>
      </c>
      <c r="G270" s="27">
        <v>4632000</v>
      </c>
      <c r="H270" s="48">
        <v>45148</v>
      </c>
      <c r="I270" s="48">
        <v>45513</v>
      </c>
      <c r="J270" s="48">
        <v>45792</v>
      </c>
      <c r="K270" s="25">
        <v>4632000</v>
      </c>
      <c r="L270" s="25">
        <v>677472.5</v>
      </c>
      <c r="M270" s="25">
        <v>338736.25</v>
      </c>
      <c r="N270" s="25">
        <v>169368.13</v>
      </c>
      <c r="O270" s="25">
        <v>169368.12</v>
      </c>
    </row>
    <row r="271" customFormat="1" ht="20" customHeight="1" spans="1:15">
      <c r="A271" s="17">
        <v>265</v>
      </c>
      <c r="B271" s="17">
        <v>2025</v>
      </c>
      <c r="C271" s="57" t="s">
        <v>6968</v>
      </c>
      <c r="D271" s="57" t="s">
        <v>1567</v>
      </c>
      <c r="E271" s="60" t="s">
        <v>7375</v>
      </c>
      <c r="F271" s="19" t="s">
        <v>7184</v>
      </c>
      <c r="G271" s="27">
        <v>200000</v>
      </c>
      <c r="H271" s="48">
        <v>44629</v>
      </c>
      <c r="I271" s="48">
        <v>45724</v>
      </c>
      <c r="J271" s="48">
        <v>45800</v>
      </c>
      <c r="K271" s="25">
        <v>151080.67</v>
      </c>
      <c r="L271" s="25">
        <v>120864.54</v>
      </c>
      <c r="M271" s="25">
        <v>45324.2</v>
      </c>
      <c r="N271" s="25">
        <v>30216.14</v>
      </c>
      <c r="O271" s="25">
        <v>45324.2</v>
      </c>
    </row>
    <row r="272" customFormat="1" ht="20" customHeight="1" spans="1:15">
      <c r="A272" s="17">
        <v>266</v>
      </c>
      <c r="B272" s="17">
        <v>2025</v>
      </c>
      <c r="C272" s="57" t="s">
        <v>6968</v>
      </c>
      <c r="D272" s="57" t="s">
        <v>1568</v>
      </c>
      <c r="E272" s="60" t="s">
        <v>7376</v>
      </c>
      <c r="F272" s="19" t="s">
        <v>7176</v>
      </c>
      <c r="G272" s="27">
        <v>300000</v>
      </c>
      <c r="H272" s="48">
        <v>44680</v>
      </c>
      <c r="I272" s="48">
        <v>45775</v>
      </c>
      <c r="J272" s="48">
        <v>45800</v>
      </c>
      <c r="K272" s="25">
        <v>311718.62</v>
      </c>
      <c r="L272" s="25">
        <v>249374.9</v>
      </c>
      <c r="M272" s="25">
        <v>93515.59</v>
      </c>
      <c r="N272" s="25">
        <v>62343.72</v>
      </c>
      <c r="O272" s="25">
        <v>93515.59</v>
      </c>
    </row>
    <row r="273" customFormat="1" ht="20" customHeight="1" spans="1:15">
      <c r="A273" s="17">
        <v>267</v>
      </c>
      <c r="B273" s="17">
        <v>2025</v>
      </c>
      <c r="C273" s="57" t="s">
        <v>6968</v>
      </c>
      <c r="D273" s="57" t="s">
        <v>1569</v>
      </c>
      <c r="E273" s="60" t="s">
        <v>7377</v>
      </c>
      <c r="F273" s="19" t="s">
        <v>7176</v>
      </c>
      <c r="G273" s="27">
        <v>250000</v>
      </c>
      <c r="H273" s="48">
        <v>44643</v>
      </c>
      <c r="I273" s="48">
        <v>45738</v>
      </c>
      <c r="J273" s="48">
        <v>45826</v>
      </c>
      <c r="K273" s="25">
        <v>259482.81</v>
      </c>
      <c r="L273" s="25">
        <v>207586.25</v>
      </c>
      <c r="M273" s="25">
        <v>77844.84</v>
      </c>
      <c r="N273" s="25">
        <v>51896.57</v>
      </c>
      <c r="O273" s="25">
        <v>77844.84</v>
      </c>
    </row>
    <row r="274" customFormat="1" ht="20" customHeight="1" spans="1:15">
      <c r="A274" s="17">
        <v>268</v>
      </c>
      <c r="B274" s="17">
        <v>2025</v>
      </c>
      <c r="C274" s="57" t="s">
        <v>6968</v>
      </c>
      <c r="D274" s="57" t="s">
        <v>1570</v>
      </c>
      <c r="E274" s="60" t="s">
        <v>7378</v>
      </c>
      <c r="F274" s="19" t="s">
        <v>7182</v>
      </c>
      <c r="G274" s="27">
        <v>220000</v>
      </c>
      <c r="H274" s="48">
        <v>44638</v>
      </c>
      <c r="I274" s="48">
        <v>45733</v>
      </c>
      <c r="J274" s="48">
        <v>45800</v>
      </c>
      <c r="K274" s="25">
        <v>220206.42</v>
      </c>
      <c r="L274" s="25">
        <v>176165.14</v>
      </c>
      <c r="M274" s="25">
        <v>66061.93</v>
      </c>
      <c r="N274" s="25">
        <v>44041.28</v>
      </c>
      <c r="O274" s="25">
        <v>66061.93</v>
      </c>
    </row>
    <row r="275" customFormat="1" ht="20" customHeight="1" spans="1:15">
      <c r="A275" s="17">
        <v>269</v>
      </c>
      <c r="B275" s="17">
        <v>2025</v>
      </c>
      <c r="C275" s="57" t="s">
        <v>6968</v>
      </c>
      <c r="D275" s="57" t="s">
        <v>1571</v>
      </c>
      <c r="E275" s="1301" t="s">
        <v>7379</v>
      </c>
      <c r="F275" s="19" t="s">
        <v>7176</v>
      </c>
      <c r="G275" s="27">
        <v>300000</v>
      </c>
      <c r="H275" s="48">
        <v>44642</v>
      </c>
      <c r="I275" s="48">
        <v>45737</v>
      </c>
      <c r="J275" s="48">
        <v>45772</v>
      </c>
      <c r="K275" s="25">
        <v>279255.36</v>
      </c>
      <c r="L275" s="25">
        <v>223404.29</v>
      </c>
      <c r="M275" s="25">
        <v>83776.61</v>
      </c>
      <c r="N275" s="25">
        <v>55851.07</v>
      </c>
      <c r="O275" s="25">
        <v>83776.61</v>
      </c>
    </row>
    <row r="276" customFormat="1" ht="20" customHeight="1" spans="1:15">
      <c r="A276" s="17">
        <v>270</v>
      </c>
      <c r="B276" s="17">
        <v>2025</v>
      </c>
      <c r="C276" s="57" t="s">
        <v>6968</v>
      </c>
      <c r="D276" s="57" t="s">
        <v>1572</v>
      </c>
      <c r="E276" s="1301" t="s">
        <v>7380</v>
      </c>
      <c r="F276" s="19" t="s">
        <v>7168</v>
      </c>
      <c r="G276" s="27">
        <v>300000</v>
      </c>
      <c r="H276" s="48">
        <v>44636</v>
      </c>
      <c r="I276" s="48">
        <v>45731</v>
      </c>
      <c r="J276" s="48">
        <v>45750</v>
      </c>
      <c r="K276" s="25">
        <v>312655.5</v>
      </c>
      <c r="L276" s="25">
        <v>250124.4</v>
      </c>
      <c r="M276" s="25">
        <v>93796.65</v>
      </c>
      <c r="N276" s="25">
        <v>62531.1</v>
      </c>
      <c r="O276" s="25">
        <v>93796.65</v>
      </c>
    </row>
    <row r="277" customFormat="1" ht="20" customHeight="1" spans="1:15">
      <c r="A277" s="17">
        <v>271</v>
      </c>
      <c r="B277" s="17">
        <v>2025</v>
      </c>
      <c r="C277" s="57" t="s">
        <v>6968</v>
      </c>
      <c r="D277" s="57" t="s">
        <v>1573</v>
      </c>
      <c r="E277" s="1301" t="s">
        <v>7381</v>
      </c>
      <c r="F277" s="19" t="s">
        <v>7163</v>
      </c>
      <c r="G277" s="27">
        <v>76000</v>
      </c>
      <c r="H277" s="48">
        <v>44628</v>
      </c>
      <c r="I277" s="48">
        <v>45723</v>
      </c>
      <c r="J277" s="48">
        <v>45750</v>
      </c>
      <c r="K277" s="25">
        <v>72464.72</v>
      </c>
      <c r="L277" s="25">
        <v>57971.78</v>
      </c>
      <c r="M277" s="25">
        <v>21739.42</v>
      </c>
      <c r="N277" s="25">
        <v>14492.94</v>
      </c>
      <c r="O277" s="25">
        <v>21739.42</v>
      </c>
    </row>
    <row r="278" customFormat="1" ht="20" customHeight="1" spans="1:15">
      <c r="A278" s="17">
        <v>272</v>
      </c>
      <c r="B278" s="17">
        <v>2025</v>
      </c>
      <c r="C278" s="57" t="s">
        <v>6968</v>
      </c>
      <c r="D278" s="57" t="s">
        <v>1574</v>
      </c>
      <c r="E278" s="1301" t="s">
        <v>7382</v>
      </c>
      <c r="F278" s="19" t="s">
        <v>7184</v>
      </c>
      <c r="G278" s="27">
        <v>120000</v>
      </c>
      <c r="H278" s="48">
        <v>44628</v>
      </c>
      <c r="I278" s="48">
        <v>45723</v>
      </c>
      <c r="J278" s="48">
        <v>45772</v>
      </c>
      <c r="K278" s="25">
        <v>120597.31</v>
      </c>
      <c r="L278" s="25">
        <v>96477.85</v>
      </c>
      <c r="M278" s="25">
        <v>36179.19</v>
      </c>
      <c r="N278" s="25">
        <v>24119.47</v>
      </c>
      <c r="O278" s="25">
        <v>36179.19</v>
      </c>
    </row>
    <row r="279" customFormat="1" ht="20" customHeight="1" spans="1:15">
      <c r="A279" s="17">
        <v>273</v>
      </c>
      <c r="B279" s="17">
        <v>2025</v>
      </c>
      <c r="C279" s="57" t="s">
        <v>7020</v>
      </c>
      <c r="D279" s="57" t="s">
        <v>1566</v>
      </c>
      <c r="E279" s="1301" t="s">
        <v>7383</v>
      </c>
      <c r="F279" s="19" t="s">
        <v>7328</v>
      </c>
      <c r="G279" s="27">
        <v>1800000</v>
      </c>
      <c r="H279" s="48">
        <v>45299</v>
      </c>
      <c r="I279" s="48">
        <v>45664</v>
      </c>
      <c r="J279" s="48">
        <v>45744</v>
      </c>
      <c r="K279" s="25">
        <v>939970</v>
      </c>
      <c r="L279" s="25">
        <v>751976</v>
      </c>
      <c r="M279" s="25">
        <v>375988</v>
      </c>
      <c r="N279" s="25">
        <v>187994</v>
      </c>
      <c r="O279" s="25">
        <v>187994</v>
      </c>
    </row>
    <row r="280" customFormat="1" ht="20" customHeight="1" spans="1:15">
      <c r="A280" s="17">
        <v>274</v>
      </c>
      <c r="B280" s="17">
        <v>2025</v>
      </c>
      <c r="C280" s="57" t="s">
        <v>7342</v>
      </c>
      <c r="D280" s="57" t="s">
        <v>1448</v>
      </c>
      <c r="E280" s="1301" t="s">
        <v>7384</v>
      </c>
      <c r="F280" s="19" t="s">
        <v>7385</v>
      </c>
      <c r="G280" s="27">
        <v>1780000</v>
      </c>
      <c r="H280" s="48">
        <v>44986</v>
      </c>
      <c r="I280" s="48">
        <v>45350</v>
      </c>
      <c r="J280" s="48">
        <v>45380</v>
      </c>
      <c r="K280" s="25">
        <v>1781910.83</v>
      </c>
      <c r="L280" s="25">
        <v>1425528.66</v>
      </c>
      <c r="M280" s="25">
        <v>534573.25</v>
      </c>
      <c r="N280" s="25">
        <v>356382.17</v>
      </c>
      <c r="O280" s="25">
        <v>534573.24</v>
      </c>
    </row>
    <row r="281" customFormat="1" ht="20" customHeight="1" spans="1:15">
      <c r="A281" s="17">
        <v>275</v>
      </c>
      <c r="B281" s="17">
        <v>2025</v>
      </c>
      <c r="C281" s="57" t="s">
        <v>7342</v>
      </c>
      <c r="D281" s="57" t="s">
        <v>1445</v>
      </c>
      <c r="E281" s="1301" t="s">
        <v>7386</v>
      </c>
      <c r="F281" s="19" t="s">
        <v>7385</v>
      </c>
      <c r="G281" s="27">
        <v>950000</v>
      </c>
      <c r="H281" s="48">
        <v>44985</v>
      </c>
      <c r="I281" s="48">
        <v>45350</v>
      </c>
      <c r="J281" s="48">
        <v>45379</v>
      </c>
      <c r="K281" s="25">
        <v>950696.01</v>
      </c>
      <c r="L281" s="25">
        <v>760556.81</v>
      </c>
      <c r="M281" s="25">
        <v>285208.81</v>
      </c>
      <c r="N281" s="25">
        <v>190139.2</v>
      </c>
      <c r="O281" s="25">
        <v>285208.8</v>
      </c>
    </row>
    <row r="282" customFormat="1" ht="20" customHeight="1" spans="1:15">
      <c r="A282" s="17">
        <v>276</v>
      </c>
      <c r="B282" s="17">
        <v>2025</v>
      </c>
      <c r="C282" s="57" t="s">
        <v>6968</v>
      </c>
      <c r="D282" s="57" t="s">
        <v>1575</v>
      </c>
      <c r="E282" s="1301" t="s">
        <v>7387</v>
      </c>
      <c r="F282" s="19" t="s">
        <v>7161</v>
      </c>
      <c r="G282" s="27">
        <v>200000</v>
      </c>
      <c r="H282" s="48">
        <v>44707</v>
      </c>
      <c r="I282" s="48">
        <v>45802</v>
      </c>
      <c r="J282" s="48">
        <v>45813</v>
      </c>
      <c r="K282" s="25">
        <v>201791.62</v>
      </c>
      <c r="L282" s="25">
        <v>161433.3</v>
      </c>
      <c r="M282" s="25">
        <v>60537.49</v>
      </c>
      <c r="N282" s="25">
        <v>40358.32</v>
      </c>
      <c r="O282" s="25">
        <v>60537.49</v>
      </c>
    </row>
    <row r="283" customFormat="1" ht="20" customHeight="1" spans="1:15">
      <c r="A283" s="17">
        <v>277</v>
      </c>
      <c r="B283" s="17">
        <v>2025</v>
      </c>
      <c r="C283" s="57" t="s">
        <v>6968</v>
      </c>
      <c r="D283" s="57" t="s">
        <v>1576</v>
      </c>
      <c r="E283" s="1301" t="s">
        <v>7388</v>
      </c>
      <c r="F283" s="19" t="s">
        <v>7189</v>
      </c>
      <c r="G283" s="27">
        <v>180000</v>
      </c>
      <c r="H283" s="48">
        <v>44648</v>
      </c>
      <c r="I283" s="48">
        <v>45743</v>
      </c>
      <c r="J283" s="48">
        <v>45825</v>
      </c>
      <c r="K283" s="25">
        <v>180105</v>
      </c>
      <c r="L283" s="25">
        <v>144084</v>
      </c>
      <c r="M283" s="25">
        <v>54031.5</v>
      </c>
      <c r="N283" s="25">
        <v>36021</v>
      </c>
      <c r="O283" s="25">
        <v>54031.5</v>
      </c>
    </row>
    <row r="284" customFormat="1" ht="20" customHeight="1" spans="1:15">
      <c r="A284" s="17">
        <v>278</v>
      </c>
      <c r="B284" s="17">
        <v>2025</v>
      </c>
      <c r="C284" s="57" t="s">
        <v>6968</v>
      </c>
      <c r="D284" s="57" t="s">
        <v>1577</v>
      </c>
      <c r="E284" s="1301" t="s">
        <v>7389</v>
      </c>
      <c r="F284" s="19" t="s">
        <v>7163</v>
      </c>
      <c r="G284" s="27">
        <v>257000</v>
      </c>
      <c r="H284" s="48">
        <v>44642</v>
      </c>
      <c r="I284" s="48">
        <v>45737</v>
      </c>
      <c r="J284" s="48">
        <v>45811</v>
      </c>
      <c r="K284" s="25">
        <v>249989.31</v>
      </c>
      <c r="L284" s="25">
        <v>199991.45</v>
      </c>
      <c r="M284" s="25">
        <v>74996.79</v>
      </c>
      <c r="N284" s="25">
        <v>49997.87</v>
      </c>
      <c r="O284" s="25">
        <v>74996.79</v>
      </c>
    </row>
    <row r="285" customFormat="1" ht="20" customHeight="1" spans="1:15">
      <c r="A285" s="17">
        <v>279</v>
      </c>
      <c r="B285" s="17">
        <v>2025</v>
      </c>
      <c r="C285" s="57" t="s">
        <v>6968</v>
      </c>
      <c r="D285" s="57" t="s">
        <v>1578</v>
      </c>
      <c r="E285" s="1301" t="s">
        <v>7390</v>
      </c>
      <c r="F285" s="19" t="s">
        <v>7184</v>
      </c>
      <c r="G285" s="27">
        <v>300000</v>
      </c>
      <c r="H285" s="48">
        <v>44637</v>
      </c>
      <c r="I285" s="48">
        <v>45732</v>
      </c>
      <c r="J285" s="48">
        <v>45811</v>
      </c>
      <c r="K285" s="25">
        <v>161214.91</v>
      </c>
      <c r="L285" s="25">
        <v>128971.93</v>
      </c>
      <c r="M285" s="25">
        <v>48364.47</v>
      </c>
      <c r="N285" s="25">
        <v>32242.99</v>
      </c>
      <c r="O285" s="25">
        <v>48364.47</v>
      </c>
    </row>
    <row r="286" customFormat="1" ht="20" customHeight="1" spans="1:15">
      <c r="A286" s="17">
        <v>280</v>
      </c>
      <c r="B286" s="17">
        <v>2025</v>
      </c>
      <c r="C286" s="57" t="s">
        <v>6968</v>
      </c>
      <c r="D286" s="57" t="s">
        <v>1579</v>
      </c>
      <c r="E286" s="1301" t="s">
        <v>7391</v>
      </c>
      <c r="F286" s="19" t="s">
        <v>7182</v>
      </c>
      <c r="G286" s="27">
        <v>209400</v>
      </c>
      <c r="H286" s="48">
        <v>44644</v>
      </c>
      <c r="I286" s="48">
        <v>45739</v>
      </c>
      <c r="J286" s="48">
        <v>45811</v>
      </c>
      <c r="K286" s="25">
        <v>185359.3</v>
      </c>
      <c r="L286" s="25">
        <v>148287.44</v>
      </c>
      <c r="M286" s="25">
        <v>55607.79</v>
      </c>
      <c r="N286" s="25">
        <v>37071.86</v>
      </c>
      <c r="O286" s="25">
        <v>55607.79</v>
      </c>
    </row>
    <row r="287" customFormat="1" ht="20" customHeight="1" spans="1:15">
      <c r="A287" s="17">
        <v>281</v>
      </c>
      <c r="B287" s="17">
        <v>2025</v>
      </c>
      <c r="C287" s="57" t="s">
        <v>6968</v>
      </c>
      <c r="D287" s="57" t="s">
        <v>1580</v>
      </c>
      <c r="E287" s="1301" t="s">
        <v>7392</v>
      </c>
      <c r="F287" s="19" t="s">
        <v>7182</v>
      </c>
      <c r="G287" s="27">
        <v>85000</v>
      </c>
      <c r="H287" s="48">
        <v>44648</v>
      </c>
      <c r="I287" s="48">
        <v>45743</v>
      </c>
      <c r="J287" s="48">
        <v>45813</v>
      </c>
      <c r="K287" s="25">
        <v>83883.1</v>
      </c>
      <c r="L287" s="25">
        <v>67106.48</v>
      </c>
      <c r="M287" s="25">
        <v>25164.93</v>
      </c>
      <c r="N287" s="25">
        <v>16776.62</v>
      </c>
      <c r="O287" s="25">
        <v>25164.93</v>
      </c>
    </row>
    <row r="288" customFormat="1" ht="20" customHeight="1" spans="1:15">
      <c r="A288" s="17">
        <v>282</v>
      </c>
      <c r="B288" s="17">
        <v>2025</v>
      </c>
      <c r="C288" s="57" t="s">
        <v>7342</v>
      </c>
      <c r="D288" s="57" t="s">
        <v>1398</v>
      </c>
      <c r="E288" s="1301" t="s">
        <v>7393</v>
      </c>
      <c r="F288" s="19" t="s">
        <v>7280</v>
      </c>
      <c r="G288" s="27">
        <v>500000</v>
      </c>
      <c r="H288" s="48">
        <v>44827</v>
      </c>
      <c r="I288" s="48">
        <v>45192</v>
      </c>
      <c r="J288" s="48">
        <v>45254</v>
      </c>
      <c r="K288" s="25">
        <v>498056.23</v>
      </c>
      <c r="L288" s="25">
        <v>398444.98</v>
      </c>
      <c r="M288" s="25">
        <v>149416.87</v>
      </c>
      <c r="N288" s="25">
        <v>99611.24</v>
      </c>
      <c r="O288" s="25">
        <v>149416.87</v>
      </c>
    </row>
    <row r="289" customFormat="1" ht="20" customHeight="1" spans="1:15">
      <c r="A289" s="17">
        <v>283</v>
      </c>
      <c r="B289" s="17">
        <v>2025</v>
      </c>
      <c r="C289" s="57" t="s">
        <v>7342</v>
      </c>
      <c r="D289" s="57" t="s">
        <v>7394</v>
      </c>
      <c r="E289" s="1301" t="s">
        <v>7395</v>
      </c>
      <c r="F289" s="19" t="s">
        <v>7280</v>
      </c>
      <c r="G289" s="27">
        <v>337000</v>
      </c>
      <c r="H289" s="48">
        <v>44980</v>
      </c>
      <c r="I289" s="48">
        <v>45345</v>
      </c>
      <c r="J289" s="48">
        <v>45407</v>
      </c>
      <c r="K289" s="25">
        <v>334862.24</v>
      </c>
      <c r="L289" s="25">
        <v>267889.79</v>
      </c>
      <c r="M289" s="25">
        <v>100458.67</v>
      </c>
      <c r="N289" s="25">
        <v>66972.45</v>
      </c>
      <c r="O289" s="25">
        <v>100458.67</v>
      </c>
    </row>
    <row r="290" customFormat="1" ht="20" customHeight="1" spans="1:15">
      <c r="A290" s="17">
        <v>284</v>
      </c>
      <c r="B290" s="17">
        <v>2025</v>
      </c>
      <c r="C290" s="57" t="s">
        <v>7342</v>
      </c>
      <c r="D290" s="57" t="s">
        <v>7396</v>
      </c>
      <c r="E290" s="1301" t="s">
        <v>7397</v>
      </c>
      <c r="F290" s="19" t="s">
        <v>7280</v>
      </c>
      <c r="G290" s="27">
        <v>1891000</v>
      </c>
      <c r="H290" s="48">
        <v>44960</v>
      </c>
      <c r="I290" s="48">
        <v>45325</v>
      </c>
      <c r="J290" s="48">
        <v>45407</v>
      </c>
      <c r="K290" s="25">
        <v>1899165.73</v>
      </c>
      <c r="L290" s="25">
        <v>1519332.58</v>
      </c>
      <c r="M290" s="25">
        <v>569749.72</v>
      </c>
      <c r="N290" s="25">
        <v>379833.15</v>
      </c>
      <c r="O290" s="25">
        <v>569749.71</v>
      </c>
    </row>
    <row r="291" customFormat="1" ht="20" customHeight="1" spans="1:15">
      <c r="A291" s="17">
        <v>285</v>
      </c>
      <c r="B291" s="17">
        <v>2025</v>
      </c>
      <c r="C291" s="57" t="s">
        <v>6968</v>
      </c>
      <c r="D291" s="57" t="s">
        <v>1589</v>
      </c>
      <c r="E291" s="1301" t="s">
        <v>7398</v>
      </c>
      <c r="F291" s="19" t="s">
        <v>7161</v>
      </c>
      <c r="G291" s="27">
        <v>100000</v>
      </c>
      <c r="H291" s="48">
        <v>44761</v>
      </c>
      <c r="I291" s="48">
        <v>45856</v>
      </c>
      <c r="J291" s="48">
        <v>45868</v>
      </c>
      <c r="K291" s="25">
        <v>100119.71</v>
      </c>
      <c r="L291" s="25">
        <v>80095.77</v>
      </c>
      <c r="M291" s="25">
        <v>30035.91</v>
      </c>
      <c r="N291" s="25">
        <v>20023.95</v>
      </c>
      <c r="O291" s="25">
        <v>30035.91</v>
      </c>
    </row>
    <row r="292" customFormat="1" ht="20" customHeight="1" spans="1:15">
      <c r="A292" s="17">
        <v>286</v>
      </c>
      <c r="B292" s="17">
        <v>2025</v>
      </c>
      <c r="C292" s="57" t="s">
        <v>6968</v>
      </c>
      <c r="D292" s="57" t="s">
        <v>1590</v>
      </c>
      <c r="E292" s="1301" t="s">
        <v>7399</v>
      </c>
      <c r="F292" s="19" t="s">
        <v>7166</v>
      </c>
      <c r="G292" s="27">
        <v>300000</v>
      </c>
      <c r="H292" s="48">
        <v>44699</v>
      </c>
      <c r="I292" s="48">
        <v>45794</v>
      </c>
      <c r="J292" s="48">
        <v>45870</v>
      </c>
      <c r="K292" s="25">
        <v>301239.85</v>
      </c>
      <c r="L292" s="25">
        <v>240991.88</v>
      </c>
      <c r="M292" s="25">
        <v>90371.96</v>
      </c>
      <c r="N292" s="25">
        <v>60247.96</v>
      </c>
      <c r="O292" s="25">
        <v>90371.96</v>
      </c>
    </row>
    <row r="293" customFormat="1" ht="20" customHeight="1" spans="1:15">
      <c r="A293" s="17">
        <v>287</v>
      </c>
      <c r="B293" s="17">
        <v>2025</v>
      </c>
      <c r="C293" s="57" t="s">
        <v>6968</v>
      </c>
      <c r="D293" s="57" t="s">
        <v>1591</v>
      </c>
      <c r="E293" s="1301" t="s">
        <v>7400</v>
      </c>
      <c r="F293" s="19" t="s">
        <v>7184</v>
      </c>
      <c r="G293" s="27">
        <v>120000</v>
      </c>
      <c r="H293" s="48">
        <v>44691</v>
      </c>
      <c r="I293" s="48">
        <v>45786</v>
      </c>
      <c r="J293" s="48">
        <v>45868</v>
      </c>
      <c r="K293" s="25">
        <v>119956.3</v>
      </c>
      <c r="L293" s="25">
        <v>95965.04</v>
      </c>
      <c r="M293" s="25">
        <v>35986.89</v>
      </c>
      <c r="N293" s="25">
        <v>23991.26</v>
      </c>
      <c r="O293" s="25">
        <v>35986.89</v>
      </c>
    </row>
    <row r="294" customFormat="1" ht="20" customHeight="1" spans="1:15">
      <c r="A294" s="17">
        <v>288</v>
      </c>
      <c r="B294" s="17">
        <v>2025</v>
      </c>
      <c r="C294" s="57" t="s">
        <v>6968</v>
      </c>
      <c r="D294" s="57" t="s">
        <v>1592</v>
      </c>
      <c r="E294" s="1301" t="s">
        <v>7401</v>
      </c>
      <c r="F294" s="19" t="s">
        <v>7182</v>
      </c>
      <c r="G294" s="27">
        <v>246000</v>
      </c>
      <c r="H294" s="48">
        <v>44690</v>
      </c>
      <c r="I294" s="48">
        <v>45785</v>
      </c>
      <c r="J294" s="48">
        <v>45867</v>
      </c>
      <c r="K294" s="25">
        <v>241583.48</v>
      </c>
      <c r="L294" s="25">
        <v>193266.78</v>
      </c>
      <c r="M294" s="25">
        <v>72475.04</v>
      </c>
      <c r="N294" s="25">
        <v>48316.7</v>
      </c>
      <c r="O294" s="25">
        <v>72475.04</v>
      </c>
    </row>
    <row r="295" customFormat="1" ht="20" customHeight="1" spans="1:15">
      <c r="A295" s="17">
        <v>289</v>
      </c>
      <c r="B295" s="17">
        <v>2025</v>
      </c>
      <c r="C295" s="57" t="s">
        <v>6968</v>
      </c>
      <c r="D295" s="57" t="s">
        <v>1581</v>
      </c>
      <c r="E295" s="1301" t="s">
        <v>7402</v>
      </c>
      <c r="F295" s="19" t="s">
        <v>6980</v>
      </c>
      <c r="G295" s="27">
        <v>2000000</v>
      </c>
      <c r="H295" s="48">
        <v>45377</v>
      </c>
      <c r="I295" s="48">
        <v>45739</v>
      </c>
      <c r="J295" s="48">
        <v>45862</v>
      </c>
      <c r="K295" s="25">
        <v>1838504.32</v>
      </c>
      <c r="L295" s="25">
        <v>1470803.46</v>
      </c>
      <c r="M295" s="25">
        <v>735401.73</v>
      </c>
      <c r="N295" s="25">
        <v>367700.87</v>
      </c>
      <c r="O295" s="25">
        <v>367700.86</v>
      </c>
    </row>
    <row r="296" customFormat="1" ht="20" customHeight="1" spans="1:15">
      <c r="A296" s="17">
        <v>290</v>
      </c>
      <c r="B296" s="17">
        <v>2025</v>
      </c>
      <c r="C296" s="57" t="s">
        <v>7403</v>
      </c>
      <c r="D296" s="57" t="s">
        <v>1586</v>
      </c>
      <c r="E296" s="1301" t="s">
        <v>7404</v>
      </c>
      <c r="F296" s="19" t="s">
        <v>7405</v>
      </c>
      <c r="G296" s="27">
        <v>2560000</v>
      </c>
      <c r="H296" s="48">
        <v>45330</v>
      </c>
      <c r="I296" s="48">
        <v>45695</v>
      </c>
      <c r="J296" s="48">
        <v>45842</v>
      </c>
      <c r="K296" s="25">
        <v>2536282.69</v>
      </c>
      <c r="L296" s="25">
        <v>2029026.15</v>
      </c>
      <c r="M296" s="25">
        <v>1014513.08</v>
      </c>
      <c r="N296" s="25">
        <v>507256.54</v>
      </c>
      <c r="O296" s="25">
        <v>507256.53</v>
      </c>
    </row>
    <row r="297" customFormat="1" ht="20" customHeight="1" spans="1:15">
      <c r="A297" s="17">
        <v>291</v>
      </c>
      <c r="B297" s="17">
        <v>2025</v>
      </c>
      <c r="C297" s="57" t="s">
        <v>7342</v>
      </c>
      <c r="D297" s="57" t="s">
        <v>1503</v>
      </c>
      <c r="E297" s="1301" t="s">
        <v>7406</v>
      </c>
      <c r="F297" s="19" t="s">
        <v>7280</v>
      </c>
      <c r="G297" s="27">
        <v>1130000</v>
      </c>
      <c r="H297" s="48">
        <v>45005</v>
      </c>
      <c r="I297" s="48">
        <v>45371</v>
      </c>
      <c r="J297" s="48">
        <v>45450</v>
      </c>
      <c r="K297" s="25">
        <v>1137037.38</v>
      </c>
      <c r="L297" s="25">
        <v>909629.91</v>
      </c>
      <c r="M297" s="25">
        <v>341111.22</v>
      </c>
      <c r="N297" s="25">
        <v>227407.48</v>
      </c>
      <c r="O297" s="25">
        <v>341111.21</v>
      </c>
    </row>
    <row r="298" customFormat="1" ht="57" customHeight="1" spans="1:15">
      <c r="A298" s="17">
        <v>292</v>
      </c>
      <c r="B298" s="17">
        <v>2025</v>
      </c>
      <c r="C298" s="57" t="s">
        <v>7342</v>
      </c>
      <c r="D298" s="57" t="s">
        <v>1489</v>
      </c>
      <c r="E298" s="1301" t="s">
        <v>7407</v>
      </c>
      <c r="F298" s="19" t="s">
        <v>7280</v>
      </c>
      <c r="G298" s="27">
        <v>325000</v>
      </c>
      <c r="H298" s="48">
        <v>44986</v>
      </c>
      <c r="I298" s="48">
        <v>45352</v>
      </c>
      <c r="J298" s="48">
        <v>45429</v>
      </c>
      <c r="K298" s="25">
        <v>323128.32</v>
      </c>
      <c r="L298" s="25">
        <v>258502.66</v>
      </c>
      <c r="M298" s="25">
        <v>96938.5</v>
      </c>
      <c r="N298" s="25">
        <v>64625.67</v>
      </c>
      <c r="O298" s="25">
        <v>96938.49</v>
      </c>
    </row>
    <row r="299" customFormat="1" ht="20" customHeight="1" spans="1:15">
      <c r="A299" s="17">
        <v>293</v>
      </c>
      <c r="B299" s="17">
        <v>2025</v>
      </c>
      <c r="C299" s="57" t="s">
        <v>7007</v>
      </c>
      <c r="D299" s="57" t="s">
        <v>1587</v>
      </c>
      <c r="E299" s="1301" t="s">
        <v>7408</v>
      </c>
      <c r="F299" s="19" t="s">
        <v>7156</v>
      </c>
      <c r="G299" s="27">
        <v>5000000</v>
      </c>
      <c r="H299" s="48">
        <v>45229</v>
      </c>
      <c r="I299" s="48">
        <v>45594</v>
      </c>
      <c r="J299" s="48">
        <v>45828</v>
      </c>
      <c r="K299" s="25">
        <v>5181192.27</v>
      </c>
      <c r="L299" s="25">
        <v>4144953.82</v>
      </c>
      <c r="M299" s="25">
        <v>2072476.91</v>
      </c>
      <c r="N299" s="25">
        <v>1036238.46</v>
      </c>
      <c r="O299" s="25">
        <v>1036238.45</v>
      </c>
    </row>
    <row r="300" customFormat="1" ht="20" customHeight="1" spans="1:15">
      <c r="A300" s="17">
        <v>294</v>
      </c>
      <c r="B300" s="17">
        <v>2025</v>
      </c>
      <c r="C300" s="57" t="s">
        <v>7000</v>
      </c>
      <c r="D300" s="57" t="s">
        <v>7409</v>
      </c>
      <c r="E300" s="1301" t="s">
        <v>7410</v>
      </c>
      <c r="F300" s="19" t="s">
        <v>7411</v>
      </c>
      <c r="G300" s="27">
        <v>2000000</v>
      </c>
      <c r="H300" s="48">
        <v>45009</v>
      </c>
      <c r="I300" s="48">
        <v>45374</v>
      </c>
      <c r="J300" s="48">
        <v>45462</v>
      </c>
      <c r="K300" s="25">
        <v>1999739.22</v>
      </c>
      <c r="L300" s="25">
        <v>753228.48</v>
      </c>
      <c r="M300" s="25">
        <v>282460.68</v>
      </c>
      <c r="N300" s="25">
        <v>188307.12</v>
      </c>
      <c r="O300" s="25">
        <v>282460.68</v>
      </c>
    </row>
    <row r="301" customFormat="1" ht="40.2" customHeight="1" spans="1:15">
      <c r="A301" s="17">
        <v>295</v>
      </c>
      <c r="B301" s="17">
        <v>2025</v>
      </c>
      <c r="C301" s="57" t="s">
        <v>7226</v>
      </c>
      <c r="D301" s="57" t="s">
        <v>1520</v>
      </c>
      <c r="E301" s="1301" t="s">
        <v>7412</v>
      </c>
      <c r="F301" s="19" t="s">
        <v>6278</v>
      </c>
      <c r="G301" s="27">
        <v>5000000</v>
      </c>
      <c r="H301" s="48">
        <v>45014</v>
      </c>
      <c r="I301" s="48">
        <v>45379</v>
      </c>
      <c r="J301" s="48">
        <v>45469</v>
      </c>
      <c r="K301" s="25">
        <v>4005333.86</v>
      </c>
      <c r="L301" s="25">
        <v>3204267.09</v>
      </c>
      <c r="M301" s="25">
        <v>1201600.16</v>
      </c>
      <c r="N301" s="25">
        <v>801066.77</v>
      </c>
      <c r="O301" s="25">
        <v>1201600.16</v>
      </c>
    </row>
    <row r="302" customFormat="1" ht="20" customHeight="1" spans="1:15">
      <c r="A302" s="17">
        <v>296</v>
      </c>
      <c r="B302" s="17">
        <v>2025</v>
      </c>
      <c r="C302" s="57" t="s">
        <v>7007</v>
      </c>
      <c r="D302" s="57" t="s">
        <v>1593</v>
      </c>
      <c r="E302" s="1301" t="s">
        <v>7413</v>
      </c>
      <c r="F302" s="19" t="s">
        <v>7414</v>
      </c>
      <c r="G302" s="27">
        <v>4000000</v>
      </c>
      <c r="H302" s="48">
        <v>45462</v>
      </c>
      <c r="I302" s="48">
        <v>45813</v>
      </c>
      <c r="J302" s="48">
        <v>45846</v>
      </c>
      <c r="K302" s="25">
        <v>4057750</v>
      </c>
      <c r="L302" s="25">
        <v>3246200</v>
      </c>
      <c r="M302" s="25">
        <v>1623100</v>
      </c>
      <c r="N302" s="25">
        <v>811550</v>
      </c>
      <c r="O302" s="25">
        <v>811550</v>
      </c>
    </row>
    <row r="303" customFormat="1" ht="20" customHeight="1" spans="1:15">
      <c r="A303" s="17">
        <v>297</v>
      </c>
      <c r="B303" s="17">
        <v>2025</v>
      </c>
      <c r="C303" s="57" t="s">
        <v>7007</v>
      </c>
      <c r="D303" s="57" t="s">
        <v>1594</v>
      </c>
      <c r="E303" s="1301" t="s">
        <v>7415</v>
      </c>
      <c r="F303" s="19" t="s">
        <v>7416</v>
      </c>
      <c r="G303" s="27">
        <v>1000000</v>
      </c>
      <c r="H303" s="48">
        <v>45377</v>
      </c>
      <c r="I303" s="48">
        <v>45742</v>
      </c>
      <c r="J303" s="48">
        <v>45846</v>
      </c>
      <c r="K303" s="25">
        <v>1014950</v>
      </c>
      <c r="L303" s="25">
        <v>811960</v>
      </c>
      <c r="M303" s="25">
        <v>405980</v>
      </c>
      <c r="N303" s="25">
        <v>202990</v>
      </c>
      <c r="O303" s="25">
        <v>202990</v>
      </c>
    </row>
    <row r="304" customFormat="1" ht="20" customHeight="1" spans="1:15">
      <c r="A304" s="17">
        <v>298</v>
      </c>
      <c r="B304" s="17">
        <v>2025</v>
      </c>
      <c r="C304" s="57" t="s">
        <v>7007</v>
      </c>
      <c r="D304" s="57" t="s">
        <v>1594</v>
      </c>
      <c r="E304" s="1301" t="s">
        <v>7417</v>
      </c>
      <c r="F304" s="19" t="s">
        <v>7416</v>
      </c>
      <c r="G304" s="27">
        <v>2000000</v>
      </c>
      <c r="H304" s="48">
        <v>45377</v>
      </c>
      <c r="I304" s="48">
        <v>45742</v>
      </c>
      <c r="J304" s="48">
        <v>45846</v>
      </c>
      <c r="K304" s="25">
        <v>2029900</v>
      </c>
      <c r="L304" s="25">
        <v>1623920</v>
      </c>
      <c r="M304" s="25">
        <v>811960</v>
      </c>
      <c r="N304" s="25">
        <v>405980</v>
      </c>
      <c r="O304" s="25">
        <v>405980</v>
      </c>
    </row>
    <row r="305" customFormat="1" ht="20" customHeight="1" spans="1:15">
      <c r="A305" s="17">
        <v>299</v>
      </c>
      <c r="B305" s="17">
        <v>2025</v>
      </c>
      <c r="C305" s="57" t="s">
        <v>7007</v>
      </c>
      <c r="D305" s="57" t="s">
        <v>1593</v>
      </c>
      <c r="E305" s="1301" t="s">
        <v>7418</v>
      </c>
      <c r="F305" s="19" t="s">
        <v>7414</v>
      </c>
      <c r="G305" s="27">
        <v>10000000</v>
      </c>
      <c r="H305" s="48">
        <v>45462</v>
      </c>
      <c r="I305" s="48">
        <v>45813</v>
      </c>
      <c r="J305" s="48">
        <v>45846</v>
      </c>
      <c r="K305" s="25">
        <v>1014418.37</v>
      </c>
      <c r="L305" s="25">
        <v>811534.7</v>
      </c>
      <c r="M305" s="25">
        <v>405767.35</v>
      </c>
      <c r="N305" s="25">
        <v>202883.68</v>
      </c>
      <c r="O305" s="25">
        <v>202883.67</v>
      </c>
    </row>
    <row r="306" customFormat="1" ht="20" customHeight="1" spans="1:15">
      <c r="A306" s="17">
        <v>300</v>
      </c>
      <c r="B306" s="17">
        <v>2025</v>
      </c>
      <c r="C306" s="57" t="s">
        <v>7403</v>
      </c>
      <c r="D306" s="57" t="s">
        <v>1115</v>
      </c>
      <c r="E306" s="1301" t="s">
        <v>7419</v>
      </c>
      <c r="F306" s="19" t="s">
        <v>7420</v>
      </c>
      <c r="G306" s="27">
        <v>1500000</v>
      </c>
      <c r="H306" s="48">
        <v>45345</v>
      </c>
      <c r="I306" s="48">
        <v>45710</v>
      </c>
      <c r="J306" s="48">
        <v>45842</v>
      </c>
      <c r="K306" s="25">
        <v>1427637.52</v>
      </c>
      <c r="L306" s="25">
        <v>1142110.02</v>
      </c>
      <c r="M306" s="25">
        <v>571055.01</v>
      </c>
      <c r="N306" s="25">
        <v>285527.51</v>
      </c>
      <c r="O306" s="25">
        <v>285527.5</v>
      </c>
    </row>
    <row r="307" customFormat="1" ht="20" customHeight="1" spans="1:15">
      <c r="A307" s="17">
        <v>301</v>
      </c>
      <c r="B307" s="17">
        <v>2025</v>
      </c>
      <c r="C307" s="57" t="s">
        <v>7403</v>
      </c>
      <c r="D307" s="57" t="s">
        <v>1115</v>
      </c>
      <c r="E307" s="1301" t="s">
        <v>7421</v>
      </c>
      <c r="F307" s="19" t="s">
        <v>7420</v>
      </c>
      <c r="G307" s="27">
        <v>1900000</v>
      </c>
      <c r="H307" s="48">
        <v>45345</v>
      </c>
      <c r="I307" s="48">
        <v>45710</v>
      </c>
      <c r="J307" s="48">
        <v>45842</v>
      </c>
      <c r="K307" s="25">
        <v>1900000</v>
      </c>
      <c r="L307" s="25">
        <v>1520000</v>
      </c>
      <c r="M307" s="25">
        <v>760000</v>
      </c>
      <c r="N307" s="25">
        <v>380000</v>
      </c>
      <c r="O307" s="25">
        <v>380000</v>
      </c>
    </row>
    <row r="308" customFormat="1" ht="20" customHeight="1" spans="1:15">
      <c r="A308" s="17">
        <v>302</v>
      </c>
      <c r="B308" s="17">
        <v>2025</v>
      </c>
      <c r="C308" s="57" t="s">
        <v>7403</v>
      </c>
      <c r="D308" s="57" t="s">
        <v>1115</v>
      </c>
      <c r="E308" s="1301" t="s">
        <v>7422</v>
      </c>
      <c r="F308" s="19" t="s">
        <v>7420</v>
      </c>
      <c r="G308" s="27">
        <v>1100000</v>
      </c>
      <c r="H308" s="48">
        <v>45345</v>
      </c>
      <c r="I308" s="48">
        <v>45710</v>
      </c>
      <c r="J308" s="48">
        <v>45842</v>
      </c>
      <c r="K308" s="25">
        <v>1100000</v>
      </c>
      <c r="L308" s="25">
        <v>880000</v>
      </c>
      <c r="M308" s="25">
        <v>440000</v>
      </c>
      <c r="N308" s="25">
        <v>220000</v>
      </c>
      <c r="O308" s="25">
        <v>220000</v>
      </c>
    </row>
    <row r="309" customFormat="1" ht="20" customHeight="1" spans="1:15">
      <c r="A309" s="17">
        <v>303</v>
      </c>
      <c r="B309" s="17">
        <v>2025</v>
      </c>
      <c r="C309" s="57" t="s">
        <v>7403</v>
      </c>
      <c r="D309" s="57" t="s">
        <v>1538</v>
      </c>
      <c r="E309" s="1301" t="s">
        <v>7423</v>
      </c>
      <c r="F309" s="19" t="s">
        <v>7424</v>
      </c>
      <c r="G309" s="27">
        <v>490000</v>
      </c>
      <c r="H309" s="48">
        <v>45317</v>
      </c>
      <c r="I309" s="48">
        <v>45681</v>
      </c>
      <c r="J309" s="48">
        <v>45925</v>
      </c>
      <c r="K309" s="25">
        <v>490000</v>
      </c>
      <c r="L309" s="25">
        <v>392000</v>
      </c>
      <c r="M309" s="25">
        <v>196000</v>
      </c>
      <c r="N309" s="25">
        <v>98000</v>
      </c>
      <c r="O309" s="25">
        <v>98000</v>
      </c>
    </row>
    <row r="310" customFormat="1" ht="20" customHeight="1" spans="1:15">
      <c r="A310" s="17">
        <v>304</v>
      </c>
      <c r="B310" s="17">
        <v>2025</v>
      </c>
      <c r="C310" s="57" t="s">
        <v>7403</v>
      </c>
      <c r="D310" s="57" t="s">
        <v>1538</v>
      </c>
      <c r="E310" s="1301" t="s">
        <v>7425</v>
      </c>
      <c r="F310" s="19" t="s">
        <v>7424</v>
      </c>
      <c r="G310" s="27">
        <v>490000</v>
      </c>
      <c r="H310" s="48">
        <v>45317</v>
      </c>
      <c r="I310" s="48">
        <v>45681</v>
      </c>
      <c r="J310" s="48">
        <v>45925</v>
      </c>
      <c r="K310" s="25">
        <v>477672.99</v>
      </c>
      <c r="L310" s="25">
        <v>382138.39</v>
      </c>
      <c r="M310" s="25">
        <v>191069.2</v>
      </c>
      <c r="N310" s="25">
        <v>95534.6</v>
      </c>
      <c r="O310" s="25">
        <v>95534.59</v>
      </c>
    </row>
    <row r="311" customFormat="1" ht="20" customHeight="1" spans="1:15">
      <c r="A311" s="17">
        <v>305</v>
      </c>
      <c r="B311" s="17">
        <v>2025</v>
      </c>
      <c r="C311" s="57" t="s">
        <v>7403</v>
      </c>
      <c r="D311" s="57" t="s">
        <v>1538</v>
      </c>
      <c r="E311" s="1301" t="s">
        <v>7426</v>
      </c>
      <c r="F311" s="19" t="s">
        <v>7424</v>
      </c>
      <c r="G311" s="27">
        <v>490000</v>
      </c>
      <c r="H311" s="48">
        <v>45317</v>
      </c>
      <c r="I311" s="48">
        <v>45681</v>
      </c>
      <c r="J311" s="48">
        <v>45925</v>
      </c>
      <c r="K311" s="25">
        <v>490000</v>
      </c>
      <c r="L311" s="25">
        <v>392000</v>
      </c>
      <c r="M311" s="25">
        <v>196000</v>
      </c>
      <c r="N311" s="25">
        <v>98000</v>
      </c>
      <c r="O311" s="25">
        <v>98000</v>
      </c>
    </row>
    <row r="312" customFormat="1" ht="20" customHeight="1" spans="1:15">
      <c r="A312" s="17">
        <v>306</v>
      </c>
      <c r="B312" s="17">
        <v>2025</v>
      </c>
      <c r="C312" s="57" t="s">
        <v>7403</v>
      </c>
      <c r="D312" s="57" t="s">
        <v>1538</v>
      </c>
      <c r="E312" s="1301" t="s">
        <v>7427</v>
      </c>
      <c r="F312" s="19" t="s">
        <v>7424</v>
      </c>
      <c r="G312" s="27">
        <v>90000</v>
      </c>
      <c r="H312" s="48">
        <v>45320</v>
      </c>
      <c r="I312" s="48">
        <v>45681</v>
      </c>
      <c r="J312" s="48">
        <v>45925</v>
      </c>
      <c r="K312" s="25">
        <v>70000</v>
      </c>
      <c r="L312" s="25">
        <v>56000</v>
      </c>
      <c r="M312" s="25">
        <v>28000</v>
      </c>
      <c r="N312" s="25">
        <v>14000</v>
      </c>
      <c r="O312" s="25">
        <v>14000</v>
      </c>
    </row>
    <row r="313" customFormat="1" ht="20" customHeight="1" spans="1:15">
      <c r="A313" s="17">
        <v>307</v>
      </c>
      <c r="B313" s="17">
        <v>2025</v>
      </c>
      <c r="C313" s="57" t="s">
        <v>7403</v>
      </c>
      <c r="D313" s="57" t="s">
        <v>1538</v>
      </c>
      <c r="E313" s="1301" t="s">
        <v>7428</v>
      </c>
      <c r="F313" s="19" t="s">
        <v>7424</v>
      </c>
      <c r="G313" s="27">
        <v>490000</v>
      </c>
      <c r="H313" s="48">
        <v>45317</v>
      </c>
      <c r="I313" s="48">
        <v>45681</v>
      </c>
      <c r="J313" s="48">
        <v>45925</v>
      </c>
      <c r="K313" s="25">
        <v>490000</v>
      </c>
      <c r="L313" s="25">
        <v>392000</v>
      </c>
      <c r="M313" s="25">
        <v>196000</v>
      </c>
      <c r="N313" s="25">
        <v>98000</v>
      </c>
      <c r="O313" s="25">
        <v>98000</v>
      </c>
    </row>
    <row r="314" customFormat="1" ht="20" customHeight="1" spans="1:15">
      <c r="A314" s="17">
        <v>308</v>
      </c>
      <c r="B314" s="17">
        <v>2025</v>
      </c>
      <c r="C314" s="57" t="s">
        <v>7012</v>
      </c>
      <c r="D314" s="57" t="s">
        <v>1584</v>
      </c>
      <c r="E314" s="1301" t="s">
        <v>7429</v>
      </c>
      <c r="F314" s="19" t="s">
        <v>7430</v>
      </c>
      <c r="G314" s="27">
        <v>300000</v>
      </c>
      <c r="H314" s="48">
        <v>45373</v>
      </c>
      <c r="I314" s="48">
        <v>45737</v>
      </c>
      <c r="J314" s="48">
        <v>45874</v>
      </c>
      <c r="K314" s="25">
        <v>299969.2</v>
      </c>
      <c r="L314" s="25">
        <v>239975.36</v>
      </c>
      <c r="M314" s="25">
        <v>119987.68</v>
      </c>
      <c r="N314" s="25">
        <v>59993.84</v>
      </c>
      <c r="O314" s="25">
        <v>59993.84</v>
      </c>
    </row>
    <row r="315" customFormat="1" ht="20" customHeight="1" spans="1:15">
      <c r="A315" s="17">
        <v>309</v>
      </c>
      <c r="B315" s="17">
        <v>2025</v>
      </c>
      <c r="C315" s="57" t="s">
        <v>7403</v>
      </c>
      <c r="D315" s="57" t="s">
        <v>1557</v>
      </c>
      <c r="E315" s="1301" t="s">
        <v>7431</v>
      </c>
      <c r="F315" s="19" t="s">
        <v>7432</v>
      </c>
      <c r="G315" s="27">
        <v>3000000</v>
      </c>
      <c r="H315" s="48">
        <v>45391</v>
      </c>
      <c r="I315" s="48">
        <v>45754</v>
      </c>
      <c r="J315" s="48">
        <v>45930</v>
      </c>
      <c r="K315" s="25">
        <v>3000000</v>
      </c>
      <c r="L315" s="25">
        <v>2400000</v>
      </c>
      <c r="M315" s="25">
        <v>1200000</v>
      </c>
      <c r="N315" s="25">
        <v>600000</v>
      </c>
      <c r="O315" s="25">
        <v>600000</v>
      </c>
    </row>
    <row r="316" customFormat="1" ht="20" customHeight="1" spans="1:15">
      <c r="A316" s="17">
        <v>310</v>
      </c>
      <c r="B316" s="17">
        <v>2025</v>
      </c>
      <c r="C316" s="57" t="s">
        <v>7403</v>
      </c>
      <c r="D316" s="57" t="s">
        <v>1557</v>
      </c>
      <c r="E316" s="1301" t="s">
        <v>7433</v>
      </c>
      <c r="F316" s="19" t="s">
        <v>7432</v>
      </c>
      <c r="G316" s="27">
        <v>2000000</v>
      </c>
      <c r="H316" s="48">
        <v>45389</v>
      </c>
      <c r="I316" s="48">
        <v>45754</v>
      </c>
      <c r="J316" s="48">
        <v>45930</v>
      </c>
      <c r="K316" s="25">
        <v>1979923.44</v>
      </c>
      <c r="L316" s="25">
        <v>1583938.75</v>
      </c>
      <c r="M316" s="25">
        <v>791969.38</v>
      </c>
      <c r="N316" s="25">
        <v>395984.69</v>
      </c>
      <c r="O316" s="25">
        <v>395984.68</v>
      </c>
    </row>
    <row r="317" customFormat="1" ht="20" customHeight="1" spans="1:15">
      <c r="A317" s="17">
        <v>311</v>
      </c>
      <c r="B317" s="17">
        <v>2025</v>
      </c>
      <c r="C317" s="57" t="s">
        <v>7403</v>
      </c>
      <c r="D317" s="57" t="s">
        <v>1595</v>
      </c>
      <c r="E317" s="1301" t="s">
        <v>7434</v>
      </c>
      <c r="F317" s="19" t="s">
        <v>7435</v>
      </c>
      <c r="G317" s="27">
        <v>4660000</v>
      </c>
      <c r="H317" s="48">
        <v>45300</v>
      </c>
      <c r="I317" s="48">
        <v>45661</v>
      </c>
      <c r="J317" s="48">
        <v>45925</v>
      </c>
      <c r="K317" s="25">
        <v>2579172</v>
      </c>
      <c r="L317" s="25">
        <v>2063337.6</v>
      </c>
      <c r="M317" s="25">
        <v>1031668.8</v>
      </c>
      <c r="N317" s="25">
        <v>515834.4</v>
      </c>
      <c r="O317" s="25">
        <v>515834.4</v>
      </c>
    </row>
    <row r="318" customFormat="1" ht="20" customHeight="1" spans="1:15">
      <c r="A318" s="17">
        <v>312</v>
      </c>
      <c r="B318" s="17">
        <v>2025</v>
      </c>
      <c r="C318" s="57" t="s">
        <v>6968</v>
      </c>
      <c r="D318" s="57" t="s">
        <v>1596</v>
      </c>
      <c r="E318" s="1301" t="s">
        <v>7436</v>
      </c>
      <c r="F318" s="19" t="s">
        <v>7437</v>
      </c>
      <c r="G318" s="27">
        <v>3000000</v>
      </c>
      <c r="H318" s="48">
        <v>45471</v>
      </c>
      <c r="I318" s="48">
        <v>45835</v>
      </c>
      <c r="J318" s="48">
        <v>45930</v>
      </c>
      <c r="K318" s="25">
        <v>3010925</v>
      </c>
      <c r="L318" s="25">
        <v>2408740</v>
      </c>
      <c r="M318" s="25">
        <v>1204370</v>
      </c>
      <c r="N318" s="25">
        <v>602185</v>
      </c>
      <c r="O318" s="25">
        <v>602185</v>
      </c>
    </row>
    <row r="319" customFormat="1" ht="20" customHeight="1" spans="1:15">
      <c r="A319" s="17">
        <v>313</v>
      </c>
      <c r="B319" s="17">
        <v>2025</v>
      </c>
      <c r="C319" s="57" t="s">
        <v>7020</v>
      </c>
      <c r="D319" s="57" t="s">
        <v>1604</v>
      </c>
      <c r="E319" s="1301" t="s">
        <v>7438</v>
      </c>
      <c r="F319" s="19" t="s">
        <v>1684</v>
      </c>
      <c r="G319" s="27">
        <v>2858000</v>
      </c>
      <c r="H319" s="48">
        <v>45351</v>
      </c>
      <c r="I319" s="48">
        <v>45716</v>
      </c>
      <c r="J319" s="48">
        <v>45930</v>
      </c>
      <c r="K319" s="25">
        <v>2853701.64</v>
      </c>
      <c r="L319" s="25">
        <v>2282961.31</v>
      </c>
      <c r="M319" s="25">
        <v>1141480.66</v>
      </c>
      <c r="N319" s="25">
        <v>570740.33</v>
      </c>
      <c r="O319" s="25">
        <v>570740.32</v>
      </c>
    </row>
    <row r="320" customFormat="1" ht="20" customHeight="1" spans="1:15">
      <c r="A320" s="17">
        <v>314</v>
      </c>
      <c r="B320" s="17">
        <v>2025</v>
      </c>
      <c r="C320" s="57" t="s">
        <v>7020</v>
      </c>
      <c r="D320" s="57" t="s">
        <v>1605</v>
      </c>
      <c r="E320" s="1301" t="s">
        <v>7439</v>
      </c>
      <c r="F320" s="19" t="s">
        <v>1684</v>
      </c>
      <c r="G320" s="27">
        <v>3270000</v>
      </c>
      <c r="H320" s="48">
        <v>45366</v>
      </c>
      <c r="I320" s="48">
        <v>45731</v>
      </c>
      <c r="J320" s="48">
        <v>45930</v>
      </c>
      <c r="K320" s="25">
        <v>3001667.84</v>
      </c>
      <c r="L320" s="25">
        <v>2401334.27</v>
      </c>
      <c r="M320" s="25">
        <v>1200667.14</v>
      </c>
      <c r="N320" s="25">
        <v>600333.57</v>
      </c>
      <c r="O320" s="25">
        <v>600333.56</v>
      </c>
    </row>
    <row r="321" s="5" customFormat="1" ht="20" customHeight="1" spans="1:16">
      <c r="A321" s="66"/>
      <c r="B321" s="66"/>
      <c r="C321" s="67" t="s">
        <v>1266</v>
      </c>
      <c r="D321" s="67"/>
      <c r="E321" s="68"/>
      <c r="F321" s="69"/>
      <c r="G321" s="70">
        <f>SUM(G230:G320)</f>
        <v>161889200</v>
      </c>
      <c r="H321" s="71"/>
      <c r="I321" s="71"/>
      <c r="J321" s="71"/>
      <c r="K321" s="72">
        <f>SUM(K230:K320)</f>
        <v>143152491.77</v>
      </c>
      <c r="L321" s="72">
        <f>SUM(L230:L320)</f>
        <v>107867759.55</v>
      </c>
      <c r="M321" s="72">
        <f>SUM(M230:M320)</f>
        <v>50986479.44</v>
      </c>
      <c r="N321" s="72">
        <f>SUM(N230:N320)</f>
        <v>26966939.98</v>
      </c>
      <c r="O321" s="72">
        <f>SUM(O230:O320)</f>
        <v>29914340.13</v>
      </c>
    </row>
    <row r="322" customFormat="1" ht="20" customHeight="1" spans="1:16">
      <c r="A322" s="17">
        <v>315</v>
      </c>
      <c r="B322" s="17">
        <v>2026</v>
      </c>
      <c r="C322" s="57" t="s">
        <v>6968</v>
      </c>
      <c r="D322" s="57" t="s">
        <v>1597</v>
      </c>
      <c r="E322" s="1301" t="s">
        <v>7440</v>
      </c>
      <c r="F322" s="19" t="s">
        <v>7182</v>
      </c>
      <c r="G322" s="27">
        <v>153000</v>
      </c>
      <c r="H322" s="48">
        <v>44742</v>
      </c>
      <c r="I322" s="48">
        <v>45837</v>
      </c>
      <c r="J322" s="48">
        <v>45918</v>
      </c>
      <c r="K322" s="25">
        <v>153691.54</v>
      </c>
      <c r="L322" s="25">
        <v>122953.23</v>
      </c>
      <c r="M322" s="25">
        <v>46107.46</v>
      </c>
      <c r="N322" s="25">
        <v>30738.31</v>
      </c>
      <c r="O322" s="25">
        <v>46107.46</v>
      </c>
      <c r="P322" s="1">
        <f>N322+O322</f>
        <v>76845.77</v>
      </c>
    </row>
    <row r="323" customFormat="1" ht="20" customHeight="1" spans="1:16">
      <c r="A323" s="17">
        <v>316</v>
      </c>
      <c r="B323" s="17">
        <v>2026</v>
      </c>
      <c r="C323" s="57" t="s">
        <v>6968</v>
      </c>
      <c r="D323" s="57" t="s">
        <v>1598</v>
      </c>
      <c r="E323" s="1301" t="s">
        <v>7441</v>
      </c>
      <c r="F323" s="19" t="s">
        <v>7184</v>
      </c>
      <c r="G323" s="27">
        <v>63000</v>
      </c>
      <c r="H323" s="48">
        <v>44742</v>
      </c>
      <c r="I323" s="48">
        <v>45837</v>
      </c>
      <c r="J323" s="48">
        <v>45915</v>
      </c>
      <c r="K323" s="25">
        <v>62474.65</v>
      </c>
      <c r="L323" s="25">
        <v>49979.72</v>
      </c>
      <c r="M323" s="25">
        <v>18742.4</v>
      </c>
      <c r="N323" s="25">
        <v>12494.92</v>
      </c>
      <c r="O323" s="25">
        <v>18742.4</v>
      </c>
      <c r="P323" s="1">
        <f t="shared" ref="P323:P344" si="0">N323+O323</f>
        <v>31237.32</v>
      </c>
    </row>
    <row r="324" customFormat="1" ht="20" customHeight="1" spans="1:16">
      <c r="A324" s="17">
        <v>317</v>
      </c>
      <c r="B324" s="17">
        <v>2026</v>
      </c>
      <c r="C324" s="57" t="s">
        <v>6968</v>
      </c>
      <c r="D324" s="57" t="s">
        <v>1599</v>
      </c>
      <c r="E324" s="1301" t="s">
        <v>7442</v>
      </c>
      <c r="F324" s="19" t="s">
        <v>7166</v>
      </c>
      <c r="G324" s="27">
        <v>86000</v>
      </c>
      <c r="H324" s="48">
        <v>44736</v>
      </c>
      <c r="I324" s="48">
        <v>45831</v>
      </c>
      <c r="J324" s="48">
        <v>45918</v>
      </c>
      <c r="K324" s="25">
        <v>85838.44</v>
      </c>
      <c r="L324" s="25">
        <v>68670.75</v>
      </c>
      <c r="M324" s="25">
        <v>25751.53</v>
      </c>
      <c r="N324" s="25">
        <v>17167.69</v>
      </c>
      <c r="O324" s="25">
        <v>25751.53</v>
      </c>
      <c r="P324" s="1">
        <f t="shared" si="0"/>
        <v>42919.22</v>
      </c>
    </row>
    <row r="325" customFormat="1" ht="20" customHeight="1" spans="1:16">
      <c r="A325" s="17">
        <v>318</v>
      </c>
      <c r="B325" s="17">
        <v>2026</v>
      </c>
      <c r="C325" s="57" t="s">
        <v>6968</v>
      </c>
      <c r="D325" s="57" t="s">
        <v>1600</v>
      </c>
      <c r="E325" s="1301" t="s">
        <v>7443</v>
      </c>
      <c r="F325" s="19" t="s">
        <v>7166</v>
      </c>
      <c r="G325" s="27">
        <v>260000</v>
      </c>
      <c r="H325" s="48">
        <v>44757</v>
      </c>
      <c r="I325" s="48">
        <v>45852</v>
      </c>
      <c r="J325" s="48">
        <v>45926</v>
      </c>
      <c r="K325" s="25">
        <v>240000</v>
      </c>
      <c r="L325" s="25">
        <v>192000</v>
      </c>
      <c r="M325" s="25">
        <v>72000</v>
      </c>
      <c r="N325" s="25">
        <v>48000</v>
      </c>
      <c r="O325" s="25">
        <v>72000</v>
      </c>
      <c r="P325" s="1">
        <f t="shared" si="0"/>
        <v>120000</v>
      </c>
    </row>
    <row r="326" customFormat="1" ht="20" customHeight="1" spans="1:16">
      <c r="A326" s="17">
        <v>319</v>
      </c>
      <c r="B326" s="17">
        <v>2026</v>
      </c>
      <c r="C326" s="57" t="s">
        <v>6968</v>
      </c>
      <c r="D326" s="57" t="s">
        <v>1601</v>
      </c>
      <c r="E326" s="1301" t="s">
        <v>7444</v>
      </c>
      <c r="F326" s="19" t="s">
        <v>7182</v>
      </c>
      <c r="G326" s="27">
        <v>136000</v>
      </c>
      <c r="H326" s="48">
        <v>44741</v>
      </c>
      <c r="I326" s="48">
        <v>45836</v>
      </c>
      <c r="J326" s="48">
        <v>45923</v>
      </c>
      <c r="K326" s="25">
        <v>132863.95</v>
      </c>
      <c r="L326" s="25">
        <v>106291.16</v>
      </c>
      <c r="M326" s="25">
        <v>39859.19</v>
      </c>
      <c r="N326" s="25">
        <v>26572.78</v>
      </c>
      <c r="O326" s="25">
        <v>39859.19</v>
      </c>
      <c r="P326" s="1">
        <f t="shared" si="0"/>
        <v>66431.97</v>
      </c>
    </row>
    <row r="327" customFormat="1" ht="20" customHeight="1" spans="1:16">
      <c r="A327" s="17">
        <v>320</v>
      </c>
      <c r="B327" s="17">
        <v>2026</v>
      </c>
      <c r="C327" s="57" t="s">
        <v>6968</v>
      </c>
      <c r="D327" s="57" t="s">
        <v>1602</v>
      </c>
      <c r="E327" s="1301" t="s">
        <v>7445</v>
      </c>
      <c r="F327" s="19" t="s">
        <v>7182</v>
      </c>
      <c r="G327" s="27">
        <v>300000</v>
      </c>
      <c r="H327" s="48">
        <v>44729</v>
      </c>
      <c r="I327" s="48">
        <v>45824</v>
      </c>
      <c r="J327" s="48">
        <v>45904</v>
      </c>
      <c r="K327" s="25">
        <v>294401.7</v>
      </c>
      <c r="L327" s="25">
        <v>235521.36</v>
      </c>
      <c r="M327" s="25">
        <v>88320.51</v>
      </c>
      <c r="N327" s="25">
        <v>58880.34</v>
      </c>
      <c r="O327" s="25">
        <v>88320.51</v>
      </c>
      <c r="P327" s="1">
        <f t="shared" si="0"/>
        <v>147200.85</v>
      </c>
    </row>
    <row r="328" customFormat="1" ht="20" customHeight="1" spans="1:16">
      <c r="A328" s="17">
        <v>321</v>
      </c>
      <c r="B328" s="17">
        <v>2026</v>
      </c>
      <c r="C328" s="57" t="s">
        <v>6968</v>
      </c>
      <c r="D328" s="57" t="s">
        <v>1603</v>
      </c>
      <c r="E328" s="1301" t="s">
        <v>7446</v>
      </c>
      <c r="F328" s="19" t="s">
        <v>7182</v>
      </c>
      <c r="G328" s="27">
        <v>300000</v>
      </c>
      <c r="H328" s="48">
        <v>44708</v>
      </c>
      <c r="I328" s="48">
        <v>45803</v>
      </c>
      <c r="J328" s="48">
        <v>45888</v>
      </c>
      <c r="K328" s="25">
        <v>299261.25</v>
      </c>
      <c r="L328" s="25">
        <v>239409</v>
      </c>
      <c r="M328" s="25">
        <v>89778.38</v>
      </c>
      <c r="N328" s="25">
        <v>59852.24</v>
      </c>
      <c r="O328" s="25">
        <v>89778.38</v>
      </c>
      <c r="P328" s="1">
        <f t="shared" si="0"/>
        <v>149630.62</v>
      </c>
    </row>
    <row r="329" customFormat="1" ht="20" customHeight="1" spans="1:16">
      <c r="A329" s="17">
        <v>322</v>
      </c>
      <c r="B329" s="17">
        <v>2026</v>
      </c>
      <c r="C329" s="57" t="s">
        <v>7342</v>
      </c>
      <c r="D329" s="57" t="s">
        <v>1400</v>
      </c>
      <c r="E329" s="1301" t="s">
        <v>7447</v>
      </c>
      <c r="F329" s="19" t="s">
        <v>7385</v>
      </c>
      <c r="G329" s="27">
        <v>750000</v>
      </c>
      <c r="H329" s="48">
        <v>44890</v>
      </c>
      <c r="I329" s="48">
        <v>45177</v>
      </c>
      <c r="J329" s="48">
        <v>45257</v>
      </c>
      <c r="K329" s="25">
        <v>425803.85</v>
      </c>
      <c r="L329" s="25">
        <v>340643.08</v>
      </c>
      <c r="M329" s="25">
        <v>127741.16</v>
      </c>
      <c r="N329" s="25">
        <v>85160.77</v>
      </c>
      <c r="O329" s="25">
        <v>127741.15</v>
      </c>
      <c r="P329" s="1">
        <f t="shared" si="0"/>
        <v>212901.92</v>
      </c>
    </row>
    <row r="330" customFormat="1" ht="20" customHeight="1" spans="1:16">
      <c r="A330" s="17">
        <v>323</v>
      </c>
      <c r="B330" s="17">
        <v>2026</v>
      </c>
      <c r="C330" s="57" t="s">
        <v>7342</v>
      </c>
      <c r="D330" s="57" t="s">
        <v>1331</v>
      </c>
      <c r="E330" s="1301" t="s">
        <v>7448</v>
      </c>
      <c r="F330" s="19" t="s">
        <v>7385</v>
      </c>
      <c r="G330" s="27">
        <v>3000000</v>
      </c>
      <c r="H330" s="48">
        <v>44707</v>
      </c>
      <c r="I330" s="48">
        <v>45072</v>
      </c>
      <c r="J330" s="48">
        <v>45103</v>
      </c>
      <c r="K330" s="25">
        <v>2637232.1</v>
      </c>
      <c r="L330" s="25">
        <v>2109785.68</v>
      </c>
      <c r="M330" s="25">
        <v>791169.63</v>
      </c>
      <c r="N330" s="25">
        <v>527446.43</v>
      </c>
      <c r="O330" s="25">
        <v>791169.62</v>
      </c>
      <c r="P330" s="1">
        <f t="shared" si="0"/>
        <v>1318616.05</v>
      </c>
    </row>
    <row r="331" customFormat="1" ht="20" customHeight="1" spans="1:16">
      <c r="A331" s="17">
        <v>324</v>
      </c>
      <c r="B331" s="17">
        <v>2026</v>
      </c>
      <c r="C331" s="57" t="s">
        <v>7342</v>
      </c>
      <c r="D331" s="57" t="s">
        <v>1271</v>
      </c>
      <c r="E331" s="1301" t="s">
        <v>7449</v>
      </c>
      <c r="F331" s="19" t="s">
        <v>7385</v>
      </c>
      <c r="G331" s="27">
        <v>5000000</v>
      </c>
      <c r="H331" s="48">
        <v>44643</v>
      </c>
      <c r="I331" s="48">
        <v>45007</v>
      </c>
      <c r="J331" s="48">
        <v>44791</v>
      </c>
      <c r="K331" s="25">
        <v>5048888.89</v>
      </c>
      <c r="L331" s="25">
        <v>4039111.11</v>
      </c>
      <c r="M331" s="25">
        <v>1514666.67</v>
      </c>
      <c r="N331" s="25">
        <v>1009777.78</v>
      </c>
      <c r="O331" s="25">
        <v>1514666.66</v>
      </c>
      <c r="P331" s="1">
        <f t="shared" si="0"/>
        <v>2524444.44</v>
      </c>
    </row>
    <row r="332" customFormat="1" ht="20" customHeight="1" spans="1:16">
      <c r="A332" s="17">
        <v>325</v>
      </c>
      <c r="B332" s="17">
        <v>2026</v>
      </c>
      <c r="C332" s="57" t="s">
        <v>7342</v>
      </c>
      <c r="D332" s="57" t="s">
        <v>1362</v>
      </c>
      <c r="E332" s="1301" t="s">
        <v>7450</v>
      </c>
      <c r="F332" s="19" t="s">
        <v>7385</v>
      </c>
      <c r="G332" s="27">
        <v>420000</v>
      </c>
      <c r="H332" s="48">
        <v>44721</v>
      </c>
      <c r="I332" s="48">
        <v>45085</v>
      </c>
      <c r="J332" s="48">
        <v>45162</v>
      </c>
      <c r="K332" s="25">
        <v>388642.65</v>
      </c>
      <c r="L332" s="25">
        <v>310914.12</v>
      </c>
      <c r="M332" s="25">
        <v>116592.79</v>
      </c>
      <c r="N332" s="25">
        <v>77728.54</v>
      </c>
      <c r="O332" s="25">
        <v>116592.79</v>
      </c>
      <c r="P332" s="1">
        <f t="shared" si="0"/>
        <v>194321.33</v>
      </c>
    </row>
    <row r="333" customFormat="1" ht="20" customHeight="1" spans="1:16">
      <c r="A333" s="17">
        <v>326</v>
      </c>
      <c r="B333" s="17">
        <v>2026</v>
      </c>
      <c r="C333" s="57" t="s">
        <v>7342</v>
      </c>
      <c r="D333" s="57" t="s">
        <v>1388</v>
      </c>
      <c r="E333" s="1301" t="s">
        <v>7451</v>
      </c>
      <c r="F333" s="19" t="s">
        <v>7385</v>
      </c>
      <c r="G333" s="27">
        <v>250000</v>
      </c>
      <c r="H333" s="48">
        <v>45014</v>
      </c>
      <c r="I333" s="48">
        <v>45379</v>
      </c>
      <c r="J333" s="48">
        <v>45226</v>
      </c>
      <c r="K333" s="25">
        <v>250000</v>
      </c>
      <c r="L333" s="25">
        <v>200000</v>
      </c>
      <c r="M333" s="25">
        <v>75000</v>
      </c>
      <c r="N333" s="25">
        <v>50000</v>
      </c>
      <c r="O333" s="25">
        <v>75000</v>
      </c>
      <c r="P333" s="1">
        <f t="shared" si="0"/>
        <v>125000</v>
      </c>
    </row>
    <row r="334" customFormat="1" ht="20" customHeight="1" spans="1:16">
      <c r="A334" s="17">
        <v>327</v>
      </c>
      <c r="B334" s="17">
        <v>2026</v>
      </c>
      <c r="C334" s="57" t="s">
        <v>7342</v>
      </c>
      <c r="D334" s="57" t="s">
        <v>1323</v>
      </c>
      <c r="E334" s="1301" t="s">
        <v>7452</v>
      </c>
      <c r="F334" s="19" t="s">
        <v>7385</v>
      </c>
      <c r="G334" s="27">
        <v>220000</v>
      </c>
      <c r="H334" s="48">
        <v>44637</v>
      </c>
      <c r="I334" s="48">
        <v>45001</v>
      </c>
      <c r="J334" s="48">
        <v>45072</v>
      </c>
      <c r="K334" s="25">
        <v>219459.57</v>
      </c>
      <c r="L334" s="25">
        <v>175567.66</v>
      </c>
      <c r="M334" s="25">
        <v>65837.87</v>
      </c>
      <c r="N334" s="25">
        <v>43891.92</v>
      </c>
      <c r="O334" s="25">
        <v>65837.87</v>
      </c>
      <c r="P334" s="1">
        <f t="shared" si="0"/>
        <v>109729.79</v>
      </c>
    </row>
    <row r="335" customFormat="1" ht="20" customHeight="1" spans="1:16">
      <c r="A335" s="17">
        <v>328</v>
      </c>
      <c r="B335" s="17">
        <v>2026</v>
      </c>
      <c r="C335" s="57" t="s">
        <v>7342</v>
      </c>
      <c r="D335" s="57" t="s">
        <v>1361</v>
      </c>
      <c r="E335" s="1301" t="s">
        <v>7453</v>
      </c>
      <c r="F335" s="19" t="s">
        <v>7385</v>
      </c>
      <c r="G335" s="27">
        <v>3590000</v>
      </c>
      <c r="H335" s="48">
        <v>44734</v>
      </c>
      <c r="I335" s="48">
        <v>45099</v>
      </c>
      <c r="J335" s="48">
        <v>45162</v>
      </c>
      <c r="K335" s="25">
        <v>3634129.1</v>
      </c>
      <c r="L335" s="25">
        <v>2907303.28</v>
      </c>
      <c r="M335" s="25">
        <v>1090238.73</v>
      </c>
      <c r="N335" s="25">
        <v>726825.82</v>
      </c>
      <c r="O335" s="25">
        <v>1090238.73</v>
      </c>
      <c r="P335" s="1">
        <f t="shared" si="0"/>
        <v>1817064.55</v>
      </c>
    </row>
    <row r="336" customFormat="1" ht="20" customHeight="1" spans="1:16">
      <c r="A336" s="17">
        <v>329</v>
      </c>
      <c r="B336" s="17">
        <v>2026</v>
      </c>
      <c r="C336" s="57" t="s">
        <v>7342</v>
      </c>
      <c r="D336" s="57" t="s">
        <v>1442</v>
      </c>
      <c r="E336" s="1301" t="s">
        <v>7454</v>
      </c>
      <c r="F336" s="19" t="s">
        <v>7385</v>
      </c>
      <c r="G336" s="27">
        <v>570000</v>
      </c>
      <c r="H336" s="48">
        <v>44954</v>
      </c>
      <c r="I336" s="48">
        <v>45318</v>
      </c>
      <c r="J336" s="48">
        <v>45379</v>
      </c>
      <c r="K336" s="25">
        <v>570877.35</v>
      </c>
      <c r="L336" s="25">
        <v>456701.88</v>
      </c>
      <c r="M336" s="25">
        <v>171263.21</v>
      </c>
      <c r="N336" s="25">
        <v>114175.47</v>
      </c>
      <c r="O336" s="25">
        <v>171263.2</v>
      </c>
      <c r="P336" s="1">
        <f t="shared" si="0"/>
        <v>285438.67</v>
      </c>
    </row>
    <row r="337" customFormat="1" ht="20" customHeight="1" spans="1:16">
      <c r="A337" s="17">
        <v>330</v>
      </c>
      <c r="B337" s="17">
        <v>2026</v>
      </c>
      <c r="C337" s="57" t="s">
        <v>7342</v>
      </c>
      <c r="D337" s="57" t="s">
        <v>1443</v>
      </c>
      <c r="E337" s="1301" t="s">
        <v>7455</v>
      </c>
      <c r="F337" s="19" t="s">
        <v>7385</v>
      </c>
      <c r="G337" s="27">
        <v>1300000</v>
      </c>
      <c r="H337" s="48">
        <v>44939</v>
      </c>
      <c r="I337" s="48">
        <v>45303</v>
      </c>
      <c r="J337" s="48">
        <v>45379</v>
      </c>
      <c r="K337" s="25">
        <v>1303275.95</v>
      </c>
      <c r="L337" s="25">
        <v>1042620.76</v>
      </c>
      <c r="M337" s="25">
        <v>390982.79</v>
      </c>
      <c r="N337" s="25">
        <v>260655.19</v>
      </c>
      <c r="O337" s="25">
        <v>390982.78</v>
      </c>
      <c r="P337" s="1">
        <f t="shared" si="0"/>
        <v>651637.97</v>
      </c>
    </row>
    <row r="338" customFormat="1" ht="20" customHeight="1" spans="1:16">
      <c r="A338" s="17">
        <v>331</v>
      </c>
      <c r="B338" s="17">
        <v>2026</v>
      </c>
      <c r="C338" s="57" t="s">
        <v>7456</v>
      </c>
      <c r="D338" s="57" t="s">
        <v>1515</v>
      </c>
      <c r="E338" s="1301" t="s">
        <v>7457</v>
      </c>
      <c r="F338" s="19" t="s">
        <v>7458</v>
      </c>
      <c r="G338" s="27">
        <v>1000000</v>
      </c>
      <c r="H338" s="48">
        <v>45029</v>
      </c>
      <c r="I338" s="48">
        <v>45390</v>
      </c>
      <c r="J338" s="48">
        <v>45464</v>
      </c>
      <c r="K338" s="25">
        <v>989636.54</v>
      </c>
      <c r="L338" s="25">
        <v>791709.23</v>
      </c>
      <c r="M338" s="25">
        <v>296890.96</v>
      </c>
      <c r="N338" s="25">
        <v>197927.31</v>
      </c>
      <c r="O338" s="25">
        <v>296890.96</v>
      </c>
      <c r="P338" s="1">
        <f t="shared" si="0"/>
        <v>494818.27</v>
      </c>
    </row>
    <row r="339" customFormat="1" ht="20" customHeight="1" spans="1:16">
      <c r="A339" s="17">
        <v>332</v>
      </c>
      <c r="B339" s="17">
        <v>2026</v>
      </c>
      <c r="C339" s="57" t="s">
        <v>7456</v>
      </c>
      <c r="D339" s="57" t="s">
        <v>1515</v>
      </c>
      <c r="E339" s="1301" t="s">
        <v>7459</v>
      </c>
      <c r="F339" s="19" t="s">
        <v>7458</v>
      </c>
      <c r="G339" s="27">
        <v>1000000</v>
      </c>
      <c r="H339" s="48">
        <v>45029</v>
      </c>
      <c r="I339" s="48">
        <v>45392</v>
      </c>
      <c r="J339" s="48">
        <v>45464</v>
      </c>
      <c r="K339" s="25">
        <v>510637.89</v>
      </c>
      <c r="L339" s="25">
        <v>408510.31</v>
      </c>
      <c r="M339" s="25">
        <v>153191.37</v>
      </c>
      <c r="N339" s="25">
        <v>102127.58</v>
      </c>
      <c r="O339" s="25">
        <v>153191.36</v>
      </c>
      <c r="P339" s="1">
        <f t="shared" si="0"/>
        <v>255318.94</v>
      </c>
    </row>
    <row r="340" customFormat="1" ht="20" customHeight="1" spans="1:16">
      <c r="A340" s="17">
        <v>333</v>
      </c>
      <c r="B340" s="17">
        <v>2026</v>
      </c>
      <c r="C340" s="57" t="s">
        <v>7456</v>
      </c>
      <c r="D340" s="57" t="s">
        <v>796</v>
      </c>
      <c r="E340" s="1301" t="s">
        <v>7460</v>
      </c>
      <c r="F340" s="19" t="s">
        <v>7461</v>
      </c>
      <c r="G340" s="27">
        <v>3000000</v>
      </c>
      <c r="H340" s="48">
        <v>45077</v>
      </c>
      <c r="I340" s="48">
        <v>45442</v>
      </c>
      <c r="J340" s="48">
        <v>45450</v>
      </c>
      <c r="K340" s="25">
        <v>1998891.48</v>
      </c>
      <c r="L340" s="25">
        <v>1599113.18</v>
      </c>
      <c r="M340" s="25">
        <v>599667.44</v>
      </c>
      <c r="N340" s="25">
        <v>399778.3</v>
      </c>
      <c r="O340" s="25">
        <v>599667.44</v>
      </c>
      <c r="P340" s="1">
        <f t="shared" si="0"/>
        <v>999445.74</v>
      </c>
    </row>
    <row r="341" customFormat="1" ht="20" customHeight="1" spans="1:16">
      <c r="A341" s="17"/>
      <c r="B341" s="17"/>
      <c r="C341" s="57"/>
      <c r="D341" s="73"/>
      <c r="E341" s="74"/>
      <c r="F341" s="73"/>
      <c r="G341" s="75"/>
      <c r="H341" s="76"/>
      <c r="I341" s="76"/>
      <c r="J341" s="76"/>
      <c r="K341" s="77"/>
      <c r="L341" s="77"/>
      <c r="M341" s="77"/>
      <c r="N341" s="77"/>
      <c r="O341" s="77"/>
      <c r="P341" s="1">
        <f t="shared" si="0"/>
        <v>0</v>
      </c>
    </row>
    <row r="342" customFormat="1" ht="20" customHeight="1" spans="1:16">
      <c r="A342" s="17"/>
      <c r="B342" s="17"/>
      <c r="C342" s="57"/>
      <c r="D342" s="73"/>
      <c r="E342" s="74"/>
      <c r="F342" s="73"/>
      <c r="G342" s="75"/>
      <c r="H342" s="76"/>
      <c r="I342" s="76"/>
      <c r="J342" s="76"/>
      <c r="K342" s="77"/>
      <c r="L342" s="77"/>
      <c r="M342" s="77"/>
      <c r="N342" s="77"/>
      <c r="O342" s="77"/>
      <c r="P342" s="1">
        <f t="shared" si="0"/>
        <v>0</v>
      </c>
    </row>
    <row r="343" customFormat="1" ht="20" customHeight="1" spans="1:16">
      <c r="A343" s="17"/>
      <c r="B343" s="17"/>
      <c r="C343" s="57"/>
      <c r="D343" s="73"/>
      <c r="E343" s="74"/>
      <c r="F343" s="73"/>
      <c r="G343" s="75"/>
      <c r="H343" s="76"/>
      <c r="I343" s="76"/>
      <c r="J343" s="76"/>
      <c r="K343" s="77"/>
      <c r="L343" s="77"/>
      <c r="M343" s="77"/>
      <c r="N343" s="77"/>
      <c r="O343" s="77"/>
      <c r="P343" s="1">
        <f t="shared" si="0"/>
        <v>0</v>
      </c>
    </row>
    <row r="344" s="5" customFormat="1" ht="20" customHeight="1" spans="1:16">
      <c r="A344" s="66"/>
      <c r="B344" s="66"/>
      <c r="C344" s="67" t="s">
        <v>1266</v>
      </c>
      <c r="D344" s="67"/>
      <c r="E344" s="68"/>
      <c r="F344" s="69"/>
      <c r="G344" s="70">
        <f>SUM(G322:G340)</f>
        <v>21398000</v>
      </c>
      <c r="H344" s="71"/>
      <c r="I344" s="71"/>
      <c r="J344" s="71"/>
      <c r="K344" s="72">
        <f>SUM(K322:K343)</f>
        <v>19246006.9</v>
      </c>
      <c r="L344" s="72">
        <f>SUM(L322:L343)</f>
        <v>15396805.51</v>
      </c>
      <c r="M344" s="72">
        <f>SUM(M322:M343)</f>
        <v>5773802.09</v>
      </c>
      <c r="N344" s="72">
        <f>SUM(N322:N343)</f>
        <v>3849201.39</v>
      </c>
      <c r="O344" s="72">
        <f>SUM(O322:O343)</f>
        <v>5773802.03</v>
      </c>
      <c r="P344" s="1">
        <f t="shared" si="0"/>
        <v>9623003.42</v>
      </c>
    </row>
    <row r="345" ht="20" customHeight="1" spans="1:16">
      <c r="A345" s="17"/>
      <c r="B345" s="17"/>
      <c r="C345" s="78" t="s">
        <v>859</v>
      </c>
      <c r="D345" s="73"/>
      <c r="E345" s="74"/>
      <c r="F345" s="73"/>
      <c r="G345" s="75">
        <f>G30+G229+G321+G344</f>
        <v>418835200</v>
      </c>
      <c r="H345" s="76"/>
      <c r="I345" s="76"/>
      <c r="J345" s="76"/>
      <c r="K345" s="77">
        <f>K30+K229+K321+K344</f>
        <v>380733615.72</v>
      </c>
      <c r="L345" s="77">
        <f>L30+L229+L321+L344</f>
        <v>294803746.35</v>
      </c>
      <c r="M345" s="77">
        <f>M30+M229+M321+M344</f>
        <v>121240454.1</v>
      </c>
      <c r="N345" s="77">
        <f>N30+N229+N321+N344</f>
        <v>73701176.72</v>
      </c>
      <c r="O345" s="77">
        <f>O30+O229+O321+O344</f>
        <v>99863075.1</v>
      </c>
    </row>
    <row r="346" ht="20" customHeight="1" spans="1:16">
      <c r="A346" s="17"/>
      <c r="B346" s="17"/>
    </row>
    <row r="349" ht="14.85"/>
    <row r="350" ht="17.45" spans="1:16">
      <c r="L350" s="65"/>
    </row>
    <row r="351" ht="17.45" spans="1:16">
      <c r="L351" s="79"/>
    </row>
    <row r="352" ht="17.45" spans="1:16">
      <c r="L352" s="62"/>
    </row>
  </sheetData>
  <sheetProtection formatCells="0" insertHyperlinks="0" autoFilter="0"/>
  <mergeCells count="16"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表六 补偿进度台账（传统）</vt:lpstr>
      <vt:lpstr>新表六2026</vt:lpstr>
      <vt:lpstr>新表八2026</vt:lpstr>
      <vt:lpstr>表七 补偿进度台账（总对总）</vt:lpstr>
      <vt:lpstr>表八 再担保代偿补偿项目统计总台账</vt:lpstr>
      <vt:lpstr>表九 总对总项目统计表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闫含英</dc:creator>
  <cp:lastModifiedBy>钟颖</cp:lastModifiedBy>
  <dcterms:created xsi:type="dcterms:W3CDTF">2025-04-27T15:24:00Z</dcterms:created>
  <cp:lastPrinted>2025-07-31T15:18:00Z</cp:lastPrinted>
  <dcterms:modified xsi:type="dcterms:W3CDTF">2026-04-23T07:28:43Z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C264417ECA7F4BDEBB421AF23B412AB5_13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